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https://d.docs.live.net/078fa6186156b969/Desktop/GLRI Project/GLRI Chemical Prioritization/Water Quality Guidelines/"/>
    </mc:Choice>
  </mc:AlternateContent>
  <xr:revisionPtr revIDLastSave="263" documentId="13_ncr:1_{B1047212-7CE9-44E1-A63D-F55276E0A7DC}" xr6:coauthVersionLast="47" xr6:coauthVersionMax="47" xr10:uidLastSave="{C3109408-A38D-479E-A696-299D4EE46BC5}"/>
  <bookViews>
    <workbookView xWindow="-110" yWindow="-110" windowWidth="19420" windowHeight="10420" tabRatio="601" firstSheet="8" activeTab="13" xr2:uid="{77DC7EC1-AB81-4695-800E-203C8F2F71C6}"/>
  </bookViews>
  <sheets>
    <sheet name="Links &amp; Bib" sheetId="2" r:id="rId1"/>
    <sheet name="Instructions" sheetId="3" r:id="rId2"/>
    <sheet name="USEPA_OPP" sheetId="1" r:id="rId3"/>
    <sheet name="CCME" sheetId="4" r:id="rId4"/>
    <sheet name="CAD_data_ref" sheetId="16" r:id="rId5"/>
    <sheet name="CAD_data" sheetId="7" r:id="rId6"/>
    <sheet name="FEQGCs" sheetId="5" r:id="rId7"/>
    <sheet name="EU_EQS" sheetId="8" r:id="rId8"/>
    <sheet name="USEPA_Reg4" sheetId="10" r:id="rId9"/>
    <sheet name="NOAA_SQRT" sheetId="9" r:id="rId10"/>
    <sheet name="USEPA_ECOTOX" sheetId="11" r:id="rId11"/>
    <sheet name="USEPA_NRWQC" sheetId="14" r:id="rId12"/>
    <sheet name="NORMAN" sheetId="19" r:id="rId13"/>
    <sheet name="USEPA_ESB" sheetId="12" r:id="rId14"/>
    <sheet name="USEPA_CWA2" sheetId="20" r:id="rId15"/>
    <sheet name="CAD_Prov" sheetId="15" r:id="rId16"/>
    <sheet name="CAS_list_for_CWA" sheetId="21" r:id="rId17"/>
    <sheet name="ECHA" sheetId="18" r:id="rId18"/>
  </sheets>
  <externalReferences>
    <externalReference r:id="rId19"/>
  </externalReferences>
  <definedNames>
    <definedName name="_xlnm._FilterDatabase" localSheetId="5" hidden="1">CAD_data!$A$1:$N$1345</definedName>
    <definedName name="_xlnm._FilterDatabase" localSheetId="4" hidden="1">CAD_data_ref!$A$1:$D$33</definedName>
    <definedName name="_xlnm._FilterDatabase" localSheetId="15" hidden="1">CAD_Prov!$A$1:$J$1129</definedName>
    <definedName name="_xlnm._FilterDatabase" localSheetId="16" hidden="1">CAS_list_for_CWA!$A$1:$B$883</definedName>
    <definedName name="_xlnm._FilterDatabase" localSheetId="3" hidden="1">CCME!$A$1:$M$912</definedName>
    <definedName name="_xlnm._FilterDatabase" localSheetId="17" hidden="1">ECHA!$A$1:$Q$378</definedName>
    <definedName name="_xlnm._FilterDatabase" localSheetId="7" hidden="1">EU_EQS!$A$1:$G$883</definedName>
    <definedName name="_xlnm._FilterDatabase" localSheetId="6" hidden="1">FEQGCs!$A$1:$G$885</definedName>
    <definedName name="_xlnm._FilterDatabase" localSheetId="9" hidden="1">NOAA_SQRT!$A$1:$I$902</definedName>
    <definedName name="_xlnm._FilterDatabase" localSheetId="12" hidden="1">NORMAN!$A$1:$K$884</definedName>
    <definedName name="_xlnm._FilterDatabase" localSheetId="14" hidden="1">USEPA_CWA2!$A$1:$H$974</definedName>
    <definedName name="_xlnm._FilterDatabase" localSheetId="10" hidden="1">USEPA_ECOTOX!$A$1:$I$884</definedName>
    <definedName name="_xlnm._FilterDatabase" localSheetId="13" hidden="1">USEPA_ESB!$A$1:$F$884</definedName>
    <definedName name="_xlnm._FilterDatabase" localSheetId="11" hidden="1">USEPA_NRWQC!$A$1:$H$885</definedName>
    <definedName name="_xlnm._FilterDatabase" localSheetId="2" hidden="1">[1]Sheet1!$A$1:$N$885</definedName>
    <definedName name="_xlnm._FilterDatabase" localSheetId="8" hidden="1">USEPA_Reg4!$A$1:$V$883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1053" i="15" l="1"/>
  <c r="C1050" i="15"/>
  <c r="C976" i="15"/>
  <c r="C975" i="15"/>
  <c r="C970" i="15"/>
  <c r="C964" i="15"/>
  <c r="C888" i="15"/>
  <c r="C887" i="15"/>
  <c r="C382" i="15"/>
  <c r="C381" i="15"/>
  <c r="C377" i="15"/>
  <c r="C376" i="15"/>
  <c r="C207" i="15"/>
  <c r="C206" i="15"/>
  <c r="C364" i="15"/>
  <c r="C209" i="15"/>
  <c r="C27" i="15"/>
  <c r="C827" i="15"/>
  <c r="C826" i="15"/>
  <c r="C468" i="15"/>
  <c r="C457" i="15"/>
  <c r="C133" i="15"/>
  <c r="C94" i="15"/>
  <c r="C73" i="15"/>
  <c r="C72" i="15"/>
  <c r="C1017" i="15"/>
  <c r="C1006" i="15"/>
  <c r="C1005" i="15"/>
  <c r="C1114" i="15"/>
  <c r="C900" i="15"/>
  <c r="C804" i="15"/>
  <c r="C564" i="15"/>
  <c r="C1124" i="15"/>
  <c r="C901" i="15"/>
  <c r="C805" i="15"/>
  <c r="C565" i="15"/>
  <c r="C270" i="15"/>
  <c r="C1115" i="15"/>
  <c r="C759" i="15"/>
  <c r="C257" i="15"/>
  <c r="C31" i="15"/>
  <c r="C1024" i="15"/>
  <c r="C938" i="15"/>
  <c r="C905" i="15"/>
  <c r="C758" i="15"/>
  <c r="C59" i="5" l="1"/>
  <c r="C57" i="5"/>
  <c r="C60" i="5"/>
  <c r="C58" i="5"/>
  <c r="C66" i="5"/>
  <c r="C65" i="5"/>
  <c r="C62" i="5"/>
  <c r="C63" i="5"/>
  <c r="C67" i="5"/>
  <c r="C70" i="5"/>
  <c r="H223" i="18"/>
  <c r="H365" i="18"/>
  <c r="H356" i="18"/>
  <c r="C327" i="15"/>
  <c r="C322" i="15"/>
  <c r="C202" i="15"/>
  <c r="C201" i="15"/>
  <c r="C945" i="15"/>
  <c r="C941" i="15"/>
  <c r="C608" i="15"/>
  <c r="C607" i="15"/>
  <c r="C49" i="15"/>
  <c r="C980" i="15"/>
  <c r="C978" i="15"/>
  <c r="C1066" i="15"/>
  <c r="C1065" i="15"/>
  <c r="H302" i="18" l="1"/>
  <c r="H301" i="18"/>
  <c r="C958" i="15" l="1"/>
  <c r="C908" i="15"/>
  <c r="C767" i="15"/>
  <c r="C632" i="15"/>
  <c r="C547" i="15"/>
  <c r="C595" i="15"/>
  <c r="C502" i="15"/>
  <c r="C485" i="15"/>
  <c r="C470" i="15"/>
  <c r="C452" i="15"/>
  <c r="C272" i="15"/>
  <c r="C205" i="15"/>
  <c r="C164" i="15"/>
  <c r="H361" i="18" l="1"/>
  <c r="H351" i="18"/>
  <c r="H276" i="18"/>
  <c r="H275" i="18"/>
  <c r="H349" i="18" l="1"/>
  <c r="H348" i="18"/>
  <c r="H347" i="18"/>
  <c r="H346" i="18"/>
  <c r="H341" i="18"/>
  <c r="H340" i="18"/>
  <c r="H335" i="18"/>
  <c r="H334" i="18"/>
  <c r="H332" i="18"/>
  <c r="H331" i="18"/>
  <c r="H311" i="18"/>
  <c r="H310" i="18"/>
  <c r="H309" i="18"/>
  <c r="H308" i="18"/>
  <c r="H299" i="18"/>
  <c r="H298" i="18"/>
  <c r="H292" i="18"/>
  <c r="H286" i="18"/>
  <c r="H285" i="18"/>
  <c r="H258" i="18"/>
  <c r="H255" i="18"/>
  <c r="H254" i="18"/>
  <c r="H237" i="18"/>
  <c r="H236" i="18"/>
  <c r="H230" i="18"/>
  <c r="H229" i="18"/>
  <c r="H226" i="18"/>
  <c r="H225" i="18"/>
  <c r="H224" i="18"/>
  <c r="H194" i="18"/>
  <c r="H188" i="18"/>
  <c r="H158" i="18"/>
  <c r="H157" i="18"/>
  <c r="H147" i="18"/>
  <c r="H146" i="18"/>
  <c r="H134" i="18"/>
  <c r="H133" i="18"/>
  <c r="H129" i="18"/>
  <c r="H127" i="18"/>
  <c r="H126" i="18"/>
  <c r="H125" i="18"/>
  <c r="H124" i="18"/>
  <c r="H123" i="18"/>
  <c r="H116" i="18"/>
  <c r="H115" i="18"/>
  <c r="H93" i="18"/>
  <c r="H89" i="18"/>
  <c r="H88" i="18"/>
  <c r="H76" i="18"/>
  <c r="H75" i="18"/>
  <c r="H65" i="18"/>
  <c r="H64" i="18"/>
  <c r="H61" i="18"/>
  <c r="H60" i="18"/>
  <c r="H59" i="18"/>
  <c r="H49" i="18"/>
  <c r="H31" i="18"/>
  <c r="H30" i="18"/>
  <c r="H23" i="18"/>
  <c r="H22" i="18"/>
  <c r="H12" i="18"/>
  <c r="H11" i="18"/>
  <c r="L11" i="18" s="1"/>
  <c r="M11" i="18" s="1"/>
  <c r="C1045" i="15"/>
  <c r="C1047" i="15"/>
  <c r="C1016" i="15"/>
  <c r="C993" i="15"/>
  <c r="C992" i="15"/>
  <c r="C990" i="15"/>
  <c r="C989" i="15"/>
  <c r="C962" i="15"/>
  <c r="C961" i="15"/>
  <c r="C960" i="15"/>
  <c r="C959" i="15"/>
  <c r="C950" i="15"/>
  <c r="C949" i="15"/>
  <c r="C940" i="15"/>
  <c r="C931" i="15"/>
  <c r="C913" i="15"/>
  <c r="C872" i="15"/>
  <c r="C871" i="15"/>
  <c r="C1052" i="15"/>
  <c r="C1048" i="15"/>
  <c r="C624" i="15"/>
  <c r="C1051" i="15"/>
  <c r="C1019" i="15"/>
  <c r="C544" i="15"/>
  <c r="C398" i="15"/>
  <c r="C524" i="15"/>
  <c r="C397" i="15"/>
  <c r="C795" i="15"/>
  <c r="C796" i="15"/>
  <c r="C749" i="15"/>
  <c r="C569" i="15"/>
  <c r="C794" i="15"/>
  <c r="C1046" i="15"/>
  <c r="C1029" i="15"/>
  <c r="C591" i="15"/>
  <c r="C592" i="15"/>
  <c r="C589" i="15"/>
  <c r="C590" i="15"/>
  <c r="C396" i="15"/>
  <c r="C482" i="15"/>
  <c r="C483" i="15"/>
  <c r="C474" i="15"/>
  <c r="C475" i="15"/>
  <c r="C469" i="15"/>
  <c r="C451" i="15"/>
  <c r="C344" i="15"/>
  <c r="C345" i="15"/>
  <c r="C339" i="15"/>
  <c r="C311" i="15"/>
  <c r="C312" i="15"/>
  <c r="C290" i="15"/>
  <c r="C291" i="15"/>
  <c r="C273" i="15"/>
  <c r="C212" i="15"/>
  <c r="C213" i="15"/>
  <c r="C165" i="15"/>
  <c r="C155" i="15"/>
  <c r="C156" i="15"/>
  <c r="C129" i="15"/>
  <c r="C130" i="15"/>
  <c r="C112" i="15"/>
  <c r="C114" i="15"/>
  <c r="C98" i="15"/>
  <c r="C99" i="15"/>
  <c r="C46" i="15"/>
  <c r="C47" i="15"/>
  <c r="C44" i="15"/>
  <c r="C45" i="15"/>
  <c r="C26" i="15"/>
  <c r="C54" i="5"/>
  <c r="C61" i="5"/>
  <c r="C56" i="5"/>
</calcChain>
</file>

<file path=xl/sharedStrings.xml><?xml version="1.0" encoding="utf-8"?>
<sst xmlns="http://schemas.openxmlformats.org/spreadsheetml/2006/main" count="67429" uniqueCount="4599">
  <si>
    <t>98967-40-9</t>
  </si>
  <si>
    <t>98-86-2</t>
  </si>
  <si>
    <t>98-82-8</t>
  </si>
  <si>
    <t>98319-26-7</t>
  </si>
  <si>
    <t>97825-25-7</t>
  </si>
  <si>
    <t>97240-79-4</t>
  </si>
  <si>
    <t>968-81-0</t>
  </si>
  <si>
    <t>96782-85-3</t>
  </si>
  <si>
    <t>96489-71-3</t>
  </si>
  <si>
    <t>962-58-3</t>
  </si>
  <si>
    <t>96182-53-5</t>
  </si>
  <si>
    <t>961-22-8</t>
  </si>
  <si>
    <t>959-98-8</t>
  </si>
  <si>
    <t>95737-68-1</t>
  </si>
  <si>
    <t>95-15-8</t>
  </si>
  <si>
    <t>95-14-7</t>
  </si>
  <si>
    <t>950-37-8</t>
  </si>
  <si>
    <t>950-35-6</t>
  </si>
  <si>
    <t>94-78-0</t>
  </si>
  <si>
    <t>94-75-7</t>
  </si>
  <si>
    <t>94-74-6</t>
  </si>
  <si>
    <t>944-22-9</t>
  </si>
  <si>
    <t>94-20-2</t>
  </si>
  <si>
    <t>94125-34-5</t>
  </si>
  <si>
    <t>93957-54-1</t>
  </si>
  <si>
    <t>93-65-2</t>
  </si>
  <si>
    <t>93479-97-1</t>
  </si>
  <si>
    <t>934-73-6</t>
  </si>
  <si>
    <t>934-32-7</t>
  </si>
  <si>
    <t>93413-69-5</t>
  </si>
  <si>
    <t>93413-62-8</t>
  </si>
  <si>
    <t>93-14-1</t>
  </si>
  <si>
    <t>92-52-4</t>
  </si>
  <si>
    <t>91-57-6</t>
  </si>
  <si>
    <t>91-33-8</t>
  </si>
  <si>
    <t>91-20-3</t>
  </si>
  <si>
    <t>90982-32-4</t>
  </si>
  <si>
    <t>90-12-0</t>
  </si>
  <si>
    <t>144457-28-3</t>
  </si>
  <si>
    <t>89796-99-6</t>
  </si>
  <si>
    <t>89-78-1</t>
  </si>
  <si>
    <t>89-57-6</t>
  </si>
  <si>
    <t>887-54-7</t>
  </si>
  <si>
    <t>88671-89-0</t>
  </si>
  <si>
    <t>882-09-7</t>
  </si>
  <si>
    <t>88150-42-9</t>
  </si>
  <si>
    <t>88-04-0</t>
  </si>
  <si>
    <t>87-86-5</t>
  </si>
  <si>
    <t>87857-41-8</t>
  </si>
  <si>
    <t>87674-68-8</t>
  </si>
  <si>
    <t>86-74-8</t>
  </si>
  <si>
    <t>86-73-7</t>
  </si>
  <si>
    <t>86-50-0</t>
  </si>
  <si>
    <t>86408-45-9</t>
  </si>
  <si>
    <t>86386-73-4</t>
  </si>
  <si>
    <t>86-13-5</t>
  </si>
  <si>
    <t>85721-33-1</t>
  </si>
  <si>
    <t>85650-52-8</t>
  </si>
  <si>
    <t>851199-59-2</t>
  </si>
  <si>
    <t>85-01-8</t>
  </si>
  <si>
    <t>84-66-2</t>
  </si>
  <si>
    <t>84-65-1</t>
  </si>
  <si>
    <t>846-50-4</t>
  </si>
  <si>
    <t>846-49-1</t>
  </si>
  <si>
    <t>84449-90-1</t>
  </si>
  <si>
    <t>84057-84-1</t>
  </si>
  <si>
    <t>83-98-7</t>
  </si>
  <si>
    <t>83905-01-5</t>
  </si>
  <si>
    <t>83891-03-6</t>
  </si>
  <si>
    <t>83881-51-0</t>
  </si>
  <si>
    <t>83799-24-0</t>
  </si>
  <si>
    <t>83-66-9</t>
  </si>
  <si>
    <t>83-46-5</t>
  </si>
  <si>
    <t>834-12-8</t>
  </si>
  <si>
    <t>83-34-1</t>
  </si>
  <si>
    <t>83-32-9</t>
  </si>
  <si>
    <t>82834-16-0</t>
  </si>
  <si>
    <t>82657-04-3</t>
  </si>
  <si>
    <t>81-81-2</t>
  </si>
  <si>
    <t>81335-77-5</t>
  </si>
  <si>
    <t>81335-37-7</t>
  </si>
  <si>
    <t>81-15-2</t>
  </si>
  <si>
    <t>81-14-1</t>
  </si>
  <si>
    <t>81093-37-0</t>
  </si>
  <si>
    <t>81-07-2</t>
  </si>
  <si>
    <t>80573-04-2</t>
  </si>
  <si>
    <t>80474-14-2</t>
  </si>
  <si>
    <t>80-05-7</t>
  </si>
  <si>
    <t>79902-63-9</t>
  </si>
  <si>
    <t>79794-75-5</t>
  </si>
  <si>
    <t>79617-96-2</t>
  </si>
  <si>
    <t>79559-97-0</t>
  </si>
  <si>
    <t>79538-32-2</t>
  </si>
  <si>
    <t>789-02-6</t>
  </si>
  <si>
    <t>78-59-1</t>
  </si>
  <si>
    <t>78-51-3</t>
  </si>
  <si>
    <t>78-48-8</t>
  </si>
  <si>
    <t>78-44-4</t>
  </si>
  <si>
    <t>78-42-2</t>
  </si>
  <si>
    <t>78-40-0</t>
  </si>
  <si>
    <t>77-93-0</t>
  </si>
  <si>
    <t>779-02-2</t>
  </si>
  <si>
    <t>77501-63-4</t>
  </si>
  <si>
    <t>77-36-1</t>
  </si>
  <si>
    <t>77-26-9</t>
  </si>
  <si>
    <t>76-99-3</t>
  </si>
  <si>
    <t>76963-41-2</t>
  </si>
  <si>
    <t>76960-87-7</t>
  </si>
  <si>
    <t>76936-72-6</t>
  </si>
  <si>
    <t>76824-35-6</t>
  </si>
  <si>
    <t>76-75-5</t>
  </si>
  <si>
    <t>76-74-4</t>
  </si>
  <si>
    <t>76-73-3</t>
  </si>
  <si>
    <t>76-57-3</t>
  </si>
  <si>
    <t>76547-98-3</t>
  </si>
  <si>
    <t>76-44-8</t>
  </si>
  <si>
    <t>76-42-6</t>
  </si>
  <si>
    <t>76420-72-9</t>
  </si>
  <si>
    <t>76-22-2</t>
  </si>
  <si>
    <t>759-94-4</t>
  </si>
  <si>
    <t>75847-73-3</t>
  </si>
  <si>
    <t>75330-75-5</t>
  </si>
  <si>
    <t>75-25-2</t>
  </si>
  <si>
    <t>75225-51-3</t>
  </si>
  <si>
    <t>74222-97-2</t>
  </si>
  <si>
    <t>74103-06-3</t>
  </si>
  <si>
    <t>73963-72-1</t>
  </si>
  <si>
    <t>738-70-5</t>
  </si>
  <si>
    <t>73590-58-6</t>
  </si>
  <si>
    <t>73573-88-3</t>
  </si>
  <si>
    <t>73-48-3</t>
  </si>
  <si>
    <t>73231-34-2</t>
  </si>
  <si>
    <t>7313-54-4</t>
  </si>
  <si>
    <t>72895-88-6</t>
  </si>
  <si>
    <t>7287-19-6</t>
  </si>
  <si>
    <t>72585-88-7</t>
  </si>
  <si>
    <t>72576-14-8</t>
  </si>
  <si>
    <t>72576-13-7</t>
  </si>
  <si>
    <t>72-55-9</t>
  </si>
  <si>
    <t>72-54-8</t>
  </si>
  <si>
    <t>72-43-5</t>
  </si>
  <si>
    <t>723-46-6</t>
  </si>
  <si>
    <t>72-20-8</t>
  </si>
  <si>
    <t>71125-38-7</t>
  </si>
  <si>
    <t>71109-09-6</t>
  </si>
  <si>
    <t>709-98-8</t>
  </si>
  <si>
    <t>69-72-7</t>
  </si>
  <si>
    <t>6967-29-9</t>
  </si>
  <si>
    <t>68-88-2</t>
  </si>
  <si>
    <t>68631-49-2</t>
  </si>
  <si>
    <t>68-22-4</t>
  </si>
  <si>
    <t>68140-48-7</t>
  </si>
  <si>
    <t>68127-59-3</t>
  </si>
  <si>
    <t>6740-88-1</t>
  </si>
  <si>
    <t>67035-22-7</t>
  </si>
  <si>
    <t>67018-85-3</t>
  </si>
  <si>
    <t>668-34-8</t>
  </si>
  <si>
    <t>66747-13-5</t>
  </si>
  <si>
    <t>66747-12-4</t>
  </si>
  <si>
    <t>66357-35-5</t>
  </si>
  <si>
    <t>6620-60-6</t>
  </si>
  <si>
    <t>66108-95-0</t>
  </si>
  <si>
    <t>66085-59-4</t>
  </si>
  <si>
    <t>657-24-9</t>
  </si>
  <si>
    <t>65600-61-5</t>
  </si>
  <si>
    <t>65-45-2</t>
  </si>
  <si>
    <t>65277-42-1</t>
  </si>
  <si>
    <t>65109-69-5</t>
  </si>
  <si>
    <t>6493-05-6</t>
  </si>
  <si>
    <t>64902-72-3</t>
  </si>
  <si>
    <t>64-77-7</t>
  </si>
  <si>
    <t>644-62-2</t>
  </si>
  <si>
    <t>644-08-6</t>
  </si>
  <si>
    <t>636-54-4</t>
  </si>
  <si>
    <t>634-03-7</t>
  </si>
  <si>
    <t>63-25-2</t>
  </si>
  <si>
    <t>62-73-7</t>
  </si>
  <si>
    <t>62498-67-3</t>
  </si>
  <si>
    <t>61949-77-7</t>
  </si>
  <si>
    <t>61949-76-6</t>
  </si>
  <si>
    <t>6190-65-4</t>
  </si>
  <si>
    <t>61869-08-7</t>
  </si>
  <si>
    <t>618113-86-3</t>
  </si>
  <si>
    <t>61-68-7</t>
  </si>
  <si>
    <t>61520-54-5</t>
  </si>
  <si>
    <t>61520-53-4</t>
  </si>
  <si>
    <t>611-59-6</t>
  </si>
  <si>
    <t>6104-71-8</t>
  </si>
  <si>
    <t>60-87-7</t>
  </si>
  <si>
    <t>60-80-0</t>
  </si>
  <si>
    <t>60-57-1</t>
  </si>
  <si>
    <t>60-51-5</t>
  </si>
  <si>
    <t>604-75-1</t>
  </si>
  <si>
    <t>60348-60-9</t>
  </si>
  <si>
    <t>60-27-5</t>
  </si>
  <si>
    <t>60207-90-1</t>
  </si>
  <si>
    <t>60166-93-0</t>
  </si>
  <si>
    <t>60142-96-3</t>
  </si>
  <si>
    <t>60090-47-3</t>
  </si>
  <si>
    <t>599-64-4</t>
  </si>
  <si>
    <t>59962-54-8</t>
  </si>
  <si>
    <t>5989-27-5</t>
  </si>
  <si>
    <t>59729-33-8</t>
  </si>
  <si>
    <t>59690-92-5</t>
  </si>
  <si>
    <t>59-66-5</t>
  </si>
  <si>
    <t>59277-89-3</t>
  </si>
  <si>
    <t>5915-41-3</t>
  </si>
  <si>
    <t>59-05-2</t>
  </si>
  <si>
    <t>5902-51-2</t>
  </si>
  <si>
    <t>58955-93-4</t>
  </si>
  <si>
    <t>58-94-6</t>
  </si>
  <si>
    <t>58-93-5</t>
  </si>
  <si>
    <t>58-89-9</t>
  </si>
  <si>
    <t>58-73-1</t>
  </si>
  <si>
    <t>58-55-9</t>
  </si>
  <si>
    <t>58-54-8</t>
  </si>
  <si>
    <t>581-42-0</t>
  </si>
  <si>
    <t>58-08-2</t>
  </si>
  <si>
    <t>57-88-5</t>
  </si>
  <si>
    <t>5786-21-0</t>
  </si>
  <si>
    <t>57837-19-1</t>
  </si>
  <si>
    <t>57-66-9</t>
  </si>
  <si>
    <t>57-53-4</t>
  </si>
  <si>
    <t>5747-48-8</t>
  </si>
  <si>
    <t>57-43-2</t>
  </si>
  <si>
    <t>57-42-1</t>
  </si>
  <si>
    <t>57-41-0</t>
  </si>
  <si>
    <t>573-98-8</t>
  </si>
  <si>
    <t>57-27-2</t>
  </si>
  <si>
    <t>56-75-7</t>
  </si>
  <si>
    <t>56750-76-6</t>
  </si>
  <si>
    <t>56681-55-1</t>
  </si>
  <si>
    <t>56611-54-2</t>
  </si>
  <si>
    <t>56-55-3</t>
  </si>
  <si>
    <t>56507-37-0</t>
  </si>
  <si>
    <t>56211-40-6</t>
  </si>
  <si>
    <t>56165-57-2</t>
  </si>
  <si>
    <t>56161-73-0</t>
  </si>
  <si>
    <t>56070-16-7</t>
  </si>
  <si>
    <t>56070-15-6</t>
  </si>
  <si>
    <t>56070-14-5</t>
  </si>
  <si>
    <t>56038-13-2</t>
  </si>
  <si>
    <t>5598-15-2</t>
  </si>
  <si>
    <t>5588-16-9</t>
  </si>
  <si>
    <t>554-57-4</t>
  </si>
  <si>
    <t>55335-06-3</t>
  </si>
  <si>
    <t>55268-75-2</t>
  </si>
  <si>
    <t>54910-89-3</t>
  </si>
  <si>
    <t>54739-18-3</t>
  </si>
  <si>
    <t>5436-43-1</t>
  </si>
  <si>
    <t>54-31-9</t>
  </si>
  <si>
    <t>54143-55-4</t>
  </si>
  <si>
    <t>54-11-5</t>
  </si>
  <si>
    <t>53-86-1</t>
  </si>
  <si>
    <t>53716-49-7</t>
  </si>
  <si>
    <t>53-70-3</t>
  </si>
  <si>
    <t>53660-23-4</t>
  </si>
  <si>
    <t>532-03-6</t>
  </si>
  <si>
    <t>53-19-0</t>
  </si>
  <si>
    <t>53179-11-6</t>
  </si>
  <si>
    <t>53-06-5</t>
  </si>
  <si>
    <t>53-03-2</t>
  </si>
  <si>
    <t>527-20-8</t>
  </si>
  <si>
    <t>525-66-6</t>
  </si>
  <si>
    <t>52-53-9</t>
  </si>
  <si>
    <t>52236-30-3</t>
  </si>
  <si>
    <t>51877-74-8</t>
  </si>
  <si>
    <t>51803-78-2</t>
  </si>
  <si>
    <t>51-48-9</t>
  </si>
  <si>
    <t>51481-61-9</t>
  </si>
  <si>
    <t>51384-51-1</t>
  </si>
  <si>
    <t>51235-04-2</t>
  </si>
  <si>
    <t>51218-45-2</t>
  </si>
  <si>
    <t>51-21-8</t>
  </si>
  <si>
    <t>5104-49-4</t>
  </si>
  <si>
    <t>5103-74-2</t>
  </si>
  <si>
    <t>5103-73-1</t>
  </si>
  <si>
    <t>5103-71-9</t>
  </si>
  <si>
    <t>51-03-6</t>
  </si>
  <si>
    <t>508233-74-7</t>
  </si>
  <si>
    <t>50-78-2</t>
  </si>
  <si>
    <t>50-65-7</t>
  </si>
  <si>
    <t>50567-35-6</t>
  </si>
  <si>
    <t>50-48-6</t>
  </si>
  <si>
    <t>503610-43-3</t>
  </si>
  <si>
    <t>50-33-9</t>
  </si>
  <si>
    <t>50-32-8</t>
  </si>
  <si>
    <t>50-29-3</t>
  </si>
  <si>
    <t>50-24-8</t>
  </si>
  <si>
    <t>50-23-7</t>
  </si>
  <si>
    <t>50-18-0</t>
  </si>
  <si>
    <t>50-06-6</t>
  </si>
  <si>
    <t>50-02-2</t>
  </si>
  <si>
    <t>49562-28-9</t>
  </si>
  <si>
    <t>494847-39-1</t>
  </si>
  <si>
    <t>486-56-6</t>
  </si>
  <si>
    <t>486460-32-6</t>
  </si>
  <si>
    <t>4775-80-8</t>
  </si>
  <si>
    <t>469-62-5</t>
  </si>
  <si>
    <t>4640-01-1</t>
  </si>
  <si>
    <t>4394-00-7</t>
  </si>
  <si>
    <t>439-14-5</t>
  </si>
  <si>
    <t>437-38-7</t>
  </si>
  <si>
    <t>43200-80-2</t>
  </si>
  <si>
    <t>42874-03-3</t>
  </si>
  <si>
    <t>42399-41-7</t>
  </si>
  <si>
    <t>42399-40-6</t>
  </si>
  <si>
    <t>42200-33-9</t>
  </si>
  <si>
    <t>4205-90-7</t>
  </si>
  <si>
    <t>41859-67-0</t>
  </si>
  <si>
    <t>4147-57-3</t>
  </si>
  <si>
    <t>41340-25-4</t>
  </si>
  <si>
    <t>41318-75-6</t>
  </si>
  <si>
    <t>41198-08-7</t>
  </si>
  <si>
    <t>40487-42-1</t>
  </si>
  <si>
    <t>39809-25-1</t>
  </si>
  <si>
    <t>39765-80-5</t>
  </si>
  <si>
    <t>396-01-0</t>
  </si>
  <si>
    <t>39562-70-4</t>
  </si>
  <si>
    <t>39222-73-6</t>
  </si>
  <si>
    <t>38677-85-9</t>
  </si>
  <si>
    <t>38194-50-2</t>
  </si>
  <si>
    <t>378-44-9</t>
  </si>
  <si>
    <t>3739-38-6</t>
  </si>
  <si>
    <t>371775-74-5</t>
  </si>
  <si>
    <t>37115-43-8</t>
  </si>
  <si>
    <t>36507-30-9</t>
  </si>
  <si>
    <t>36322-90-4</t>
  </si>
  <si>
    <t>36282-47-0</t>
  </si>
  <si>
    <t>3622-84-2</t>
  </si>
  <si>
    <t>360-68-9</t>
  </si>
  <si>
    <t>357399-43-0</t>
  </si>
  <si>
    <t>3567-62-2</t>
  </si>
  <si>
    <t>35367-38-5</t>
  </si>
  <si>
    <t>35211-10-0</t>
  </si>
  <si>
    <t>35045-02-4</t>
  </si>
  <si>
    <t>34911-55-2</t>
  </si>
  <si>
    <t>34841-39-9</t>
  </si>
  <si>
    <t>346-18-9</t>
  </si>
  <si>
    <t>34256-82-1</t>
  </si>
  <si>
    <t>3424-82-6</t>
  </si>
  <si>
    <t>34014-18-1</t>
  </si>
  <si>
    <t>3397-62-4</t>
  </si>
  <si>
    <t>3380-34-5</t>
  </si>
  <si>
    <t>3376-94-1</t>
  </si>
  <si>
    <t>33665-90-6</t>
  </si>
  <si>
    <t>33629-47-9</t>
  </si>
  <si>
    <t>33543-31-6</t>
  </si>
  <si>
    <t>3337-71-1</t>
  </si>
  <si>
    <t>333-41-5</t>
  </si>
  <si>
    <t>33213-65-9</t>
  </si>
  <si>
    <t>330-55-2</t>
  </si>
  <si>
    <t>330-54-1</t>
  </si>
  <si>
    <t>32428-71-0</t>
  </si>
  <si>
    <t>319-86-8</t>
  </si>
  <si>
    <t>319-85-7</t>
  </si>
  <si>
    <t>319-84-6</t>
  </si>
  <si>
    <t>31972-44-8</t>
  </si>
  <si>
    <t>31972-43-7</t>
  </si>
  <si>
    <t>318-98-9</t>
  </si>
  <si>
    <t>314-40-9</t>
  </si>
  <si>
    <t>311-45-5</t>
  </si>
  <si>
    <t>31110-62-0</t>
  </si>
  <si>
    <t>30560-19-1</t>
  </si>
  <si>
    <t>30558-43-1</t>
  </si>
  <si>
    <t>30516-87-1</t>
  </si>
  <si>
    <t>30391-89-0</t>
  </si>
  <si>
    <t>3032-40-4</t>
  </si>
  <si>
    <t>30243-77-7</t>
  </si>
  <si>
    <t>300-76-5</t>
  </si>
  <si>
    <t>300-62-9</t>
  </si>
  <si>
    <t>29878-31-7</t>
  </si>
  <si>
    <t>298-46-4</t>
  </si>
  <si>
    <t>29820-16-4</t>
  </si>
  <si>
    <t>298-04-4</t>
  </si>
  <si>
    <t>298-02-2</t>
  </si>
  <si>
    <t>29679-58-1</t>
  </si>
  <si>
    <t>29385-43-1</t>
  </si>
  <si>
    <t>29331-92-8</t>
  </si>
  <si>
    <t>2921-88-2</t>
  </si>
  <si>
    <t>29122-68-7</t>
  </si>
  <si>
    <t>29094-61-9</t>
  </si>
  <si>
    <t>28981-97-7</t>
  </si>
  <si>
    <t>288-88-0</t>
  </si>
  <si>
    <t>287714-41-4</t>
  </si>
  <si>
    <t>28721-07-5</t>
  </si>
  <si>
    <t>28395-03-1</t>
  </si>
  <si>
    <t>28343-61-5</t>
  </si>
  <si>
    <t>28249-77-6</t>
  </si>
  <si>
    <t>2814-20-2</t>
  </si>
  <si>
    <t>27314-13-2</t>
  </si>
  <si>
    <t>27304-13-8</t>
  </si>
  <si>
    <t>272451-65-7</t>
  </si>
  <si>
    <t>27203-92-5</t>
  </si>
  <si>
    <t>2682-20-4</t>
  </si>
  <si>
    <t>26807-65-8</t>
  </si>
  <si>
    <t>26171-23-3</t>
  </si>
  <si>
    <t>2609-46-3</t>
  </si>
  <si>
    <t>2600-69-3</t>
  </si>
  <si>
    <t>2599-11-3</t>
  </si>
  <si>
    <t>2588-06-9</t>
  </si>
  <si>
    <t>2588-05-8</t>
  </si>
  <si>
    <t>2588-04-7</t>
  </si>
  <si>
    <t>2588-03-6</t>
  </si>
  <si>
    <t>25812-30-0</t>
  </si>
  <si>
    <t>256-96-2</t>
  </si>
  <si>
    <t>2531-84-2</t>
  </si>
  <si>
    <t>25057-89-0</t>
  </si>
  <si>
    <t>2497-07-6</t>
  </si>
  <si>
    <t>2497-06-5</t>
  </si>
  <si>
    <t>2496-92-6</t>
  </si>
  <si>
    <t>2496-91-5</t>
  </si>
  <si>
    <t>24280-93-1</t>
  </si>
  <si>
    <t>23950-58-5</t>
  </si>
  <si>
    <t>239-35-0</t>
  </si>
  <si>
    <t>2385-85-5</t>
  </si>
  <si>
    <t>23593-75-1</t>
  </si>
  <si>
    <t>23576-24-1</t>
  </si>
  <si>
    <t>2327-02-8</t>
  </si>
  <si>
    <t>23214-92-8</t>
  </si>
  <si>
    <t>2315-67-5</t>
  </si>
  <si>
    <t>2315-61-9</t>
  </si>
  <si>
    <t>23135-22-0</t>
  </si>
  <si>
    <t>2312-35-8</t>
  </si>
  <si>
    <t>2303-17-5</t>
  </si>
  <si>
    <t>22916-47-8</t>
  </si>
  <si>
    <t>22839-47-0</t>
  </si>
  <si>
    <t>2259-96-3</t>
  </si>
  <si>
    <t>2245-38-7</t>
  </si>
  <si>
    <t>22316-47-8</t>
  </si>
  <si>
    <t>22224-92-6</t>
  </si>
  <si>
    <t>22204-53-1</t>
  </si>
  <si>
    <t>2212-67-1</t>
  </si>
  <si>
    <t>22071-15-4</t>
  </si>
  <si>
    <t>219861-08-2</t>
  </si>
  <si>
    <t>218-01-9</t>
  </si>
  <si>
    <t>21725-46-2</t>
  </si>
  <si>
    <t>2164-17-2</t>
  </si>
  <si>
    <t>2163-68-0</t>
  </si>
  <si>
    <t>213464-77-8</t>
  </si>
  <si>
    <t>21312-10-7</t>
  </si>
  <si>
    <t>21256-18-8</t>
  </si>
  <si>
    <t>21187-98-4</t>
  </si>
  <si>
    <t>21145-77-7</t>
  </si>
  <si>
    <t>21087-64-9</t>
  </si>
  <si>
    <t>209248-72-6</t>
  </si>
  <si>
    <t>208-96-8</t>
  </si>
  <si>
    <t>207122-16-5</t>
  </si>
  <si>
    <t>207122-15-4</t>
  </si>
  <si>
    <t>207-08-9</t>
  </si>
  <si>
    <t>206-44-0</t>
  </si>
  <si>
    <t>205-99-2</t>
  </si>
  <si>
    <t>205939-58-8</t>
  </si>
  <si>
    <t>205650-69-7</t>
  </si>
  <si>
    <t>205650-65-3</t>
  </si>
  <si>
    <t>20427-84-3</t>
  </si>
  <si>
    <t>2008-41-5</t>
  </si>
  <si>
    <t>19988-24-0</t>
  </si>
  <si>
    <t>19982-08-2</t>
  </si>
  <si>
    <t>198-55-0</t>
  </si>
  <si>
    <t>1982-49-6</t>
  </si>
  <si>
    <t>196618-13-0</t>
  </si>
  <si>
    <t>196611-19-5</t>
  </si>
  <si>
    <t>1951-25-3</t>
  </si>
  <si>
    <t>194992-44-4</t>
  </si>
  <si>
    <t>19466-47-8</t>
  </si>
  <si>
    <t>193-39-5</t>
  </si>
  <si>
    <t>192-97-2</t>
  </si>
  <si>
    <t>1918-00-9</t>
  </si>
  <si>
    <t>191-24-2</t>
  </si>
  <si>
    <t>1912-24-9</t>
  </si>
  <si>
    <t>19044-88-3</t>
  </si>
  <si>
    <t>189084-64-8</t>
  </si>
  <si>
    <t>189084-61-5</t>
  </si>
  <si>
    <t>187227-45-8</t>
  </si>
  <si>
    <t>187022-11-3</t>
  </si>
  <si>
    <t>186691-13-4</t>
  </si>
  <si>
    <t>1861-32-1</t>
  </si>
  <si>
    <t>18607-98-2</t>
  </si>
  <si>
    <t>18559-94-9</t>
  </si>
  <si>
    <t>18323-44-9</t>
  </si>
  <si>
    <t>182346-21-0</t>
  </si>
  <si>
    <t>1806-26-4</t>
  </si>
  <si>
    <t>17685-05-1</t>
  </si>
  <si>
    <t>17685-04-0</t>
  </si>
  <si>
    <t>175013-18-0</t>
  </si>
  <si>
    <t>173584-44-6</t>
  </si>
  <si>
    <t>1730-37-6</t>
  </si>
  <si>
    <t>171596-29-5</t>
  </si>
  <si>
    <t>171262-17-2</t>
  </si>
  <si>
    <t>171118-09-5</t>
  </si>
  <si>
    <t>169590-42-5</t>
  </si>
  <si>
    <t>1689-84-5</t>
  </si>
  <si>
    <t>16752-77-5</t>
  </si>
  <si>
    <t>16655-82-6</t>
  </si>
  <si>
    <t>1665-48-1</t>
  </si>
  <si>
    <t>1646-88-4</t>
  </si>
  <si>
    <t>1646-87-3</t>
  </si>
  <si>
    <t>163521-19-5</t>
  </si>
  <si>
    <t>163521-12-8</t>
  </si>
  <si>
    <t>1634-78-2</t>
  </si>
  <si>
    <t>163222-33-1</t>
  </si>
  <si>
    <t>161050-58-4</t>
  </si>
  <si>
    <t>1610-18-0</t>
  </si>
  <si>
    <t>1609-66-1</t>
  </si>
  <si>
    <t>15972-60-8</t>
  </si>
  <si>
    <t>158966-92-8</t>
  </si>
  <si>
    <t>1582-09-8</t>
  </si>
  <si>
    <t>1576-67-6</t>
  </si>
  <si>
    <t>15687-27-1</t>
  </si>
  <si>
    <t>1563-66-2</t>
  </si>
  <si>
    <t>154598-52-4</t>
  </si>
  <si>
    <t>154-21-2</t>
  </si>
  <si>
    <t>153233-91-1</t>
  </si>
  <si>
    <t>15323-35-0</t>
  </si>
  <si>
    <t>15318-45-3</t>
  </si>
  <si>
    <t>15307-86-5</t>
  </si>
  <si>
    <t>152019-74-4</t>
  </si>
  <si>
    <t>152019-73-3</t>
  </si>
  <si>
    <t>148-79-8</t>
  </si>
  <si>
    <t>148553-50-8</t>
  </si>
  <si>
    <t>147511-69-1</t>
  </si>
  <si>
    <t>147-24-0</t>
  </si>
  <si>
    <t>146-22-5</t>
  </si>
  <si>
    <t>145599-86-6</t>
  </si>
  <si>
    <t>144-82-1</t>
  </si>
  <si>
    <t>144598-75-4</t>
  </si>
  <si>
    <t>143701-75-1</t>
  </si>
  <si>
    <t>143390-89-0</t>
  </si>
  <si>
    <t>142994-06-7</t>
  </si>
  <si>
    <t>14259-45-1</t>
  </si>
  <si>
    <t>142363-53-9</t>
  </si>
  <si>
    <t>141-83-3</t>
  </si>
  <si>
    <t>141776-32-1</t>
  </si>
  <si>
    <t>141-66-2</t>
  </si>
  <si>
    <t>141517-21-7</t>
  </si>
  <si>
    <t>141112-29-0</t>
  </si>
  <si>
    <t>140-66-9</t>
  </si>
  <si>
    <t>1404-90-6</t>
  </si>
  <si>
    <t>139888-73-6</t>
  </si>
  <si>
    <t>139755-83-2</t>
  </si>
  <si>
    <t>139-40-2</t>
  </si>
  <si>
    <t>139110-80-8</t>
  </si>
  <si>
    <t>138402-11-6</t>
  </si>
  <si>
    <t>138261-41-3</t>
  </si>
  <si>
    <t>137862-53-4</t>
  </si>
  <si>
    <t>137-58-6</t>
  </si>
  <si>
    <t>13749-94-5</t>
  </si>
  <si>
    <t>13710-19-5</t>
  </si>
  <si>
    <t>136-85-6</t>
  </si>
  <si>
    <t>13674-87-8</t>
  </si>
  <si>
    <t>13674-84-5</t>
  </si>
  <si>
    <t>136470-78-5</t>
  </si>
  <si>
    <t>136434-34-9</t>
  </si>
  <si>
    <t>135308-74-6</t>
  </si>
  <si>
    <t>135-09-1</t>
  </si>
  <si>
    <t>135-07-9</t>
  </si>
  <si>
    <t>134678-17-4</t>
  </si>
  <si>
    <t>134-62-3</t>
  </si>
  <si>
    <t>134523-00-5</t>
  </si>
  <si>
    <t>133-67-5</t>
  </si>
  <si>
    <t>1336-36-3</t>
  </si>
  <si>
    <t>13356-08-6</t>
  </si>
  <si>
    <t>133310-19-7</t>
  </si>
  <si>
    <t>13311-84-7</t>
  </si>
  <si>
    <t>132-65-0</t>
  </si>
  <si>
    <t>132-22-9</t>
  </si>
  <si>
    <t>13194-48-4</t>
  </si>
  <si>
    <t>131860-33-8</t>
  </si>
  <si>
    <t>13171-00-1</t>
  </si>
  <si>
    <t>131068-72-9</t>
  </si>
  <si>
    <t>130-95-0</t>
  </si>
  <si>
    <t>13071-79-9</t>
  </si>
  <si>
    <t>7778-42-9</t>
  </si>
  <si>
    <t>129722-12-9</t>
  </si>
  <si>
    <t>129618-40-2</t>
  </si>
  <si>
    <t>129-20-4</t>
  </si>
  <si>
    <t>129-00-0</t>
  </si>
  <si>
    <t>127-18-4</t>
  </si>
  <si>
    <t>126-75-0</t>
  </si>
  <si>
    <t>126-73-8</t>
  </si>
  <si>
    <t>126605-22-9</t>
  </si>
  <si>
    <t>126-07-8</t>
  </si>
  <si>
    <t>125-71-3</t>
  </si>
  <si>
    <t>125-40-6</t>
  </si>
  <si>
    <t>125-29-1</t>
  </si>
  <si>
    <t>125116-23-6</t>
  </si>
  <si>
    <t>124832-26-4</t>
  </si>
  <si>
    <t>124-76-5</t>
  </si>
  <si>
    <t>122836-35-5</t>
  </si>
  <si>
    <t>122-34-9</t>
  </si>
  <si>
    <t>1222-05-5</t>
  </si>
  <si>
    <t>122-11-2</t>
  </si>
  <si>
    <t>121-75-5</t>
  </si>
  <si>
    <t>121009-77-6</t>
  </si>
  <si>
    <t>121-00-6</t>
  </si>
  <si>
    <t>120-97-8</t>
  </si>
  <si>
    <t>120-72-9</t>
  </si>
  <si>
    <t>120-12-7</t>
  </si>
  <si>
    <t>120068-37-3</t>
  </si>
  <si>
    <t>120068-36-2</t>
  </si>
  <si>
    <t>120067-83-6</t>
  </si>
  <si>
    <t>119-65-3</t>
  </si>
  <si>
    <t>119-61-9</t>
  </si>
  <si>
    <t>119-36-8</t>
  </si>
  <si>
    <t>118-74-1</t>
  </si>
  <si>
    <t>117-81-7</t>
  </si>
  <si>
    <t>116714-46-6</t>
  </si>
  <si>
    <t>116539-59-4</t>
  </si>
  <si>
    <t>116-06-3</t>
  </si>
  <si>
    <t>1159-82-6</t>
  </si>
  <si>
    <t>115-96-8</t>
  </si>
  <si>
    <t>115-86-6</t>
  </si>
  <si>
    <t>1156-19-0</t>
  </si>
  <si>
    <t>114798-26-4</t>
  </si>
  <si>
    <t>114311-32-9</t>
  </si>
  <si>
    <t>114-26-1</t>
  </si>
  <si>
    <t>114-07-8</t>
  </si>
  <si>
    <t>113665-84-2</t>
  </si>
  <si>
    <t>113-45-1</t>
  </si>
  <si>
    <t>1127-76-0</t>
  </si>
  <si>
    <t>112410-23-8</t>
  </si>
  <si>
    <t>112281-77-3</t>
  </si>
  <si>
    <t>111991-09-4</t>
  </si>
  <si>
    <t>111974-69-7</t>
  </si>
  <si>
    <t>1115248-09-3</t>
  </si>
  <si>
    <t>1113-02-6</t>
  </si>
  <si>
    <t>1095-90-5</t>
  </si>
  <si>
    <t>109293-97-2</t>
  </si>
  <si>
    <t>108-95-2</t>
  </si>
  <si>
    <t>1088-11-5</t>
  </si>
  <si>
    <t>1084-65-7</t>
  </si>
  <si>
    <t>107534-96-3</t>
  </si>
  <si>
    <t>106-46-7</t>
  </si>
  <si>
    <t>106-44-5</t>
  </si>
  <si>
    <t>106266-06-2</t>
  </si>
  <si>
    <t>10605-21-7</t>
  </si>
  <si>
    <t>10548-10-4</t>
  </si>
  <si>
    <t>10540-29-1</t>
  </si>
  <si>
    <t>105102-22-5</t>
  </si>
  <si>
    <t>104-35-8</t>
  </si>
  <si>
    <t>103-90-2</t>
  </si>
  <si>
    <t>103628-46-2</t>
  </si>
  <si>
    <t>1031-07-8</t>
  </si>
  <si>
    <t>102767-28-2</t>
  </si>
  <si>
    <t>102676-47-1</t>
  </si>
  <si>
    <t>10265-92-6</t>
  </si>
  <si>
    <t>1024-57-3</t>
  </si>
  <si>
    <t>10238-21-8</t>
  </si>
  <si>
    <t>102-36-3</t>
  </si>
  <si>
    <t>1020056-56-7</t>
  </si>
  <si>
    <t>101-20-2</t>
  </si>
  <si>
    <t>100986-85-4</t>
  </si>
  <si>
    <t>100-97-0</t>
  </si>
  <si>
    <t>100-88-9</t>
  </si>
  <si>
    <t>100784-20-1</t>
  </si>
  <si>
    <t>1007-28-9</t>
  </si>
  <si>
    <t>7206-76-0</t>
  </si>
  <si>
    <t>38345-66-3</t>
  </si>
  <si>
    <t>125-33-7</t>
  </si>
  <si>
    <t>2078-54-8</t>
  </si>
  <si>
    <t>55142-85-3</t>
  </si>
  <si>
    <t>63-05-8</t>
  </si>
  <si>
    <t>564-35-2</t>
  </si>
  <si>
    <t>57-91-0</t>
  </si>
  <si>
    <t>50-28-2</t>
  </si>
  <si>
    <t>53-41-8</t>
  </si>
  <si>
    <t>521-18-6</t>
  </si>
  <si>
    <t>481-30-1</t>
  </si>
  <si>
    <t>517-09-9</t>
  </si>
  <si>
    <t>50-27-1</t>
  </si>
  <si>
    <t>53-16-7</t>
  </si>
  <si>
    <t>72-33-3</t>
  </si>
  <si>
    <t>57-83-0</t>
  </si>
  <si>
    <t>58-22-0</t>
  </si>
  <si>
    <t>56-53-1</t>
  </si>
  <si>
    <t>57-63-6</t>
  </si>
  <si>
    <t>474-86-2</t>
  </si>
  <si>
    <t>51146-55-5</t>
  </si>
  <si>
    <t>81163-11-3</t>
  </si>
  <si>
    <t>7518-17-4</t>
  </si>
  <si>
    <t>14206-58-7</t>
  </si>
  <si>
    <t>51264-14-3</t>
  </si>
  <si>
    <t>4497-08-9</t>
  </si>
  <si>
    <t>1665-56-1</t>
  </si>
  <si>
    <t>81103-11-9</t>
  </si>
  <si>
    <t>105956-97-6</t>
  </si>
  <si>
    <t>50-36-2</t>
  </si>
  <si>
    <t>64-86-8</t>
  </si>
  <si>
    <t>20830-81-3</t>
  </si>
  <si>
    <t>20830-75-5</t>
  </si>
  <si>
    <t>93106-60-6</t>
  </si>
  <si>
    <t>33419-42-0</t>
  </si>
  <si>
    <t>42835-25-6</t>
  </si>
  <si>
    <t>148-82-3</t>
  </si>
  <si>
    <t>443-48-1</t>
  </si>
  <si>
    <t>10118-90-8</t>
  </si>
  <si>
    <t>151096-09-2</t>
  </si>
  <si>
    <t>70458-96-7</t>
  </si>
  <si>
    <t>82419-36-1</t>
  </si>
  <si>
    <t>6981-18-6</t>
  </si>
  <si>
    <t>14698-29-4</t>
  </si>
  <si>
    <t>79-57-2</t>
  </si>
  <si>
    <t>51930-04-2</t>
  </si>
  <si>
    <t>189084-66-0</t>
  </si>
  <si>
    <t>189084-59-1</t>
  </si>
  <si>
    <t>83694-71-7</t>
  </si>
  <si>
    <t>366791-32-4</t>
  </si>
  <si>
    <t>182677-28-7</t>
  </si>
  <si>
    <t>337513-77-6</t>
  </si>
  <si>
    <t>2050-47-7</t>
  </si>
  <si>
    <t>35854-94-5</t>
  </si>
  <si>
    <t>147217-75-2</t>
  </si>
  <si>
    <t>147217-77-4</t>
  </si>
  <si>
    <t>337513-72-1</t>
  </si>
  <si>
    <t>63387-28-0</t>
  </si>
  <si>
    <t>437701-79-6</t>
  </si>
  <si>
    <t>437701-78-5</t>
  </si>
  <si>
    <t>1163-19-5</t>
  </si>
  <si>
    <t>147217-78-5</t>
  </si>
  <si>
    <t>147217-80-9</t>
  </si>
  <si>
    <t>147217-81-0</t>
  </si>
  <si>
    <t>243982-82-3</t>
  </si>
  <si>
    <t>189084-57-9</t>
  </si>
  <si>
    <t>171977-44-9</t>
  </si>
  <si>
    <t>189084-62-6</t>
  </si>
  <si>
    <t>189084-63-7</t>
  </si>
  <si>
    <t>93703-48-1</t>
  </si>
  <si>
    <t>446254-48-4</t>
  </si>
  <si>
    <t>6903-63-5</t>
  </si>
  <si>
    <t>147217-71-8</t>
  </si>
  <si>
    <t>32534-81-9</t>
  </si>
  <si>
    <t>29767-20-2</t>
  </si>
  <si>
    <t>21411-53-0</t>
  </si>
  <si>
    <t>127-33-3</t>
  </si>
  <si>
    <t>67392-87-4</t>
  </si>
  <si>
    <t>98079-51-7</t>
  </si>
  <si>
    <t>98105-99-8</t>
  </si>
  <si>
    <t>68-35-9</t>
  </si>
  <si>
    <t>73334-07-3</t>
  </si>
  <si>
    <t>131-57-7</t>
  </si>
  <si>
    <t>72629-94-8</t>
  </si>
  <si>
    <t>45187-15-3</t>
  </si>
  <si>
    <t>335-76-2</t>
  </si>
  <si>
    <t>307-55-1</t>
  </si>
  <si>
    <t>375-85-9</t>
  </si>
  <si>
    <t>108427-53-8</t>
  </si>
  <si>
    <t>307-24-4</t>
  </si>
  <si>
    <t>375-95-1</t>
  </si>
  <si>
    <t>45298-90-6</t>
  </si>
  <si>
    <t>335-67-1</t>
  </si>
  <si>
    <t>2706-90-3</t>
  </si>
  <si>
    <t>2058-94-8</t>
  </si>
  <si>
    <t>1246833-15-7</t>
  </si>
  <si>
    <t>55-98-1</t>
  </si>
  <si>
    <t>6804-07-5</t>
  </si>
  <si>
    <t>61-72-3</t>
  </si>
  <si>
    <t>83-43-2</t>
  </si>
  <si>
    <t>61-33-6</t>
  </si>
  <si>
    <t>87-08-1</t>
  </si>
  <si>
    <t>57-68-1</t>
  </si>
  <si>
    <t>10161-34-9</t>
  </si>
  <si>
    <t>1401-69-0</t>
  </si>
  <si>
    <t>309-00-2</t>
  </si>
  <si>
    <t>133-06-2</t>
  </si>
  <si>
    <t>53494-70-5</t>
  </si>
  <si>
    <t>55283-68-6</t>
  </si>
  <si>
    <t>76674-21-0</t>
  </si>
  <si>
    <t>82-68-8</t>
  </si>
  <si>
    <t>117-18-0</t>
  </si>
  <si>
    <t>68152-92-1</t>
  </si>
  <si>
    <t>27986-36-3</t>
  </si>
  <si>
    <t>27176-93-8</t>
  </si>
  <si>
    <t>519-09-5</t>
  </si>
  <si>
    <t>93-76-5</t>
  </si>
  <si>
    <t>1897-45-6</t>
  </si>
  <si>
    <t>5598-13-0</t>
  </si>
  <si>
    <t>120-36-5</t>
  </si>
  <si>
    <t>7085-19-0</t>
  </si>
  <si>
    <t>30759-92-3</t>
  </si>
  <si>
    <t>11095-43-5</t>
  </si>
  <si>
    <t>1455-18-1</t>
  </si>
  <si>
    <t>1195-14-8</t>
  </si>
  <si>
    <t>3697-24-3</t>
  </si>
  <si>
    <t>2541-69-7</t>
  </si>
  <si>
    <t>2958-76-1</t>
  </si>
  <si>
    <t>2958-75-0</t>
  </si>
  <si>
    <t>63041-83-8</t>
  </si>
  <si>
    <t>7372-88-5 </t>
  </si>
  <si>
    <t>2381-21-7</t>
  </si>
  <si>
    <t>24964-09-8</t>
  </si>
  <si>
    <t>832-69-9</t>
  </si>
  <si>
    <t>613-12-7</t>
  </si>
  <si>
    <t>58193-25-2</t>
  </si>
  <si>
    <t>1964-45-0</t>
  </si>
  <si>
    <t>15914-23-5</t>
  </si>
  <si>
    <t>57-97-6</t>
  </si>
  <si>
    <t>1618-22-0</t>
  </si>
  <si>
    <t>35335-07-0</t>
  </si>
  <si>
    <t>1207-12-1</t>
  </si>
  <si>
    <t>64401-21-4</t>
  </si>
  <si>
    <t>25889-63-8</t>
  </si>
  <si>
    <t>4569-45-3</t>
  </si>
  <si>
    <t>4612-63-9</t>
  </si>
  <si>
    <t>24964-16-7</t>
  </si>
  <si>
    <t>24964-12-3</t>
  </si>
  <si>
    <t>781-43-1</t>
  </si>
  <si>
    <t>20291-73-0</t>
  </si>
  <si>
    <t>471-62-5</t>
  </si>
  <si>
    <t>16587-65-8</t>
  </si>
  <si>
    <t>74869-25-3</t>
  </si>
  <si>
    <t>13345-64-7</t>
  </si>
  <si>
    <t>216983-03-8</t>
  </si>
  <si>
    <t>41637-88-1</t>
  </si>
  <si>
    <t>96563-09-6</t>
  </si>
  <si>
    <t>24964-01-0</t>
  </si>
  <si>
    <t>30232-26-9</t>
  </si>
  <si>
    <t>27358-28-7</t>
  </si>
  <si>
    <t>39500-27-1</t>
  </si>
  <si>
    <t>31317-09-6</t>
  </si>
  <si>
    <t>99486-63-2</t>
  </si>
  <si>
    <t>17538-59-9</t>
  </si>
  <si>
    <t>2960-97-6</t>
  </si>
  <si>
    <t>7396-38-5</t>
  </si>
  <si>
    <t>4466-77-7</t>
  </si>
  <si>
    <t>91-17-8</t>
  </si>
  <si>
    <t>132-64-9</t>
  </si>
  <si>
    <t>243-46-9</t>
  </si>
  <si>
    <t xml:space="preserve">CAS </t>
  </si>
  <si>
    <t>Flumetsulam</t>
  </si>
  <si>
    <t>Acetophenone</t>
  </si>
  <si>
    <t>Cumene</t>
  </si>
  <si>
    <t>Finasteride</t>
  </si>
  <si>
    <t>Ractopamine</t>
  </si>
  <si>
    <t>Topiramate</t>
  </si>
  <si>
    <t>Acetohexamide</t>
  </si>
  <si>
    <t>Cyclopenthiazide</t>
  </si>
  <si>
    <t>Pyridaben</t>
  </si>
  <si>
    <t>Diazoxon</t>
  </si>
  <si>
    <t>Tebupirimfos</t>
  </si>
  <si>
    <t>Azinphos-methyl oxon</t>
  </si>
  <si>
    <t>Endosulfan I</t>
  </si>
  <si>
    <t>Pyriproxyfen</t>
  </si>
  <si>
    <t>Benzothiophene</t>
  </si>
  <si>
    <t>1,2,3-Benzotriazole</t>
  </si>
  <si>
    <t>Methidathion</t>
  </si>
  <si>
    <t>Methylparaoxon</t>
  </si>
  <si>
    <t>Phenazopyridine</t>
  </si>
  <si>
    <t>2,4-Dichlorophenoxyacetic acid</t>
  </si>
  <si>
    <t>MCPA</t>
  </si>
  <si>
    <t>Fonofos</t>
  </si>
  <si>
    <t>Chlorpropamide</t>
  </si>
  <si>
    <t>Prosulfuron</t>
  </si>
  <si>
    <t>Fluvastatin</t>
  </si>
  <si>
    <t>Mecoprop</t>
  </si>
  <si>
    <t>Glimepiride</t>
  </si>
  <si>
    <t>4-Chlorophenyl methyl sulfoxide</t>
  </si>
  <si>
    <t>2-Aminobenzimidazole</t>
  </si>
  <si>
    <t>Venlafaxine</t>
  </si>
  <si>
    <t>O-Desmethyl Venlafaxine</t>
  </si>
  <si>
    <t>Guaifenesin</t>
  </si>
  <si>
    <t>Biphenyl</t>
  </si>
  <si>
    <t>2-Methylnaphthalene</t>
  </si>
  <si>
    <t>Benzthiazide</t>
  </si>
  <si>
    <t>Naphthalene</t>
  </si>
  <si>
    <t>Chlorimuron-ethyl</t>
  </si>
  <si>
    <t>1-Methylnaphthalene</t>
  </si>
  <si>
    <t>rac-Clopidogrel carboxylic acid</t>
  </si>
  <si>
    <t>Aceclofenac</t>
  </si>
  <si>
    <t>dl-Menthol</t>
  </si>
  <si>
    <t>5-Aminosalicylic acid</t>
  </si>
  <si>
    <t>Chlorthal-monomethyl</t>
  </si>
  <si>
    <t>Myclobutanil</t>
  </si>
  <si>
    <t>Clofibric acid</t>
  </si>
  <si>
    <t>Amlodipine</t>
  </si>
  <si>
    <t>4-Chloro-3,5-dimethylphenol</t>
  </si>
  <si>
    <t>Pentachlorophenol</t>
  </si>
  <si>
    <t>Desmethylsertraline</t>
  </si>
  <si>
    <t>Dimethenamid</t>
  </si>
  <si>
    <t>Carbazole</t>
  </si>
  <si>
    <t>Fluorene</t>
  </si>
  <si>
    <t>Azinphos-methyl</t>
  </si>
  <si>
    <t>N-Desmethyldiltiazem</t>
  </si>
  <si>
    <t>Fluconazole</t>
  </si>
  <si>
    <t>Benztropine</t>
  </si>
  <si>
    <t>Ciprofloxacin</t>
  </si>
  <si>
    <t>Mirtazapine</t>
  </si>
  <si>
    <t>Linaclotide</t>
  </si>
  <si>
    <t>Phenanthrene</t>
  </si>
  <si>
    <t>Diethyl phthalate</t>
  </si>
  <si>
    <t>Anthraquinone</t>
  </si>
  <si>
    <t>Temazepam</t>
  </si>
  <si>
    <t>Lorazepam</t>
  </si>
  <si>
    <t>Raloxifene</t>
  </si>
  <si>
    <t>Lamotrigine</t>
  </si>
  <si>
    <t>Orphenadrine</t>
  </si>
  <si>
    <t>Azithromycin</t>
  </si>
  <si>
    <t>Norfluoxetine</t>
  </si>
  <si>
    <t>Cetirizine</t>
  </si>
  <si>
    <t>Fexofenadine</t>
  </si>
  <si>
    <t>Musk ambrette</t>
  </si>
  <si>
    <t>beta-Sitosterol</t>
  </si>
  <si>
    <t>Ametryn</t>
  </si>
  <si>
    <t>3-Methylindole</t>
  </si>
  <si>
    <t>Acenaphthene</t>
  </si>
  <si>
    <t>Perindopril</t>
  </si>
  <si>
    <t>Bifenthrin</t>
  </si>
  <si>
    <t>Warfarin</t>
  </si>
  <si>
    <t>Imazethapyr</t>
  </si>
  <si>
    <t>Imazaquin</t>
  </si>
  <si>
    <t>2,4,6-Trinitro-1,3-dimethyl-5-tert-butylbenzene</t>
  </si>
  <si>
    <t>Musk ketone</t>
  </si>
  <si>
    <t>Pravastatin</t>
  </si>
  <si>
    <t>Saccharin</t>
  </si>
  <si>
    <t>Balsalazide</t>
  </si>
  <si>
    <t>Fluticasone propionate</t>
  </si>
  <si>
    <t>Bisphenol A</t>
  </si>
  <si>
    <t>Simvastatin</t>
  </si>
  <si>
    <t>Loratadine</t>
  </si>
  <si>
    <t>Sertraline</t>
  </si>
  <si>
    <t>Sertraline hydrochloride</t>
  </si>
  <si>
    <t>Tefluthrin</t>
  </si>
  <si>
    <t>o,p'-DDT</t>
  </si>
  <si>
    <t>Isophorone</t>
  </si>
  <si>
    <t>Tris(2-butoxyethyl) phosphate</t>
  </si>
  <si>
    <t>Tribufos</t>
  </si>
  <si>
    <t>Carisoprodol</t>
  </si>
  <si>
    <t>Tris(2-ethylhexyl) phosphate</t>
  </si>
  <si>
    <t>Triethyl phosphate</t>
  </si>
  <si>
    <t>Triethyl citrate</t>
  </si>
  <si>
    <t>9-Methylanthracene</t>
  </si>
  <si>
    <t>Lactofen</t>
  </si>
  <si>
    <t>Chlorthalidone</t>
  </si>
  <si>
    <t>Butalbital</t>
  </si>
  <si>
    <t>Methadone</t>
  </si>
  <si>
    <t>Nizatidine</t>
  </si>
  <si>
    <t>O-ethyl O-methyl S-propylphosphorothioate (metabolite of ethoprop)</t>
  </si>
  <si>
    <t>O-ethyl S-methyl S-propyl phosphorodithioate</t>
  </si>
  <si>
    <t>Famotidine</t>
  </si>
  <si>
    <t>Thiopental</t>
  </si>
  <si>
    <t>Pentobarbital</t>
  </si>
  <si>
    <t>Secobarbital</t>
  </si>
  <si>
    <t>Codeine</t>
  </si>
  <si>
    <t>Lisinopril</t>
  </si>
  <si>
    <t>Heptachlor</t>
  </si>
  <si>
    <t>Oxycodone</t>
  </si>
  <si>
    <t>Enalapril acid</t>
  </si>
  <si>
    <t>Camphor</t>
  </si>
  <si>
    <t>EPTC</t>
  </si>
  <si>
    <t>Enalapril</t>
  </si>
  <si>
    <t>Lovastatin</t>
  </si>
  <si>
    <t>Bromoform</t>
  </si>
  <si>
    <t>Lovastatin acid</t>
  </si>
  <si>
    <t>Sulfometuron-methyl</t>
  </si>
  <si>
    <t>Ketorolac</t>
  </si>
  <si>
    <t>Cilostazol</t>
  </si>
  <si>
    <t>Trimethoprim</t>
  </si>
  <si>
    <t>Omeprazole</t>
  </si>
  <si>
    <t>Mevastatin</t>
  </si>
  <si>
    <t>Bendroflumethiazide</t>
  </si>
  <si>
    <t>Florfenicol</t>
  </si>
  <si>
    <t>1,3,5-Triazin-2(1H)-one, 4-amino-6-(ethylamino)-</t>
  </si>
  <si>
    <t>Eltenac</t>
  </si>
  <si>
    <t>Prometryn</t>
  </si>
  <si>
    <t>Hexazinone (Metab C)</t>
  </si>
  <si>
    <t>Hexazinone (Metab E)</t>
  </si>
  <si>
    <t>Hexazinone (Metab A)</t>
  </si>
  <si>
    <t>p,p'-DDE</t>
  </si>
  <si>
    <t>p,p'-DDD</t>
  </si>
  <si>
    <t>Methoxychlor</t>
  </si>
  <si>
    <t>Sulfamethoxazole</t>
  </si>
  <si>
    <t>Endrin</t>
  </si>
  <si>
    <t>Meloxicam</t>
  </si>
  <si>
    <t>Quadrisol</t>
  </si>
  <si>
    <t>Propanil</t>
  </si>
  <si>
    <t>Salicylic acid</t>
  </si>
  <si>
    <t>2-Chloro-N-(2,6-diethylphenyl)acetamide</t>
  </si>
  <si>
    <t>Hydroxyzine</t>
  </si>
  <si>
    <t>2,2',4,4',5,5'-Hexabromodiphenyl ether</t>
  </si>
  <si>
    <t>Norethindrone</t>
  </si>
  <si>
    <t>Traseolide</t>
  </si>
  <si>
    <t>Cyclopropanecarboxylic acid, 3-[(1Z)-2-chloro-3,3,3-trifluoro-1-propen-1-yl]-2,2-dimethyl-, (1R,3R)-rel-</t>
  </si>
  <si>
    <t>Ketamine</t>
  </si>
  <si>
    <t>Dimethyl 2,6-dimethyl-4-(2-nitrophenyl)-3,5-pyridinedicarboxylate</t>
  </si>
  <si>
    <t>Norverapamil</t>
  </si>
  <si>
    <t>Fentin</t>
  </si>
  <si>
    <t>Carboxy molinate</t>
  </si>
  <si>
    <t>S-Ethyl 4-hydroxyazepane-1-carbothioate</t>
  </si>
  <si>
    <t>Ranitidine</t>
  </si>
  <si>
    <t>Proglumide</t>
  </si>
  <si>
    <t>Iohexol</t>
  </si>
  <si>
    <t>Nimodipine</t>
  </si>
  <si>
    <t>Metformin</t>
  </si>
  <si>
    <t>Sodium 2,3,3-trichloroprop-2-ene-1-sulfonate</t>
  </si>
  <si>
    <t>Salicylamide</t>
  </si>
  <si>
    <t>Ketoconazole</t>
  </si>
  <si>
    <t>S-Ethyl (2-hydroxypropyl)propylcarbamothioate</t>
  </si>
  <si>
    <t>3,7-Dihydro-3,7-dimethyl-1-(5-oxohexyl)-1H-Purine-2,6-dione</t>
  </si>
  <si>
    <t>Chlorsulfuron</t>
  </si>
  <si>
    <t>Tolbutamide</t>
  </si>
  <si>
    <t>Meclofenamic acid</t>
  </si>
  <si>
    <t>4-Phenyltoluene</t>
  </si>
  <si>
    <t>Clopamide</t>
  </si>
  <si>
    <t>Phendimetrazine</t>
  </si>
  <si>
    <t>Carbaryl</t>
  </si>
  <si>
    <t>Dichlorvos</t>
  </si>
  <si>
    <t>desmethylcitalopram</t>
  </si>
  <si>
    <t>trans-Permethrin</t>
  </si>
  <si>
    <t>(+/-)-cis-Permethrin</t>
  </si>
  <si>
    <t>Deethylatrazine</t>
  </si>
  <si>
    <t>Paroxetine</t>
  </si>
  <si>
    <t>Acetochlor sulfynilacetic acid</t>
  </si>
  <si>
    <t>Mefenamic acid</t>
  </si>
  <si>
    <t>2-[(2-Ethyl-6-methylphenyl)amino]-1-propanol</t>
  </si>
  <si>
    <t>1,7-Dimethylxanthine</t>
  </si>
  <si>
    <t>N-Desmethylclozapine</t>
  </si>
  <si>
    <t>Promethazine</t>
  </si>
  <si>
    <t>Phenazone</t>
  </si>
  <si>
    <t>Dieldrin</t>
  </si>
  <si>
    <t>Dimethoate</t>
  </si>
  <si>
    <t>Oxazepam</t>
  </si>
  <si>
    <t>2,2',4,4',5-Pentabromodiphenyl ether</t>
  </si>
  <si>
    <t>Creatinine</t>
  </si>
  <si>
    <t>Propiconazole</t>
  </si>
  <si>
    <t>Iopamidol</t>
  </si>
  <si>
    <t>Gabapentin</t>
  </si>
  <si>
    <t>Acetamide, N-(ethoxymethyl)-N-(2-ethyl-6-methylphenyl)-2-hydroxy-</t>
  </si>
  <si>
    <t>4-Cumylphenol</t>
  </si>
  <si>
    <t>Urea, 3-(hydroxymethyl)-1-methyl-1-(5-tert-butyl-1,3,4-thiadiazol-2-yl)-</t>
  </si>
  <si>
    <t>D-Limonene</t>
  </si>
  <si>
    <t>Citalopram</t>
  </si>
  <si>
    <t>Acetazolamide</t>
  </si>
  <si>
    <t>Acyclovir</t>
  </si>
  <si>
    <t>Terbutylazine</t>
  </si>
  <si>
    <t>Methotrexate</t>
  </si>
  <si>
    <t>Terbacil</t>
  </si>
  <si>
    <t>trans-10,11-Dihydroxy-10,11-dihydrocarbazepine</t>
  </si>
  <si>
    <t>Chlorothiazide</t>
  </si>
  <si>
    <t>Hydrochlorothiazide</t>
  </si>
  <si>
    <t>Lindane</t>
  </si>
  <si>
    <t>Diphenhydramine</t>
  </si>
  <si>
    <t>Theophylline</t>
  </si>
  <si>
    <t>Ethacrynic acid</t>
  </si>
  <si>
    <t>2,6-Dimethylnaphthalene</t>
  </si>
  <si>
    <t>Caffeine</t>
  </si>
  <si>
    <t>Cholesterol</t>
  </si>
  <si>
    <t>Clozapine</t>
  </si>
  <si>
    <t>Metalaxyl</t>
  </si>
  <si>
    <t>Probenecid</t>
  </si>
  <si>
    <t>Meprobamate</t>
  </si>
  <si>
    <t>Norquetiapine</t>
  </si>
  <si>
    <t>Amobarbital</t>
  </si>
  <si>
    <t>Meperidine</t>
  </si>
  <si>
    <t>5,5-Diphenylhydantoin</t>
  </si>
  <si>
    <t>1,2-Dimethylnapthalene</t>
  </si>
  <si>
    <t>Morphine</t>
  </si>
  <si>
    <t>Chloramphenicol</t>
  </si>
  <si>
    <t>3,5-Dinitro-4-((1-ethylpropyl)amino)-2-methylbenzenemethanol</t>
  </si>
  <si>
    <t>Hydroxyalachlor</t>
  </si>
  <si>
    <t>Hexazinone (Metab B)</t>
  </si>
  <si>
    <t>Benz(a)anthracene</t>
  </si>
  <si>
    <t>Diketometribuzin</t>
  </si>
  <si>
    <t>Torsemide</t>
  </si>
  <si>
    <t>O,O-Diethyl S-[(2-methylpropane-2-sulfinyl)methyl] phosphorothioate</t>
  </si>
  <si>
    <t>Terbufos sulfone</t>
  </si>
  <si>
    <t>Terbufos OA sulfone</t>
  </si>
  <si>
    <t>Terbufos oxon</t>
  </si>
  <si>
    <t>Sucralose</t>
  </si>
  <si>
    <t>Chlorpyrifos oxon</t>
  </si>
  <si>
    <t>Althiazide</t>
  </si>
  <si>
    <t>Methazolamide</t>
  </si>
  <si>
    <t>Triclopyr</t>
  </si>
  <si>
    <t>Cefuroxime</t>
  </si>
  <si>
    <t>Fluoxetine</t>
  </si>
  <si>
    <t>Fluvoxamine</t>
  </si>
  <si>
    <t>2,2',4,4'-Tetrabromodiphenyl ether</t>
  </si>
  <si>
    <t>Furosemide</t>
  </si>
  <si>
    <t>Flecainide</t>
  </si>
  <si>
    <t>Nicotine</t>
  </si>
  <si>
    <t>1-(p-Chlorobenzoyl)-5-methoxy-2-methyl-Indole-3-acetic acid</t>
  </si>
  <si>
    <t>Carprofen</t>
  </si>
  <si>
    <t>Dibenz(a,h)anthracene</t>
  </si>
  <si>
    <t>5-Hydroxy-2-propylpentanoic acid</t>
  </si>
  <si>
    <t>Methocarbamol</t>
  </si>
  <si>
    <t>1-(2-Chlorophenyl)-1-(4-chlorophenyl)-2,2-dichloroethane</t>
  </si>
  <si>
    <t>Loperamide</t>
  </si>
  <si>
    <t>Cortisone</t>
  </si>
  <si>
    <t>Prednisone</t>
  </si>
  <si>
    <t>Pentachloroaniline</t>
  </si>
  <si>
    <t>Propranolol</t>
  </si>
  <si>
    <t>(+/-)-Verapamil</t>
  </si>
  <si>
    <t>Metribuzin-DADK</t>
  </si>
  <si>
    <t>(+)-trans-Permethrin</t>
  </si>
  <si>
    <t>Nimesulide</t>
  </si>
  <si>
    <t>Levothyroxine</t>
  </si>
  <si>
    <t>Cimetidine</t>
  </si>
  <si>
    <t>Metoprolol</t>
  </si>
  <si>
    <t>Hexazinone</t>
  </si>
  <si>
    <t>Metolachlor</t>
  </si>
  <si>
    <t>5-Fluorouracil</t>
  </si>
  <si>
    <t>Flurbiprofen</t>
  </si>
  <si>
    <t>trans-Chlordane</t>
  </si>
  <si>
    <t>cis-Nonachlordane</t>
  </si>
  <si>
    <t>cis-Chlordane</t>
  </si>
  <si>
    <t>Piperonyl butoxide</t>
  </si>
  <si>
    <t>1-{2-[(2,4-Dimethylphenyl)sulfanyl]phenyl}piperazine</t>
  </si>
  <si>
    <t>Aspirin</t>
  </si>
  <si>
    <t>5-Chloro-N-(2-chloro-4-nitrophenyl)-2-hydroxybenzamide</t>
  </si>
  <si>
    <t>Metamizol</t>
  </si>
  <si>
    <t>Amitriptyline</t>
  </si>
  <si>
    <t>4-Butyl-1,2-diphenyl-3,5-Pyrazolidinedione</t>
  </si>
  <si>
    <t>Benzo(a)pyrene</t>
  </si>
  <si>
    <t>Dichlorodiphenyltrichloroethane</t>
  </si>
  <si>
    <t>Prednisolone</t>
  </si>
  <si>
    <t>Hydrocortisone</t>
  </si>
  <si>
    <t>Cyclophosphamide</t>
  </si>
  <si>
    <t>Phenobarbital</t>
  </si>
  <si>
    <t>Dexamethasone</t>
  </si>
  <si>
    <t>Fenofibrate</t>
  </si>
  <si>
    <t>Alachlor sulfynilacetic acid</t>
  </si>
  <si>
    <t>Cotinine</t>
  </si>
  <si>
    <t>Sitagliptin</t>
  </si>
  <si>
    <t>S-Phenyl-N-acetylcysteine</t>
  </si>
  <si>
    <t>Propoxyphene</t>
  </si>
  <si>
    <t>Methyl triclosan</t>
  </si>
  <si>
    <t>Niflumic acid</t>
  </si>
  <si>
    <t>Diazepam</t>
  </si>
  <si>
    <t>Fentanyl</t>
  </si>
  <si>
    <t>Zopiclone</t>
  </si>
  <si>
    <t>Oxyfluorfen</t>
  </si>
  <si>
    <t>(+)-Diltiazem</t>
  </si>
  <si>
    <t>Desacetyl diltiazem</t>
  </si>
  <si>
    <t>Nadolol</t>
  </si>
  <si>
    <t>Clonidine</t>
  </si>
  <si>
    <t>Bezafibrate</t>
  </si>
  <si>
    <t>1,3,5-Triazine-2,4-diamine, N-(1-methylethyl)-6-(methylthio)-</t>
  </si>
  <si>
    <t>Etodolac</t>
  </si>
  <si>
    <t>2,4,4'-Tribromodiphenyl ether</t>
  </si>
  <si>
    <t>Profenofos</t>
  </si>
  <si>
    <t>Pendimethalin</t>
  </si>
  <si>
    <t>Penciclovir</t>
  </si>
  <si>
    <t>trans-Nonachlor</t>
  </si>
  <si>
    <t>Triamterene</t>
  </si>
  <si>
    <t>Nitrendipine</t>
  </si>
  <si>
    <t>1,3,4-Thiadiazol-2-amine, 5-(1,1-dimethylethyl)-</t>
  </si>
  <si>
    <t>Flunixin</t>
  </si>
  <si>
    <t>Sulindac</t>
  </si>
  <si>
    <t>Betamethasone</t>
  </si>
  <si>
    <t>3-Phenoxybenzoic acid</t>
  </si>
  <si>
    <t>N-Desmethyl rosuvastatin</t>
  </si>
  <si>
    <t>alpha-Hydroxyalprazolam</t>
  </si>
  <si>
    <t>Carbamazepine epoxide</t>
  </si>
  <si>
    <t>Piroxicam</t>
  </si>
  <si>
    <t>Tramadol hydrochloride</t>
  </si>
  <si>
    <t>N-Butylbenzenesulfonamide</t>
  </si>
  <si>
    <t>Coprosterol</t>
  </si>
  <si>
    <t>Hydroxy Bupropion</t>
  </si>
  <si>
    <t>N-(3,4-Dichlorophenyl)-N'-methylurea</t>
  </si>
  <si>
    <t>Diflubenzuron</t>
  </si>
  <si>
    <t>Norketamine</t>
  </si>
  <si>
    <t>Metribuzin-DA</t>
  </si>
  <si>
    <t>Bupropion</t>
  </si>
  <si>
    <t>Polythiazide</t>
  </si>
  <si>
    <t>Acetochlor</t>
  </si>
  <si>
    <t>o,p'-DDE</t>
  </si>
  <si>
    <t>Tebuthiuron</t>
  </si>
  <si>
    <t>6-Chloro-1,3,5-triazine-2,4-diamine</t>
  </si>
  <si>
    <t>Triclosan</t>
  </si>
  <si>
    <t>Norpropoxyphene</t>
  </si>
  <si>
    <t>Acesulfame</t>
  </si>
  <si>
    <t>Butralin</t>
  </si>
  <si>
    <t>Fluoranthene, 2-methyl-</t>
  </si>
  <si>
    <t>Asulam</t>
  </si>
  <si>
    <t>Diazinon</t>
  </si>
  <si>
    <t>Endosulfan II</t>
  </si>
  <si>
    <t>Linuron</t>
  </si>
  <si>
    <t>Diuron</t>
  </si>
  <si>
    <t>Acetamide, 2-chloro-N-(2-ethyl-6-methylphenyl)-</t>
  </si>
  <si>
    <t>delta-Hexachlorocyclohexane</t>
  </si>
  <si>
    <t>beta-Hexachlorocyclohexane</t>
  </si>
  <si>
    <t>alpha-1,2,3,4,5,6-Hexachlorocyclohexane</t>
  </si>
  <si>
    <t>Fenamiphos sulfone</t>
  </si>
  <si>
    <t>Fenamiphos sulfoxide</t>
  </si>
  <si>
    <t>Propranolol hydrochloride</t>
  </si>
  <si>
    <t>Bromacil</t>
  </si>
  <si>
    <t>Paraoxon</t>
  </si>
  <si>
    <t>O-Ethyl S-propyl phosphorothioic acid (Metabolite of ethoprop)</t>
  </si>
  <si>
    <t>Acephate</t>
  </si>
  <si>
    <t>Oxamyl oxime</t>
  </si>
  <si>
    <t>3'-Azido-3'-deoxythymidine</t>
  </si>
  <si>
    <t>2-Amino-N-(1-methylethyl)benzamide</t>
  </si>
  <si>
    <t>Urea, N-methyl-N'-(3-(trifluoromethyl)phenyl)-</t>
  </si>
  <si>
    <t>Hexazinone (Metab D)</t>
  </si>
  <si>
    <t>Naled</t>
  </si>
  <si>
    <t>Amphetamine</t>
  </si>
  <si>
    <t>4-Methyl-1,2,3-benzotriazole</t>
  </si>
  <si>
    <t>Carbamazepine</t>
  </si>
  <si>
    <t>Phosphorothioic acid, O,O-diethyl O-(2-(1-hydroxy-1-methylethyl)-6-methyl-4-pyrimidinyl) ester</t>
  </si>
  <si>
    <t>Disulfoton</t>
  </si>
  <si>
    <t>Phorate</t>
  </si>
  <si>
    <t>Fenoprofen</t>
  </si>
  <si>
    <t>Tolyltriazole</t>
  </si>
  <si>
    <t>10-hydroxycarbazepine</t>
  </si>
  <si>
    <t>Chlorpyrifos</t>
  </si>
  <si>
    <t>Atenolol</t>
  </si>
  <si>
    <t>Glipizide</t>
  </si>
  <si>
    <t>Alprazolam</t>
  </si>
  <si>
    <t>1H-1,2,4-Triazole</t>
  </si>
  <si>
    <t>Rosuvastatin</t>
  </si>
  <si>
    <t>Oxcarbazepine</t>
  </si>
  <si>
    <t>Bumetanide</t>
  </si>
  <si>
    <t>4-Hydroxy-2,5,6-trichloroisophthalonitrile</t>
  </si>
  <si>
    <t>Thiobencarb</t>
  </si>
  <si>
    <t>2-Isopropyl-6-methyl-4-pyrimidone</t>
  </si>
  <si>
    <t>Norflurazon</t>
  </si>
  <si>
    <t>Oxychlordane</t>
  </si>
  <si>
    <t>Flubendiamide</t>
  </si>
  <si>
    <t>Tramadol</t>
  </si>
  <si>
    <t>2-Methyl-3(2H)-isothiazolone</t>
  </si>
  <si>
    <t>Indapamide</t>
  </si>
  <si>
    <t>Tolmetin</t>
  </si>
  <si>
    <t>Amiloride</t>
  </si>
  <si>
    <t>Phorate oxon</t>
  </si>
  <si>
    <t>Hydroxysimazine</t>
  </si>
  <si>
    <t>Phoratoxon sulfone</t>
  </si>
  <si>
    <t>Phorate oxon sulfoxide</t>
  </si>
  <si>
    <t>Phorate sulfone</t>
  </si>
  <si>
    <t>Phorate sulfoxide</t>
  </si>
  <si>
    <t>Gemfibrozil</t>
  </si>
  <si>
    <t>Iminostilbene</t>
  </si>
  <si>
    <t>2-Methylphenanthrene</t>
  </si>
  <si>
    <t>Bentazone</t>
  </si>
  <si>
    <t>Oxydisulfoton</t>
  </si>
  <si>
    <t>Disulfoton sulfone</t>
  </si>
  <si>
    <t>O,O-diethyl S-[2-(ethylsulfinyl)-ethyl]phosphorothioate</t>
  </si>
  <si>
    <t>O,O-diethyl S-[2-(ethylsulfonyl)-ethyl]phosphorothioate</t>
  </si>
  <si>
    <t>Mycophenolic acid</t>
  </si>
  <si>
    <t>Propyzamide</t>
  </si>
  <si>
    <t>Benzo[b]naphtho[2,1-d]thiophene</t>
  </si>
  <si>
    <t>Mirex</t>
  </si>
  <si>
    <t>Clotrimazole</t>
  </si>
  <si>
    <t>Desmethylnorflurazon</t>
  </si>
  <si>
    <t>3,4-Dichlorophenylurea</t>
  </si>
  <si>
    <t>Doxorubicin</t>
  </si>
  <si>
    <t>2-[4-(2,4,4-Trimethyl-2-pentanyl)phenoxy]ethanol</t>
  </si>
  <si>
    <t>Triton X-100.2</t>
  </si>
  <si>
    <t>Oxamyl</t>
  </si>
  <si>
    <t>Propargite</t>
  </si>
  <si>
    <t>Tri-allate</t>
  </si>
  <si>
    <t>Miconazole</t>
  </si>
  <si>
    <t>Aspartame</t>
  </si>
  <si>
    <t>Cyclothiazide</t>
  </si>
  <si>
    <t>1,6,7-Trimethylnaphthalene</t>
  </si>
  <si>
    <t>Clobazam</t>
  </si>
  <si>
    <t>Fenamiphos</t>
  </si>
  <si>
    <t>Naproxen</t>
  </si>
  <si>
    <t>Molinate</t>
  </si>
  <si>
    <t>Ketoprofen</t>
  </si>
  <si>
    <t>Escitalopram oxalate</t>
  </si>
  <si>
    <t>Chrysene</t>
  </si>
  <si>
    <t>Cyanazine</t>
  </si>
  <si>
    <t>Fluometuron</t>
  </si>
  <si>
    <t>2-Hydroxyatrazine</t>
  </si>
  <si>
    <t>Orthosulfamuron</t>
  </si>
  <si>
    <t>N-Acetyl sulfamethoxazole</t>
  </si>
  <si>
    <t>4,5-Diphenyl-2-Oxazolepropanoic acid</t>
  </si>
  <si>
    <t>Gliclazide</t>
  </si>
  <si>
    <t>7-Acetyl-1,1,3,4,4,6-hexamethyltetraline</t>
  </si>
  <si>
    <t>Metribuzin</t>
  </si>
  <si>
    <t>5-Amino-3-cyano-1-[2,6-dichloro-4-(trifluoromethyl)phenyl]-1H-pyrazole-4-sulfonic acid</t>
  </si>
  <si>
    <t>Acenaphthylene</t>
  </si>
  <si>
    <t>2,2',3,4,4',5',6-Heptabromodiphenyl ether</t>
  </si>
  <si>
    <t>2,2',4,4',5,6'-Hexabromodiphenyl ether</t>
  </si>
  <si>
    <t>Benzo(k)fluoranthene</t>
  </si>
  <si>
    <t>Fluoranthene</t>
  </si>
  <si>
    <t>Benzo(b)fluoranthene</t>
  </si>
  <si>
    <t>Dimethenamide ESA</t>
  </si>
  <si>
    <t>Fipronil amide</t>
  </si>
  <si>
    <t>Fipronil-desulfinyl</t>
  </si>
  <si>
    <t>2-[2-(4-Nonylphenoxy)ethoxy]ethanol</t>
  </si>
  <si>
    <t>Butylate</t>
  </si>
  <si>
    <t>1,3,5-Triazin-2(1H)-one, 4-amino-6-((1-methylethyl)amino)-</t>
  </si>
  <si>
    <t>Memantine</t>
  </si>
  <si>
    <t>Perylene</t>
  </si>
  <si>
    <t>Siduron</t>
  </si>
  <si>
    <t>Oseltamivir</t>
  </si>
  <si>
    <t>1-(2-amino-3-methylphenyl)ethan-1-ol</t>
  </si>
  <si>
    <t>Amiodarone</t>
  </si>
  <si>
    <t>Acetochlor OA</t>
  </si>
  <si>
    <t>Stigmastan-3beta-ol</t>
  </si>
  <si>
    <t>Indeno(1,2,3-cd)pyrene</t>
  </si>
  <si>
    <t>Benzo(e)pyrene</t>
  </si>
  <si>
    <t>Dicamba</t>
  </si>
  <si>
    <t>Benzo(g,h,i)perylene</t>
  </si>
  <si>
    <t>Atrazine</t>
  </si>
  <si>
    <t>Oryzalin</t>
  </si>
  <si>
    <t>2,2',4,4',6-Pentabromodiphenyl ether</t>
  </si>
  <si>
    <t>2,3',4,4'-Tetrabromodiphenyl ether</t>
  </si>
  <si>
    <t>Oseltamivir acid</t>
  </si>
  <si>
    <t>Acetochlor ESA</t>
  </si>
  <si>
    <t>Tiotropium</t>
  </si>
  <si>
    <t>Chlorthal-dimethyl</t>
  </si>
  <si>
    <t>N(1)-Acetylsulfamethoxazole</t>
  </si>
  <si>
    <t>Albuterol</t>
  </si>
  <si>
    <t>Clindamycin</t>
  </si>
  <si>
    <t>2,2',3,4,4'-Pentabromodiphenyl ether</t>
  </si>
  <si>
    <t>4-Octylphenol</t>
  </si>
  <si>
    <t>Phenyl-beta-D-glucuronide, water, filtered, recoverable, nanograms per liter</t>
  </si>
  <si>
    <t>Ethyl glucuronide</t>
  </si>
  <si>
    <t>Pyraclostrobin</t>
  </si>
  <si>
    <t>Indoxacarb</t>
  </si>
  <si>
    <t>1-Methylfluorene</t>
  </si>
  <si>
    <t>Tadalafil</t>
  </si>
  <si>
    <t>Alachlor OA</t>
  </si>
  <si>
    <t>Metolachlor ESA</t>
  </si>
  <si>
    <t>Celecoxib</t>
  </si>
  <si>
    <t>Bromoxynil</t>
  </si>
  <si>
    <t>Methomyl</t>
  </si>
  <si>
    <t>3-Hydroxycarbofuran</t>
  </si>
  <si>
    <t>Metaxalone</t>
  </si>
  <si>
    <t>Aldoxycarb</t>
  </si>
  <si>
    <t>Aldicarb sulfoxide</t>
  </si>
  <si>
    <t>5-{4-[4-(5-Cyano-1H-indol-3-yl)butyl]piperazin-1-yl}-1-benzofuran-2-carboxylic acid</t>
  </si>
  <si>
    <t>Vilazodone</t>
  </si>
  <si>
    <t>Malaoxon</t>
  </si>
  <si>
    <t>Ezetimibe</t>
  </si>
  <si>
    <t>Methoxyfenozide</t>
  </si>
  <si>
    <t>Prometon</t>
  </si>
  <si>
    <t>Norfentanyl</t>
  </si>
  <si>
    <t>Alachlor</t>
  </si>
  <si>
    <t>Montelukast</t>
  </si>
  <si>
    <t>Trifluralin</t>
  </si>
  <si>
    <t>3,6-Dimethylphenanthrene</t>
  </si>
  <si>
    <t>Ibuprofen</t>
  </si>
  <si>
    <t>Carbofuran</t>
  </si>
  <si>
    <t>Efavirenz</t>
  </si>
  <si>
    <t>Lincomycin</t>
  </si>
  <si>
    <t>Etoxazole</t>
  </si>
  <si>
    <t>Phantolide</t>
  </si>
  <si>
    <t>Thiamphenicol</t>
  </si>
  <si>
    <t>Diclofenac</t>
  </si>
  <si>
    <t>(2-Ethyl-6-methylanilino)(oxo)acetic acid</t>
  </si>
  <si>
    <t>Metolachlor OA</t>
  </si>
  <si>
    <t>Thiabendazole</t>
  </si>
  <si>
    <t>Pregabalin</t>
  </si>
  <si>
    <t>Pitavastatin</t>
  </si>
  <si>
    <t>Diphenhydramine hydrochloride</t>
  </si>
  <si>
    <t>Nitrazepam</t>
  </si>
  <si>
    <t>Cerivastatin</t>
  </si>
  <si>
    <t>Sulfamethizole</t>
  </si>
  <si>
    <t>9-Hydroxy-risperidone</t>
  </si>
  <si>
    <t>RPA 202248</t>
  </si>
  <si>
    <t>Kresoxim-methyl</t>
  </si>
  <si>
    <t>2-Methylsulfonyl-4-trifluoromethylbenzoic acid</t>
  </si>
  <si>
    <t>Asperuloside</t>
  </si>
  <si>
    <t>Alachlor ESA</t>
  </si>
  <si>
    <t>Guanidine carboxamide</t>
  </si>
  <si>
    <t>Sulfosulfuron</t>
  </si>
  <si>
    <t>Dicrotophos</t>
  </si>
  <si>
    <t>Trifloxystrobin</t>
  </si>
  <si>
    <t>Isoxaflutole</t>
  </si>
  <si>
    <t>4-(1,1,3,3-Tetramethylbutyl)phenol</t>
  </si>
  <si>
    <t>Vancomycin</t>
  </si>
  <si>
    <t>(2,6-diethylanilino)(oxo)acetic acid</t>
  </si>
  <si>
    <t>Sildenafil</t>
  </si>
  <si>
    <t>Propazine</t>
  </si>
  <si>
    <t>Zanamivir</t>
  </si>
  <si>
    <t>Irbesartan</t>
  </si>
  <si>
    <t>Imidacloprid</t>
  </si>
  <si>
    <t>Valsartan</t>
  </si>
  <si>
    <t>Lidocaine</t>
  </si>
  <si>
    <t>Ethanimidothioic acid, N-hydroxy-, methyl ester</t>
  </si>
  <si>
    <t>Tolfenamic acid</t>
  </si>
  <si>
    <t>5-Methyl-1H-benzotriazole</t>
  </si>
  <si>
    <t>Tris(1,3-dichloro-2-propyl) phosphate</t>
  </si>
  <si>
    <t>Tris(2-chloroisopropyl)phosphate</t>
  </si>
  <si>
    <t>Abacavir</t>
  </si>
  <si>
    <t>Duloxetine hydrochloride</t>
  </si>
  <si>
    <t>N,O-Didesmethylvenlafaxine</t>
  </si>
  <si>
    <t>Hydroflumethiazide</t>
  </si>
  <si>
    <t>Methyclothiazide</t>
  </si>
  <si>
    <t>Lamivudine</t>
  </si>
  <si>
    <t>DEET</t>
  </si>
  <si>
    <t>Atorvastatin</t>
  </si>
  <si>
    <t>Trichlormethiazide</t>
  </si>
  <si>
    <t>Polychlorinated biphenyls</t>
  </si>
  <si>
    <t>Fenbutatin oxide</t>
  </si>
  <si>
    <t>Lamotrigine 2-N-glucuronide</t>
  </si>
  <si>
    <t>Flutamide</t>
  </si>
  <si>
    <t>Dibenzothiophene</t>
  </si>
  <si>
    <t>Chlorpheniramine</t>
  </si>
  <si>
    <t>Ethoprop</t>
  </si>
  <si>
    <t>Azoxystrobin</t>
  </si>
  <si>
    <t>Celestolide</t>
  </si>
  <si>
    <t>N-(2-Ethyl-6-methylphenyl)-2-hydroxy-N-(1-methoxypropan-2-yl)acetamide</t>
  </si>
  <si>
    <t>Quinine</t>
  </si>
  <si>
    <t>Terbufos</t>
  </si>
  <si>
    <t>Chlorosulfonamide acid</t>
  </si>
  <si>
    <t>Aripiprazole</t>
  </si>
  <si>
    <t>Nevirapine</t>
  </si>
  <si>
    <t>Oxyphenbutazone</t>
  </si>
  <si>
    <t>Pyrene</t>
  </si>
  <si>
    <t>Tetrachloroethylene</t>
  </si>
  <si>
    <t>Demeton-S</t>
  </si>
  <si>
    <t>Tributyl phosphate</t>
  </si>
  <si>
    <t>Dechlorometolachlor</t>
  </si>
  <si>
    <t>Griseofulvin</t>
  </si>
  <si>
    <t>Dextromethorphan</t>
  </si>
  <si>
    <t>Butabarbital</t>
  </si>
  <si>
    <t>Hydrocodone</t>
  </si>
  <si>
    <t>Metconazole</t>
  </si>
  <si>
    <t>Valacyclovir</t>
  </si>
  <si>
    <t>Isoborneol</t>
  </si>
  <si>
    <t>Sulfentrazone</t>
  </si>
  <si>
    <t>Simazine</t>
  </si>
  <si>
    <t>Cyclopenta[g]-2-benzopyran, 1,3,4,6,7,8-hexahydro-4,6,6,7,8,8-hexamethyl-</t>
  </si>
  <si>
    <t>Sulfadimethoxine</t>
  </si>
  <si>
    <t>Malathion</t>
  </si>
  <si>
    <t>Simvastatin carboxylic acid</t>
  </si>
  <si>
    <t>2-tert-Butyl-4-methoxyphenol</t>
  </si>
  <si>
    <t>Dichlorphenamide</t>
  </si>
  <si>
    <t>Indole</t>
  </si>
  <si>
    <t>Anthracene</t>
  </si>
  <si>
    <t>Fipronil</t>
  </si>
  <si>
    <t>Fipronil Sulfone</t>
  </si>
  <si>
    <t>Fipronil sulfide</t>
  </si>
  <si>
    <t>Isoquinoline</t>
  </si>
  <si>
    <t>Benzophenone</t>
  </si>
  <si>
    <t>Methyl salicylate</t>
  </si>
  <si>
    <t>Hexachlorobenzene</t>
  </si>
  <si>
    <t>Di(2-ethylhexyl) phthalate</t>
  </si>
  <si>
    <t>Novaluron</t>
  </si>
  <si>
    <t>Duloxetine</t>
  </si>
  <si>
    <t>Aldicarb</t>
  </si>
  <si>
    <t>10-Hydroxyamitriptyline</t>
  </si>
  <si>
    <t>Tris(2-chloroethyl) phosphate</t>
  </si>
  <si>
    <t>Triphenyl phosphate</t>
  </si>
  <si>
    <t>Tolazamide</t>
  </si>
  <si>
    <t>Losartan</t>
  </si>
  <si>
    <t>Imazamox</t>
  </si>
  <si>
    <t>Propoxur</t>
  </si>
  <si>
    <t>Erythromycin</t>
  </si>
  <si>
    <t>Clopidogrel</t>
  </si>
  <si>
    <t>Methylphenidate</t>
  </si>
  <si>
    <t>1-Ethylnaphthalene</t>
  </si>
  <si>
    <t>Tebufenozide</t>
  </si>
  <si>
    <t>Tetraconazole</t>
  </si>
  <si>
    <t>Nicosulfuron</t>
  </si>
  <si>
    <t>Quetiapine</t>
  </si>
  <si>
    <t>Desulfinylfipronil amide</t>
  </si>
  <si>
    <t>Omethoate</t>
  </si>
  <si>
    <t>Methadone hydrochloride</t>
  </si>
  <si>
    <t>Diflufenzopyr</t>
  </si>
  <si>
    <t>Phenol</t>
  </si>
  <si>
    <t>Desmethyldiazepam</t>
  </si>
  <si>
    <t>Meticrane</t>
  </si>
  <si>
    <t>Tebuconazole</t>
  </si>
  <si>
    <t>1,4-Dichlorobenzene</t>
  </si>
  <si>
    <t>p-Cresol</t>
  </si>
  <si>
    <t>Risperidone</t>
  </si>
  <si>
    <t>Carbendazim</t>
  </si>
  <si>
    <t>Terbufos sulfoxide</t>
  </si>
  <si>
    <t>Tamoxifen</t>
  </si>
  <si>
    <t>Mometasone</t>
  </si>
  <si>
    <t>2-(4-Nonylphenoxy) ethanol</t>
  </si>
  <si>
    <t>Acetaminophen</t>
  </si>
  <si>
    <t>Sumatriptan</t>
  </si>
  <si>
    <t>Endosulfan sulfate</t>
  </si>
  <si>
    <t>Levetiracetam</t>
  </si>
  <si>
    <t>Fadrozole</t>
  </si>
  <si>
    <t>Methamidophos</t>
  </si>
  <si>
    <t>Heptachlor epoxide B</t>
  </si>
  <si>
    <t>Glybenclamide</t>
  </si>
  <si>
    <t>3,4-Dichlorophenyl isocyanate</t>
  </si>
  <si>
    <t>4-Chloro-5-methyl-1H-pyrrolo[2,3-b]pyridine</t>
  </si>
  <si>
    <t>Triclocarban</t>
  </si>
  <si>
    <t>Levofloxacin</t>
  </si>
  <si>
    <t>Methenamine</t>
  </si>
  <si>
    <t>Cyclamic acid</t>
  </si>
  <si>
    <t>Halosulfuron-methyl</t>
  </si>
  <si>
    <t>Deisopropylatrazine</t>
  </si>
  <si>
    <t>2-Phenyl-2-ethylmalondiamide</t>
  </si>
  <si>
    <t>Chirald</t>
  </si>
  <si>
    <t>Primidone</t>
  </si>
  <si>
    <t>Propofol</t>
  </si>
  <si>
    <t>Ticlopidine</t>
  </si>
  <si>
    <t>4-Androstene-3,17-dione</t>
  </si>
  <si>
    <t>11-Ketotestosterone</t>
  </si>
  <si>
    <t>17alpha-Estradiol</t>
  </si>
  <si>
    <t>17beta-Estradiol</t>
  </si>
  <si>
    <t>Androsterone</t>
  </si>
  <si>
    <t>5alpha-Dihydrotestosterone</t>
  </si>
  <si>
    <t>Epitestosterone</t>
  </si>
  <si>
    <t>Equilenin</t>
  </si>
  <si>
    <t>Estriol</t>
  </si>
  <si>
    <t>Estrone</t>
  </si>
  <si>
    <t>Mestranol</t>
  </si>
  <si>
    <t>Progesterone</t>
  </si>
  <si>
    <t>Testosterone</t>
  </si>
  <si>
    <t>Diethylstilbestrol</t>
  </si>
  <si>
    <t>17alpha-Ethinylestradiol</t>
  </si>
  <si>
    <t>Equilin</t>
  </si>
  <si>
    <t>2-Hydroxyibuprofen</t>
  </si>
  <si>
    <t>4-Epianhydrochlortetracycline</t>
  </si>
  <si>
    <t>4-Epianhydrotetracycline</t>
  </si>
  <si>
    <t>4-epi-Oxytetracycline</t>
  </si>
  <si>
    <t>Amsacrine</t>
  </si>
  <si>
    <t>Anhydrochlortetracycline</t>
  </si>
  <si>
    <t>Anhydrotetracycline</t>
  </si>
  <si>
    <t>Clarithromycin</t>
  </si>
  <si>
    <t>Clinafloxacin</t>
  </si>
  <si>
    <t>Cocaine</t>
  </si>
  <si>
    <t>Colchicine</t>
  </si>
  <si>
    <t>Daunorubicin</t>
  </si>
  <si>
    <t>Digoxin</t>
  </si>
  <si>
    <t>Enrofloxacin</t>
  </si>
  <si>
    <t>Etoposide</t>
  </si>
  <si>
    <t>Flumequine</t>
  </si>
  <si>
    <t>Melphalan</t>
  </si>
  <si>
    <t>Metronidazole</t>
  </si>
  <si>
    <t>Minocycline</t>
  </si>
  <si>
    <t>Moxifloxacin</t>
  </si>
  <si>
    <t>Norfloxacin</t>
  </si>
  <si>
    <t>Ofloxacin</t>
  </si>
  <si>
    <t>Ormetoprim</t>
  </si>
  <si>
    <t>Oxolinic acid</t>
  </si>
  <si>
    <t>Oxytetracycline</t>
  </si>
  <si>
    <t>Benzene, 1,3-dibromo-2-phenoxy-</t>
  </si>
  <si>
    <t>2,3',4,4',6-Pentabromodiphenyl Ether</t>
  </si>
  <si>
    <t>3,4-Dibromodiphenyl ether</t>
  </si>
  <si>
    <t>1-Bromo-3-(4-bromophenoxy)benzene</t>
  </si>
  <si>
    <t>1,2,3-Tribromo-5-(3,4-dibromophenoxy)benzene</t>
  </si>
  <si>
    <t>1,1'-Oxybis(2,3,4-tribromobenzene)</t>
  </si>
  <si>
    <t>BDE-40</t>
  </si>
  <si>
    <t>4,4'-Dibromodiphenyl ether</t>
  </si>
  <si>
    <t>2,2',4,4',6,6'-Hexabromodiphenyl Ether</t>
  </si>
  <si>
    <t>2,2',4-Tribromodiphenyl ether</t>
  </si>
  <si>
    <t>2,4-Dibromo-1-(3-bromophenoxy)benzene</t>
  </si>
  <si>
    <t>BDE-203</t>
  </si>
  <si>
    <t>1,2,3,4,5-Pentabromo-6-(2,3,4,5-tetrabromophenoxy)benzene</t>
  </si>
  <si>
    <t>BDE-207</t>
  </si>
  <si>
    <t>2,2',3,3',4,5,5',6,6'-nonabromodiphenyl ether</t>
  </si>
  <si>
    <t>1,1'-Oxybis[2,3,4,5,6-pentabromobenzene]</t>
  </si>
  <si>
    <t>2',3,4-Tribromodiphenyl ether</t>
  </si>
  <si>
    <t>BDE-35</t>
  </si>
  <si>
    <t>BDE-37</t>
  </si>
  <si>
    <t>2,2',4,5'-Tetrabromodiphenyl Ether</t>
  </si>
  <si>
    <t>1,3-Dibromo-2-(2,4-dibromophenoxy)benzene</t>
  </si>
  <si>
    <t>2,4-Dibromo-1-phenoxybenzene</t>
  </si>
  <si>
    <t>2,3',4',6-Tetrabromodiphenyl Ether</t>
  </si>
  <si>
    <t>BDE-75</t>
  </si>
  <si>
    <t>BDE-77</t>
  </si>
  <si>
    <t>BDE-79</t>
  </si>
  <si>
    <t>1,1'-Oxybis(3-bromobenzene)</t>
  </si>
  <si>
    <t>1-Bromo-2-(4-bromophenoxy)benzene</t>
  </si>
  <si>
    <t>Pentabromodiphenyl ether</t>
  </si>
  <si>
    <t>Teniposide</t>
  </si>
  <si>
    <t>Virginiamycin M1</t>
  </si>
  <si>
    <t>Demeclocycline</t>
  </si>
  <si>
    <t>Drospirenone</t>
  </si>
  <si>
    <t>Lomefloxacin</t>
  </si>
  <si>
    <t>Sarafloxacin</t>
  </si>
  <si>
    <t>Sulfadiazine</t>
  </si>
  <si>
    <t>Iopromide</t>
  </si>
  <si>
    <t>2-Hydroxy-4-methoxybenzophenone</t>
  </si>
  <si>
    <t>Perfluorotridecanoic acid</t>
  </si>
  <si>
    <t>Perfluorobutanesulfonate</t>
  </si>
  <si>
    <t>Perfluorodecanoic acid</t>
  </si>
  <si>
    <t>Perfluorododecanoic acid</t>
  </si>
  <si>
    <t>Perfluoroheptanoic acid</t>
  </si>
  <si>
    <t>Perfluorohexanesulfonate</t>
  </si>
  <si>
    <t>Perfluorohexanoic acid</t>
  </si>
  <si>
    <t>Perfluorononanoic acid</t>
  </si>
  <si>
    <t>Perfluorooctanesulfonate</t>
  </si>
  <si>
    <t>Perfluorooctanoic acid</t>
  </si>
  <si>
    <t>Perfluoropentanoic acid</t>
  </si>
  <si>
    <t>Perfluoroundecanoic acid</t>
  </si>
  <si>
    <t>10-Hydroxy Amitriptyline Oxalate</t>
  </si>
  <si>
    <t>Busulfan</t>
  </si>
  <si>
    <t>Carbadox</t>
  </si>
  <si>
    <t>Cloxacillin</t>
  </si>
  <si>
    <t>Methylprednisolone</t>
  </si>
  <si>
    <t>Penicillin G</t>
  </si>
  <si>
    <t>Penicillin V</t>
  </si>
  <si>
    <t>Sulfamethazine</t>
  </si>
  <si>
    <t>Trenbolone acetate</t>
  </si>
  <si>
    <t>Tylosin</t>
  </si>
  <si>
    <t>Aldrin</t>
  </si>
  <si>
    <t>Captan</t>
  </si>
  <si>
    <t>Endrin ketone</t>
  </si>
  <si>
    <t>N-Ethyl-N-(2-methyl-2-propenyl)-2,6-dinitro-4-(trifluoromethyl)benzenamine</t>
  </si>
  <si>
    <t>Flutriafol</t>
  </si>
  <si>
    <t>Pentachloronitrobenzene</t>
  </si>
  <si>
    <t>2,3,5,6-Tetrachloronitrobenzene</t>
  </si>
  <si>
    <t>Tall oil, disproportionated</t>
  </si>
  <si>
    <t>Ethylene glycol nonylphenyl ether</t>
  </si>
  <si>
    <t>2-[2-(2-Nonylphenoxy)ethoxy]ethan-1-ol</t>
  </si>
  <si>
    <t>Benzoylecgonine</t>
  </si>
  <si>
    <t>2,4,5-Trichlorophenoxyacetic acid</t>
  </si>
  <si>
    <t>Chlorothalonil</t>
  </si>
  <si>
    <t>Chlorpyrifos-methyl</t>
  </si>
  <si>
    <t>Dichlorprop</t>
  </si>
  <si>
    <t>(18α)-Oleanane</t>
  </si>
  <si>
    <t>Benzo[e]acephenanthrylene</t>
  </si>
  <si>
    <t>3-Methylbenzo[b]thiophene</t>
  </si>
  <si>
    <t>2-Methylbenzo(b)thiophene</t>
  </si>
  <si>
    <t>5-Methylchrysene</t>
  </si>
  <si>
    <t>7-Methylbenz(a)anthracene</t>
  </si>
  <si>
    <t>Decahydro-2-methylnaphthalene</t>
  </si>
  <si>
    <t>1-methyldecahydronaphthalene</t>
  </si>
  <si>
    <t>Dibenz(a,h)anthracene, 2-methyl-</t>
  </si>
  <si>
    <t>4-Methyldibenzothiophene</t>
  </si>
  <si>
    <t>1-Methylpyrene</t>
  </si>
  <si>
    <t>Benzo(b)naphtho(2,3-d)thiophene, 7-methyl-</t>
  </si>
  <si>
    <t>1-Methyl phenanthrene</t>
  </si>
  <si>
    <t>2-Methylanthracene</t>
  </si>
  <si>
    <t>C29-Hopane</t>
  </si>
  <si>
    <t>Benzo(b)thiophene, 3,5-dimethyl-</t>
  </si>
  <si>
    <t>1,2-Dimethylchrysene</t>
  </si>
  <si>
    <t>7,12-Dimethylbenz(a)anthracene</t>
  </si>
  <si>
    <t>naphthalene, decahydro-2,6-dimethyl-</t>
  </si>
  <si>
    <t>7,14-Dimethylbenzo[k]tetraphene</t>
  </si>
  <si>
    <t>4,6-Dimethyldibenzothiophene</t>
  </si>
  <si>
    <t>1,3-Dimethylpyrene</t>
  </si>
  <si>
    <t>Fluoranthene, 8,9-dimethyl-</t>
  </si>
  <si>
    <t>9H-Fluorene, 9,9-dimethyl-</t>
  </si>
  <si>
    <t>2,3-Dimethylfluorene</t>
  </si>
  <si>
    <t>benzo[b]naphtho[2,3-d]thiophene, 6,8-dimethyl-</t>
  </si>
  <si>
    <t>7,8-Dimethylbenzo(b)naphtho(2,3-d)thiophene</t>
  </si>
  <si>
    <t>9,10-Dimethylanthracene</t>
  </si>
  <si>
    <t>1,9-Dimethylphenanthrene</t>
  </si>
  <si>
    <t>Hopane</t>
  </si>
  <si>
    <t>2,5,7-Trimethyl-1-benzothiophene</t>
  </si>
  <si>
    <t>2,4,5-Trimethylchrysene</t>
  </si>
  <si>
    <t>7,8,12-Trimethylbenz(a)anthracene</t>
  </si>
  <si>
    <t>2,4,7-trimethyldibenzothiophene</t>
  </si>
  <si>
    <t>1,2,3-Trimethylpyrene</t>
  </si>
  <si>
    <t>2,7,9-Trimethylfluorene</t>
  </si>
  <si>
    <t>9,10-Dihydro-6,7,8-trimethylbenzo[b]naphtho[2,3-d]thiophene</t>
  </si>
  <si>
    <t>Trimethylphenanthrene</t>
  </si>
  <si>
    <t>1,2,3-Trimethylanthracene</t>
  </si>
  <si>
    <t>chrysene, 1,2,7,8-tetramethyl-</t>
  </si>
  <si>
    <t>Naphthalene, 1,2,6,7-tetramethyl-</t>
  </si>
  <si>
    <t>Anthracene, 1,3,5,7-tetramethyl-</t>
  </si>
  <si>
    <t>1,4,5,8-Tetramethylanthracene</t>
  </si>
  <si>
    <t>Phenanthrene, 2,4,5,7-tetramethyl- (8CI)(9CI)</t>
  </si>
  <si>
    <t>1,2,3,4-Tetramethylphenanthrene</t>
  </si>
  <si>
    <t>Decalin</t>
  </si>
  <si>
    <t>Dibenzofuran</t>
  </si>
  <si>
    <t>Benzo[b]naphtho[2,3-d]thiophene</t>
  </si>
  <si>
    <t>Chemical Name</t>
  </si>
  <si>
    <t>Fish_acute</t>
  </si>
  <si>
    <t>Fish_Chronic</t>
  </si>
  <si>
    <t>Inverts_Acute</t>
  </si>
  <si>
    <t>Inverts_Chronic</t>
  </si>
  <si>
    <t>Nonvascular_Plants_Acute</t>
  </si>
  <si>
    <t>Maximum_Concentration_CMC</t>
  </si>
  <si>
    <t>Continuous_Concentration_CCC</t>
  </si>
  <si>
    <t>Benchmark</t>
  </si>
  <si>
    <t>Tab_Name</t>
  </si>
  <si>
    <t>Source</t>
  </si>
  <si>
    <t>Complete?</t>
  </si>
  <si>
    <t>Complete_by</t>
  </si>
  <si>
    <t>US EPA OPP Aquatic Life Benchmarks (ug/L) (freshwater)</t>
  </si>
  <si>
    <t>USEPA_OPP</t>
  </si>
  <si>
    <t>https://www.epa.gov/pesticide-science-and-assessing-pesticide-risks/aquatic-life-benchmarks-and-ecological-risk</t>
  </si>
  <si>
    <t>CCME</t>
  </si>
  <si>
    <t>Canadian Council of Ministers of the Environment Water Quality Guidelines</t>
  </si>
  <si>
    <t>Notes</t>
  </si>
  <si>
    <t>units</t>
  </si>
  <si>
    <t>https://ccme.ca/en/summary-table#void</t>
  </si>
  <si>
    <t>Canada Federal Environmental Quality Guidelines</t>
  </si>
  <si>
    <t>FEQGCs</t>
  </si>
  <si>
    <t>Federal_EQG_Water</t>
  </si>
  <si>
    <t>https://www.canada.ca/en/health-canada/services/chemical-substances/fact-sheets/federal-environmental-quality-guidelines.html</t>
  </si>
  <si>
    <t xml:space="preserve">Canadian Database of environmental quality guidelines </t>
  </si>
  <si>
    <t>CAD_data</t>
  </si>
  <si>
    <t>https://open.canada.ca/data/en/dataset/ece7204f-c486-4ed9-b318-ddf61935f02c?_ga=1.236759745.1726283229.1401990467</t>
  </si>
  <si>
    <t>AquaticLife_Freshwater_ShortTerm</t>
  </si>
  <si>
    <t>AquaticLife_Freshwater_LongTerm</t>
  </si>
  <si>
    <t xml:space="preserve">European Enviornmental Quality Standards </t>
  </si>
  <si>
    <t>EU_EQS</t>
  </si>
  <si>
    <t>https://eur-lex.europa.eu/legal-content/EN/TXT/HTML/?uri=CELEX:02008L0105-20130913&amp;from=EN#tocId5</t>
  </si>
  <si>
    <t>Annex 1</t>
  </si>
  <si>
    <t>AA-EQS_inland</t>
  </si>
  <si>
    <t>MAC_EQS_inland</t>
  </si>
  <si>
    <t>US EPA Region 4 Ecological Risk Assessment</t>
  </si>
  <si>
    <t>USEPA_Reg4</t>
  </si>
  <si>
    <t>https://www.epa.gov/sites/production/files/2018-03/documents/era_regional_supplemental_guidance_report-march-2018_update.pdf</t>
  </si>
  <si>
    <t>Units</t>
  </si>
  <si>
    <t>Tables 1a, 1d, 1e</t>
  </si>
  <si>
    <t>NOAA Screening Quick Reference Tables</t>
  </si>
  <si>
    <t>NOAA_SQRT</t>
  </si>
  <si>
    <t>https://repository.library.noaa.gov/view/noaa/9327</t>
  </si>
  <si>
    <t>Surface_H2O_Fresh_acute</t>
  </si>
  <si>
    <t>Surface_H2O_Fresh_chronic</t>
  </si>
  <si>
    <t>unit</t>
  </si>
  <si>
    <t>US EPA Ecotox Thresholds</t>
  </si>
  <si>
    <t>USEPA_ECOTOX</t>
  </si>
  <si>
    <t>https://www.epa.gov/sites/production/files/2015-09/documents/v3no2.pdf</t>
  </si>
  <si>
    <t>Surface_H2O_Freshwater_AWQCFCV</t>
  </si>
  <si>
    <t>Surface_H2O_Freshwater_TierII</t>
  </si>
  <si>
    <t>US EPA 2003, EPA/600/R-02/013; Procedures for the Derivation of Equilibrium Partitioning Sediment Benchmarks (ESBs) for the Protection of Benthic Organisms: PAH Mixtures</t>
  </si>
  <si>
    <t>USEPA_ESB</t>
  </si>
  <si>
    <t>https://clu-in.org/conf/tio/porewater1/resources/EPA-ESB-Procedures-PAH-mixtures.pdf</t>
  </si>
  <si>
    <t>PAH_FCV</t>
  </si>
  <si>
    <t>Table 3-4</t>
  </si>
  <si>
    <t>https://archive.epa.gov/emergency/bpspill/web/html/water-benchmarks.html</t>
  </si>
  <si>
    <t>EPA Aquatic Life Benchmarks (2016)</t>
  </si>
  <si>
    <t>USEPA_AQLB</t>
  </si>
  <si>
    <t>US EPA National Aquatic Life Criteria</t>
  </si>
  <si>
    <t>https://www.epa.gov/wqc/national-recommended-water-quality-criteria-aquatic-life-criteria-table</t>
  </si>
  <si>
    <t>USEPA_NRWQC</t>
  </si>
  <si>
    <t>Freshwater_CMC_acute</t>
  </si>
  <si>
    <t>Freswater_CCC_chronic</t>
  </si>
  <si>
    <t>Complete_date</t>
  </si>
  <si>
    <r>
      <t xml:space="preserve">Hi! Thanks for helping out with this. I am essentially going to have multiple copies of this excel spreadsheet &amp; hopefully we can fill this all in together &amp; I can compile it at the end. Wahoo! This is going to be fun. 
Essentially what I need you to do is help fill in the spreadsheet(s) I've set up here with benchmarks that we have available from various different sources. In the first tab (Links and Bib) you will see a list of different benchmark databases, along with the link to access the website and/or sheet with the associated benchmarks. You should be able to click or directly copy and paste these to find the website/database locations. 
For each benchmark type, go to the associated tab &amp; just search for each of the chemicals on the longer list by CAS number to look for potential benchmarks. If you find a benchmark, fill it in under the correct column. </t>
    </r>
    <r>
      <rPr>
        <b/>
        <sz val="11"/>
        <color theme="1"/>
        <rFont val="Calibri"/>
        <family val="2"/>
        <scheme val="minor"/>
      </rPr>
      <t>Please only fill in numerical values in the columns (no units - but you can annotate in a blank column if you like)</t>
    </r>
    <r>
      <rPr>
        <sz val="11"/>
        <color theme="1"/>
        <rFont val="Calibri"/>
        <family val="2"/>
        <scheme val="minor"/>
      </rPr>
      <t xml:space="preserve">.  If there is no benchmark, just leave it blank! There are a ton of chemicals here, and we don't want you getting carpal tunnel by typing in "NA" over and over again. Preferentially we want the water quality guideline units in </t>
    </r>
    <r>
      <rPr>
        <b/>
        <sz val="11"/>
        <color theme="1"/>
        <rFont val="Calibri"/>
        <family val="2"/>
        <scheme val="minor"/>
      </rPr>
      <t xml:space="preserve">ug/L or ppm, </t>
    </r>
    <r>
      <rPr>
        <sz val="11"/>
        <color theme="1"/>
        <rFont val="Calibri"/>
        <family val="2"/>
        <scheme val="minor"/>
      </rPr>
      <t xml:space="preserve">if they are not in ppm please fill in the 'units tab'. If they are in ppm please leave blank. 
Once you've finished filling the sheet in for a particular benchmark, put 'Yes' under complete, your initials under 'Complete By', &amp; the date under 'Complete date'. If you have any comments, please write under 'Notes'. Then you can move onto the next one you are interested in! 
</t>
    </r>
    <r>
      <rPr>
        <b/>
        <sz val="11"/>
        <color theme="1"/>
        <rFont val="Calibri"/>
        <family val="2"/>
        <scheme val="minor"/>
      </rPr>
      <t xml:space="preserve">If you have any questions at any point, please ask! I am more than happy to clarify &amp; make sure that we are all on the same page with benchmark wrangling. </t>
    </r>
    <r>
      <rPr>
        <sz val="11"/>
        <color theme="1"/>
        <rFont val="Calibri"/>
        <family val="2"/>
        <scheme val="minor"/>
      </rPr>
      <t xml:space="preserve">
</t>
    </r>
    <r>
      <rPr>
        <b/>
        <sz val="11"/>
        <color theme="1"/>
        <rFont val="Calibri"/>
        <family val="2"/>
        <scheme val="minor"/>
      </rPr>
      <t xml:space="preserve">THANKS AGAIN FOR YOUR HELP! </t>
    </r>
    <r>
      <rPr>
        <sz val="11"/>
        <color theme="1"/>
        <rFont val="Calibri"/>
        <family val="2"/>
        <scheme val="minor"/>
      </rPr>
      <t xml:space="preserve">
- E</t>
    </r>
  </si>
  <si>
    <t>State Specific Water Quality Standards under Clean Water Act</t>
  </si>
  <si>
    <t>https://www.epa.gov/wqs-tech/state-specific-water-quality-standards-effective-under-clean-water-act-cwa#tb3</t>
  </si>
  <si>
    <t>Note</t>
  </si>
  <si>
    <t>ug/L</t>
  </si>
  <si>
    <t>Chronic</t>
  </si>
  <si>
    <t>Lowest of NOEL, LOEL, or the 95% lower confidence limit on the dose associated with a specified percentage of excess risk (eg. 10 percent)</t>
  </si>
  <si>
    <t>NYSDEC, 1993; EPA, 2005</t>
  </si>
  <si>
    <t>Acute</t>
  </si>
  <si>
    <t>Protect ambient waters from chronic toxicity</t>
  </si>
  <si>
    <t>No unacceptable effects to aquatic life</t>
  </si>
  <si>
    <t>No injurious or debilitating effects to aquatic life</t>
  </si>
  <si>
    <t>No unacceptable effects to aquatic organisms</t>
  </si>
  <si>
    <t>Australia &amp; New Zeland</t>
  </si>
  <si>
    <t>Michigan</t>
  </si>
  <si>
    <t>USA</t>
  </si>
  <si>
    <t>MDEQ, 2008</t>
  </si>
  <si>
    <t>EPA, 2009</t>
  </si>
  <si>
    <t>Canada</t>
  </si>
  <si>
    <t>Protect all forms of aquatic life and all aspects of aquatic life cycle</t>
  </si>
  <si>
    <t>CCME, 2007; AE, 1999</t>
  </si>
  <si>
    <t>N/A</t>
  </si>
  <si>
    <t>Quebec</t>
  </si>
  <si>
    <t>United Kingdom</t>
  </si>
  <si>
    <t>SAVEX, 2000</t>
  </si>
  <si>
    <t>Protect from effects to human, aquatic or plant life and esthetic qualities</t>
  </si>
  <si>
    <t>Ontario</t>
  </si>
  <si>
    <t>USA/Canada (Great Lakes Initative)</t>
  </si>
  <si>
    <t>MOE, 1994</t>
  </si>
  <si>
    <t>UK Environment Agency, 2011</t>
  </si>
  <si>
    <t>EPA, 1995; EPA, 2005</t>
  </si>
  <si>
    <t>ANZECC, 2000</t>
  </si>
  <si>
    <t>British Columbia</t>
  </si>
  <si>
    <t>BC Regs 375/96, 1996</t>
  </si>
  <si>
    <t>No effects to commercially important species</t>
  </si>
  <si>
    <t>Canada; British Columbia; EPA Region 3</t>
  </si>
  <si>
    <t>CCME, 2007; BC MOE, 2010; AE, 1999; EPA, 2005</t>
  </si>
  <si>
    <t>EU, 2008</t>
  </si>
  <si>
    <t>Minimal effects to aquatic life</t>
  </si>
  <si>
    <t>Minnesota</t>
  </si>
  <si>
    <t>MPCA, 2012</t>
  </si>
  <si>
    <t>Qualities of waters of the state that are necessary for aquatic life and recreational designated public uses and benefit</t>
  </si>
  <si>
    <t>US EPA Region 4</t>
  </si>
  <si>
    <t>EPA, 2001</t>
  </si>
  <si>
    <t>Intended to protect 95% of aquatic species, 95% of the time</t>
  </si>
  <si>
    <t>EPA, 1995</t>
  </si>
  <si>
    <t>No unacceptable effects to aquatic organisms with less than 1 hour exposure</t>
  </si>
  <si>
    <t>USA/Canada (Great Lakes Initative); EPA Region 3</t>
  </si>
  <si>
    <t>BC MOE, 2010</t>
  </si>
  <si>
    <t>California</t>
  </si>
  <si>
    <t>CalEPA, 2011</t>
  </si>
  <si>
    <t>CCME, 2007; AE, 1999; EPA, 2005; Saskatchewan MOE, 2006</t>
  </si>
  <si>
    <t>IDEQ, n.d.b</t>
  </si>
  <si>
    <t>Maine</t>
  </si>
  <si>
    <t>MEDEP, 2012</t>
  </si>
  <si>
    <t>CCME, 2007; AE, 1999; EPA, 2005</t>
  </si>
  <si>
    <t>Chronic LOAEL with UF</t>
  </si>
  <si>
    <t>Lowest EC20 for fish species with UF</t>
  </si>
  <si>
    <t>5th percentile of EC10/no-effect SSD</t>
  </si>
  <si>
    <t>Lowest NOEC of aquatic toxicity, mutagenicity or bioaccumulation endpoints</t>
  </si>
  <si>
    <t>95th percentile of NOEC distribution</t>
  </si>
  <si>
    <t>NOEC or 5th percentile of SSD (depending on data availability) with appropriate uncertainty factor</t>
  </si>
  <si>
    <t>EPA, 2009; ADEC, 2008; EPA, 2005; EPA, 2001; MDEQ, 2010</t>
  </si>
  <si>
    <t>5th percentile of EC50 with lifetime exposure/non-lethal endpoints</t>
  </si>
  <si>
    <t>Cumulative probability of the 5th percentile of distribution of all acute toxicity values for the genera or species</t>
  </si>
  <si>
    <t>1/2 the 5th percentile of 96hr EC50 distribution with immobility/lethality endpoints</t>
  </si>
  <si>
    <t>USA - EPA Region 5</t>
  </si>
  <si>
    <t>EPA, 1999; MPCA, 2012</t>
  </si>
  <si>
    <t>Screening level indicative of potential effects to aquatic biota</t>
  </si>
  <si>
    <t>Geometric mean of average species NOEC + UF</t>
  </si>
  <si>
    <t>EPA, 1999</t>
  </si>
  <si>
    <t>CCME, 2007; BC MOE, 2010; AE 1999; EPA, 2005</t>
  </si>
  <si>
    <t>Highest concentration of a toxicant to which organisms can be exposed without causing chronic toxicity</t>
  </si>
  <si>
    <t>Canada, EPA Region 3</t>
  </si>
  <si>
    <t>LOAEL for egg production + UF of 2</t>
  </si>
  <si>
    <t>EC, 2010</t>
  </si>
  <si>
    <t>Protect aquatic life and consumers from adverse effects</t>
  </si>
  <si>
    <t>Lowest NOEC for available toxicity data with UF</t>
  </si>
  <si>
    <t>US EPA- Region 5, EPA Region 3</t>
  </si>
  <si>
    <t>EPA, 1999; EPA, 2005</t>
  </si>
  <si>
    <t>Most appropriate NOEC(s) with designated uncertainty factor</t>
  </si>
  <si>
    <t>North Dakota</t>
  </si>
  <si>
    <t>NDDH, 2001</t>
  </si>
  <si>
    <t>Maintain and protect existing uses of water and ensure the well-being of biota</t>
  </si>
  <si>
    <t>Geometric mean of genus EC50 values divided by UF and Acute to chronic ratio</t>
  </si>
  <si>
    <t>All aquatic organisms</t>
  </si>
  <si>
    <t>Aquatic life</t>
  </si>
  <si>
    <t>Ecosystem &amp; human health</t>
  </si>
  <si>
    <t>Aquatic life &amp; recreation</t>
  </si>
  <si>
    <t>CCME, 2007; AE, 1999; Saskatchewan MOE, 2006</t>
  </si>
  <si>
    <t>SERT, 1998</t>
  </si>
  <si>
    <t>Criteria is described as provisional</t>
  </si>
  <si>
    <t>Protect most species from acute lethality</t>
  </si>
  <si>
    <t>5th percentile of LC50/EC50 mobility</t>
  </si>
  <si>
    <t>New  York</t>
  </si>
  <si>
    <t>NYSDEC, 1993</t>
  </si>
  <si>
    <t>Propagation of fish</t>
  </si>
  <si>
    <t>The Final Chronic Value is (a) the concentration such that 95 percent of the genera (with which acceptable chronic toxicity tests have been conducted) have higher Genus Mean Chronic Values, or (b) the quotient of an FAV divided by an appropriate Acute Chronic Ratio, or (c) the Species Mean Chronic Value of a commercially or recreationally important species</t>
  </si>
  <si>
    <t>CCME, 2007; EPA, 2005</t>
  </si>
  <si>
    <t>Reasonable degree of protection of fish and other aquatic life at all stages of development. Will also likely afford protection to wildlife.</t>
  </si>
  <si>
    <t>CCME background concentration procedure, mean values + 2 stdev</t>
  </si>
  <si>
    <t>Saskatchewan</t>
  </si>
  <si>
    <t>Saskatchewan MOE, 2006</t>
  </si>
  <si>
    <t>USA/Alaska</t>
  </si>
  <si>
    <t>EPA, 2009; ADEC, 2008</t>
  </si>
  <si>
    <t>Propagation of aquatic life</t>
  </si>
  <si>
    <t>New York</t>
  </si>
  <si>
    <t>EPA, 2009; ADEC, 2008; NDDH, 2001; MDEQ, 2010</t>
  </si>
  <si>
    <t>Cancer risk 1 in 1,000,000</t>
  </si>
  <si>
    <t>EPA Region 3</t>
  </si>
  <si>
    <t>MDEQ, 2008; EPA, 2005; NDDH, 2001; MEDEP, 2012</t>
  </si>
  <si>
    <t>MDEQ, 2008; NDDH, 2001; MEDEP, 2012</t>
  </si>
  <si>
    <t>EPA, 2009; CalEPA, 2011; ADEC, 2008; MDEQ, 2010; NYSDEC, 1993</t>
  </si>
  <si>
    <t>Protect the designated beneficial uses of state waters</t>
  </si>
  <si>
    <t>5th percentile of  EC50 distribution with immobility/ lethal endpoints</t>
  </si>
  <si>
    <t>Montana</t>
  </si>
  <si>
    <t>MDEQ, 2010</t>
  </si>
  <si>
    <t>EPA, 2009; ADEC, 2008; NYSDEC, 1993; MEDEP, 2012</t>
  </si>
  <si>
    <t>USA/EPA Region 3</t>
  </si>
  <si>
    <t>EPA, 2009; ADEC, 2008; EPA, 2005; NDDH, 2001; NYSDEC, 1993; MEDEP, 2012</t>
  </si>
  <si>
    <t>NDDH, 2001; MDEQ, 2010</t>
  </si>
  <si>
    <t>USA- EPA Region 3</t>
  </si>
  <si>
    <t>EPA, 2005</t>
  </si>
  <si>
    <t>USA/California</t>
  </si>
  <si>
    <t>EPA, 2009; CalEPA, 2011</t>
  </si>
  <si>
    <t>EPA, 2009; CalEPA, 2011; WAC, n.d.a; IDEQ, n.d.b; MEDEP, 2012</t>
  </si>
  <si>
    <t>Acute value / Chronic</t>
  </si>
  <si>
    <t>EPA, 2009; ADEC, 2008; IDEQ, n.d.b; MEDEP, 2012</t>
  </si>
  <si>
    <t>5th percentile of EC50 distribution with immobility and lethal endpoints</t>
  </si>
  <si>
    <t>NDDH, 2001; MDEQ, 2010; MEDEP, 2012</t>
  </si>
  <si>
    <t>NYSDEC, 2000</t>
  </si>
  <si>
    <t>Final acute value (FAV) is (a) a calculated estimate of the concentration of a test material such that 95 percent of the genera (with which acceptable acute toxicity tests have been conducted on the material) have higher GMAVs, or (b) the SMAV of an important and/or critical species, if the SMAV is lower than the calculated estimate.</t>
  </si>
  <si>
    <t>Protect aquatic life</t>
  </si>
  <si>
    <t>EPA, 2005; MDEQ, 2010; NYSDEC, 1993</t>
  </si>
  <si>
    <t>Lowest reported effect level was used with a safety factor of ten to protect more sensitive species. Safety factor of ten used to derive a chronic value from acute value.</t>
  </si>
  <si>
    <t>10x acute LC50</t>
  </si>
  <si>
    <t>Texas, USA- EPA Region 3</t>
  </si>
  <si>
    <t>TRNCC, 1997; EPA, 2005</t>
  </si>
  <si>
    <t>MPCA, 2007</t>
  </si>
  <si>
    <t>1/2 the lowest species mean LC50 values divided by 13</t>
  </si>
  <si>
    <t>Lowest species mean LC50 values divided by Acute-Chronic ratio</t>
  </si>
  <si>
    <t>USA - EPA Region 5 and EPA Region 3</t>
  </si>
  <si>
    <t>Pacific Northwest</t>
  </si>
  <si>
    <t>EPA, 2009; CalEPA, 2011; ADEC, 2008; WAC, n.d.a; IDEQ, n.d.b</t>
  </si>
  <si>
    <t>EPA, 1995; WAC, n.d.a; MPCA, 2012</t>
  </si>
  <si>
    <t>Protect aquatic life and consumers of</t>
  </si>
  <si>
    <t>Derived to consider high bioaccumulation potential of PCBs</t>
  </si>
  <si>
    <t>Propagation of receptors</t>
  </si>
  <si>
    <t>Canada; British Columbia;  EPA Region 3</t>
  </si>
  <si>
    <t>New York, EPA Region 3</t>
  </si>
  <si>
    <t>NYSDEC, 2000; EPA Region 3</t>
  </si>
  <si>
    <t>Lowest reported effect level was used with a safety factor of ten to protect more sensitive species. Toxicity test based on 2 species.</t>
  </si>
  <si>
    <t>US EPA Region 4, EPA Region 3</t>
  </si>
  <si>
    <t>EPA, 2001; EPA, 2005; IDEQ, n.d.b; MDEQ, 2010; MEDEP, 2012</t>
  </si>
  <si>
    <t>5th percentile of 96h EC50 for most sensitive species</t>
  </si>
  <si>
    <t>EPA, 2001; WAC, n.d.a; IDEQ, n.d.b; MPCA, 2012</t>
  </si>
  <si>
    <t>New York, USA- EPA Region 3</t>
  </si>
  <si>
    <t>EPA, 2001; WAC, n.d.a; IDEQ, n.d.b; MEDEP, 2012; MPCA, 2012</t>
  </si>
  <si>
    <t>EPA, 2001; IDEQ, n.d.b; MEDEP, 2012</t>
  </si>
  <si>
    <t>EPA, 2001; WAC, n.d.a; IDEQ, n.d.b</t>
  </si>
  <si>
    <t>FAV divided by the geometric mean of (Acute Value divided by Chronic Value)</t>
  </si>
  <si>
    <t>EPA, 2001; MDEQ, 2010</t>
  </si>
  <si>
    <t>EPA, 2001; MDEQ, 2010; NYSDEC, 2000</t>
  </si>
  <si>
    <t>NA</t>
  </si>
  <si>
    <t>ORNL, 1997</t>
  </si>
  <si>
    <t>Reference</t>
  </si>
  <si>
    <t>Agency</t>
  </si>
  <si>
    <t>Link</t>
  </si>
  <si>
    <t>http://www.dec.ny.gov/docs/water_pdf/togs111.pdf</t>
  </si>
  <si>
    <t>New York- Department of Environmental Conservation</t>
  </si>
  <si>
    <t>Description</t>
  </si>
  <si>
    <t>Michigan Department of Environmental Quality</t>
  </si>
  <si>
    <t>http://www.michigan.gov/deq/0,1607,7-135-3313_3686_3728-11383--,00.html</t>
  </si>
  <si>
    <t>USA Environmental Protection Agency</t>
  </si>
  <si>
    <t>Australia &amp; New Zealand Environment Conservation Council</t>
  </si>
  <si>
    <t>CCME, 2007</t>
  </si>
  <si>
    <t>Canadian Council of Ministers of the Environment</t>
  </si>
  <si>
    <t>http://st-ts.ccme.ca/</t>
  </si>
  <si>
    <t>TRNCC, 1997</t>
  </si>
  <si>
    <t>ADEC, 2008</t>
  </si>
  <si>
    <t>AE, 1999</t>
  </si>
  <si>
    <t>WAC, n.d.a</t>
  </si>
  <si>
    <t xml:space="preserve">Alaska Department of Environmental Conservation </t>
  </si>
  <si>
    <t>Alberta Environment</t>
  </si>
  <si>
    <t>http://www.env.gov.bc.ca/wat/wq/wq_guidelines.html</t>
  </si>
  <si>
    <t>British Columbia, Ministry of the Environment</t>
  </si>
  <si>
    <t>British Columbia, Contaminated Sites Regulation</t>
  </si>
  <si>
    <t>http://www.bclaws.ca/EPLibraries/bclaws_new/document/ID/freeside/375_96_08</t>
  </si>
  <si>
    <t>http://www.swrcb.ca.gov/water_issues/programs/water_quality_goals/</t>
  </si>
  <si>
    <t xml:space="preserve">California Environmental Protection Agency </t>
  </si>
  <si>
    <t>Environment Canada</t>
  </si>
  <si>
    <t>http://www.ec.gc.ca/Publications/default.asp?lang=En&amp;xml=34DCDBA9-9C86-4EB2-AA93-81B6755321F9</t>
  </si>
  <si>
    <t>EPA. 2004</t>
  </si>
  <si>
    <t>http://www.epa.gov/reg3hwmd/risk/eco/index.htm</t>
  </si>
  <si>
    <t>USA Environmental Protection Agency - Region 3</t>
  </si>
  <si>
    <t>Great Lakes Region Initiative (Canada/USA)</t>
  </si>
  <si>
    <t xml:space="preserve">www.epa.gov/owow/tmdl/glsprohibit.pdf </t>
  </si>
  <si>
    <t>http://epa.gov/region05/waste/cars/pdfs/ecological-screening-levels-200308.pdf</t>
  </si>
  <si>
    <t>USA Environmental Protection Agency - Region 5</t>
  </si>
  <si>
    <t>USA Environmental Protection Agency - Region 4</t>
  </si>
  <si>
    <t>http://www.epa.gov/region4/superfund/programs/riskassess/ecolbul.html#tbl4</t>
  </si>
  <si>
    <t>European Union</t>
  </si>
  <si>
    <t>http://ec.europa.eu/environment/water/water-dangersub/lib_pri_substances.htm</t>
  </si>
  <si>
    <t>Idaho Department of Environmental Quality</t>
  </si>
  <si>
    <t>http://adminrules.idaho.gov/rules/current/58/0102.pdf</t>
  </si>
  <si>
    <t>Montana Department of Environment Quality</t>
  </si>
  <si>
    <t>http://www.deq.mt.gov/wqinfo/Standards/default.mcpx#Surface</t>
  </si>
  <si>
    <t>Maine Department of Environmental Protection</t>
  </si>
  <si>
    <t>http://www.maine.gov/sos/cec/rules/06/096/096c584.doc</t>
  </si>
  <si>
    <t>Ontario Ministry of the Environment</t>
  </si>
  <si>
    <t>http://www.ene.gov.on.ca/environment/en/resources/STD01_076352.html</t>
  </si>
  <si>
    <t>http://www.pca.state.mn.us/index.php/waste/waste-and-cleanup/cleanup-programs-and-topics/topics/perfluorochemicals-pfc/perfluorochemicals-pfcs.html?menuid=&amp;redirect=1</t>
  </si>
  <si>
    <t>https://www.revisor.mn.gov/rules/?id=7050.0222</t>
  </si>
  <si>
    <t>North Dakota Department of Health</t>
  </si>
  <si>
    <t>http://www.legis.nd.gov/information/acdata/pdf/33-16-02.1.pdf</t>
  </si>
  <si>
    <t xml:space="preserve">New York State Department of Environmental Conservation </t>
  </si>
  <si>
    <t>http://www.dec.ny.gov/regs/4590.html</t>
  </si>
  <si>
    <t>USA - OakRidge National Lab</t>
  </si>
  <si>
    <t xml:space="preserve">rais.ornl.gov/documents/tm85r3.pdf </t>
  </si>
  <si>
    <t>Saskatchewan Ministry of Environment</t>
  </si>
  <si>
    <t>http://www.environment.gov.sk.ca/adx/aspx/adxGetMedia.aspx?DocID=768,760,253,94,88,Documents&amp;MediaID=332&amp;Filename=Surface+Water+Quality+Objectives.pdf&amp;l=English</t>
  </si>
  <si>
    <t xml:space="preserve">Quebec MENV- Service des avis et des expertises </t>
  </si>
  <si>
    <t>http://www.mddep.gouv.qc.ca/eau/criteres_eau/index.asp</t>
  </si>
  <si>
    <t>Texas Commission on Enviromental Quality</t>
  </si>
  <si>
    <t>http://www.tceq.texas.gov/waterquality/standards/WQ_standards_1997.html</t>
  </si>
  <si>
    <t>http://evidence.environment-agency.gov.uk/ChemicalStandards/home.aspx</t>
  </si>
  <si>
    <t>United Kingdom Environment Agency</t>
  </si>
  <si>
    <t>Washington</t>
  </si>
  <si>
    <t>http://apps.leg.wa.gov/WAC/default.aspx?cite=173-201A-240</t>
  </si>
  <si>
    <t>https://dec.alaska.gov/water/water-quality/standards/</t>
  </si>
  <si>
    <t>http://www.gov.ab.ca/env/protenf/publications/SurfWtrQual-Nov99.pdf</t>
  </si>
  <si>
    <t>Yes</t>
  </si>
  <si>
    <t>EM</t>
  </si>
  <si>
    <t>Province Specific Water Quality Standards</t>
  </si>
  <si>
    <t>CAD_prov</t>
  </si>
  <si>
    <t>Criteria Value</t>
  </si>
  <si>
    <t>Method Notes</t>
  </si>
  <si>
    <t>CCME (1997)</t>
  </si>
  <si>
    <t>Province</t>
  </si>
  <si>
    <t>https://www2.gov.bc.ca/assets/gov/environment/air-land-water/water/waterquality/water-quality-guidelines/bc_env_working_water_quality_guidelines.pdf</t>
  </si>
  <si>
    <t>British Columbia Working Water Quality Guidelines: Aquatic Life, Wildlife &amp; Agriculture (Feb 2021)</t>
  </si>
  <si>
    <t>CCME (1993)</t>
  </si>
  <si>
    <t xml:space="preserve">Length </t>
  </si>
  <si>
    <t>CCME (1989)</t>
  </si>
  <si>
    <t>ECCC (2018a)</t>
  </si>
  <si>
    <t>CCME (1991)</t>
  </si>
  <si>
    <t>CCME (2009)</t>
  </si>
  <si>
    <t>CCME (1994)</t>
  </si>
  <si>
    <t>CCME (2008)</t>
  </si>
  <si>
    <t>CCME (1990)</t>
  </si>
  <si>
    <t>Efroymson et al. 1997</t>
  </si>
  <si>
    <t>CCME (1999a)</t>
  </si>
  <si>
    <t>CCME (2010); no distinguishing between two isoforms of Endosulfan</t>
  </si>
  <si>
    <t>CCREM (1987)</t>
  </si>
  <si>
    <t>CCME (2007)</t>
  </si>
  <si>
    <t>CCME (1995)</t>
  </si>
  <si>
    <t>US EPA (1987)</t>
  </si>
  <si>
    <t>ECCC (2018b)</t>
  </si>
  <si>
    <t>ECCC (2013); no distinction between isoforms</t>
  </si>
  <si>
    <t>CCME 1995</t>
  </si>
  <si>
    <t>CCME (1992)</t>
  </si>
  <si>
    <t>ECC (2017)</t>
  </si>
  <si>
    <t>CCME 1999</t>
  </si>
  <si>
    <t>Alberta</t>
  </si>
  <si>
    <t>https://open.alberta.ca/dataset/5298aadb-f5cc-4160-8620-ad139bb985d8/resource/38ed9bb1-233f-4e28-b344-808670b20dae/download/environmentalqualitysurfacewaters-mar28-2018.pdf</t>
  </si>
  <si>
    <t>Alberta Water Quality Guidelines</t>
  </si>
  <si>
    <t>https://www2.gov.bc.ca/assets/gov/environment/air-land-water/water/waterquality/water-quality-guidelines/bc_env_working_water_quality_guidelines.pdf; https://open.alberta.ca/dataset/5298aadb-f5cc-4160-8620-ad139bb985d8/resource/38ed9bb1-233f-4e28-b344-808</t>
  </si>
  <si>
    <t>CCME 2018</t>
  </si>
  <si>
    <t>CCME 1987</t>
  </si>
  <si>
    <t>USEPA 1985</t>
  </si>
  <si>
    <t>USEPA 2005</t>
  </si>
  <si>
    <t>USEPA 1986</t>
  </si>
  <si>
    <t>Quebec, 2000</t>
  </si>
  <si>
    <t>US EPA 1986</t>
  </si>
  <si>
    <t>BC 2007</t>
  </si>
  <si>
    <t>CCME 1993</t>
  </si>
  <si>
    <t>https://www2.gov.bc.ca/assets/gov/environment/air-land-water/water/waterquality/water-quality-guidelines/bc_env_working_water_quality_guidelines.pdf; https://open.alberta.ca/dataset/5298aadb-f5cc-4160-8620-ad139bb985d8/resource/38ed9bb1-233f-4e28-b344-799</t>
  </si>
  <si>
    <t>https://www2.gov.bc.ca/assets/gov/environment/air-land-water/water/waterquality/water-quality-guidelines/bc_env_working_water_quality_guidelines.pdf; https://open.alberta.ca/dataset/5298aadb-f5cc-4160-8620-ad139bb985d8/resource/38ed9bb1-233f-4e28-b344-801</t>
  </si>
  <si>
    <t>https://www2.gov.bc.ca/assets/gov/environment/air-land-water/water/waterquality/water-quality-guidelines/bc_env_working_water_quality_guidelines.pdf; https://open.alberta.ca/dataset/5298aadb-f5cc-4160-8620-ad139bb985d8/resource/38ed9bb1-233f-4e28-b344-802</t>
  </si>
  <si>
    <t>https://www2.gov.bc.ca/assets/gov/environment/air-land-water/water/waterquality/water-quality-guidelines/bc_env_working_water_quality_guidelines.pdf; https://open.alberta.ca/dataset/5298aadb-f5cc-4160-8620-ad139bb985d8/resource/38ed9bb1-233f-4e28-b344-804</t>
  </si>
  <si>
    <t>https://www2.gov.bc.ca/assets/gov/environment/air-land-water/water/waterquality/water-quality-guidelines/bc_env_working_water_quality_guidelines.pdf; https://open.alberta.ca/dataset/5298aadb-f5cc-4160-8620-ad139bb985d8/resource/38ed9bb1-233f-4e28-b344-805</t>
  </si>
  <si>
    <t>https://www2.gov.bc.ca/assets/gov/environment/air-land-water/water/waterquality/water-quality-guidelines/bc_env_working_water_quality_guidelines.pdf; https://open.alberta.ca/dataset/5298aadb-f5cc-4160-8620-ad139bb985d8/resource/38ed9bb1-233f-4e28-b344-806</t>
  </si>
  <si>
    <t>https://www2.gov.bc.ca/assets/gov/environment/air-land-water/water/waterquality/water-quality-guidelines/bc_env_working_water_quality_guidelines.pdf; https://open.alberta.ca/dataset/5298aadb-f5cc-4160-8620-ad139bb985d8/resource/38ed9bb1-233f-4e28-b344-807</t>
  </si>
  <si>
    <t>https://www2.gov.bc.ca/assets/gov/environment/air-land-water/water/waterquality/water-quality-guidelines/bc_env_working_water_quality_guidelines.pdf; https://open.alberta.ca/dataset/5298aadb-f5cc-4160-8620-ad139bb985d8/resource/38ed9bb1-233f-4e28-b344-810</t>
  </si>
  <si>
    <t>https://www2.gov.bc.ca/assets/gov/environment/air-land-water/water/waterquality/water-quality-guidelines/bc_env_working_water_quality_guidelines.pdf; https://open.alberta.ca/dataset/5298aadb-f5cc-4160-8620-ad139bb985d8/resource/38ed9bb1-233f-4e28-b344-811</t>
  </si>
  <si>
    <t>https://www2.gov.bc.ca/assets/gov/environment/air-land-water/water/waterquality/water-quality-guidelines/bc_env_working_water_quality_guidelines.pdf; https://open.alberta.ca/dataset/5298aadb-f5cc-4160-8620-ad139bb985d8/resource/38ed9bb1-233f-4e28-b344-812</t>
  </si>
  <si>
    <t>CCME 1999 (modified)</t>
  </si>
  <si>
    <t>Saskatchewan Water Quality Guidelines</t>
  </si>
  <si>
    <t>http://www.saskh2o.ca/pdf/epb356.pdf</t>
  </si>
  <si>
    <t>CCME 2011</t>
  </si>
  <si>
    <t>Manitoba</t>
  </si>
  <si>
    <t>Manitoba Water Quality Guidelines</t>
  </si>
  <si>
    <t>https://www.gov.mb.ca/water/pubs/water/lakes-beaches-rivers/mb_water_quality_standard_final.pdf</t>
  </si>
  <si>
    <t>https://open.alberta.ca/dataset/5298aadb-f5cc-4160-8620-ad139bb985d8/resource/38ed9bb1-233f-4e28-b344-808670b20dae/download/environmentalqualitysurfacewaters-mar28-2018.pdf; https://www.gov.mb.ca/water/pubs/water/lakes-beaches-rivers/mb_water_quality_standard_final.pdf</t>
  </si>
  <si>
    <t>PWQO</t>
  </si>
  <si>
    <t>https://www.ontario.ca/page/water-management-policies-guidelines-provincial-water-quality-objectives#fn121</t>
  </si>
  <si>
    <t>Interim PWQO</t>
  </si>
  <si>
    <t>https://www.ontario.ca/page/water-management-policies-guidelines-provincial-water-quality-objectives#section-13</t>
  </si>
  <si>
    <t>applied to all 3 cresol isomers</t>
  </si>
  <si>
    <t>PWQO is for sum of DDT, DDD, and DDE</t>
  </si>
  <si>
    <t>sum of hepatchlor and hepatchlor epoxide</t>
  </si>
  <si>
    <t>MDEQ, 2015</t>
  </si>
  <si>
    <t>Various - located in document</t>
  </si>
  <si>
    <t>RK</t>
  </si>
  <si>
    <t>Quebec Surface Water Quality Criteria</t>
  </si>
  <si>
    <t>https://www.environnement.gouv.qc.ca/eau/criteres_eau/details.asp?code=S0148</t>
  </si>
  <si>
    <t>&gt; 45750</t>
  </si>
  <si>
    <t>https://www.environnement.gouv.qc.ca/eau/criteres_eau/details.asp?code=S0898</t>
  </si>
  <si>
    <t>https://www.environnement.gouv.qc.ca/eau/criteres_eau/details.asp?code=S0277</t>
  </si>
  <si>
    <t>USEPA, 1995; USEPA, 2006a; MEDQ, 2008</t>
  </si>
  <si>
    <t>https://www.environnement.gouv.qc.ca/eau/criteres_eau/details.asp?code=S0200</t>
  </si>
  <si>
    <t>U.S.EPA, 1995; U.S.EPA, 2006a</t>
  </si>
  <si>
    <t>https://www.environnement.gouv.qc.ca/eau/criteres_eau/details.asp?code=S0234</t>
  </si>
  <si>
    <t>https://www.environnement.gouv.qc.ca/eau/criteres_eau/details.asp?code=S0146</t>
  </si>
  <si>
    <t>SERT, 1995</t>
  </si>
  <si>
    <t>https://www.environnement.gouv.qc.ca/eau/criteres_eau/details.asp?code=S0461</t>
  </si>
  <si>
    <t>https://www.environnement.gouv.qc.ca/eau/criteres_eau/details.asp?code=S0269</t>
  </si>
  <si>
    <t>https://www.environnement.gouv.qc.ca/eau/criteres_eau/details.asp?code=S0294</t>
  </si>
  <si>
    <t>EC, 2018</t>
  </si>
  <si>
    <t>https://www.environnement.gouv.qc.ca/eau/criteres_eau/details.asp?code=S0918</t>
  </si>
  <si>
    <t>https://www.environnement.gouv.qc.ca/eau/criteres_eau/details.asp?code=S0001</t>
  </si>
  <si>
    <t>MDEQ, 2008; provisional</t>
  </si>
  <si>
    <t>https://www.environnement.gouv.qc.ca/eau/criteres_eau/details.asp?code=S0382</t>
  </si>
  <si>
    <t>https://www.environnement.gouv.qc.ca/eau/criteres_eau/details.asp?code=S0258</t>
  </si>
  <si>
    <t>https://www.environnement.gouv.qc.ca/eau/criteres_eau/details.asp?code=S0661</t>
  </si>
  <si>
    <t>https://www.environnement.gouv.qc.ca/eau/criteres_eau/details.asp?code=S0339</t>
  </si>
  <si>
    <t>https://www.environnement.gouv.qc.ca/eau/criteres_eau/details.asp?code=S0506</t>
  </si>
  <si>
    <t>https://open.alberta.ca/dataset/5298aadb-f5cc-4160-8620-ad139bb985d8/resource/38ed9bb1-233f-4e28-b344-808670b20dae/download/environmentalqualitysurfacewaters-mar28-2018.pdf; https://www.environnement.gouv.qc.ca/eau/criteres_eau/details.asp?code=S0499</t>
  </si>
  <si>
    <t>RIVM, 2014</t>
  </si>
  <si>
    <t>https://www.environnement.gouv.qc.ca/eau/criteres_eau/details.asp?code=S0651</t>
  </si>
  <si>
    <t>MELCC, 2020</t>
  </si>
  <si>
    <t>https://www.environnement.gouv.qc.ca/eau/criteres_eau/details.asp?code=S0285</t>
  </si>
  <si>
    <t>Quebec Surface Water Quality Criteria; Provisional</t>
  </si>
  <si>
    <t>https://www.environnement.gouv.qc.ca/eau/criteres_eau/details.asp?code=S0326</t>
  </si>
  <si>
    <t>MDEQ, 2016</t>
  </si>
  <si>
    <t>https://www.environnement.gouv.qc.ca/eau/criteres_eau/details.asp?code=S0939</t>
  </si>
  <si>
    <t>https://www.environnement.gouv.qc.ca/eau/criteres_eau/details.asp?code=S0137</t>
  </si>
  <si>
    <t>https://www.environnement.gouv.qc.ca/eau/criteres_eau/details.asp?code=S0016</t>
  </si>
  <si>
    <t>MDEQ, 2018</t>
  </si>
  <si>
    <t>https://www.environnement.gouv.qc.ca/eau/criteres_eau/details.asp?code=S0950</t>
  </si>
  <si>
    <t>ECCC 2017</t>
  </si>
  <si>
    <t>https://open.alberta.ca/dataset/5298aadb-f5cc-4160-8620-ad139bb985d8/resource/38ed9bb1-233f-4e28-b344-808670b20dae/download/environmentalqualitysurfacewaters-mar28-2018.pdf; https://www.ontario.ca/page/water-management-policies-guidelines-provincial-water-quality-objectives#section-13; https://www.environnement.gouv.qc.ca/eau/criteres_eau/details.asp?code=S0330</t>
  </si>
  <si>
    <t>https://www2.gov.bc.ca/assets/gov/environment/air-land-water/water/waterquality/water-quality-guidelines/bc_env_working_water_quality_guidelines.pdf; https://open.alberta.ca/dataset/5298aadb-f5cc-4160-8620-ad139bb985d8/resource/38ed9bb1-233f-4e28-b344-808; http://www.saskh2o.ca/pdf/epb356.pdf; https://www.gov.mb.ca/water/pubs/water/lakes-beaches-rivers/mb_water_quality_standard_final.pdf; https://www.environnement.gouv.qc.ca/eau/criteres_eau/details.asp?code=S0460</t>
  </si>
  <si>
    <t>SERT 1998</t>
  </si>
  <si>
    <t>https://www.environnement.gouv.qc.ca/eau/criteres_eau/details.asp?code=S0087</t>
  </si>
  <si>
    <t>https://www.environnement.gouv.qc.ca/eau/criteres_eau/details.asp?code=S0039</t>
  </si>
  <si>
    <t>(U.S.EPA, 1995; U.S.EPA, 2006a)</t>
  </si>
  <si>
    <t>(MDEQ, 2008)</t>
  </si>
  <si>
    <t>https://www.environnement.gouv.qc.ca/eau/criteres_eau/details.asp?code=S0142</t>
  </si>
  <si>
    <t>https://www.environnement.gouv.qc.ca/eau/criteres_eau/details.asp?code=S0622</t>
  </si>
  <si>
    <t>https://www.environnement.gouv.qc.ca/eau/criteres_eau/details.asp?code=S0553</t>
  </si>
  <si>
    <t>https://www.environnement.gouv.qc.ca/eau/criteres_eau/details.asp?code=S0171</t>
  </si>
  <si>
    <t>https://www.environnement.gouv.qc.ca/eau/criteres_eau/details.asp?code=S0417</t>
  </si>
  <si>
    <t>https://www.environnement.gouv.qc.ca/eau/criteres_eau/details.asp?code=S0443</t>
  </si>
  <si>
    <t>https://www.environnement.gouv.qc.ca/eau/criteres_eau/details.asp?code=S0379</t>
  </si>
  <si>
    <t>https://www.environnement.gouv.qc.ca/eau/criteres_eau/details.asp?code=S0595</t>
  </si>
  <si>
    <t>https://www.environnement.gouv.qc.ca/eau/criteres_eau/details.asp?code=S0257</t>
  </si>
  <si>
    <t>https://www.environnement.gouv.qc.ca/eau/criteres_eau/details.asp?code=S0020</t>
  </si>
  <si>
    <t>https://www.environnement.gouv.qc.ca/eau/criteres_eau/details.asp?code=S0155</t>
  </si>
  <si>
    <t>MDEQ, 2013</t>
  </si>
  <si>
    <t>https://www.environnement.gouv.qc.ca/eau/criteres_eau/details.asp?code=S0935</t>
  </si>
  <si>
    <t>https://www.environnement.gouv.qc.ca/eau/criteres_eau/details.asp?code=S0960</t>
  </si>
  <si>
    <t>U.S.EPA modifié, 1992a; U.S.EPA, 2006a</t>
  </si>
  <si>
    <t>https://www.environnement.gouv.qc.ca/eau/criteres_eau/details.asp?code=S0239</t>
  </si>
  <si>
    <t>QAQC_by</t>
  </si>
  <si>
    <t>QAQC'd</t>
  </si>
  <si>
    <t xml:space="preserve">Disregard - is specifically for PAH mixtures for oil spills </t>
  </si>
  <si>
    <t>1a Freshwater_Screen_Acute</t>
  </si>
  <si>
    <t>1a Acute_Source</t>
  </si>
  <si>
    <t>1a Freshwater_Screen_Chronic</t>
  </si>
  <si>
    <t>1a Chronic_Source</t>
  </si>
  <si>
    <t>1d Freshwater_Screen_Acute</t>
  </si>
  <si>
    <t>1d Acute_Source</t>
  </si>
  <si>
    <t>1d Freshwater_Screen_Chronic</t>
  </si>
  <si>
    <t>1d Chronic_Source</t>
  </si>
  <si>
    <t>1e Freshwater_Screen_Acute</t>
  </si>
  <si>
    <t>1e Acute_Source</t>
  </si>
  <si>
    <t>1e Freshwater_Screen_Chronic</t>
  </si>
  <si>
    <t>1e Chronic_Source</t>
  </si>
  <si>
    <t>b</t>
  </si>
  <si>
    <t>r</t>
  </si>
  <si>
    <t>a</t>
  </si>
  <si>
    <t>n</t>
  </si>
  <si>
    <t>NORMAN</t>
  </si>
  <si>
    <t>Screening Values from NORMAN database (supplied by Ezra Miller)</t>
  </si>
  <si>
    <t>For sum of cyclodiene pesticides</t>
  </si>
  <si>
    <t>B[a]P is used as the marker for other compounds, so AA from B[a]P could apply here but are not specifically regulated</t>
  </si>
  <si>
    <t>CAS</t>
  </si>
  <si>
    <t>Std_value</t>
  </si>
  <si>
    <t>Threshold Derivation Explanation</t>
  </si>
  <si>
    <t>Other Notes</t>
  </si>
  <si>
    <t>Threshold Quality Indicator</t>
  </si>
  <si>
    <t>Use for CA tiered risk-based framework placement? Y/N</t>
  </si>
  <si>
    <t>PNEC</t>
  </si>
  <si>
    <t>assessment factor of 1000 from Raphidocelis subcapitata 72 hour growth EC50</t>
  </si>
  <si>
    <t>3</t>
  </si>
  <si>
    <t>Y</t>
  </si>
  <si>
    <t>P-PNEC pred</t>
  </si>
  <si>
    <t>2</t>
  </si>
  <si>
    <t>N</t>
  </si>
  <si>
    <t>EQS-proposal</t>
  </si>
  <si>
    <t>not specified</t>
  </si>
  <si>
    <t>Switzerland http://www.ecotoxcentre.ch/expert-service/quality-standards/proposals-for-acute-and-chronic-quality-standards</t>
  </si>
  <si>
    <t>1</t>
  </si>
  <si>
    <t>2012 CA CEC Panel Report</t>
  </si>
  <si>
    <t>"Permethrin and bifenthrin are synthetic pyrethroid pesticides used widely in the US. Proposed aquatic life criteria have been published using species sensitivity distributions and acute-chronic ratios in freshwater species (Fojut et al. 2012). Forty studies were used for bifenthrin and 155 were used for permethrin to determine the values."</t>
  </si>
  <si>
    <t>7</t>
  </si>
  <si>
    <t>aquatic life water quality criteria</t>
  </si>
  <si>
    <t>Reviews of Environmental Contamination and Toxicology Volume 216 Tjeerdema et al. Aquatic Life Water Quality Criteria for Selected Pesticides DOI 10.1007/978-1-4614-2260-0</t>
  </si>
  <si>
    <t>UC Davis Method - 4-day average concentration.</t>
  </si>
  <si>
    <t>Mixtures with other pyrethroids should be considered in an additive manner</t>
  </si>
  <si>
    <t>assessment factor of 1000 from freshwater algae EC50</t>
  </si>
  <si>
    <t>Mixtures of chlorpyrifos and other OPs should be considered in an additive manner</t>
  </si>
  <si>
    <t>4</t>
  </si>
  <si>
    <t>Mixtures of diazinon and other OPs should be considered in an additive manner</t>
  </si>
  <si>
    <t>assessment factor of 1000 from rainbow trout 96 hour LC50</t>
  </si>
  <si>
    <t>Mixtures with other PSII-inhibitor herbicides should be considered in an additive manner</t>
  </si>
  <si>
    <t>assessment factor of 1000 from QSAR Daphnia magna 48 hour LC50</t>
  </si>
  <si>
    <t>assessment factor of 1000 from algae 72h EC50 of isoborneol (read-across)</t>
  </si>
  <si>
    <t>Mixtures of malathion and other OPs should be considered in an additive manner</t>
  </si>
  <si>
    <t>assessment factor of 1000 from algae 72 hr EC50</t>
  </si>
  <si>
    <t>EQS water (=AA-EQS)</t>
  </si>
  <si>
    <t>assessment factor of 50 from Daphnia magna 21 day reproduction NOEC</t>
  </si>
  <si>
    <t>EQS chronic water (=AA-EQS)</t>
  </si>
  <si>
    <t>PNEC chronic</t>
  </si>
  <si>
    <t>Xing et al. 2019 Environmental Science and Pollution Research_x000D_
https://doi.org/10.1007/s11356-019-05236-5</t>
  </si>
  <si>
    <t>Toxicity data available from more than eight studies were selected to develop SSD (acceptability of toxicity data was assessed according to the principles of aquatic life criteria with accuracy, relevance, and reliability as described in our previous report and other studies). The median EC50 or LC50 within no more than 96 h was selected as the measurement endpoints of acute toxicity. The maximum acceptable toxicant concentration (MATC) or EC10 was preferred in the measurement endpoints of chronic toxicity due to their increased invariability as compared with the LOEC/NOEC as a result of their well established weaknesses (such as dependence on experimental design and statistical hypothesis testing). When MATC and EC10 were not available, the values of NOEC or LOEC were used as substitutes, and only the most sensitive toxicity value was used for the same literature. The geometric mean was used for the same endpoint and species SSDs were developed by a log-logistic parametric approach, then HC5s were estimated from the fitted SSDs. Final PNECs were calculated by dividing the HC5 by a conservative assessment factor of 6</t>
  </si>
  <si>
    <t>PNEC acute</t>
  </si>
  <si>
    <t>Toxicity data available from more than eight studies were selected to develop SSD (acceptability of toxicity data was assessed according to the principles of aquatic life criteria with accuracy, relevance, and reliability as described in our previous report and other studies). The median EC50 or LC50 within no more than 96 h was selected as the measurement endpoints of acute toxicity. The maximum acceptable toxicant concentration (MATC) or EC10 was preferred in the measurement endpoints of chronic toxicity due to their increased invariability as compared with the LOEC/NOEC as a result of their well established weaknesses (such as dependence on experimental design and statistical hypothesis testing). When MATC and EC10 were not available, the values of NOEC or LOEC were used as substitutes, and only the most sensitive toxicity value was used for the same literature. The geometric mean was used for the same endpoint and species SSDs were developed by a log-logistic parametric approach, then HC5s were estimated from the fitted SSDs. Final PNECs were calculated by dividing the HC5 by a conservative assessment factor of 5</t>
  </si>
  <si>
    <t>assessment factor of 10 from 30 day development of sac fry stage of Oncorhynchus mykiss NOEC</t>
  </si>
  <si>
    <t>"It should be noted that due to the instability of TPP in water, the aquatic effects data cover not only the toxicity of TPP but also the toxicity of the degradation products. This is particularly relevant for tests with longer exposure periods."</t>
  </si>
  <si>
    <t>5</t>
  </si>
  <si>
    <t>assessment factor of 10 from Danio rerio 6 month growth and reproduction NOEC</t>
  </si>
  <si>
    <t>assessment factor of 1000 from Oncorhynchus mykiss 96 hour LC50</t>
  </si>
  <si>
    <t>Cristale et al. 2020 Environmental Science and Pollution Research https://doi.org/10.1007/s11356-020-10150-2</t>
  </si>
  <si>
    <t>assessment factor of 1000 from Dapnia similis 48 hour immobilization EC50</t>
  </si>
  <si>
    <t>ECHA Registration Dossier (various; https://echa.europa.eu/information-on-chemicals/registered-substances)</t>
  </si>
  <si>
    <t>ECHA Reg?</t>
  </si>
  <si>
    <t>y</t>
  </si>
  <si>
    <t>PNEC (freshwater)</t>
  </si>
  <si>
    <t>https://echa.europa.eu/registration-dossier/-/registered-dossier/14234/6/1</t>
  </si>
  <si>
    <t>Assessment factor (50)</t>
  </si>
  <si>
    <t>PNEC freshwater (intermittent releases)</t>
  </si>
  <si>
    <t>https://echa.europa.eu/registration-dossier/-/registered-dossier/14821/6/1</t>
  </si>
  <si>
    <t>Assessment factor (10)</t>
  </si>
  <si>
    <t>https://echa.europa.eu/registration-dossier/-/registered-dossier/13353/6/1</t>
  </si>
  <si>
    <t>https://echa.europa.eu/registration-dossier/-/registered-dossier/5515/6/1</t>
  </si>
  <si>
    <t>1000 assessment factor</t>
  </si>
  <si>
    <t>https://echa.europa.eu/registration-dossier/-/registered-dossier/23868/6/1</t>
  </si>
  <si>
    <t>10 assessment factor</t>
  </si>
  <si>
    <t>50 assessment factor</t>
  </si>
  <si>
    <t>https://echa.europa.eu/registration-dossier/-/registered-dossier/15074/6/1</t>
  </si>
  <si>
    <t>https://echa.europa.eu/registration-dossier/-/registered-dossier/13632/6/1</t>
  </si>
  <si>
    <t>https://echa.europa.eu/registration-dossier/-/registered-dossier/24175/6/1</t>
  </si>
  <si>
    <t>https://echa.europa.eu/registration-dossier/-/registered-dossier/5887/6/1</t>
  </si>
  <si>
    <t>https://echa.europa.eu/registration-dossier/-/registered-dossier/12532/6/1</t>
  </si>
  <si>
    <t>https://echa.europa.eu/registration-dossier/-/registered-dossier/28288/6/1</t>
  </si>
  <si>
    <t>10000 assessment factor</t>
  </si>
  <si>
    <t>https://echa.europa.eu/registration-dossier/-/registered-dossier/13823/6/1</t>
  </si>
  <si>
    <t>https://echa.europa.eu/registration-dossier/-/registered-dossier/14948/6/1</t>
  </si>
  <si>
    <t>https://echa.europa.eu/registration-dossier/-/registered-dossier/15752/6/1</t>
  </si>
  <si>
    <t>SSD; 1 assessment factor</t>
  </si>
  <si>
    <t>https://echa.europa.eu/registration-dossier/-/registered-dossier/27552/6/1</t>
  </si>
  <si>
    <t>https://echa.europa.eu/registration-dossier/-/registered-dossier/25720/6/1</t>
  </si>
  <si>
    <t>https://echa.europa.eu/registration-dossier/-/registered-dossier/12775/6/1</t>
  </si>
  <si>
    <t>https://echa.europa.eu/registration-dossier/-/registered-dossier/31753/6/1</t>
  </si>
  <si>
    <t>https://echa.europa.eu/registration-dossier/-/registered-dossier/15387/6/1</t>
  </si>
  <si>
    <t>https://echa.europa.eu/registration-dossier/-/registered-dossier/14504/6/1</t>
  </si>
  <si>
    <t>https://echa.europa.eu/registration-dossier/-/registered-dossier/13520/6/1</t>
  </si>
  <si>
    <t>https://echa.europa.eu/registration-dossier/-/registered-dossier/15256/6/1</t>
  </si>
  <si>
    <t>https://echa.europa.eu/registration-dossier/-/registered-dossier/13758/6/1</t>
  </si>
  <si>
    <t>72 h EC50 D. subspicatus</t>
  </si>
  <si>
    <t>48 h EC10 for P. subcapitata</t>
  </si>
  <si>
    <t>Reliable</t>
  </si>
  <si>
    <t>https://echa.europa.eu/registration-dossier/-/registered-dossier/12507/6/1</t>
  </si>
  <si>
    <t>Chronic Toxicity to D. magna</t>
  </si>
  <si>
    <t>https://echa.europa.eu/registration-dossier/-/registered-dossier/1921/6/1</t>
  </si>
  <si>
    <t>100 assessment factor</t>
  </si>
  <si>
    <t>5-d EC10 S.capricornutum</t>
  </si>
  <si>
    <t>https://echa.europa.eu/registration-dossier/-/registered-dossier/16818/6/1</t>
  </si>
  <si>
    <t>72-h ErC50 P. subcapitata</t>
  </si>
  <si>
    <t>https://echa.europa.eu/registration-dossier/-/registered-dossier/21020/6/1</t>
  </si>
  <si>
    <t>https://echa.europa.eu/registration-dossier/-/registered-dossier/21245/6/1</t>
  </si>
  <si>
    <t>https://echa.europa.eu/registration-dossier/-/registered-dossier/14527/6/1</t>
  </si>
  <si>
    <t>mean of NOECs from P. Promelas early life stage tests (n = 3)</t>
  </si>
  <si>
    <t>https://echa.europa.eu/registration-dossier/-/registered-dossier/6560/6/1</t>
  </si>
  <si>
    <t>NOEC for 5-d algal growth of S. capricornutum</t>
  </si>
  <si>
    <t>https://echa.europa.eu/registration-dossier/-/registered-dossier/7457/6/1</t>
  </si>
  <si>
    <t>PNECs derived from losartan potassium salt; LOEC from 10-d toxicity test with P. subcapitata</t>
  </si>
  <si>
    <t>https://echa.europa.eu/registration-dossier/-/registered-dossier/15907/6/1</t>
  </si>
  <si>
    <t>EC50 of 14 d toxicity test with P. subcapitata; endpoint = growth</t>
  </si>
  <si>
    <t>https://echa.europa.eu/registration-dossier/-/registered-dossier/2227/6/1</t>
  </si>
  <si>
    <t>https://echa.europa.eu/registration-dossier/-/registered-dossier/24162/6/1</t>
  </si>
  <si>
    <t>EC50 of 72h toxicity test (growth rate) for P. subcapitata</t>
  </si>
  <si>
    <t>https://echa.europa.eu/registration-dossier/-/registered-dossier/15924/6/1</t>
  </si>
  <si>
    <t>based on NOEC for juvenile pink salmon (40 d exposure)</t>
  </si>
  <si>
    <t>https://echa.europa.eu/registration-dossier/-/registered-dossier/13402/6/1</t>
  </si>
  <si>
    <t>NOEC for 96-h LC50 (fish)</t>
  </si>
  <si>
    <t>https://echa.europa.eu/registration-dossier/-/registered-dossier/15857/6/1</t>
  </si>
  <si>
    <t>NOEC for 16-d D. magna test (nominal)</t>
  </si>
  <si>
    <t>https://echa.europa.eu/registration-dossier/-/registered-dossier/21038/6/1</t>
  </si>
  <si>
    <t>https://echa.europa.eu/registration-dossier/-/registered-dossier/15980/6/1</t>
  </si>
  <si>
    <t xml:space="preserve">NOEC in acute daphnid test </t>
  </si>
  <si>
    <t>https://echa.europa.eu/registration-dossier/-/registered-dossier/15508/6/1</t>
  </si>
  <si>
    <t>https://echa.europa.eu/registration-dossier/-/registered-dossier/10134/6/1</t>
  </si>
  <si>
    <t>https://echa.europa.eu/registration-dossier/-/registered-dossier/12670/6/1</t>
  </si>
  <si>
    <t>NOEC; 272 d P. promelas study</t>
  </si>
  <si>
    <t>https://echa.europa.eu/registration-dossier/-/registered-dossier/32104/6/1</t>
  </si>
  <si>
    <t>NOEC; 256-d P promelas study</t>
  </si>
  <si>
    <t>https://echa.europa.eu/registration-dossier/-/registered-dossier/16572/6/1</t>
  </si>
  <si>
    <t>72-h EC50 D&gt; salinawas (salt-water), read across</t>
  </si>
  <si>
    <t>https://echa.europa.eu/registration-dossier/-/registered-dossier/11056/6/1</t>
  </si>
  <si>
    <t>200 assessment factor</t>
  </si>
  <si>
    <t>NOEC, 48-h Daphnia magna</t>
  </si>
  <si>
    <t>https://echa.europa.eu/registration-dossier/-/registered-dossier/14544/6/1</t>
  </si>
  <si>
    <t>21 d NOEC Daphnia magna</t>
  </si>
  <si>
    <t>https://echa.europa.eu/registration-dossier/-/registered-dossier/1714/6/1</t>
  </si>
  <si>
    <t xml:space="preserve">Hard to tell where this value has come from. </t>
  </si>
  <si>
    <t>https://echa.europa.eu/registration-dossier/-/registered-dossier/15972/6/1</t>
  </si>
  <si>
    <t>https://echa.europa.eu/registration-dossier/-/registered-dossier/12675/6/1</t>
  </si>
  <si>
    <t>SSD</t>
  </si>
  <si>
    <t>https://echa.europa.eu/registration-dossier/-/registered-dossier/12075/6/1</t>
  </si>
  <si>
    <t>https://echa.europa.eu/registration-dossier/-/registered-dossier/13548/6/1</t>
  </si>
  <si>
    <t>NOEC for ELS toxicity test with O. mykiss (proprietary study; OECD SIDS)</t>
  </si>
  <si>
    <t>https://echa.europa.eu/registration-dossier/-/registered-dossier/14303/6/1</t>
  </si>
  <si>
    <t xml:space="preserve">28-d NOEC D. magna reproduction </t>
  </si>
  <si>
    <t>https://echa.europa.eu/registration-dossier/-/registered-dossier/11172/6/1</t>
  </si>
  <si>
    <t>96-h LC50 to Leuiscus idus; nominal concentration</t>
  </si>
  <si>
    <t>https://echa.europa.eu/registration-dossier/-/registered-dossier/14272/6/1</t>
  </si>
  <si>
    <t xml:space="preserve">Chronic Toxicity to non-standard daphnid species. </t>
  </si>
  <si>
    <t>ECHA_PNEC?</t>
  </si>
  <si>
    <t>NORMAN?</t>
  </si>
  <si>
    <t>NORMAN_PNEC</t>
  </si>
  <si>
    <t>Threshold_Type</t>
  </si>
  <si>
    <t>Vascular_Plants_Acute</t>
  </si>
  <si>
    <t>Rosuvastatin lactone</t>
  </si>
  <si>
    <t>Media</t>
  </si>
  <si>
    <t>Acute/ Chronic</t>
  </si>
  <si>
    <t>Application</t>
  </si>
  <si>
    <t>Protected Receptors</t>
  </si>
  <si>
    <t>Narrative Protection Goal</t>
  </si>
  <si>
    <t>Operational Protection Goal</t>
  </si>
  <si>
    <t>Main Jurisdiction</t>
  </si>
  <si>
    <t>Water</t>
  </si>
  <si>
    <t>2.6</t>
  </si>
  <si>
    <t>Freshwater</t>
  </si>
  <si>
    <t>280</t>
  </si>
  <si>
    <t>Aquatic ecosystem</t>
  </si>
  <si>
    <t>40</t>
  </si>
  <si>
    <t>220</t>
  </si>
  <si>
    <t>1.4</t>
  </si>
  <si>
    <t>10</t>
  </si>
  <si>
    <t>Ester form</t>
  </si>
  <si>
    <t>Non-ester form</t>
  </si>
  <si>
    <t>13</t>
  </si>
  <si>
    <t>87</t>
  </si>
  <si>
    <t>Annual mean concentration should not exceed</t>
  </si>
  <si>
    <t>187</t>
  </si>
  <si>
    <t>95th percentile of concentrations should not exceed</t>
  </si>
  <si>
    <t>54</t>
  </si>
  <si>
    <t>0.2</t>
  </si>
  <si>
    <t>Minimal data available, use with caution</t>
  </si>
  <si>
    <t>25</t>
  </si>
  <si>
    <t>14</t>
  </si>
  <si>
    <t>Tier 2 Value</t>
  </si>
  <si>
    <t>4.7</t>
  </si>
  <si>
    <t>Lowest of NOEL, LOEL or the 95% lower confidence limit on the dose associated with a specified percentage of risk (eg. 10%)</t>
  </si>
  <si>
    <t>330</t>
  </si>
  <si>
    <t>Ecological Screening Level</t>
  </si>
  <si>
    <t>Ecosystem health</t>
  </si>
  <si>
    <t>16</t>
  </si>
  <si>
    <t>2.4</t>
  </si>
  <si>
    <t>Inland surface water</t>
  </si>
  <si>
    <t>1.2</t>
  </si>
  <si>
    <t>Other surface water</t>
  </si>
  <si>
    <t>11</t>
  </si>
  <si>
    <t>100</t>
  </si>
  <si>
    <t>818</t>
  </si>
  <si>
    <t>Cold Water</t>
  </si>
  <si>
    <t>81</t>
  </si>
  <si>
    <t>Cool or warm water</t>
  </si>
  <si>
    <t>62</t>
  </si>
  <si>
    <t>Value dependent on water hardness: e^(0.8545(lnH)-1.465)</t>
  </si>
  <si>
    <t>Lowest reported effect level was used with a safety factor of ten to protect more sensitive species. Toxicity test based on 1 species.</t>
  </si>
  <si>
    <t>230</t>
  </si>
  <si>
    <t>Value dependent on water hardness: e^(0.9422(lnH)-1.464)</t>
  </si>
  <si>
    <t>Lowest reported effect level was used with a safety factor of ten to protect more sensitive species. Toxicity test based on 4 species.</t>
  </si>
  <si>
    <t>190</t>
  </si>
  <si>
    <t>One half of the geometric mean of genus EC50 values divided by UF (data dependant)</t>
  </si>
  <si>
    <t>12</t>
  </si>
  <si>
    <t>37</t>
  </si>
  <si>
    <t>2.1</t>
  </si>
  <si>
    <t>Aquatic life &amp; their uses</t>
  </si>
  <si>
    <t>Alaska</t>
  </si>
  <si>
    <t>3.6</t>
  </si>
  <si>
    <t>0.7</t>
  </si>
  <si>
    <t>0.5</t>
  </si>
  <si>
    <t>0.4</t>
  </si>
  <si>
    <t>20</t>
  </si>
  <si>
    <t>Instantaneous maximum</t>
  </si>
  <si>
    <t>15</t>
  </si>
  <si>
    <t>36</t>
  </si>
  <si>
    <t>120</t>
  </si>
  <si>
    <t>110</t>
  </si>
  <si>
    <t>70</t>
  </si>
  <si>
    <t>3.9</t>
  </si>
  <si>
    <t>0.01</t>
  </si>
  <si>
    <t>4 day average, pertains to water hardness of 50.0 mg CaCO3/L</t>
  </si>
  <si>
    <t>64</t>
  </si>
  <si>
    <t>0.03</t>
  </si>
  <si>
    <t>30</t>
  </si>
  <si>
    <t>6.3</t>
  </si>
  <si>
    <t>1000</t>
  </si>
  <si>
    <t>980</t>
  </si>
  <si>
    <t>200</t>
  </si>
  <si>
    <t>521</t>
  </si>
  <si>
    <t>5210</t>
  </si>
  <si>
    <t>1.8</t>
  </si>
  <si>
    <t>210</t>
  </si>
  <si>
    <t>60</t>
  </si>
  <si>
    <t>5.8</t>
  </si>
  <si>
    <t>38</t>
  </si>
  <si>
    <t>112</t>
  </si>
  <si>
    <t>17</t>
  </si>
  <si>
    <t>170</t>
  </si>
  <si>
    <t>80</t>
  </si>
  <si>
    <t>23</t>
  </si>
  <si>
    <t>180</t>
  </si>
  <si>
    <t>para, para, DDT</t>
  </si>
  <si>
    <t>1300</t>
  </si>
  <si>
    <t>4600</t>
  </si>
  <si>
    <t>1170</t>
  </si>
  <si>
    <t>11700</t>
  </si>
  <si>
    <t>920</t>
  </si>
  <si>
    <t>0.1</t>
  </si>
  <si>
    <t>0.42</t>
  </si>
  <si>
    <t>0.26</t>
  </si>
  <si>
    <t>1 hour average</t>
  </si>
  <si>
    <t>4 day average</t>
  </si>
  <si>
    <t>0.52</t>
  </si>
  <si>
    <t>hardness: e^(0.9422(lnH)-1.464), instantaneous maximum not to be exceeded at any time</t>
  </si>
  <si>
    <t>24 hour average</t>
  </si>
  <si>
    <t>0.125</t>
  </si>
  <si>
    <t>5800</t>
  </si>
  <si>
    <t>65</t>
  </si>
  <si>
    <t>1.5</t>
  </si>
  <si>
    <t>293</t>
  </si>
  <si>
    <t>Pertains to water hardness of 50.0 mg CaCO3/L</t>
  </si>
  <si>
    <t>2930</t>
  </si>
  <si>
    <t>320</t>
  </si>
  <si>
    <t>USA - EPA Region 5, EPA Region 3</t>
  </si>
  <si>
    <t>10.5</t>
  </si>
  <si>
    <t>105</t>
  </si>
  <si>
    <t>0.19</t>
  </si>
  <si>
    <t>Lowest reported effect level was used with a safety factor of ten to protect more sensitive species. Toxicity test based on 8 species.</t>
  </si>
  <si>
    <t>0.04</t>
  </si>
  <si>
    <t>Pertains to water hardness of 50.0 mg CaCO3/L; 4 day average</t>
  </si>
  <si>
    <t>0.9</t>
  </si>
  <si>
    <t>1100</t>
  </si>
  <si>
    <t>26</t>
  </si>
  <si>
    <t>pH &lt; 7</t>
  </si>
  <si>
    <t>800</t>
  </si>
  <si>
    <t>pH &gt; 7</t>
  </si>
  <si>
    <t>0.09</t>
  </si>
  <si>
    <t>0.18</t>
  </si>
  <si>
    <t>Freshwater and Marine</t>
  </si>
  <si>
    <t>24 hour average not to be exceeded</t>
  </si>
  <si>
    <t>EPA, 2009; ADEC, 2008; WAC, n.d.a; IDEQ, n.d.b; MEDEP, 2012</t>
  </si>
  <si>
    <t>3.3</t>
  </si>
  <si>
    <t>In combination with Aldrin, sum of Aldrin and Dieldrin must not exceed this value</t>
  </si>
  <si>
    <t>0.24</t>
  </si>
  <si>
    <t>2.5</t>
  </si>
  <si>
    <t>hardness: e^(0.9422(lnH)-1.464), instantaneous maximum not to be exceeded</t>
  </si>
  <si>
    <t>0.15</t>
  </si>
  <si>
    <t>6.2</t>
  </si>
  <si>
    <t>CCME, 2007; EPA, 2005; Saskatchewan MOE, 2006</t>
  </si>
  <si>
    <t>0.02</t>
  </si>
  <si>
    <t>0.95</t>
  </si>
  <si>
    <t>0.08</t>
  </si>
  <si>
    <t>hardness: e^(1.273(lnH)-4.705), 24 hour average</t>
  </si>
  <si>
    <t>hardness: e^(1.273(lnH)-1.46), instantaneous maximum not to be exceeded at any time</t>
  </si>
  <si>
    <t>0.49</t>
  </si>
  <si>
    <t>Canada;</t>
  </si>
  <si>
    <t>7.8</t>
  </si>
  <si>
    <t>543</t>
  </si>
  <si>
    <t>0.05</t>
  </si>
  <si>
    <t>Criteria applies to DDT and its metabolites</t>
  </si>
  <si>
    <t>6</t>
  </si>
  <si>
    <t>173</t>
  </si>
  <si>
    <t>1.6</t>
  </si>
  <si>
    <t>0.17</t>
  </si>
  <si>
    <t>141</t>
  </si>
  <si>
    <t>39</t>
  </si>
  <si>
    <t>0.495</t>
  </si>
  <si>
    <t>3.62</t>
  </si>
  <si>
    <t>hardness of 50.0 mg CaCO3/L, 4 day average</t>
  </si>
  <si>
    <t>EPA, 2001; WAC, n.d.a; MDEQ, 2010; MPCA, 2012</t>
  </si>
  <si>
    <t>hardness of 50.0 mg CaCO3/L, 1 hour average</t>
  </si>
  <si>
    <t>EPA, 2001; WAC, n.d.a; MDEQ, 2010</t>
  </si>
  <si>
    <t>50</t>
  </si>
  <si>
    <t>2.8</t>
  </si>
  <si>
    <t>510</t>
  </si>
  <si>
    <t>500</t>
  </si>
  <si>
    <t>US EPA Region 4; EPA Region 3</t>
  </si>
  <si>
    <t>EPA, 2001; EPA, 2005</t>
  </si>
  <si>
    <t>0.25</t>
  </si>
  <si>
    <t>3.4</t>
  </si>
  <si>
    <t>Sum Benzo(b)fluoranthene + Benzo(k)fluoranthene</t>
  </si>
  <si>
    <t>1.9</t>
  </si>
  <si>
    <t>6.9</t>
  </si>
  <si>
    <t>398</t>
  </si>
  <si>
    <t>33.6</t>
  </si>
  <si>
    <t>6.16</t>
  </si>
  <si>
    <t>56</t>
  </si>
  <si>
    <t>1.3</t>
  </si>
  <si>
    <t>Sum Benzo(ghi)perylene + Inden(1,2,3-cd)pyrene</t>
  </si>
  <si>
    <t>7.64</t>
  </si>
  <si>
    <t>3.5</t>
  </si>
  <si>
    <t>0.3</t>
  </si>
  <si>
    <t>150</t>
  </si>
  <si>
    <t>1600</t>
  </si>
  <si>
    <t>0.06</t>
  </si>
  <si>
    <t>18</t>
  </si>
  <si>
    <t>4.5</t>
  </si>
  <si>
    <t>Clean up level</t>
  </si>
  <si>
    <t>Intended to protect 95% of a diverse group of genera</t>
  </si>
  <si>
    <t>WSDE, 2011b; MEDEP, 2012</t>
  </si>
  <si>
    <t>Wildlife</t>
  </si>
  <si>
    <t>24 hour average concentration not to be exceeded</t>
  </si>
  <si>
    <t>Tier 2 Value; instantaneous maximum</t>
  </si>
  <si>
    <t>5280</t>
  </si>
  <si>
    <t>840</t>
  </si>
  <si>
    <t>111</t>
  </si>
  <si>
    <t>857</t>
  </si>
  <si>
    <t>84</t>
  </si>
  <si>
    <t>528</t>
  </si>
  <si>
    <t>Lowest reported effect level was used with a safety factor of ten to protect more sensitive species. Toxicity test based on 5 species.</t>
  </si>
  <si>
    <t>45</t>
  </si>
  <si>
    <t>830</t>
  </si>
  <si>
    <t>98</t>
  </si>
  <si>
    <t>0.6</t>
  </si>
  <si>
    <t>3.2</t>
  </si>
  <si>
    <t>160</t>
  </si>
  <si>
    <t>0.63</t>
  </si>
  <si>
    <t>0.73</t>
  </si>
  <si>
    <t>Proposed Guideline</t>
  </si>
  <si>
    <t>3.68</t>
  </si>
  <si>
    <t>290</t>
  </si>
  <si>
    <t>1110</t>
  </si>
  <si>
    <t>400</t>
  </si>
  <si>
    <t>27</t>
  </si>
  <si>
    <t>survival of aquatic life</t>
  </si>
  <si>
    <t>450</t>
  </si>
  <si>
    <t>123</t>
  </si>
  <si>
    <t>4428</t>
  </si>
  <si>
    <t>300</t>
  </si>
  <si>
    <t>256</t>
  </si>
  <si>
    <t>1020</t>
  </si>
  <si>
    <t>Lowest reported effect level was used with a safety factor of ten to protect more sensitive species. Toxicity test based on 16 species.</t>
  </si>
  <si>
    <t>5th percentile of NOEC distribution</t>
  </si>
  <si>
    <t>Alberta Environment (AE), 1999</t>
  </si>
  <si>
    <t>260</t>
  </si>
  <si>
    <t>11.2</t>
  </si>
  <si>
    <t>9.4</t>
  </si>
  <si>
    <t>0.53</t>
  </si>
  <si>
    <t>In combination with Diedrin, sum of Aldrin and Dieldrin must not exceed this value</t>
  </si>
  <si>
    <t>USA/California/Alaska</t>
  </si>
  <si>
    <t>EPA, 2009; CalEPA, 2011; ADEC, 2008</t>
  </si>
  <si>
    <t>Waters being "free from" pollutants such as oil and scum, color and odor and other substances that can harm people and fish</t>
  </si>
  <si>
    <t>28</t>
  </si>
  <si>
    <t>686</t>
  </si>
  <si>
    <t>66</t>
  </si>
  <si>
    <t>3.7</t>
  </si>
  <si>
    <t>guideline_ppb</t>
  </si>
  <si>
    <t>guideline_units</t>
  </si>
  <si>
    <t>1400</t>
  </si>
  <si>
    <t>10000</t>
  </si>
  <si>
    <t>1.1</t>
  </si>
  <si>
    <t>0.005</t>
  </si>
  <si>
    <t>1800</t>
  </si>
  <si>
    <t>0.006</t>
  </si>
  <si>
    <t>0.025</t>
  </si>
  <si>
    <t>0.001</t>
  </si>
  <si>
    <t>0.07</t>
  </si>
  <si>
    <t>0.0038</t>
  </si>
  <si>
    <t>0.0019</t>
  </si>
  <si>
    <t>0.0069</t>
  </si>
  <si>
    <t>1500</t>
  </si>
  <si>
    <t>2300</t>
  </si>
  <si>
    <t>0.011</t>
  </si>
  <si>
    <t>0.0064</t>
  </si>
  <si>
    <t>0.064</t>
  </si>
  <si>
    <t>0.019</t>
  </si>
  <si>
    <t>0.023</t>
  </si>
  <si>
    <t>0.043</t>
  </si>
  <si>
    <t>0.0036</t>
  </si>
  <si>
    <t>0.002</t>
  </si>
  <si>
    <t>0.086</t>
  </si>
  <si>
    <t>0.0023</t>
  </si>
  <si>
    <t>0.036</t>
  </si>
  <si>
    <t>2.53</t>
  </si>
  <si>
    <t>0.056</t>
  </si>
  <si>
    <t>0.004</t>
  </si>
  <si>
    <t>2.2</t>
  </si>
  <si>
    <t>4e-04</t>
  </si>
  <si>
    <t>0.027</t>
  </si>
  <si>
    <t>0.018</t>
  </si>
  <si>
    <t>0.015</t>
  </si>
  <si>
    <t>0.014</t>
  </si>
  <si>
    <t>5e-04</t>
  </si>
  <si>
    <t>0.0032</t>
  </si>
  <si>
    <t>0.029</t>
  </si>
  <si>
    <t>0.003</t>
  </si>
  <si>
    <t>0.046</t>
  </si>
  <si>
    <t>0.035</t>
  </si>
  <si>
    <t>0.0035</t>
  </si>
  <si>
    <t>0.041</t>
  </si>
  <si>
    <t>0.083</t>
  </si>
  <si>
    <t>11000</t>
  </si>
  <si>
    <t>1e-04</t>
  </si>
  <si>
    <t>4840</t>
  </si>
  <si>
    <t>2e-04</t>
  </si>
  <si>
    <t>8e-04</t>
  </si>
  <si>
    <t>39.8</t>
  </si>
  <si>
    <t>9.7</t>
  </si>
  <si>
    <t>7e-05</t>
  </si>
  <si>
    <t>4.31</t>
  </si>
  <si>
    <t>2e-05</t>
  </si>
  <si>
    <t>7.4e-05</t>
  </si>
  <si>
    <t>0.00012</t>
  </si>
  <si>
    <t>0.14</t>
  </si>
  <si>
    <t>0.097</t>
  </si>
  <si>
    <t>0.012</t>
  </si>
  <si>
    <t>0.0065</t>
  </si>
  <si>
    <t>3e-04</t>
  </si>
  <si>
    <t>3400</t>
  </si>
  <si>
    <t>0.00075</t>
  </si>
  <si>
    <t>15346</t>
  </si>
  <si>
    <t>1705</t>
  </si>
  <si>
    <t>0.017</t>
  </si>
  <si>
    <t>https://echa.europa.eu/registration-dossier/-/registered-dossier/14683/6/1</t>
  </si>
  <si>
    <t>A total of 61 studies yielded 94 NOECs and a toxicity dataset which suggests that mortality, and effects
on growth, development and reproduction are most likely to occur between 0.0483 and and 2280 μg/L.
This finding is within the range for aquatic adverse estrogenic effects reported in the literature. A PNEC
of 0.06 μg/L was calculated. The 95% confidence interval was found to be (0.02, 3.40) μg/L (WrightWalters et al. 2011).</t>
  </si>
  <si>
    <t>https://www.waterboards.ca.gov/water_issues/programs/swamp/cec_aquatic/docs/cec_ecosystems_rpt.pdf</t>
  </si>
  <si>
    <t>https://echa.europa.eu/registration-dossier/-/registered-dossier/10085/6/1</t>
  </si>
  <si>
    <t>https://echa.europa.eu/registration-dossier/-/registered-dossier/5625/6/1</t>
  </si>
  <si>
    <t>https://echa.europa.eu/registration-dossier/-/registered-dossier/14869/6/1</t>
  </si>
  <si>
    <t>https://echa.europa.eu/registration-dossier/-/registered-dossier/14738/6/1</t>
  </si>
  <si>
    <t>https://echa.europa.eu/registration-dossier/-/registered-dossier/14365/6/1</t>
  </si>
  <si>
    <t>https://echa.europa.eu/registration-dossier/-/registered-dossier/14166/6/1</t>
  </si>
  <si>
    <t>Screening Values from ECHA Registration Dossier</t>
  </si>
  <si>
    <t>ECHA</t>
  </si>
  <si>
    <t>https://www.norman-network.com/nds/ecotox/lowestPnecsIndex.php</t>
  </si>
  <si>
    <t>Norman.SusDat.ID</t>
  </si>
  <si>
    <t>Scientific.name.Endpoint.Duration.Effect</t>
  </si>
  <si>
    <t>AF</t>
  </si>
  <si>
    <t>PNEC.type</t>
  </si>
  <si>
    <t>Lowest_PNEC (ug/L)</t>
  </si>
  <si>
    <t>NS00002749</t>
  </si>
  <si>
    <t>n.r.||n.r.|n.r.|n.r.</t>
  </si>
  <si>
    <t>PNEC aqua (freshwater)</t>
  </si>
  <si>
    <t>NS00010659</t>
  </si>
  <si>
    <t>Daphnia magna||LC50|48 h|mortality</t>
  </si>
  <si>
    <t>NS00005736</t>
  </si>
  <si>
    <t>JG-MKN (totaal)</t>
  </si>
  <si>
    <t>NS00010893</t>
  </si>
  <si>
    <t>Selenastrum capricornutum||EC50|72 h|immobilisation</t>
  </si>
  <si>
    <t>NS00000017</t>
  </si>
  <si>
    <t>Selenastrum capricornutum||IC50|72 h|growth rate</t>
  </si>
  <si>
    <t>NS00010259</t>
  </si>
  <si>
    <t>NS00006055</t>
  </si>
  <si>
    <t>NS00010535</t>
  </si>
  <si>
    <t>wettelijk JG-MKN (totaal)</t>
  </si>
  <si>
    <t>NS00000358</t>
  </si>
  <si>
    <t>NS00004779</t>
  </si>
  <si>
    <t>Daphnia magna||n.r.|n.r.|n.r.</t>
  </si>
  <si>
    <t>NS00002935</t>
  </si>
  <si>
    <t>NS00008052</t>
  </si>
  <si>
    <t>fish||n.r.|n.r.|n.r.</t>
  </si>
  <si>
    <t>AA-QSwater_eco</t>
  </si>
  <si>
    <t>NS00009439</t>
  </si>
  <si>
    <t>NS00020042</t>
  </si>
  <si>
    <t>NS00010261</t>
  </si>
  <si>
    <t>NS00007694</t>
  </si>
  <si>
    <t>Indicatief MTR (opgelost)</t>
  </si>
  <si>
    <t>NS00009421</t>
  </si>
  <si>
    <t>NS00005304</t>
  </si>
  <si>
    <t>NS00000247</t>
  </si>
  <si>
    <t>JD-UQN</t>
  </si>
  <si>
    <t>NS00000243</t>
  </si>
  <si>
    <t>Anabaena flos-aquae||n.r.|n.r.|n.r.</t>
  </si>
  <si>
    <t>NS00008243</t>
  </si>
  <si>
    <t>Americamysis bahia||n.r.|n.r.|n.r.</t>
  </si>
  <si>
    <t xml:space="preserve">PNEC chronic </t>
  </si>
  <si>
    <t>NS00005378</t>
  </si>
  <si>
    <t>NS00005223</t>
  </si>
  <si>
    <t>NS00000542</t>
  </si>
  <si>
    <t>NS00000277</t>
  </si>
  <si>
    <t>NS00004860</t>
  </si>
  <si>
    <t>NS00009329</t>
  </si>
  <si>
    <t>NS00010870</t>
  </si>
  <si>
    <t>NS00000031</t>
  </si>
  <si>
    <t>Oryzias latipes||n.r.|n.r.|n.r.</t>
  </si>
  <si>
    <t>NS00000330</t>
  </si>
  <si>
    <t>Pimephales promelas||n.r.|n.r.|n.r.</t>
  </si>
  <si>
    <t>NS00007812</t>
  </si>
  <si>
    <t>NS00010251</t>
  </si>
  <si>
    <t>NS00002503</t>
  </si>
  <si>
    <t>EQS biota</t>
  </si>
  <si>
    <t>NS00002522</t>
  </si>
  <si>
    <t>NS00008377</t>
  </si>
  <si>
    <t>NS00002590</t>
  </si>
  <si>
    <t>NS00000417</t>
  </si>
  <si>
    <t>NS00001027</t>
  </si>
  <si>
    <t>Pimephales promelas||LC50|96 h|mortality</t>
  </si>
  <si>
    <t>NS00004165</t>
  </si>
  <si>
    <t>NS00000451</t>
  </si>
  <si>
    <t>Oncorhynchus mykiss||n.r.|n.r.|n.r.</t>
  </si>
  <si>
    <t>NS00000215</t>
  </si>
  <si>
    <t>NS00000043</t>
  </si>
  <si>
    <t>Pseudokirchneriella subcapitata||n.r.|n.r.|n.r.</t>
  </si>
  <si>
    <t>NS00010134</t>
  </si>
  <si>
    <t>NS00009449</t>
  </si>
  <si>
    <t>NS00000048</t>
  </si>
  <si>
    <t>NS00000237</t>
  </si>
  <si>
    <t>NS00014228</t>
  </si>
  <si>
    <t>NS00010698</t>
  </si>
  <si>
    <t>invertebrates||n.r.|n.r.|n.r.</t>
  </si>
  <si>
    <t>NS00010876</t>
  </si>
  <si>
    <t>HC5||n.r.|n.r.|n.r.</t>
  </si>
  <si>
    <t>NS00000281</t>
  </si>
  <si>
    <t>NS00005153</t>
  </si>
  <si>
    <t>NS00008031</t>
  </si>
  <si>
    <t>NS00040676</t>
  </si>
  <si>
    <t>NS00009484</t>
  </si>
  <si>
    <t>NS00009893</t>
  </si>
  <si>
    <t>NS00010810</t>
  </si>
  <si>
    <t>NS00010416</t>
  </si>
  <si>
    <t>NS00000034</t>
  </si>
  <si>
    <t>NS00005279</t>
  </si>
  <si>
    <t>NS00000354</t>
  </si>
  <si>
    <t>Desmodesmus subspicatus||n.r.|n.r.|n.r.</t>
  </si>
  <si>
    <t>NS00009478</t>
  </si>
  <si>
    <t>NS00000204</t>
  </si>
  <si>
    <t>Microcystis aeruginosa||n.r.|n.r.|n.r.</t>
  </si>
  <si>
    <t>NS00008908</t>
  </si>
  <si>
    <t>Daphnia magna||EC50|48 h|immobilisation</t>
  </si>
  <si>
    <t>NS00000386</t>
  </si>
  <si>
    <t>NS00010515</t>
  </si>
  <si>
    <t>NS00004439</t>
  </si>
  <si>
    <t>NS00003845</t>
  </si>
  <si>
    <t>NS00000481</t>
  </si>
  <si>
    <t>Raphidocelis subcapitata||n.r.|n.r.|n.r.</t>
  </si>
  <si>
    <t>NS00013192</t>
  </si>
  <si>
    <t>NS00006748</t>
  </si>
  <si>
    <t>NS00015281</t>
  </si>
  <si>
    <t>NS00009683</t>
  </si>
  <si>
    <t>NS00005056</t>
  </si>
  <si>
    <t>NS00001194</t>
  </si>
  <si>
    <t>NS00000420</t>
  </si>
  <si>
    <t>NS00007781</t>
  </si>
  <si>
    <t>NS00038077</t>
  </si>
  <si>
    <t>NS00005139</t>
  </si>
  <si>
    <t>NS00008865</t>
  </si>
  <si>
    <t>Salmo trutta||n.r.|n.r.|n.r.</t>
  </si>
  <si>
    <t>AA-EQS</t>
  </si>
  <si>
    <t>NS00008782</t>
  </si>
  <si>
    <t>Fundulus heteroclitus||n.r.|n.r.|n.r.</t>
  </si>
  <si>
    <t>NS00002063</t>
  </si>
  <si>
    <t>NS00000030</t>
  </si>
  <si>
    <t>P-PNEC exp</t>
  </si>
  <si>
    <t>NS00005646</t>
  </si>
  <si>
    <t>NS00002496</t>
  </si>
  <si>
    <t>NS00005755</t>
  </si>
  <si>
    <t>NS00010389</t>
  </si>
  <si>
    <t>Oncorhynchus mykiss||LC50|96 h|mortality</t>
  </si>
  <si>
    <t>NS00010911</t>
  </si>
  <si>
    <t>NS00001857</t>
  </si>
  <si>
    <t>NS00008741</t>
  </si>
  <si>
    <t>NS00002729</t>
  </si>
  <si>
    <t>NS00009400</t>
  </si>
  <si>
    <t>NS00008140</t>
  </si>
  <si>
    <t>NS00022798</t>
  </si>
  <si>
    <t>NS00002264</t>
  </si>
  <si>
    <t>NS00000540</t>
  </si>
  <si>
    <t>NS00010392</t>
  </si>
  <si>
    <t>NS00000411</t>
  </si>
  <si>
    <t>NS00010189</t>
  </si>
  <si>
    <t>NS00004752</t>
  </si>
  <si>
    <t>NS00000379</t>
  </si>
  <si>
    <t>NS00008670</t>
  </si>
  <si>
    <t>NS00010411</t>
  </si>
  <si>
    <t>NS00000391</t>
  </si>
  <si>
    <t>NS00009977</t>
  </si>
  <si>
    <t>NS00008168</t>
  </si>
  <si>
    <t>NS00010443</t>
  </si>
  <si>
    <t>NS00015409</t>
  </si>
  <si>
    <t>NS00003762</t>
  </si>
  <si>
    <t>NS00005221</t>
  </si>
  <si>
    <t>NS00008385</t>
  </si>
  <si>
    <t>NS00000544</t>
  </si>
  <si>
    <t>NS00002299</t>
  </si>
  <si>
    <t>Cyprinodon variegatus||NOEC|28 d|mortality</t>
  </si>
  <si>
    <t>NS00004895</t>
  </si>
  <si>
    <t>NS00009482</t>
  </si>
  <si>
    <t>NS00009762</t>
  </si>
  <si>
    <t>NS00000211</t>
  </si>
  <si>
    <t>NS00003806</t>
  </si>
  <si>
    <t>NS00004942</t>
  </si>
  <si>
    <t>NS00007673</t>
  </si>
  <si>
    <t>NS00009622</t>
  </si>
  <si>
    <t>NS00010269</t>
  </si>
  <si>
    <t>NS00002973</t>
  </si>
  <si>
    <t>MTR (totaal)</t>
  </si>
  <si>
    <t>NS00007051</t>
  </si>
  <si>
    <t>NS00003861</t>
  </si>
  <si>
    <t>NS00000268</t>
  </si>
  <si>
    <t>NS00066941</t>
  </si>
  <si>
    <t>NS00000018</t>
  </si>
  <si>
    <t>NS00022718</t>
  </si>
  <si>
    <t>NS00009273</t>
  </si>
  <si>
    <t>Unknown species ||n.r.|n.r.|n.r.</t>
  </si>
  <si>
    <t>NS00010274</t>
  </si>
  <si>
    <t>Daphnia longispina||n.r.|n.r.|n.r.</t>
  </si>
  <si>
    <t>NS00002988</t>
  </si>
  <si>
    <t>NS00008955</t>
  </si>
  <si>
    <t>Psetta maxima||NOEC|96 h|n.r.</t>
  </si>
  <si>
    <t>NS00009098</t>
  </si>
  <si>
    <t>NS00007224</t>
  </si>
  <si>
    <t>NS00000409</t>
  </si>
  <si>
    <t>NS00008067</t>
  </si>
  <si>
    <t>NS00004446</t>
  </si>
  <si>
    <t>NS00000209</t>
  </si>
  <si>
    <t>Ceriodaphnia dubia||n.r.|n.r.|n.r.</t>
  </si>
  <si>
    <t>NS00004778</t>
  </si>
  <si>
    <t>NS00000223</t>
  </si>
  <si>
    <t>NS00006836</t>
  </si>
  <si>
    <t>NS00000333</t>
  </si>
  <si>
    <t>NS00006293</t>
  </si>
  <si>
    <t>NS00010890</t>
  </si>
  <si>
    <t>NS00000107</t>
  </si>
  <si>
    <t>NS00001371</t>
  </si>
  <si>
    <t>NS00000697</t>
  </si>
  <si>
    <t>NS00021309</t>
  </si>
  <si>
    <t>NS00007606</t>
  </si>
  <si>
    <t>NS00006244</t>
  </si>
  <si>
    <t>NS00000484</t>
  </si>
  <si>
    <t>NS00000487</t>
  </si>
  <si>
    <t>NS00006900</t>
  </si>
  <si>
    <t>NS00008490</t>
  </si>
  <si>
    <t>Hyalella azteca||n.r.|n.r.|n.r.</t>
  </si>
  <si>
    <t>NS00000037</t>
  </si>
  <si>
    <t>NS00000218</t>
  </si>
  <si>
    <t>NS00040814</t>
  </si>
  <si>
    <t>NS00010640</t>
  </si>
  <si>
    <t>NS00010419</t>
  </si>
  <si>
    <t>NS00010423</t>
  </si>
  <si>
    <t>NS00000287</t>
  </si>
  <si>
    <t>NS00098501</t>
  </si>
  <si>
    <t>NS00000384</t>
  </si>
  <si>
    <t>Baetis rhodani||n.r.|n.r.|n.r.</t>
  </si>
  <si>
    <t>NS00007748</t>
  </si>
  <si>
    <t>NS00004728</t>
  </si>
  <si>
    <t>algae||n.r.|n.r.|n.r.</t>
  </si>
  <si>
    <t>NS00009814</t>
  </si>
  <si>
    <t>NS00000220</t>
  </si>
  <si>
    <t>NS00000335</t>
  </si>
  <si>
    <t>JD-UQN proposal</t>
  </si>
  <si>
    <t>NS00009362</t>
  </si>
  <si>
    <t>NS00008437</t>
  </si>
  <si>
    <t>NS00000035</t>
  </si>
  <si>
    <t>NS00008947</t>
  </si>
  <si>
    <t>NS00009000</t>
  </si>
  <si>
    <t>NS00000258</t>
  </si>
  <si>
    <t>Selenastrum capricornutum||n.r.|n.r.|n.r.</t>
  </si>
  <si>
    <t>NS00009250</t>
  </si>
  <si>
    <t>NS00008351</t>
  </si>
  <si>
    <t>NS00000586</t>
  </si>
  <si>
    <t>NS00000343</t>
  </si>
  <si>
    <t>NS00002327</t>
  </si>
  <si>
    <t>NS00010439</t>
  </si>
  <si>
    <t>NS00010258</t>
  </si>
  <si>
    <t>NS00007634</t>
  </si>
  <si>
    <t>NS00000273</t>
  </si>
  <si>
    <t>NS00005787</t>
  </si>
  <si>
    <t>NS00000413</t>
  </si>
  <si>
    <t>Pimephales promelas||NOEC|28 d|weight</t>
  </si>
  <si>
    <t>NS00004996</t>
  </si>
  <si>
    <t>NS00004244</t>
  </si>
  <si>
    <t>NS00008808</t>
  </si>
  <si>
    <t>NS00009544</t>
  </si>
  <si>
    <t>NS00010290</t>
  </si>
  <si>
    <t>NS00005181</t>
  </si>
  <si>
    <t>NS00000380</t>
  </si>
  <si>
    <t>NS00000500</t>
  </si>
  <si>
    <t>NS00004611</t>
  </si>
  <si>
    <t>NS00010721</t>
  </si>
  <si>
    <t>NS00000194</t>
  </si>
  <si>
    <t>NS00000548</t>
  </si>
  <si>
    <t>NS00015075</t>
  </si>
  <si>
    <t>NS00001573</t>
  </si>
  <si>
    <t>NS00000320</t>
  </si>
  <si>
    <t>NS00005608</t>
  </si>
  <si>
    <t>NS00007349</t>
  </si>
  <si>
    <t>NS00000442</t>
  </si>
  <si>
    <t>NS00008662</t>
  </si>
  <si>
    <t>NS00000284</t>
  </si>
  <si>
    <t>Danio rerio||n.r.|n.r.|n.r.</t>
  </si>
  <si>
    <t>NS00001955</t>
  </si>
  <si>
    <t>NS00009638</t>
  </si>
  <si>
    <t>NS00008630</t>
  </si>
  <si>
    <t>NS00010512</t>
  </si>
  <si>
    <t>NS00010445</t>
  </si>
  <si>
    <t>Lepomis macrochirus||n.r.|n.r.|n.r.</t>
  </si>
  <si>
    <t>NS00000217</t>
  </si>
  <si>
    <t>NS00008183</t>
  </si>
  <si>
    <t>NS00008407</t>
  </si>
  <si>
    <t>NS00001031</t>
  </si>
  <si>
    <t>NS00009562</t>
  </si>
  <si>
    <t>NS00002516</t>
  </si>
  <si>
    <t>NS00010356</t>
  </si>
  <si>
    <t>NS00007844</t>
  </si>
  <si>
    <t>NS00002067</t>
  </si>
  <si>
    <t>NS00000196</t>
  </si>
  <si>
    <t>NS00000313</t>
  </si>
  <si>
    <t>NS00006725</t>
  </si>
  <si>
    <t>NS00008665</t>
  </si>
  <si>
    <t>Pimephales promelas||IC50|72 h|growth rate</t>
  </si>
  <si>
    <t>NS00000457</t>
  </si>
  <si>
    <t>NS00000248</t>
  </si>
  <si>
    <t>Scenedesmus subspicatus||n.r.|n.r.|n.r.</t>
  </si>
  <si>
    <t>NS00000337</t>
  </si>
  <si>
    <t>NS00003058</t>
  </si>
  <si>
    <t>NS00011484</t>
  </si>
  <si>
    <t>NS00000658</t>
  </si>
  <si>
    <t>NS00000613</t>
  </si>
  <si>
    <t>NS00003399</t>
  </si>
  <si>
    <t>NS00000032</t>
  </si>
  <si>
    <t>NS00000675</t>
  </si>
  <si>
    <t>NS00006321</t>
  </si>
  <si>
    <t>NS00008970</t>
  </si>
  <si>
    <t>NS00000394</t>
  </si>
  <si>
    <t>NS00000570</t>
  </si>
  <si>
    <t>NS00000339</t>
  </si>
  <si>
    <t>NS00010275</t>
  </si>
  <si>
    <t>NS00000344</t>
  </si>
  <si>
    <t>NS00000285</t>
  </si>
  <si>
    <t>NS00010263</t>
  </si>
  <si>
    <t>Lemna gibba||n.r.|n.r.|n.r.</t>
  </si>
  <si>
    <t>NS00000425</t>
  </si>
  <si>
    <t>NS00010430</t>
  </si>
  <si>
    <t>NS00010059</t>
  </si>
  <si>
    <t>NS00008403</t>
  </si>
  <si>
    <t>NS00000044</t>
  </si>
  <si>
    <t>NS00010396</t>
  </si>
  <si>
    <t>NS00000559</t>
  </si>
  <si>
    <t>NS00006884</t>
  </si>
  <si>
    <t>NS00000501</t>
  </si>
  <si>
    <t>NS00010455</t>
  </si>
  <si>
    <t>Selenastrum capricornutum||LC50|96 h|mortality</t>
  </si>
  <si>
    <t>NS00000219</t>
  </si>
  <si>
    <t>NS00010209</t>
  </si>
  <si>
    <t>NS00009128</t>
  </si>
  <si>
    <t>NS00008209</t>
  </si>
  <si>
    <t>NS00000529</t>
  </si>
  <si>
    <t>NS00000601</t>
  </si>
  <si>
    <t>NS00010256</t>
  </si>
  <si>
    <t>NS00007571</t>
  </si>
  <si>
    <t>NS00030549</t>
  </si>
  <si>
    <t>NS00008747</t>
  </si>
  <si>
    <t>NS00006901</t>
  </si>
  <si>
    <t>NS00000279</t>
  </si>
  <si>
    <t>NS00010429</t>
  </si>
  <si>
    <t>NS00000327</t>
  </si>
  <si>
    <t>NS00015466</t>
  </si>
  <si>
    <t>NS00007746</t>
  </si>
  <si>
    <t>NS00001111</t>
  </si>
  <si>
    <t>NS00000266</t>
  </si>
  <si>
    <t>NS00009540</t>
  </si>
  <si>
    <t>NS00000045</t>
  </si>
  <si>
    <t>NS00000455</t>
  </si>
  <si>
    <t>NS00000397</t>
  </si>
  <si>
    <t>NS00008710</t>
  </si>
  <si>
    <t>NS00000067</t>
  </si>
  <si>
    <t>NS00001717</t>
  </si>
  <si>
    <t>NS00005719</t>
  </si>
  <si>
    <t>NS00000057</t>
  </si>
  <si>
    <t>NS00010282</t>
  </si>
  <si>
    <t>Pseudokirchnerella subcapitata (Raphidocelis subcapitata/Selenastrum capricornutum)|NOEC|72 h|Yield</t>
  </si>
  <si>
    <t>CQC_ad hoc</t>
  </si>
  <si>
    <t>NS00000381</t>
  </si>
  <si>
    <t>NS00000101</t>
  </si>
  <si>
    <t>NS00009629</t>
  </si>
  <si>
    <t>NS00008266</t>
  </si>
  <si>
    <t>NS00010461</t>
  </si>
  <si>
    <t>NS00000265</t>
  </si>
  <si>
    <t>NS00000702</t>
  </si>
  <si>
    <t>NS00004448</t>
  </si>
  <si>
    <t>NS00000246</t>
  </si>
  <si>
    <t>NS00003670</t>
  </si>
  <si>
    <t>NS00000064</t>
  </si>
  <si>
    <t>NS00006080</t>
  </si>
  <si>
    <t>NS00000600</t>
  </si>
  <si>
    <t>NS00001921</t>
  </si>
  <si>
    <t>NS00009646</t>
  </si>
  <si>
    <t>NS00000406</t>
  </si>
  <si>
    <t>NS00000207</t>
  </si>
  <si>
    <t>NS00002187</t>
  </si>
  <si>
    <t>NS00007855</t>
  </si>
  <si>
    <t>NS00010509</t>
  </si>
  <si>
    <t>Daphnia galeata||n.r.|n.r.|n.r.</t>
  </si>
  <si>
    <t>NS00010437</t>
  </si>
  <si>
    <t>NS00000445</t>
  </si>
  <si>
    <t>NS00010385</t>
  </si>
  <si>
    <t>NS00009815</t>
  </si>
  <si>
    <t>NS00010452</t>
  </si>
  <si>
    <t>NS00004235</t>
  </si>
  <si>
    <t>NS00000396</t>
  </si>
  <si>
    <t>NS00010016</t>
  </si>
  <si>
    <t>NS00009049</t>
  </si>
  <si>
    <t>NS00002719</t>
  </si>
  <si>
    <t>NS00004130</t>
  </si>
  <si>
    <t>NS00000359</t>
  </si>
  <si>
    <t>NS00004600</t>
  </si>
  <si>
    <t>NS00004502</t>
  </si>
  <si>
    <t>NS00000338</t>
  </si>
  <si>
    <t>NS00003875</t>
  </si>
  <si>
    <t>NS00000696</t>
  </si>
  <si>
    <t>NS00008120</t>
  </si>
  <si>
    <t>NS00002250</t>
  </si>
  <si>
    <t>NS00006320</t>
  </si>
  <si>
    <t>NS00010281</t>
  </si>
  <si>
    <t>NS00000328</t>
  </si>
  <si>
    <t>NS00021939</t>
  </si>
  <si>
    <t>NS00000236</t>
  </si>
  <si>
    <t>NS00000399</t>
  </si>
  <si>
    <t>NS00000560</t>
  </si>
  <si>
    <t>NS00027512</t>
  </si>
  <si>
    <t>NS00002680</t>
  </si>
  <si>
    <t>NS00000282</t>
  </si>
  <si>
    <t>NS00009619</t>
  </si>
  <si>
    <t>NS00002473</t>
  </si>
  <si>
    <t>NS00004478</t>
  </si>
  <si>
    <t>NS00010302</t>
  </si>
  <si>
    <t>NS00001635</t>
  </si>
  <si>
    <t>NS00006783</t>
  </si>
  <si>
    <t>NS00000710</t>
  </si>
  <si>
    <t>NS00004552</t>
  </si>
  <si>
    <t>NS00000385</t>
  </si>
  <si>
    <t>NS00027226</t>
  </si>
  <si>
    <t>NS00027190</t>
  </si>
  <si>
    <t>NS00010408</t>
  </si>
  <si>
    <t>NS00000134</t>
  </si>
  <si>
    <t>NS00000706</t>
  </si>
  <si>
    <t>NS00000216</t>
  </si>
  <si>
    <t>NS00010720</t>
  </si>
  <si>
    <t>NS00000383</t>
  </si>
  <si>
    <t>MTR (opgelost)</t>
  </si>
  <si>
    <t>NS00010278</t>
  </si>
  <si>
    <t>NS00000255</t>
  </si>
  <si>
    <t>Scenedesmus quadricauda||n.r.|n.r.|n.r.</t>
  </si>
  <si>
    <t>NS00026846</t>
  </si>
  <si>
    <t>NS00000269</t>
  </si>
  <si>
    <t>NS00008254</t>
  </si>
  <si>
    <t>NS00002064</t>
  </si>
  <si>
    <t>NS00001636</t>
  </si>
  <si>
    <t>NS00010697</t>
  </si>
  <si>
    <t>NS00009517</t>
  </si>
  <si>
    <t>NS00001476</t>
  </si>
  <si>
    <t>NS00003847</t>
  </si>
  <si>
    <t>NS00010700</t>
  </si>
  <si>
    <t>NS00006596</t>
  </si>
  <si>
    <t>NS00000242</t>
  </si>
  <si>
    <t>NS00003661</t>
  </si>
  <si>
    <t>NS00000352</t>
  </si>
  <si>
    <t>NS00008410</t>
  </si>
  <si>
    <t>NS00006903</t>
  </si>
  <si>
    <t>NS00000254</t>
  </si>
  <si>
    <t>NS00000622</t>
  </si>
  <si>
    <t>NS00007842</t>
  </si>
  <si>
    <t>NS00009230</t>
  </si>
  <si>
    <t>NS00000301</t>
  </si>
  <si>
    <t>NS00010453</t>
  </si>
  <si>
    <t>NS00009462</t>
  </si>
  <si>
    <t>NS00008394</t>
  </si>
  <si>
    <t>NS00002471</t>
  </si>
  <si>
    <t>NS00000253</t>
  </si>
  <si>
    <t>Anabaena flosaquae||NOEC|120 h|growth rate</t>
  </si>
  <si>
    <t>NS00001774</t>
  </si>
  <si>
    <t>NS00000262</t>
  </si>
  <si>
    <t>NS00000515</t>
  </si>
  <si>
    <t>NS00001129</t>
  </si>
  <si>
    <t>NS00001012</t>
  </si>
  <si>
    <t>NS00000302</t>
  </si>
  <si>
    <t>NS00000058</t>
  </si>
  <si>
    <t>NS00007395</t>
  </si>
  <si>
    <t>NS00000701</t>
  </si>
  <si>
    <t>NS00005120</t>
  </si>
  <si>
    <t>NS00000415</t>
  </si>
  <si>
    <t>NS00008463</t>
  </si>
  <si>
    <t>NS00007365</t>
  </si>
  <si>
    <t>NS00008748</t>
  </si>
  <si>
    <t>NS00053885</t>
  </si>
  <si>
    <t>NS00009990</t>
  </si>
  <si>
    <t>NS00000390</t>
  </si>
  <si>
    <t>NS00025670</t>
  </si>
  <si>
    <t>NS00006532</t>
  </si>
  <si>
    <t>NS00010518</t>
  </si>
  <si>
    <t>NS00000295</t>
  </si>
  <si>
    <t>NS00002556</t>
  </si>
  <si>
    <t>NS00005694</t>
  </si>
  <si>
    <t>NS00008271</t>
  </si>
  <si>
    <t>NS00010315</t>
  </si>
  <si>
    <t>NS00000535</t>
  </si>
  <si>
    <t>NS00000084</t>
  </si>
  <si>
    <t>NS00000085</t>
  </si>
  <si>
    <t>NS00000705</t>
  </si>
  <si>
    <t>NS00008042</t>
  </si>
  <si>
    <t>NS00000434</t>
  </si>
  <si>
    <t>NS00010289</t>
  </si>
  <si>
    <t>NS00010257</t>
  </si>
  <si>
    <t>NS00000252</t>
  </si>
  <si>
    <t>NS00001064</t>
  </si>
  <si>
    <t>NS00008982</t>
  </si>
  <si>
    <t>NS00025130</t>
  </si>
  <si>
    <t>NS00010602</t>
  </si>
  <si>
    <t>NS00000604</t>
  </si>
  <si>
    <t>NS00000025</t>
  </si>
  <si>
    <t>NS00000133</t>
  </si>
  <si>
    <t>NS00004430</t>
  </si>
  <si>
    <t>NS00000212</t>
  </si>
  <si>
    <t>Oncorhynchus mykiss ||n.r.|n.r.|n.r.</t>
  </si>
  <si>
    <t>NS00005723</t>
  </si>
  <si>
    <t>NS00000245</t>
  </si>
  <si>
    <t>NS00007958</t>
  </si>
  <si>
    <t>NS00000537</t>
  </si>
  <si>
    <t>NS00040684</t>
  </si>
  <si>
    <t>NS00000041</t>
  </si>
  <si>
    <t>NS00002083</t>
  </si>
  <si>
    <t>NS00000005</t>
  </si>
  <si>
    <t>NS00010405</t>
  </si>
  <si>
    <t>NS00008540</t>
  </si>
  <si>
    <t>NS00053913</t>
  </si>
  <si>
    <t>NS00010517</t>
  </si>
  <si>
    <t>NS00000584</t>
  </si>
  <si>
    <t>NS00001795</t>
  </si>
  <si>
    <t>NS00007208</t>
  </si>
  <si>
    <t>NS00010878</t>
  </si>
  <si>
    <t>NS00000652</t>
  </si>
  <si>
    <t>NS00008649</t>
  </si>
  <si>
    <t>NS00001544</t>
  </si>
  <si>
    <t>NS00010359</t>
  </si>
  <si>
    <t>NS00000378</t>
  </si>
  <si>
    <t>Cyanobacteria||n.r.|n.r.|n.r.</t>
  </si>
  <si>
    <t>NS00003906</t>
  </si>
  <si>
    <t>NS00000387</t>
  </si>
  <si>
    <t>NS00000361</t>
  </si>
  <si>
    <t>HC5|n.r.|n.r.|n.r.</t>
  </si>
  <si>
    <t>NS00000341</t>
  </si>
  <si>
    <t>NS00000027</t>
  </si>
  <si>
    <t>NS00006301</t>
  </si>
  <si>
    <t>NS00002545</t>
  </si>
  <si>
    <t>NS00008943</t>
  </si>
  <si>
    <t>NS00010388</t>
  </si>
  <si>
    <t>Fish||n.r.|n.r.|n.r.</t>
  </si>
  <si>
    <t>NS00009572</t>
  </si>
  <si>
    <t>NS00007385</t>
  </si>
  <si>
    <t>NS00000347</t>
  </si>
  <si>
    <t>NS00004317</t>
  </si>
  <si>
    <t>NS00010492</t>
  </si>
  <si>
    <t>NS00007004</t>
  </si>
  <si>
    <t>NS00000221</t>
  </si>
  <si>
    <t>NS00009054</t>
  </si>
  <si>
    <t>NS00009500</t>
  </si>
  <si>
    <t>NS00054660</t>
  </si>
  <si>
    <t>NS00008357</t>
  </si>
  <si>
    <t>NS00002675</t>
  </si>
  <si>
    <t>NS00003432</t>
  </si>
  <si>
    <t>NS00000685</t>
  </si>
  <si>
    <t>NS00009778</t>
  </si>
  <si>
    <t>JG-MKN (opgelost)</t>
  </si>
  <si>
    <t>NS00001394</t>
  </si>
  <si>
    <t>NS00001124</t>
  </si>
  <si>
    <t>NS00002397</t>
  </si>
  <si>
    <t>NS00009904</t>
  </si>
  <si>
    <t>NS00001912</t>
  </si>
  <si>
    <t>NS00004959</t>
  </si>
  <si>
    <t>NS00009020</t>
  </si>
  <si>
    <t>NS00010701</t>
  </si>
  <si>
    <t>NS00004674</t>
  </si>
  <si>
    <t>NS00009445</t>
  </si>
  <si>
    <t>NS00010255</t>
  </si>
  <si>
    <t>NS00101930</t>
  </si>
  <si>
    <t>NS00040816</t>
  </si>
  <si>
    <t>NS00011725</t>
  </si>
  <si>
    <t>NS00008569</t>
  </si>
  <si>
    <t>NS00008671</t>
  </si>
  <si>
    <t>NS00009201</t>
  </si>
  <si>
    <t>NS00000558</t>
  </si>
  <si>
    <t>NS00009305</t>
  </si>
  <si>
    <t>NS00000574</t>
  </si>
  <si>
    <t>NS00000244</t>
  </si>
  <si>
    <t>NS00008760</t>
  </si>
  <si>
    <t>NS00000200</t>
  </si>
  <si>
    <t>NS00001740</t>
  </si>
  <si>
    <t>NS00040771</t>
  </si>
  <si>
    <t>NS00006719</t>
  </si>
  <si>
    <t>NS00004452</t>
  </si>
  <si>
    <t>NS00010849</t>
  </si>
  <si>
    <t>NS00010699</t>
  </si>
  <si>
    <t>NS00000349</t>
  </si>
  <si>
    <t>Myodopsis bahia||NOEC|28 d|body length</t>
  </si>
  <si>
    <t>RAC</t>
  </si>
  <si>
    <t>NS00000350</t>
  </si>
  <si>
    <t>NS00000351</t>
  </si>
  <si>
    <t>NS00010835</t>
  </si>
  <si>
    <t>NS00010632</t>
  </si>
  <si>
    <t>NS00008765</t>
  </si>
  <si>
    <t>NS00010702</t>
  </si>
  <si>
    <t>NS00010909</t>
  </si>
  <si>
    <t>NS00003651</t>
  </si>
  <si>
    <t>NS00008615</t>
  </si>
  <si>
    <t>NS00000083</t>
  </si>
  <si>
    <t>NS00010387</t>
  </si>
  <si>
    <t>Scenedesmus subspicatus||NOEC|n.r.|n.r.</t>
  </si>
  <si>
    <t>NS00010271</t>
  </si>
  <si>
    <t>NS00007143</t>
  </si>
  <si>
    <t>NS00008822</t>
  </si>
  <si>
    <t>Lemna minor||n.r.|n.r.|n.r.</t>
  </si>
  <si>
    <t>NS00000438</t>
  </si>
  <si>
    <t>NS00010600</t>
  </si>
  <si>
    <t>NS00000203</t>
  </si>
  <si>
    <t>NS00010412</t>
  </si>
  <si>
    <t>NS00044590</t>
  </si>
  <si>
    <t>NS00007887</t>
  </si>
  <si>
    <t>NS00000709</t>
  </si>
  <si>
    <t>NS00008411</t>
  </si>
  <si>
    <t>NS00010395</t>
  </si>
  <si>
    <t>NS00000063</t>
  </si>
  <si>
    <t>NS00003816</t>
  </si>
  <si>
    <t>NS00010045</t>
  </si>
  <si>
    <t>NS00007814</t>
  </si>
  <si>
    <t>NS00023502</t>
  </si>
  <si>
    <t>NS00000280</t>
  </si>
  <si>
    <t>NS00010822</t>
  </si>
  <si>
    <t>NS00008242</t>
  </si>
  <si>
    <t>NS00000033</t>
  </si>
  <si>
    <t>NS00010265</t>
  </si>
  <si>
    <t>NS00004706</t>
  </si>
  <si>
    <t>NS00010353</t>
  </si>
  <si>
    <t>NS00001885</t>
  </si>
  <si>
    <t>NS00005486</t>
  </si>
  <si>
    <t>NS00000231</t>
  </si>
  <si>
    <t>NS00009397</t>
  </si>
  <si>
    <t>NS00009999</t>
  </si>
  <si>
    <t>NS00000336</t>
  </si>
  <si>
    <t>NS00008735</t>
  </si>
  <si>
    <t>NS00010000</t>
  </si>
  <si>
    <t>NS00008890</t>
  </si>
  <si>
    <t>NS00001144</t>
  </si>
  <si>
    <t>NS00002274</t>
  </si>
  <si>
    <t>NS00000454</t>
  </si>
  <si>
    <t>NS00010154</t>
  </si>
  <si>
    <t>NS00006016</t>
  </si>
  <si>
    <t>NS00000401</t>
  </si>
  <si>
    <t>NS00009730</t>
  </si>
  <si>
    <t>NS00000261</t>
  </si>
  <si>
    <t>NS00000208</t>
  </si>
  <si>
    <t>NS00007907</t>
  </si>
  <si>
    <t>NS00010201</t>
  </si>
  <si>
    <t>NS00010905</t>
  </si>
  <si>
    <t>NS00018374</t>
  </si>
  <si>
    <t>NS00008517</t>
  </si>
  <si>
    <t>NS00010906</t>
  </si>
  <si>
    <t>NS00005234</t>
  </si>
  <si>
    <t>NS00008414</t>
  </si>
  <si>
    <t>NS00002296</t>
  </si>
  <si>
    <t>NS00009155</t>
  </si>
  <si>
    <t>NS00010299</t>
  </si>
  <si>
    <t>NS00009656</t>
  </si>
  <si>
    <t>NS00010899</t>
  </si>
  <si>
    <t>NS00010902</t>
  </si>
  <si>
    <t>NS00008601</t>
  </si>
  <si>
    <t>NS00009153</t>
  </si>
  <si>
    <t>NS00010626</t>
  </si>
  <si>
    <t>NS00011899</t>
  </si>
  <si>
    <t>NS00011898</t>
  </si>
  <si>
    <t>NS00008525</t>
  </si>
  <si>
    <t>NS00011860</t>
  </si>
  <si>
    <t>NS00000403</t>
  </si>
  <si>
    <t>NS00002718</t>
  </si>
  <si>
    <t>NS00003308</t>
  </si>
  <si>
    <t>NS00008620</t>
  </si>
  <si>
    <t>NS00010889</t>
  </si>
  <si>
    <t>NS00009585</t>
  </si>
  <si>
    <t>NS00008160</t>
  </si>
  <si>
    <t>NS00007007</t>
  </si>
  <si>
    <t>NS00000210</t>
  </si>
  <si>
    <t>NS00007904</t>
  </si>
  <si>
    <t>NS00000224</t>
  </si>
  <si>
    <t>NS00011646</t>
  </si>
  <si>
    <t>NS00010598</t>
  </si>
  <si>
    <t>NS00000179</t>
  </si>
  <si>
    <t>NS00021834</t>
  </si>
  <si>
    <t>NS00007424</t>
  </si>
  <si>
    <t>NS00001618</t>
  </si>
  <si>
    <t>NS00010051</t>
  </si>
  <si>
    <t>NS00011661</t>
  </si>
  <si>
    <t>NS00011893</t>
  </si>
  <si>
    <t>NS00002775</t>
  </si>
  <si>
    <t>NS00007577</t>
  </si>
  <si>
    <t>NS00000677</t>
  </si>
  <si>
    <t>NS00000198</t>
  </si>
  <si>
    <t>NS00000230</t>
  </si>
  <si>
    <t>NS00000222</t>
  </si>
  <si>
    <t>NS00011270</t>
  </si>
  <si>
    <t>NS00000369</t>
  </si>
  <si>
    <t>NS00009617</t>
  </si>
  <si>
    <t>NS00000367</t>
  </si>
  <si>
    <t>NS00000366</t>
  </si>
  <si>
    <t>NS00000368</t>
  </si>
  <si>
    <t>NS00009389</t>
  </si>
  <si>
    <t>Chironomus riparius||n.r.|n.r.|n.r.</t>
  </si>
  <si>
    <t>NS00000365</t>
  </si>
  <si>
    <t>NS00000370</t>
  </si>
  <si>
    <t>NS00010142</t>
  </si>
  <si>
    <t>NS00000114</t>
  </si>
  <si>
    <t>NS00000345</t>
  </si>
  <si>
    <t>NS00008310</t>
  </si>
  <si>
    <t>NS00000199</t>
  </si>
  <si>
    <t>NS00021442</t>
  </si>
  <si>
    <t>NS00000202</t>
  </si>
  <si>
    <t>NS00098500</t>
  </si>
  <si>
    <t>NS00008419</t>
  </si>
  <si>
    <t>NS00015679</t>
  </si>
  <si>
    <t>NS00000704</t>
  </si>
  <si>
    <t>NS00001402</t>
  </si>
  <si>
    <t>NS00003436</t>
  </si>
  <si>
    <t>NS00008832</t>
  </si>
  <si>
    <t>NS00013899</t>
  </si>
  <si>
    <t>NS00005731</t>
  </si>
  <si>
    <t>NS00005725</t>
  </si>
  <si>
    <t>NS00000446</t>
  </si>
  <si>
    <t>NS00000250</t>
  </si>
  <si>
    <t>NS00024743</t>
  </si>
  <si>
    <t>NS00042419</t>
  </si>
  <si>
    <t>NS00027888</t>
  </si>
  <si>
    <t>NS00027492</t>
  </si>
  <si>
    <t>NS00007467</t>
  </si>
  <si>
    <t>NS00002795</t>
  </si>
  <si>
    <t>NS00008928</t>
  </si>
  <si>
    <t>NS00021568</t>
  </si>
  <si>
    <t>NS00020350</t>
  </si>
  <si>
    <t>NS00004697</t>
  </si>
  <si>
    <t>NS00003533</t>
  </si>
  <si>
    <t>NS00010742</t>
  </si>
  <si>
    <t>NS00027630</t>
  </si>
  <si>
    <t>Great Lakes Initiative Clearinghouse resources, Tier II criteria revised 2013 (http://www2.epa.gov/glichlearinghouse).</t>
  </si>
  <si>
    <t>National Recommended Water Quality Criteria (http://water.epa.gov/scitech/swguidance/standards/criteria/current/index.cfm)</t>
  </si>
  <si>
    <t>Suter, G.W. II, and Tsao, C.L. 1996. Toxicological benchmarks for screening potential contaminants of concern  on aquatic biota: 1996 Revision ES/ER/TM-96/R2. https://rais.ornl.gov/documents/tm96r2</t>
  </si>
  <si>
    <t xml:space="preserve">Florida State Criteria for Surface Water Quality Classifications; http://www.dep.state.fl.us/legal/Rules/shared/62-302/302-Table.pdf </t>
  </si>
  <si>
    <t xml:space="preserve">McGrath and Di Toro (2009) Model - See text Section 6.1.4 Equation 1. Model. May be used for freshwater or saltwater. </t>
  </si>
  <si>
    <t xml:space="preserve">ECOSAR program predicted lowest chronic or acute value. </t>
  </si>
  <si>
    <t>Michigan Water Quality Values - Rule 57: http://www.michigan.gov/deq/0.4561.7-135-3313_3868_372801138--.00.html</t>
  </si>
  <si>
    <t>Office of Pesticide Programs (OPP) Aquatic Life Benchmarks: http//www.epa.gov/pesticide-science-and-assessing-pesticide-risks/aquatic-life-benchmarks-pesticide-registration</t>
  </si>
  <si>
    <t>CCME (Canadian Council of Ministers of the Environment). 2003. Canadian Environmental Quality Guidelines: Summary Table December 2003. Canadian Council of Ministers of the Environment, Winnipeg, Manitoba. Available at: http://www.ccme.ca/en/resources/canadian_environmental_quality_guidelines/index.html</t>
  </si>
  <si>
    <t>McGrath and Di Toro (2009) Model</t>
  </si>
  <si>
    <t>CCME (Canadian Council of Ministers of the Environment). 2003. Canadian Environmental Quality Guidelines: Summary Table December 2003. Canadian Council of Ministers of the Environment, Winnipeg, Manitoba. Available at: http://www.ccme.ca/en/resources/cana</t>
  </si>
  <si>
    <t>Mississippi Water Quality Standards: https://www.epa.gov/sites/production/files/2014-12/documents.ms-wqs.pdf</t>
  </si>
  <si>
    <t>McGrath and DiToro</t>
  </si>
  <si>
    <t>ECOSAR program predicted lowest chronic and acute value</t>
  </si>
  <si>
    <t>ECOSAR program predicted lowest chronic or acute value</t>
  </si>
  <si>
    <t>U.S. EPA. 2003. Procedures for the Derivation of Equilibrium Partitioning Sediment Benchmarks (ESBs) for the Protection of Benthic Organisms: PAH Mixtures. EPA-600-R-02-013. Office of Research and Development, Washington, D.C. https://clu-in.org/conf/tio/porewater1/resources/EPA-ESB-Procedures-PAH-mixtures.pdf</t>
  </si>
  <si>
    <t>Calculated using equations in EPA (2003) using log octanol-water partition coefficient from KOWWIN</t>
  </si>
  <si>
    <t>Acute_ref</t>
  </si>
  <si>
    <t>Chronic_ref</t>
  </si>
  <si>
    <t>T</t>
  </si>
  <si>
    <t>Tier II Secondary Acute Value; https://www.esd.ornl.gov/programs/ecorisk/tools.html</t>
  </si>
  <si>
    <t>Canadian water Quality Guidelines; http://www.ec.gc.ca/CEQG-RCQE/English/Cegg/Water/default.cfm</t>
  </si>
  <si>
    <t>Criteria is pH dependent</t>
  </si>
  <si>
    <t>Tier II Secondary Acute Value; https://www.esd.ornl.gov/programs/ecorisk/tools.html; EPA EcoUpdate, Ecotox Thresholds, EPA 540/F-95/038</t>
  </si>
  <si>
    <t>Proposed benchmark</t>
  </si>
  <si>
    <t>EPA EcoUpdate, Ecotox Thresholds, EPA 540/F-95/038; proposed</t>
  </si>
  <si>
    <t>US EPA Region V Ecological Screening Levels; http://www.epa.gov/reg5rcra/ca/edgl.htm</t>
  </si>
  <si>
    <t>LOEL</t>
  </si>
  <si>
    <t xml:space="preserve">chronic value derived by division of acute value by 10 </t>
  </si>
  <si>
    <t>CMC is halved to compare to 1985 Guideline derivation</t>
  </si>
  <si>
    <t>Tier II Secondary Acute alue; https://www.esd.ornl.go/programs/ecorisk/tools.html</t>
  </si>
  <si>
    <t>Tier II Secondary Acute 41alue; https://www.esd.ornl.go41/programs/ecorisk/tools.html</t>
  </si>
  <si>
    <t>EPA Region V Ecological Screening Level for Plants: http://www.epa.gove/reg5/cra/ca/</t>
  </si>
  <si>
    <t>Proposed</t>
  </si>
  <si>
    <t>file:///C:/Users/erinm/Downloads/noaa_9327_DS1%20(1).pdf</t>
  </si>
  <si>
    <t>proposed</t>
  </si>
  <si>
    <t>Tier II Secondary Acute 41alue; https://www.esd.ornl.go41/programs/ecorisk/tools.html; EPA EcoUpdate, Ecotox Thresholds, EPA 540/F-95/038; proposed</t>
  </si>
  <si>
    <t>CMC is halfved to compare to 1985 Guideline derivation</t>
  </si>
  <si>
    <t>Tier II Secondary Acute Value; https://www.esd.ornl.gov/programs/ecorisk/tools.html; EPA EcoUpdate, Ecotox Thresholds, EPA 540/F-95/038; proposed</t>
  </si>
  <si>
    <t xml:space="preserve">European Union (EU) Environmental Quality Standards: COM (2006) 397 and 398 final </t>
  </si>
  <si>
    <t>AWQFC_ref</t>
  </si>
  <si>
    <t>Final Chronic value derived for EPA Sediment Quality Criteria documents (EPA, 1993a, b, c, d, e)</t>
  </si>
  <si>
    <t>pH dependent ambient water quality criterion (7.8 pH used)</t>
  </si>
  <si>
    <t xml:space="preserve">Final Chronic value calculated using Great Lakes Water Quality Initiative Tier I methodology </t>
  </si>
  <si>
    <t>TierII_ref</t>
  </si>
  <si>
    <t>value calculated in ECOTOX threshold project (https://www.epa.gov/sites/production/files/2015-09/documents/v3no2.pdf)</t>
  </si>
  <si>
    <t>value as caclulated in Suter and Mabrey, 1994</t>
  </si>
  <si>
    <t>value with EPA support document</t>
  </si>
  <si>
    <t>value as calculated in Suter and Mabrey, 1994</t>
  </si>
  <si>
    <t>µg/L</t>
  </si>
  <si>
    <t>Unit</t>
  </si>
  <si>
    <t>USEPA_CWA2</t>
  </si>
  <si>
    <t>Use preferentially over USEPA_CWA, was directly converted from flat file in R</t>
  </si>
  <si>
    <t>96829-58-2</t>
  </si>
  <si>
    <t>84852-15-3</t>
  </si>
  <si>
    <t>4-Nonylphenol (sum of all isomers)</t>
  </si>
  <si>
    <t>125-28-0</t>
  </si>
  <si>
    <t>Dihydrocodeine</t>
  </si>
  <si>
    <t>90-82-4 + 299-42-3</t>
  </si>
  <si>
    <t>Pseudoephedrine + Ephedrine</t>
  </si>
  <si>
    <t>73590-58-6 + 161796-78-7</t>
  </si>
  <si>
    <t>Omeprazole + Esomeprazole</t>
  </si>
  <si>
    <t>90055-55-3</t>
  </si>
  <si>
    <t>24176-68-9</t>
  </si>
  <si>
    <t>4-Chlorobenzylmethyl sulfoxide</t>
  </si>
  <si>
    <t>130-45-0</t>
  </si>
  <si>
    <t>1928714-96-8</t>
  </si>
  <si>
    <t>Dechlorofipronil</t>
  </si>
  <si>
    <t>1016160-78-3</t>
  </si>
  <si>
    <t>Deiodo flubendiamide</t>
  </si>
  <si>
    <t>380412-59-9</t>
  </si>
  <si>
    <t>Dimethenamid oxanilic acid</t>
  </si>
  <si>
    <t>Dimethenamid sulfinylacetic acid</t>
  </si>
  <si>
    <t>298-00-0</t>
  </si>
  <si>
    <t>Methyl parathion</t>
  </si>
  <si>
    <t>90004-07-2</t>
  </si>
  <si>
    <t>Phthalazinone</t>
  </si>
  <si>
    <t>628324-79-8</t>
  </si>
  <si>
    <t>sec-Alachlor oxanilic acid</t>
  </si>
  <si>
    <t>1035330-36-9</t>
  </si>
  <si>
    <t>Tebupirimfos oxon</t>
  </si>
  <si>
    <t>59962-53-7</t>
  </si>
  <si>
    <t>Tebuthiuron Transformation Product 104</t>
  </si>
  <si>
    <t>16279-27-9</t>
  </si>
  <si>
    <t>Tebuthiuron Transformation Product 106</t>
  </si>
  <si>
    <t>56611-55-3</t>
  </si>
  <si>
    <t>Hexazinone TP F</t>
  </si>
  <si>
    <t>52645-53-1</t>
  </si>
  <si>
    <t>Permethrin</t>
  </si>
  <si>
    <t>210880-92-5</t>
  </si>
  <si>
    <t>Clothianidin</t>
  </si>
  <si>
    <t>153719-23-4</t>
  </si>
  <si>
    <t>Thiamethoxam</t>
  </si>
  <si>
    <t>135410-20-7</t>
  </si>
  <si>
    <t>Acetamiprid</t>
  </si>
  <si>
    <t>165252-70-0</t>
  </si>
  <si>
    <t>Dinotefuran</t>
  </si>
  <si>
    <t>111988-49-9</t>
  </si>
  <si>
    <t>Thiacloprid</t>
  </si>
  <si>
    <t>1071-83-6</t>
  </si>
  <si>
    <t>Glyphosate</t>
  </si>
  <si>
    <t>1066-51-9</t>
  </si>
  <si>
    <t>Aminomethylphosphonic acid</t>
  </si>
  <si>
    <t>56-38-2</t>
  </si>
  <si>
    <t>Parathion-ethyl</t>
  </si>
  <si>
    <t>fakecas_1</t>
  </si>
  <si>
    <t>fakecas_2</t>
  </si>
  <si>
    <t>fakecas_3</t>
  </si>
  <si>
    <t>Tebuthiuron TP 104</t>
  </si>
  <si>
    <t>fakecas_4</t>
  </si>
  <si>
    <t>Dimethenamid OA</t>
  </si>
  <si>
    <t>fakecas_5</t>
  </si>
  <si>
    <t>Dimethenamid SAA</t>
  </si>
  <si>
    <t>fakecas_6</t>
  </si>
  <si>
    <t>Hydroxy mono demethyl fluometuron</t>
  </si>
  <si>
    <t>fakecas_7</t>
  </si>
  <si>
    <t>4-Hydroxy-tert-fluometuron</t>
  </si>
  <si>
    <t>fakecas_8</t>
  </si>
  <si>
    <t>Hydroxyfluometuron</t>
  </si>
  <si>
    <t>fakecas_9</t>
  </si>
  <si>
    <t>Hydroxyphthalazinone</t>
  </si>
  <si>
    <t>fakecas_10</t>
  </si>
  <si>
    <t>fakecas_11</t>
  </si>
  <si>
    <t>sec-Alachlor-OA</t>
  </si>
  <si>
    <t>fakecas_12</t>
  </si>
  <si>
    <t>Sulfosulfuron ethyl sulfone</t>
  </si>
  <si>
    <t>fakecas_13</t>
  </si>
  <si>
    <t>fakecas_14</t>
  </si>
  <si>
    <t>Hexazinone TP G</t>
  </si>
  <si>
    <t>fakecas_15</t>
  </si>
  <si>
    <t>Tebuthiuron TP 106</t>
  </si>
  <si>
    <t>64520-05-4</t>
  </si>
  <si>
    <t>10-Hydroxy-amitriptyline</t>
  </si>
  <si>
    <t>68412-54-4</t>
  </si>
  <si>
    <t>4-Nonylphenol monoethoxylate (NP1EO), all isomers</t>
  </si>
  <si>
    <t>29232-93-7</t>
  </si>
  <si>
    <t>122-14-5</t>
  </si>
  <si>
    <t>127-79-7</t>
  </si>
  <si>
    <t>72-14-0</t>
  </si>
  <si>
    <t>60-54-8</t>
  </si>
  <si>
    <t>2032-65-7</t>
  </si>
  <si>
    <t>23103-98-2</t>
  </si>
  <si>
    <t>88-85-7</t>
  </si>
  <si>
    <t>Pirimiphos-methyl</t>
  </si>
  <si>
    <t>Fenitrothion</t>
  </si>
  <si>
    <t>Methiocarb</t>
  </si>
  <si>
    <t>Pirimicarb</t>
  </si>
  <si>
    <t>Dinoseb</t>
  </si>
  <si>
    <t>Protect Human Health</t>
  </si>
  <si>
    <t>Fisheries</t>
  </si>
  <si>
    <t>No effects to Salmonid &amp; Cyprinid waters</t>
  </si>
  <si>
    <t>95th percentile of samples taken over 1 year</t>
  </si>
  <si>
    <t>EPA, 2001; WAC, n.d.a; NDDH, 2001</t>
  </si>
  <si>
    <t>EPA, 2001; WAC, n.d.a; NDDH, 2001; NYSDEC, 1993</t>
  </si>
  <si>
    <t>USA/Alaska; EPA Region 3</t>
  </si>
  <si>
    <t>EPA, 2009; ADEC, 2008; EPA, 2005; MPCA, 2012</t>
  </si>
  <si>
    <t>NEW</t>
  </si>
  <si>
    <t>NS00000241</t>
  </si>
  <si>
    <t>NS00007608</t>
  </si>
  <si>
    <t>PNEC_freshwater</t>
  </si>
  <si>
    <t>https://echa.europa.eu/registration-dossier/-/registered-dossier/15896/6/1</t>
  </si>
  <si>
    <t>https://echa.europa.eu/registration-dossier/-/registered-dossier/10032/6/1</t>
  </si>
  <si>
    <t>https://echa.europa.eu/registration-dossier/-/registered-dossier/28054/6/1</t>
  </si>
  <si>
    <t>https://echa.europa.eu/registration-dossier/-/registered-dossier/22640/6/1</t>
  </si>
  <si>
    <t>https://echa.europa.eu/registration-dossier/-/registered-dossier/2032/6/1</t>
  </si>
  <si>
    <t>PNEC freshwater (intermittent release)</t>
  </si>
  <si>
    <t>https://echa.europa.eu/registration-dossier/-/registered-dossier/27782/6/1</t>
  </si>
  <si>
    <t>Tetracycline</t>
  </si>
  <si>
    <t>https://echa.europa.eu/registration-dossier/-/registered-dossier/12446/6/1</t>
  </si>
  <si>
    <t>CCME, 2003; ECOSAR-predicted</t>
  </si>
  <si>
    <t>McGrath and DiToro; ECOSAR_predicted</t>
  </si>
  <si>
    <t>Michigan Water Quality Values</t>
  </si>
  <si>
    <t>Canadian water quality guidelines</t>
  </si>
  <si>
    <t>https://www.environnement.gouv.qc.ca/eau/criteres_eau/details.asp?code=S0372</t>
  </si>
  <si>
    <t>U.S.EPA, 1986b; U.S.EPA, 2002</t>
  </si>
  <si>
    <t>U.S.EPA, 1986b; U.S.EPA, 2006a</t>
  </si>
  <si>
    <t>https://www.environnement.gouv.qc.ca/eau/criteres_eau/details.asp?code=S0217</t>
  </si>
  <si>
    <t>CCME, 1992b; CCME, 2002</t>
  </si>
  <si>
    <t>https://www.environnement.gouv.qc.ca/eau/criteres_eau/details.asp?code=S0263</t>
  </si>
  <si>
    <t>https://www.environnement.gouv.qc.ca/eau/criteres_eau/details.asp?code=S0502</t>
  </si>
  <si>
    <t>CCME, 2006</t>
  </si>
  <si>
    <t>https://www.environnement.gouv.qc.ca/eau/criteres_eau/details.asp?code=S0690</t>
  </si>
  <si>
    <t>https://www.environnement.gouv.qc.ca/eau/criteres_eau/details.asp?code=S0944</t>
  </si>
  <si>
    <t>https://www.environnement.gouv.qc.ca/eau/criteres_eau/details.asp?code=S0940</t>
  </si>
  <si>
    <t>CCME, 1992</t>
  </si>
  <si>
    <t>CCME, 2012a</t>
  </si>
  <si>
    <t>CCME, 2002</t>
  </si>
  <si>
    <t>CCME, 2012</t>
  </si>
  <si>
    <t>No</t>
  </si>
  <si>
    <t>EQS water (=AA-EQS); generated from the Ministry of Environment and Food of Denmark</t>
  </si>
  <si>
    <t>EQS water (AA-EQS)</t>
  </si>
  <si>
    <t>Ministry of Environment and Food of Denmark</t>
  </si>
  <si>
    <t>RIVM</t>
  </si>
  <si>
    <t>Swiss Centre for Applied Ecotoxicology</t>
  </si>
  <si>
    <t>UBA</t>
  </si>
  <si>
    <t>INERIS</t>
  </si>
  <si>
    <t>EC</t>
  </si>
  <si>
    <t>Ökotoxzentrum</t>
  </si>
  <si>
    <t>NORMAN (Marion Junghans)</t>
  </si>
  <si>
    <t>JRC</t>
  </si>
  <si>
    <t>Umweltbundesamt, Wörlitzer Platz 1, 06844 Dessau-Roßlau, Germany</t>
  </si>
  <si>
    <t>SOLUTIONS</t>
  </si>
  <si>
    <t>Oekotoxzentrum_CH</t>
  </si>
  <si>
    <t>Estimated (data-limited)?</t>
  </si>
  <si>
    <t>EU-PPP: lowest plant ErC50 endpoint with AF 30</t>
  </si>
  <si>
    <t>n.r. (Italy)</t>
  </si>
  <si>
    <t>No - exclude though because this is based on PNEC of principal degradation product</t>
  </si>
  <si>
    <t>Benchmark_Type</t>
  </si>
  <si>
    <t>Screening_Apical</t>
  </si>
  <si>
    <t>Screening_Estimate</t>
  </si>
  <si>
    <t>AA-EQS proposal</t>
  </si>
  <si>
    <t xml:space="preserve">NS00010389	</t>
  </si>
  <si>
    <t>SSD; 5 assessment factor; tox values derived via read-across</t>
  </si>
  <si>
    <t>Unreliable - no data</t>
  </si>
  <si>
    <t>Unreliable - No study details</t>
  </si>
  <si>
    <t>Unreliable - No data</t>
  </si>
  <si>
    <t>Read-across</t>
  </si>
  <si>
    <t>Read-acrpss</t>
  </si>
  <si>
    <t>Based on an estimated EC50</t>
  </si>
  <si>
    <t>No links to original value used for recommendation</t>
  </si>
  <si>
    <t>1a Acute_Benchmark_Type</t>
  </si>
  <si>
    <t>1aChronic_Benchmark_Type</t>
  </si>
  <si>
    <t>1d Acute_Benchmark_Type</t>
  </si>
  <si>
    <t>1d Chronic_Benchmark_Type</t>
  </si>
  <si>
    <t>1e Acute_Benchmark_Type</t>
  </si>
  <si>
    <t>1e Chronic_Benchmark_Type</t>
  </si>
  <si>
    <t>QAQC_3_date</t>
  </si>
  <si>
    <t>QAQC3_by</t>
  </si>
  <si>
    <t>&gt; 50000</t>
  </si>
  <si>
    <t>&gt; 90000</t>
  </si>
  <si>
    <t>&gt; 62500</t>
  </si>
  <si>
    <t>&gt; 88700</t>
  </si>
  <si>
    <t>&lt; 1</t>
  </si>
  <si>
    <t>&gt; 290</t>
  </si>
  <si>
    <t>&gt; 330</t>
  </si>
  <si>
    <t>&gt; 12700</t>
  </si>
  <si>
    <t>&gt; 150000</t>
  </si>
  <si>
    <t>&gt; 185000</t>
  </si>
  <si>
    <t>&gt; 50750</t>
  </si>
  <si>
    <t>&gt; 280000</t>
  </si>
  <si>
    <t>&gt; 11000</t>
  </si>
  <si>
    <t>Year Updated</t>
  </si>
  <si>
    <t>2021</t>
  </si>
  <si>
    <t>249000</t>
  </si>
  <si>
    <t> </t>
  </si>
  <si>
    <t>&gt; 49050</t>
  </si>
  <si>
    <t>14000</t>
  </si>
  <si>
    <t>2016</t>
  </si>
  <si>
    <t>12500</t>
  </si>
  <si>
    <t>299.2</t>
  </si>
  <si>
    <t>&gt; 1500</t>
  </si>
  <si>
    <t>&gt; 2050</t>
  </si>
  <si>
    <t>&gt; 10000</t>
  </si>
  <si>
    <t>&gt; 50500</t>
  </si>
  <si>
    <t>&gt; 51000</t>
  </si>
  <si>
    <t>&gt; 109000</t>
  </si>
  <si>
    <t>35</t>
  </si>
  <si>
    <t>90</t>
  </si>
  <si>
    <t>2019</t>
  </si>
  <si>
    <t>41</t>
  </si>
  <si>
    <t>630</t>
  </si>
  <si>
    <t>416000</t>
  </si>
  <si>
    <t>5760</t>
  </si>
  <si>
    <t>550</t>
  </si>
  <si>
    <t>2015</t>
  </si>
  <si>
    <t>14750</t>
  </si>
  <si>
    <t>19200</t>
  </si>
  <si>
    <t>&gt; 1000</t>
  </si>
  <si>
    <t>130</t>
  </si>
  <si>
    <t>4100</t>
  </si>
  <si>
    <t>22.1</t>
  </si>
  <si>
    <t>1.43</t>
  </si>
  <si>
    <t>9900</t>
  </si>
  <si>
    <t>900</t>
  </si>
  <si>
    <t>1250</t>
  </si>
  <si>
    <t>1.64</t>
  </si>
  <si>
    <t>2.3</t>
  </si>
  <si>
    <t>0.46</t>
  </si>
  <si>
    <t>3570</t>
  </si>
  <si>
    <t>21.5</t>
  </si>
  <si>
    <t>21000</t>
  </si>
  <si>
    <t>140</t>
  </si>
  <si>
    <t>2014</t>
  </si>
  <si>
    <t>700</t>
  </si>
  <si>
    <t>240</t>
  </si>
  <si>
    <t>3.67</t>
  </si>
  <si>
    <t>249500</t>
  </si>
  <si>
    <t>341500</t>
  </si>
  <si>
    <t>2650</t>
  </si>
  <si>
    <t>360</t>
  </si>
  <si>
    <t>4.6</t>
  </si>
  <si>
    <t>0.44</t>
  </si>
  <si>
    <t>235</t>
  </si>
  <si>
    <t>147</t>
  </si>
  <si>
    <t>44</t>
  </si>
  <si>
    <t>49</t>
  </si>
  <si>
    <t>95000</t>
  </si>
  <si>
    <t>9830</t>
  </si>
  <si>
    <t>31150</t>
  </si>
  <si>
    <t>101200</t>
  </si>
  <si>
    <t>4500</t>
  </si>
  <si>
    <t>5350</t>
  </si>
  <si>
    <t>0.075</t>
  </si>
  <si>
    <t>0.0002465</t>
  </si>
  <si>
    <t>0.00005</t>
  </si>
  <si>
    <t>18000</t>
  </si>
  <si>
    <t>3000</t>
  </si>
  <si>
    <t>60500</t>
  </si>
  <si>
    <t>8200</t>
  </si>
  <si>
    <t>6.8</t>
  </si>
  <si>
    <t>1050</t>
  </si>
  <si>
    <t>7955</t>
  </si>
  <si>
    <t>5500</t>
  </si>
  <si>
    <t>13.1</t>
  </si>
  <si>
    <t>16.5</t>
  </si>
  <si>
    <t>4200</t>
  </si>
  <si>
    <t>560</t>
  </si>
  <si>
    <t>0.85</t>
  </si>
  <si>
    <t>660</t>
  </si>
  <si>
    <t>0.99</t>
  </si>
  <si>
    <t>55</t>
  </si>
  <si>
    <t>3.1</t>
  </si>
  <si>
    <t>&gt; 4580</t>
  </si>
  <si>
    <t>5.7</t>
  </si>
  <si>
    <t>1.115</t>
  </si>
  <si>
    <t>0.75</t>
  </si>
  <si>
    <t>2018</t>
  </si>
  <si>
    <t>0.77</t>
  </si>
  <si>
    <t>0.27</t>
  </si>
  <si>
    <t>9</t>
  </si>
  <si>
    <t>640</t>
  </si>
  <si>
    <t>0.57</t>
  </si>
  <si>
    <t>0.085</t>
  </si>
  <si>
    <t>32000</t>
  </si>
  <si>
    <t>20000</t>
  </si>
  <si>
    <t>0.35</t>
  </si>
  <si>
    <t>15000</t>
  </si>
  <si>
    <t>13500</t>
  </si>
  <si>
    <t>9700</t>
  </si>
  <si>
    <t>64000</t>
  </si>
  <si>
    <t>37500</t>
  </si>
  <si>
    <t>&lt; 0.55</t>
  </si>
  <si>
    <t>0.105</t>
  </si>
  <si>
    <t>3700</t>
  </si>
  <si>
    <t>61</t>
  </si>
  <si>
    <t>&gt; 3250</t>
  </si>
  <si>
    <t>279000</t>
  </si>
  <si>
    <t>100000</t>
  </si>
  <si>
    <t>77</t>
  </si>
  <si>
    <t>5.2</t>
  </si>
  <si>
    <t>0.0334</t>
  </si>
  <si>
    <t>0.0058</t>
  </si>
  <si>
    <t>60600</t>
  </si>
  <si>
    <t>2850</t>
  </si>
  <si>
    <t>9880</t>
  </si>
  <si>
    <t>1.7</t>
  </si>
  <si>
    <t>&gt; 118000</t>
  </si>
  <si>
    <t>&gt; 117000</t>
  </si>
  <si>
    <t>64500</t>
  </si>
  <si>
    <t>0.0014</t>
  </si>
  <si>
    <t>0.00025</t>
  </si>
  <si>
    <t>3150</t>
  </si>
  <si>
    <t>6000</t>
  </si>
  <si>
    <t>1360</t>
  </si>
  <si>
    <t>8.9</t>
  </si>
  <si>
    <t>&gt; 6.5</t>
  </si>
  <si>
    <t>&gt; 69</t>
  </si>
  <si>
    <t>23400</t>
  </si>
  <si>
    <t>&gt; 4.935</t>
  </si>
  <si>
    <t>&gt; 120</t>
  </si>
  <si>
    <t>&gt; 0.5</t>
  </si>
  <si>
    <t>&gt; 5000</t>
  </si>
  <si>
    <t>7.1</t>
  </si>
  <si>
    <t>107</t>
  </si>
  <si>
    <t>&gt; 7400</t>
  </si>
  <si>
    <t>&gt; 5250</t>
  </si>
  <si>
    <t>&gt; 5300</t>
  </si>
  <si>
    <t>971</t>
  </si>
  <si>
    <t>&gt; 1350</t>
  </si>
  <si>
    <t>&gt; 95</t>
  </si>
  <si>
    <t>&gt; 4500</t>
  </si>
  <si>
    <t>&gt; 4800</t>
  </si>
  <si>
    <t>&gt; 55</t>
  </si>
  <si>
    <t>&gt; 70</t>
  </si>
  <si>
    <t>130.59</t>
  </si>
  <si>
    <t>&gt; 25.5</t>
  </si>
  <si>
    <t>&gt; 486000</t>
  </si>
  <si>
    <t>12700</t>
  </si>
  <si>
    <t>&gt; 535000</t>
  </si>
  <si>
    <t>70900</t>
  </si>
  <si>
    <t>&gt; 1000000</t>
  </si>
  <si>
    <t>&gt; 80000</t>
  </si>
  <si>
    <t>&gt; 75000</t>
  </si>
  <si>
    <t>8100</t>
  </si>
  <si>
    <t>6900</t>
  </si>
  <si>
    <t>&gt; 9800</t>
  </si>
  <si>
    <t>245</t>
  </si>
  <si>
    <t>3300</t>
  </si>
  <si>
    <t>265</t>
  </si>
  <si>
    <t>955</t>
  </si>
  <si>
    <t>0.585</t>
  </si>
  <si>
    <t>34750</t>
  </si>
  <si>
    <t>9910</t>
  </si>
  <si>
    <t>27500</t>
  </si>
  <si>
    <t>2530</t>
  </si>
  <si>
    <t>432</t>
  </si>
  <si>
    <t>493</t>
  </si>
  <si>
    <t>1150</t>
  </si>
  <si>
    <t>248</t>
  </si>
  <si>
    <t>1699.4</t>
  </si>
  <si>
    <t>&gt; 1120</t>
  </si>
  <si>
    <t>&gt; 4950</t>
  </si>
  <si>
    <t>&gt; 4870</t>
  </si>
  <si>
    <t>&gt; 4520</t>
  </si>
  <si>
    <t>&gt; 1310</t>
  </si>
  <si>
    <t>&gt; 550</t>
  </si>
  <si>
    <t>426</t>
  </si>
  <si>
    <t>&gt; 4855</t>
  </si>
  <si>
    <t>&gt; 4775</t>
  </si>
  <si>
    <t>7.35</t>
  </si>
  <si>
    <t>3.78</t>
  </si>
  <si>
    <t>&gt; 2940</t>
  </si>
  <si>
    <t>2.69</t>
  </si>
  <si>
    <t>21.8</t>
  </si>
  <si>
    <t>&gt; 1096.5</t>
  </si>
  <si>
    <t>8.31</t>
  </si>
  <si>
    <t>14.6</t>
  </si>
  <si>
    <t>3100</t>
  </si>
  <si>
    <t>430</t>
  </si>
  <si>
    <t>&gt; 92600</t>
  </si>
  <si>
    <t>&gt; 49550</t>
  </si>
  <si>
    <t>6360</t>
  </si>
  <si>
    <t>&gt; 484150</t>
  </si>
  <si>
    <t>&gt; 95300</t>
  </si>
  <si>
    <t>&gt; 97600</t>
  </si>
  <si>
    <t>&gt; 110000</t>
  </si>
  <si>
    <t>19.5</t>
  </si>
  <si>
    <t>1.95</t>
  </si>
  <si>
    <t>26.4</t>
  </si>
  <si>
    <t>87.5</t>
  </si>
  <si>
    <t>0.83</t>
  </si>
  <si>
    <t>3.08</t>
  </si>
  <si>
    <t>0.13</t>
  </si>
  <si>
    <t>2017</t>
  </si>
  <si>
    <t>40000</t>
  </si>
  <si>
    <t>19500</t>
  </si>
  <si>
    <t>9353</t>
  </si>
  <si>
    <t>29650</t>
  </si>
  <si>
    <t>7000</t>
  </si>
  <si>
    <t>3250</t>
  </si>
  <si>
    <t>5600</t>
  </si>
  <si>
    <t>24</t>
  </si>
  <si>
    <t>22</t>
  </si>
  <si>
    <t>0.8</t>
  </si>
  <si>
    <t>8400</t>
  </si>
  <si>
    <t>&gt; 185</t>
  </si>
  <si>
    <t>3.65</t>
  </si>
  <si>
    <t>&gt; 51.9</t>
  </si>
  <si>
    <t>&gt; 56</t>
  </si>
  <si>
    <t>4.75</t>
  </si>
  <si>
    <t>3.8</t>
  </si>
  <si>
    <t>0.12</t>
  </si>
  <si>
    <t>0.31</t>
  </si>
  <si>
    <t>15.5</t>
  </si>
  <si>
    <t>860</t>
  </si>
  <si>
    <t>46</t>
  </si>
  <si>
    <t>2.15</t>
  </si>
  <si>
    <t>0.087</t>
  </si>
  <si>
    <t>&gt; 32.55</t>
  </si>
  <si>
    <t>60.5</t>
  </si>
  <si>
    <t>&gt; 27.4</t>
  </si>
  <si>
    <t>41.1</t>
  </si>
  <si>
    <t>&gt; 69.3</t>
  </si>
  <si>
    <t>&gt; 54.6</t>
  </si>
  <si>
    <t>&gt; 146500</t>
  </si>
  <si>
    <t>197000</t>
  </si>
  <si>
    <t>127000</t>
  </si>
  <si>
    <t>111000</t>
  </si>
  <si>
    <t>3.21</t>
  </si>
  <si>
    <t>1480</t>
  </si>
  <si>
    <t>16500</t>
  </si>
  <si>
    <t>4800</t>
  </si>
  <si>
    <t>33550</t>
  </si>
  <si>
    <t>310</t>
  </si>
  <si>
    <t>460</t>
  </si>
  <si>
    <t>780</t>
  </si>
  <si>
    <t>21500</t>
  </si>
  <si>
    <t>25700</t>
  </si>
  <si>
    <t>26600</t>
  </si>
  <si>
    <t>49900</t>
  </si>
  <si>
    <t>12100</t>
  </si>
  <si>
    <t>11900</t>
  </si>
  <si>
    <t>4.1</t>
  </si>
  <si>
    <t>0.042</t>
  </si>
  <si>
    <t>137000</t>
  </si>
  <si>
    <t>17000</t>
  </si>
  <si>
    <t>75800</t>
  </si>
  <si>
    <t>37.4</t>
  </si>
  <si>
    <t>&gt; 59500</t>
  </si>
  <si>
    <t>&gt; 61000</t>
  </si>
  <si>
    <t>&gt; 37</t>
  </si>
  <si>
    <t>8</t>
  </si>
  <si>
    <t>140000</t>
  </si>
  <si>
    <t>120000</t>
  </si>
  <si>
    <t>97000</t>
  </si>
  <si>
    <t>&gt; 500000</t>
  </si>
  <si>
    <t>103000</t>
  </si>
  <si>
    <t>4770</t>
  </si>
  <si>
    <t>8.1</t>
  </si>
  <si>
    <t>114500</t>
  </si>
  <si>
    <t>9000</t>
  </si>
  <si>
    <t>0.385</t>
  </si>
  <si>
    <t>145</t>
  </si>
  <si>
    <t>75</t>
  </si>
  <si>
    <t>&gt; 110</t>
  </si>
  <si>
    <t>&gt; 84</t>
  </si>
  <si>
    <t>&gt; 850</t>
  </si>
  <si>
    <t>&gt; 750</t>
  </si>
  <si>
    <t>350</t>
  </si>
  <si>
    <t>4.9</t>
  </si>
  <si>
    <t>95</t>
  </si>
  <si>
    <t>166</t>
  </si>
  <si>
    <t>30.3</t>
  </si>
  <si>
    <t>&gt; 301</t>
  </si>
  <si>
    <t>2425</t>
  </si>
  <si>
    <t>2.9</t>
  </si>
  <si>
    <t>5.58</t>
  </si>
  <si>
    <t>13.7</t>
  </si>
  <si>
    <t>2.05</t>
  </si>
  <si>
    <t>8.6</t>
  </si>
  <si>
    <t>0.049</t>
  </si>
  <si>
    <t>2040</t>
  </si>
  <si>
    <t>24000</t>
  </si>
  <si>
    <t>65000</t>
  </si>
  <si>
    <t>9100</t>
  </si>
  <si>
    <t>1200</t>
  </si>
  <si>
    <t>85000</t>
  </si>
  <si>
    <t>1650</t>
  </si>
  <si>
    <t>2950</t>
  </si>
  <si>
    <t>31</t>
  </si>
  <si>
    <t>173.6</t>
  </si>
  <si>
    <t>0.66</t>
  </si>
  <si>
    <t>2.75</t>
  </si>
  <si>
    <t>2020</t>
  </si>
  <si>
    <t>250</t>
  </si>
  <si>
    <t>57</t>
  </si>
  <si>
    <t>4.4</t>
  </si>
  <si>
    <t>7.5</t>
  </si>
  <si>
    <t>&gt; 2100</t>
  </si>
  <si>
    <t>530</t>
  </si>
  <si>
    <t>28.5</t>
  </si>
  <si>
    <t>&gt; 3400</t>
  </si>
  <si>
    <t>925</t>
  </si>
  <si>
    <t>&lt; 10</t>
  </si>
  <si>
    <t>0.485</t>
  </si>
  <si>
    <t>1.15</t>
  </si>
  <si>
    <t>1900</t>
  </si>
  <si>
    <t>21</t>
  </si>
  <si>
    <t>&gt; 54000</t>
  </si>
  <si>
    <t>&gt; 99450</t>
  </si>
  <si>
    <t>43000</t>
  </si>
  <si>
    <t>&gt; 46550</t>
  </si>
  <si>
    <t>7700</t>
  </si>
  <si>
    <t>57100</t>
  </si>
  <si>
    <t>&gt; 95400</t>
  </si>
  <si>
    <t>&lt; 3000</t>
  </si>
  <si>
    <t>2100</t>
  </si>
  <si>
    <t>1290</t>
  </si>
  <si>
    <t>390</t>
  </si>
  <si>
    <t>340</t>
  </si>
  <si>
    <t>0.0575</t>
  </si>
  <si>
    <t>&gt; 1800</t>
  </si>
  <si>
    <t>7.3</t>
  </si>
  <si>
    <t>4050</t>
  </si>
  <si>
    <t>770</t>
  </si>
  <si>
    <t>&gt; 7500</t>
  </si>
  <si>
    <t>58.2</t>
  </si>
  <si>
    <t>&gt; 480</t>
  </si>
  <si>
    <t>&gt; 777</t>
  </si>
  <si>
    <t>6100</t>
  </si>
  <si>
    <t>&gt; 48650</t>
  </si>
  <si>
    <t>6500</t>
  </si>
  <si>
    <t>1440</t>
  </si>
  <si>
    <t>750</t>
  </si>
  <si>
    <t>358</t>
  </si>
  <si>
    <t>52</t>
  </si>
  <si>
    <t>30000</t>
  </si>
  <si>
    <t>0.29</t>
  </si>
  <si>
    <t>0.33</t>
  </si>
  <si>
    <t>&gt; 28200</t>
  </si>
  <si>
    <t>8850</t>
  </si>
  <si>
    <t>&gt; 29700</t>
  </si>
  <si>
    <t>125</t>
  </si>
  <si>
    <t>3044</t>
  </si>
  <si>
    <t>69</t>
  </si>
  <si>
    <t>14.5</t>
  </si>
  <si>
    <t>12.5</t>
  </si>
  <si>
    <t>385</t>
  </si>
  <si>
    <t>47.5</t>
  </si>
  <si>
    <t>0.395</t>
  </si>
  <si>
    <t>0.052</t>
  </si>
  <si>
    <t>0.0033</t>
  </si>
  <si>
    <t>0.0042</t>
  </si>
  <si>
    <t>&gt; 4.4</t>
  </si>
  <si>
    <t>&gt; 3.2</t>
  </si>
  <si>
    <t>1.17</t>
  </si>
  <si>
    <t>0.34</t>
  </si>
  <si>
    <t>0.21</t>
  </si>
  <si>
    <t>950</t>
  </si>
  <si>
    <t>255</t>
  </si>
  <si>
    <t>14500</t>
  </si>
  <si>
    <t>9.5</t>
  </si>
  <si>
    <t>0.055</t>
  </si>
  <si>
    <t>7.05</t>
  </si>
  <si>
    <t>0.465</t>
  </si>
  <si>
    <t>19700</t>
  </si>
  <si>
    <t>12850</t>
  </si>
  <si>
    <t>3450</t>
  </si>
  <si>
    <t>1455</t>
  </si>
  <si>
    <t>620</t>
  </si>
  <si>
    <t>4850</t>
  </si>
  <si>
    <t>1.04</t>
  </si>
  <si>
    <t>11.9</t>
  </si>
  <si>
    <t>9.1</t>
  </si>
  <si>
    <t>86</t>
  </si>
  <si>
    <t>19.4</t>
  </si>
  <si>
    <t>&gt; 2190</t>
  </si>
  <si>
    <t>&gt; 2660</t>
  </si>
  <si>
    <t>47</t>
  </si>
  <si>
    <t>24.8</t>
  </si>
  <si>
    <t>425</t>
  </si>
  <si>
    <t>2400</t>
  </si>
  <si>
    <t>3500</t>
  </si>
  <si>
    <t>1850</t>
  </si>
  <si>
    <t>5.5</t>
  </si>
  <si>
    <t>5300</t>
  </si>
  <si>
    <t>224</t>
  </si>
  <si>
    <t>&gt; 2800</t>
  </si>
  <si>
    <t>600</t>
  </si>
  <si>
    <t>760</t>
  </si>
  <si>
    <t>1180</t>
  </si>
  <si>
    <t>10.6</t>
  </si>
  <si>
    <t>1.22</t>
  </si>
  <si>
    <t>2.35</t>
  </si>
  <si>
    <t>7.85</t>
  </si>
  <si>
    <t>1197</t>
  </si>
  <si>
    <t>0.36</t>
  </si>
  <si>
    <t>0.265</t>
  </si>
  <si>
    <t>0.044</t>
  </si>
  <si>
    <t>&gt; 665</t>
  </si>
  <si>
    <t>&gt; 16.2</t>
  </si>
  <si>
    <t>&gt; 165</t>
  </si>
  <si>
    <t>4.3</t>
  </si>
  <si>
    <t>&gt; 0.18</t>
  </si>
  <si>
    <t>&gt; 6850</t>
  </si>
  <si>
    <t>3200</t>
  </si>
  <si>
    <t>67</t>
  </si>
  <si>
    <t>46900</t>
  </si>
  <si>
    <t>30200</t>
  </si>
  <si>
    <t>28.8</t>
  </si>
  <si>
    <t>&gt; 74000</t>
  </si>
  <si>
    <t>0.45</t>
  </si>
  <si>
    <t>&gt; 46800</t>
  </si>
  <si>
    <t>&gt; 47300</t>
  </si>
  <si>
    <t>102000</t>
  </si>
  <si>
    <t>1135</t>
  </si>
  <si>
    <t>1450</t>
  </si>
  <si>
    <t>151</t>
  </si>
  <si>
    <t>51.1</t>
  </si>
  <si>
    <t>29</t>
  </si>
  <si>
    <t>&gt; 740</t>
  </si>
  <si>
    <t>&gt; 940</t>
  </si>
  <si>
    <t>44.5</t>
  </si>
  <si>
    <t>0.039</t>
  </si>
  <si>
    <t>8800</t>
  </si>
  <si>
    <t>53000</t>
  </si>
  <si>
    <t>9300</t>
  </si>
  <si>
    <t>148500</t>
  </si>
  <si>
    <t>21800</t>
  </si>
  <si>
    <t>2013</t>
  </si>
  <si>
    <t>0.008</t>
  </si>
  <si>
    <t>23100</t>
  </si>
  <si>
    <t>32500</t>
  </si>
  <si>
    <t>&gt; 1850</t>
  </si>
  <si>
    <t>&gt; 4200</t>
  </si>
  <si>
    <t>155</t>
  </si>
  <si>
    <t>42</t>
  </si>
  <si>
    <t>1420</t>
  </si>
  <si>
    <t>2320</t>
  </si>
  <si>
    <t>12600</t>
  </si>
  <si>
    <t>918</t>
  </si>
  <si>
    <t>18.9</t>
  </si>
  <si>
    <t>0.97</t>
  </si>
  <si>
    <t>45000</t>
  </si>
  <si>
    <t>&gt; 57000</t>
  </si>
  <si>
    <t>17.5</t>
  </si>
  <si>
    <t>0.74</t>
  </si>
  <si>
    <t>&gt; 99000</t>
  </si>
  <si>
    <t>&gt; 90200</t>
  </si>
  <si>
    <t>45.5</t>
  </si>
  <si>
    <t>141.5</t>
  </si>
  <si>
    <t>2.7</t>
  </si>
  <si>
    <t>1.56</t>
  </si>
  <si>
    <t>148</t>
  </si>
  <si>
    <t>58500</t>
  </si>
  <si>
    <t>66450</t>
  </si>
  <si>
    <t>7.15</t>
  </si>
  <si>
    <t>12.65</t>
  </si>
  <si>
    <t>2.76</t>
  </si>
  <si>
    <t>37.1</t>
  </si>
  <si>
    <t>&gt; 1930</t>
  </si>
  <si>
    <t>9.25</t>
  </si>
  <si>
    <t>125.5</t>
  </si>
  <si>
    <t>21.9</t>
  </si>
  <si>
    <t>49.7</t>
  </si>
  <si>
    <t>&gt; 87500</t>
  </si>
  <si>
    <t>10900</t>
  </si>
  <si>
    <t>13550</t>
  </si>
  <si>
    <t>36400</t>
  </si>
  <si>
    <t>41.5</t>
  </si>
  <si>
    <t>6.6</t>
  </si>
  <si>
    <t>0.11</t>
  </si>
  <si>
    <t>76</t>
  </si>
  <si>
    <t>&gt; 100</t>
  </si>
  <si>
    <t>1925</t>
  </si>
  <si>
    <t>1315</t>
  </si>
  <si>
    <t>2280</t>
  </si>
  <si>
    <t>Tetracyclin</t>
  </si>
  <si>
    <t xml:space="preserve">NS00000577	</t>
  </si>
  <si>
    <t>Selenastrum capricornutum.P-PNEC Pred</t>
  </si>
  <si>
    <t>P-PNEC Pred</t>
  </si>
  <si>
    <t>NS00000201</t>
  </si>
  <si>
    <t>Selenastrum capricornutum.Acute</t>
  </si>
  <si>
    <t>Sulfamerazine</t>
  </si>
  <si>
    <t>NS00000004</t>
  </si>
  <si>
    <t>Selenastrum capricornutum; One predicted short-term L(E)C50 from each of three trophic levels (i.e. base set)</t>
  </si>
  <si>
    <t>NS00040984</t>
  </si>
  <si>
    <t>Pimephales promelas.acute</t>
  </si>
  <si>
    <t>NS00000263</t>
  </si>
  <si>
    <t>NS00010010</t>
  </si>
  <si>
    <t>Selenastrum capricornutum.acute</t>
  </si>
  <si>
    <t>NS00001818</t>
  </si>
  <si>
    <t>annual-average</t>
  </si>
  <si>
    <t>NS00000078</t>
  </si>
  <si>
    <t>NS00000453</t>
  </si>
  <si>
    <t>NS00004723</t>
  </si>
  <si>
    <t xml:space="preserve">
RIVM</t>
  </si>
  <si>
    <t>NS00066797</t>
  </si>
  <si>
    <t>Daphnia magna.acute</t>
  </si>
  <si>
    <t>PNEC-Chronic</t>
  </si>
  <si>
    <t>Date_Accessed</t>
  </si>
  <si>
    <t>NS00011822</t>
  </si>
  <si>
    <t>NS00098550</t>
  </si>
  <si>
    <t>Pseudokirchneriella subcapitata</t>
  </si>
  <si>
    <t>NS00009180</t>
  </si>
  <si>
    <t>NS00009704</t>
  </si>
  <si>
    <t>NS00000239</t>
  </si>
  <si>
    <t>NS00000524</t>
  </si>
  <si>
    <t>Aedes aegypti.acute</t>
  </si>
  <si>
    <t>NS00003539</t>
  </si>
  <si>
    <t>NS00003255</t>
  </si>
  <si>
    <t>NS00006349</t>
  </si>
  <si>
    <t>NS00000309</t>
  </si>
  <si>
    <t>NS00000214</t>
  </si>
  <si>
    <t>NS00098526</t>
  </si>
  <si>
    <t>Americamysis bahia (Mysidopsis bahia)</t>
  </si>
  <si>
    <t>NS00000229</t>
  </si>
  <si>
    <t>NS00000436</t>
  </si>
  <si>
    <t>NS00003145</t>
  </si>
  <si>
    <t>freshwater aquatic life</t>
  </si>
  <si>
    <t>NS00008093</t>
  </si>
  <si>
    <t>Pimephales promelas - acute</t>
  </si>
  <si>
    <t>NS00000171</t>
  </si>
  <si>
    <t>NS00002213</t>
  </si>
  <si>
    <t>NS00008435</t>
  </si>
  <si>
    <t>Daphnia magna</t>
  </si>
  <si>
    <t>NS00000528</t>
  </si>
  <si>
    <t>NS00000502</t>
  </si>
  <si>
    <t>NS00004788</t>
  </si>
  <si>
    <t>Rasbora heteromorpha</t>
  </si>
  <si>
    <t>NS00010884</t>
  </si>
  <si>
    <t>NS00010175</t>
  </si>
  <si>
    <t>NS00000448</t>
  </si>
  <si>
    <t>NS00000382</t>
  </si>
  <si>
    <t>Daphnia magna.acute - for Ephedrine</t>
  </si>
  <si>
    <t xml:space="preserve">
NS00010883</t>
  </si>
  <si>
    <t>NS00000362</t>
  </si>
  <si>
    <t>NS00010171</t>
  </si>
  <si>
    <t>NS00010174</t>
  </si>
  <si>
    <t>Orlistat</t>
  </si>
  <si>
    <t>Sulfathiazole</t>
  </si>
  <si>
    <t>Derivation</t>
  </si>
  <si>
    <t>SSD_chronic data</t>
  </si>
  <si>
    <t>Evaluation Date</t>
  </si>
  <si>
    <t>Chronic_SSD</t>
  </si>
  <si>
    <t>AF-method; derived from congener 28</t>
  </si>
  <si>
    <t>AF-method; derived from congener 47</t>
  </si>
  <si>
    <t>AF-derived from BDE-99</t>
  </si>
  <si>
    <t>AF-derived from BDE-100</t>
  </si>
  <si>
    <t>AF-derived from BDE-153</t>
  </si>
  <si>
    <t>AF-derived from BDE-183</t>
  </si>
  <si>
    <t>Derivation Method</t>
  </si>
  <si>
    <t xml:space="preserve">Using apical data as described in 1985 Guidelines </t>
  </si>
  <si>
    <t>Accessed_Date</t>
  </si>
  <si>
    <t>Based on apical data for endosulfan (sum of alpha and beta isomers), derived using 1985 guidelines</t>
  </si>
  <si>
    <t>Derived for endosulfan (sum of isomers) using apical data &amp; 1985 WQG</t>
  </si>
  <si>
    <t>Derived using apical data and 1985 WQG derivation method</t>
  </si>
  <si>
    <t>Derived using apical data and 1985 guidelines</t>
  </si>
  <si>
    <t>Derived using apical data and 1985 water quality guidelines</t>
  </si>
  <si>
    <t>Access_Date</t>
  </si>
  <si>
    <t>Date</t>
  </si>
  <si>
    <t>1997</t>
  </si>
  <si>
    <t>No data</t>
  </si>
  <si>
    <t>1999</t>
  </si>
  <si>
    <t>1993</t>
  </si>
  <si>
    <t>1987</t>
  </si>
  <si>
    <t>1989</t>
  </si>
  <si>
    <t>1992</t>
  </si>
  <si>
    <t>2009</t>
  </si>
  <si>
    <t>1994</t>
  </si>
  <si>
    <t>2008</t>
  </si>
  <si>
    <t>1990</t>
  </si>
  <si>
    <t>1995</t>
  </si>
  <si>
    <t>1991</t>
  </si>
  <si>
    <t>1,0</t>
  </si>
  <si>
    <t>2002</t>
  </si>
  <si>
    <t>2001</t>
  </si>
  <si>
    <t>2004</t>
  </si>
  <si>
    <t>6.5</t>
  </si>
  <si>
    <t>2006</t>
  </si>
  <si>
    <t>27,000</t>
  </si>
  <si>
    <t>2012</t>
  </si>
  <si>
    <t>0.23</t>
  </si>
  <si>
    <t>2007</t>
  </si>
  <si>
    <t>WQB</t>
  </si>
  <si>
    <t>Access Date</t>
  </si>
  <si>
    <t>Table 1a</t>
  </si>
  <si>
    <t>Table 1a, 1d</t>
  </si>
  <si>
    <t>Table 1a + d</t>
  </si>
  <si>
    <t>Table 1a+d</t>
  </si>
  <si>
    <t>Table 1a+e</t>
  </si>
  <si>
    <t>Table e</t>
  </si>
  <si>
    <t>table e</t>
  </si>
  <si>
    <t>Table 1e</t>
  </si>
  <si>
    <t>https://www.environnement.gouv.qc.ca/eau/criteres_eau/details.asp?code=S0228</t>
  </si>
  <si>
    <t>PWQO is for the sum of Endosulfan I &amp; II</t>
  </si>
  <si>
    <t>Environmental Quality Guidelines for Alberta Surface Waters</t>
  </si>
  <si>
    <t xml:space="preserve">https://open.alberta.ca/dataset/5298aadb-f5cc-4160-8620-ad139bb985d8/resource/38ed9bb1-233f-4e28-b344-808670b20dae/download/environmentalqualitysurfacewaters-mar28-2018.pdf; </t>
  </si>
  <si>
    <t xml:space="preserve"> Alberta Water Quality Guidelines</t>
  </si>
  <si>
    <t>Alberta Water Quality Guidelines;</t>
  </si>
  <si>
    <t>https://www.gov.mb.ca/water/pubs/water/lakes-beaches-rivers/mb_water_quality_stan</t>
  </si>
  <si>
    <t>BC 2010; Averaging period for long-term is 30-d mean; for short-term is
instantaneous maximum</t>
  </si>
  <si>
    <t>Quebec Surface Water Quality Guidelines</t>
  </si>
  <si>
    <t>https://www.environnement.gouv.qc.ca/eau/criteres_eau/details.asp?code=S0041</t>
  </si>
  <si>
    <t>https://open.alberta.ca/dataset/5298aadb-f5cc-4160-8620-ad139bb985d8/resource/38ed9bb1-233f-4e28-b344-808</t>
  </si>
  <si>
    <t>https://www.environnement.gouv.qc.ca/eau/criteres_eau/details.asp?code=S0501</t>
  </si>
  <si>
    <t>https://www.environnement.gouv.qc.ca/eau/criteres_eau/details.asp?code=S0313</t>
  </si>
  <si>
    <t>https://www.gov.mb.ca/water/pubs/water/lake</t>
  </si>
  <si>
    <t xml:space="preserve">British Columbia Working Water Quality Guidelines: Aquatic Life, Wildlife &amp; Agriculture (Feb 2021); </t>
  </si>
  <si>
    <t>https://open.alberta.ca/dataset/5298aadb-f5cc-4160-8620-ad139bb985d8/resource/38ed9bb1-233f-4e28-b344-812</t>
  </si>
  <si>
    <t>CCME (2011)</t>
  </si>
  <si>
    <t>https://www2.gov.bc.ca/assets/gov/environment/air-land-water/water/waterquality/water-quality-guidelines/bc_env_working_water_quality_guidelines.pdf;</t>
  </si>
  <si>
    <t xml:space="preserve">https://www2.gov.bc.ca/assets/gov/environment/air-land-water/water/waterquality/water-quality-guidelines/bc_env_working_water_quality_guidelines.pdf; </t>
  </si>
  <si>
    <t xml:space="preserve"> https://www.gov.mb.ca/water/pubs/water/lakes-beaches-rivers/mb_water_quality_standard_final.pdf</t>
  </si>
  <si>
    <t xml:space="preserve"> https://www.gov.mb.ca/water/pubs/water/lakes-beaches-rivers/mb_water_quality_standard_final.pdf;</t>
  </si>
  <si>
    <t>British Columbia Working Water Quality Guidelines:
Aquatic Life, Wildlife &amp; Agriculture</t>
  </si>
  <si>
    <t>British Columbia Working Water Quality Guidelines: Aquatic Life, Wildlife &amp; Agriculture (Feb 2021); Alberta Water Quality Guidelines</t>
  </si>
  <si>
    <t>https://www.environnement.gouv.qc.ca/eau/criteres_eau/details.asp?code=S0079</t>
  </si>
  <si>
    <t>https://www.environnement.gouv.qc.ca/eau/criteres_eau/details.asp?code=S0090</t>
  </si>
  <si>
    <t>https://www.environnement.gouv.qc.ca/eau/criteres_eau/details.asp?code=S0092</t>
  </si>
  <si>
    <t xml:space="preserve"> https://www.environnement.gouv.qc.ca/eau/criteres_eau/details.asp?code=S0093</t>
  </si>
  <si>
    <t>https://www.environnement.gouv.qc.ca/eau/criteres_eau/details.asp?code=S0128</t>
  </si>
  <si>
    <t>https://www.environnement.gouv.qc.ca/eau/criteres_eau/details.asp?code=S0114</t>
  </si>
  <si>
    <t>https://www.environnement.gouv.qc.ca/eau/criteres_eau/details.asp?code=S0163</t>
  </si>
  <si>
    <t>https://www.environnement.gouv.qc.ca/eau/criteres_eau/details.asp?code=S0203</t>
  </si>
  <si>
    <t>Quebec Surface Water Criteria</t>
  </si>
  <si>
    <t>https://www.environnement.gouv.qc.ca/eau/criteres_eau/details.asp?code=S0302</t>
  </si>
  <si>
    <t>https://www.environnement.gouv.qc.ca/eau/criteres_eau/details.asp?code=S0430</t>
  </si>
  <si>
    <t>https://www.environnement.gouv.qc.ca/eau/criteres_eau/details.asp?code=S0460</t>
  </si>
  <si>
    <t>https://www.environnement.gouv.qc.ca/eau/criteres_eau/details.asp?code=S0475</t>
  </si>
  <si>
    <t>Accessed Date</t>
  </si>
  <si>
    <t>19/01/20222</t>
  </si>
  <si>
    <t>NYSDEC, 1998 - 2000</t>
  </si>
  <si>
    <t>https://www.environnement.gouv.qc.ca/eau/criteres_eau/details.asp?code=S0482</t>
  </si>
  <si>
    <t>CCME, 1996c; CCME, 2002</t>
  </si>
  <si>
    <t>https://www.environnement.gouv.qc.ca/eau/criteres_eau/details.asp?code=S0074</t>
  </si>
  <si>
    <t>https://www.environnement.gouv.qc.ca/eau/criteres_eau/details.asp?code=S0664</t>
  </si>
  <si>
    <t>https://www.environnement.gouv.qc.ca/eau/criteres_eau/details.asp?code=S0929</t>
  </si>
  <si>
    <t>https://www.environnement.gouv.qc.ca/eau/criteres_eau/details.asp?code=S0327</t>
  </si>
  <si>
    <t>https://www.environnement.gouv.qc.ca/eau/criteres_eau/details.asp?code=S0367</t>
  </si>
  <si>
    <t>https://www.environnement.gouv.qc.ca/eau/criteres_eau/details.asp?code=S0930</t>
  </si>
  <si>
    <t>SAVEX, 2009</t>
  </si>
  <si>
    <t>https://www.environnement.gouv.qc.ca/eau/criteres_eau/details.asp?code=S0947</t>
  </si>
  <si>
    <t>https://www.environnement.gouv.qc.ca/eau/criteres_eau/details.asp?code=S0658</t>
  </si>
  <si>
    <t>SERT, 1997</t>
  </si>
  <si>
    <t>https://www.environnement.gouv.qc.ca/eau/criteres_eau/details.asp?code=S0614</t>
  </si>
  <si>
    <t>https://www.environnement.gouv.qc.ca/eau/criteres_eau/details.asp?code=S0948</t>
  </si>
  <si>
    <t>https://echa.europa.eu/registration-dossier/-/registered-dossier/15988/6/1</t>
  </si>
  <si>
    <t xml:space="preserve">European Union </t>
  </si>
  <si>
    <t xml:space="preserve">One half of the geometric mean of genus EC50 values divided by UF (data dependant) </t>
  </si>
  <si>
    <t>AEDC, 2008</t>
  </si>
  <si>
    <t>EPA, 2001; IDEQ, n.d.b; AEDC, 2008; NDDH, 2001; MDEQ, 2010; MEDEP, 2012</t>
  </si>
  <si>
    <t xml:space="preserve">EPA, 2001; IDEQ, n.d.b </t>
  </si>
  <si>
    <t>ADEC, 2008; NDDH, 2001; MDEQ, 2010</t>
  </si>
  <si>
    <t>State</t>
  </si>
  <si>
    <t>Length</t>
  </si>
  <si>
    <t>Ref</t>
  </si>
  <si>
    <t>MA</t>
  </si>
  <si>
    <t>https://www.epa.gov/sites/production/files/2014-12/documents/mawqs-2006.pdf</t>
  </si>
  <si>
    <t>CT</t>
  </si>
  <si>
    <t>https://www.epa.gov/sites/production/files/2014-12/documents/ctwqs.pdf</t>
  </si>
  <si>
    <t>ME</t>
  </si>
  <si>
    <t>https://www.epa.gov/sites/production/files/2014-12/documents/mewqs-cmr-584.pdf</t>
  </si>
  <si>
    <t>RI</t>
  </si>
  <si>
    <t>https://www.epa.gov/sites/production/files/2014-12/documents/riwqs.pdf</t>
  </si>
  <si>
    <t>NH</t>
  </si>
  <si>
    <t>https://www.epa.gov/sites/production/files/2014-12/documents/nh-chapter1700.pdf</t>
  </si>
  <si>
    <t>VT</t>
  </si>
  <si>
    <t>https://www.epa.gov/sites/production/files/2014-12/documents/vtwqs.pdf</t>
  </si>
  <si>
    <t>VA</t>
  </si>
  <si>
    <t>https://www.epa.gov/sites/production/files/2014-12/documents/vawqs.pdf</t>
  </si>
  <si>
    <t>MD</t>
  </si>
  <si>
    <t>https://www.epa.gov/sites/production/files/2014-12/documents/mdwqs_chapters.pdf</t>
  </si>
  <si>
    <t>DC</t>
  </si>
  <si>
    <t>https://www.epa.gov/sites/production/files/2014-12/documents/dcwqs-2014.pdf</t>
  </si>
  <si>
    <t>PA</t>
  </si>
  <si>
    <t>https://www.epa.gov/sites/production/files/2014-12/documents/pawqs-chapter93.pdf</t>
  </si>
  <si>
    <t>TN</t>
  </si>
  <si>
    <t>https://www.epa.gov/sites/production/files/2014-12/documents/tn-chapter1200-4-3.pdf</t>
  </si>
  <si>
    <t>MS</t>
  </si>
  <si>
    <t>https://www.epa.gov/sites/production/files/2014-12/documents/ms-wqs.pdf</t>
  </si>
  <si>
    <t>AL</t>
  </si>
  <si>
    <t>https://www.epa.gov/sites/production/files/2014-12/documents/alwqs_chapter335610.pdf</t>
  </si>
  <si>
    <t>KY</t>
  </si>
  <si>
    <t>https://www.epa.gov/sites/production/files/2014-12/documents/kywqs-standards.pdf</t>
  </si>
  <si>
    <t>SC</t>
  </si>
  <si>
    <t>https://www.epa.gov/sites/production/files/2014-12/documents/sc-wqs-2004.pdf</t>
  </si>
  <si>
    <t>NM</t>
  </si>
  <si>
    <t>https://www.epa.gov/sites/production/files/2014-12/documents/nmwqs.pdf</t>
  </si>
  <si>
    <t>ND</t>
  </si>
  <si>
    <t>https://www.epa.gov/sites/production/files/2015-09/documents/ndwqs.pdf</t>
  </si>
  <si>
    <t>NE</t>
  </si>
  <si>
    <t>https://www.epa.gov/sites/production/files/2015-09/documents/ne_wqs_0047_121314.pdf</t>
  </si>
  <si>
    <t>UT</t>
  </si>
  <si>
    <t>https://www.epa.gov/sites/production/files/2014-12/documents/utwqs.pdf</t>
  </si>
  <si>
    <t>TX</t>
  </si>
  <si>
    <t>https://www.epa.gov/sites/production/files/2020-01/documents/txwqs-2018.pdf</t>
  </si>
  <si>
    <t>CO</t>
  </si>
  <si>
    <t>https://www.epa.gov/sites/production/files/2014-12/documents/cowqs-no31-2005.pdf</t>
  </si>
  <si>
    <t>WY</t>
  </si>
  <si>
    <t>https://www.epa.gov/sites/production/files/2014-12/documents/wy-chapter1.pdf</t>
  </si>
  <si>
    <t>KS</t>
  </si>
  <si>
    <t>https://www.epa.gov/sites/production/files/2014-12/documents/ks-numeric-criteria.pdf</t>
  </si>
  <si>
    <t>AK</t>
  </si>
  <si>
    <t>https://www.epa.gov/sites/production/files/2014-12/documents/ak-toxics-manual.pdf</t>
  </si>
  <si>
    <t>ID</t>
  </si>
  <si>
    <t>https://www.epa.gov/sites/production/files/2014-12/documents/idwqs.pdf</t>
  </si>
  <si>
    <t>304A</t>
  </si>
  <si>
    <t>MO</t>
  </si>
  <si>
    <t>https://www.epa.gov/sites/production/files/2015-09/documents/mowqs.pdf</t>
  </si>
  <si>
    <t>MT</t>
  </si>
  <si>
    <t>https://www.epa.gov/sites/production/files/2014-12/documents/mt-deq7.pdf</t>
  </si>
  <si>
    <t>NV</t>
  </si>
  <si>
    <t>https://www.epa.gov/system/files/documents/2021-08/nvwqs.pdf</t>
  </si>
  <si>
    <t>NTR</t>
  </si>
  <si>
    <t>http://www.ecfr.gov/cgi-bin/retrieveECFR?gp=1&amp;SID=c1e3c03ce6f0ba7f748e014ebd85b698&amp;ty=HTML&amp;h=L&amp;r=SECTION&amp;n=40y22.0.1.1.18.4.16.6</t>
  </si>
  <si>
    <t>CTR</t>
  </si>
  <si>
    <t>http://www.ecfr.gov/cgi-bin/retrieveECFR?gp=1&amp;SID=46eb43db31b24f38487986b5071f4793&amp;ty=HTML&amp;h=L&amp;r=SECTION&amp;n=40y22.0.1.1.18.4.16.8</t>
  </si>
  <si>
    <t>SKT</t>
  </si>
  <si>
    <t>https://www.epa.gov/wqs-tech/water-quality-standards-regulations-confederated-salish-and-kootenai-tribes-flathead</t>
  </si>
  <si>
    <t>NAM</t>
  </si>
  <si>
    <t>https://www.epa.gov/sites/production/files/2014-12/documents/nambe-tribe.pdf</t>
  </si>
  <si>
    <t>HPI</t>
  </si>
  <si>
    <t>https://www.epa.gov/sites/production/files/2014-12/documents/hopitribe.pdf</t>
  </si>
  <si>
    <t>STANA</t>
  </si>
  <si>
    <t>https://www.epa.gov/sites/default/files/2015-09/documents/stana-tribe.pdf</t>
  </si>
  <si>
    <t>ASFP</t>
  </si>
  <si>
    <t>https://www.epa.gov/sites/production/files/2014-12/documents/assiniboine-tribe.pdf</t>
  </si>
  <si>
    <t>STCLA</t>
  </si>
  <si>
    <t>https://www.epa.gov/sites/production/files/2014-12/documents/santa-clara-tribe-2002.pdf</t>
  </si>
  <si>
    <t>WST</t>
  </si>
  <si>
    <t>https://www.epa.gov/sites/production/files/2014-12/documents/confederated-tribes-warmsprings.pdf</t>
  </si>
  <si>
    <t>MAKA</t>
  </si>
  <si>
    <t>https://www.epa.gov/sites/production/files/2014-12/documents/makah-tribe-wqs.pdf</t>
  </si>
  <si>
    <t>LACDU</t>
  </si>
  <si>
    <t>https://www.epa.gov/sites/production/files/2015-05/documents/lacduflambeau-2015.pdf</t>
  </si>
  <si>
    <t>NAV</t>
  </si>
  <si>
    <t>https://www.epa.gov/sites/production/files/2021-07/documents/navajo-tribe.pdf</t>
  </si>
  <si>
    <t>CDA</t>
  </si>
  <si>
    <t>https://www.epa.gov/sites/production/files/2017-02/documents/wqs-coeurdalene.pdf</t>
  </si>
  <si>
    <t>HOOP</t>
  </si>
  <si>
    <t>https://www.epa.gov/sites/default/files/2014-12/documents/hoopa-valley-tribe.pdf</t>
  </si>
  <si>
    <t>NCHY</t>
  </si>
  <si>
    <t>https://www.epa.gov/sites/production/files/2014-12/documents/cheyennewqs.pdf</t>
  </si>
  <si>
    <t>UMA</t>
  </si>
  <si>
    <t>https://www.epa.gov/sites/production/files/2014-12/documents/confederated-tribes-umatilla.pdf</t>
  </si>
  <si>
    <t>PGSK</t>
  </si>
  <si>
    <t>https://www.epa.gov/sites/production/files/2014-12/documents/port-gamble-tribe-wqs.pdf</t>
  </si>
  <si>
    <t>UMU</t>
  </si>
  <si>
    <t>https://www.epa.gov/sites/production/files/2014-12/documents/utewqs.pdf</t>
  </si>
  <si>
    <t>KALI</t>
  </si>
  <si>
    <t>https://www.epa.gov/sites/default/files/2020-04/documents/kalispel-tribe-wqs-2019.pdf</t>
  </si>
  <si>
    <t>ACO</t>
  </si>
  <si>
    <t>https://www.epa.gov/sites/production/files/2014-10/documents/acoma-wqs.pdf</t>
  </si>
  <si>
    <t>MICC</t>
  </si>
  <si>
    <t>https://www.epa.gov/sites/production/files/2014-12/documents/miccosukee.pdf</t>
  </si>
  <si>
    <t>PYRA</t>
  </si>
  <si>
    <t>https://www.epa.gov/sites/default/files/2014-12/documents/pyramid-lake-tribe.pdf</t>
  </si>
  <si>
    <t>SAND</t>
  </si>
  <si>
    <t>https://www.epa.gov/sites/production/files/2014-12/documents/sandia-tribe.pdf</t>
  </si>
  <si>
    <t>LUM</t>
  </si>
  <si>
    <t>https://www.epa.gov/sites/production/files/2014-12/documents/lummi-nation-wqs.pdf</t>
  </si>
  <si>
    <t>PR</t>
  </si>
  <si>
    <t>https://www.epa.gov/sites/default/files/2014-12/documents/prwqs.pdf</t>
  </si>
  <si>
    <t>LAG</t>
  </si>
  <si>
    <t>https://www.epa.gov/sites/production/files/2017-08/documents/laguna-tribe.pdf</t>
  </si>
  <si>
    <t>EBCI</t>
  </si>
  <si>
    <t>https://www.epa.gov/sites/production/files/2019-04/documents/ebci_wqs_0001_081518.pdf</t>
  </si>
  <si>
    <t>SPOK</t>
  </si>
  <si>
    <t>https://www.epa.gov/sites/default/files/2014-12/documents/spokane-tribe-wqs.pdf</t>
  </si>
  <si>
    <t>KDWN</t>
  </si>
  <si>
    <t>https://www.epa.gov/sites/production/files/2021-04/documents/kletsel-dehe-wintun-nation-wqs.pdf</t>
  </si>
  <si>
    <t>GU</t>
  </si>
  <si>
    <t>https://www.epa.gov/sites/default/files/2014-12/documents/guam-wqs.pdf</t>
  </si>
  <si>
    <t>TWNIN</t>
  </si>
  <si>
    <t>https://www.epa.gov/sites/production/files/2015-09/documents/twentyninepalms-tribe.pdf</t>
  </si>
  <si>
    <t>VI</t>
  </si>
  <si>
    <t>https://www.epa.gov/sites/default/files/2014-12/documents/viwqs.pdf</t>
  </si>
  <si>
    <t>HI</t>
  </si>
  <si>
    <t>https://www.epa.gov/sites/production/files/2014-12/documents/hi-wqs.pdf</t>
  </si>
  <si>
    <t>SD</t>
  </si>
  <si>
    <t>https://www.epa.gov/sites/production/files/2014-12/documents/sd-wqs.pdf</t>
  </si>
  <si>
    <t>https://www.epa.gov/sites/production/files/2014-12/documents/kalispel-tribe-wqs.pdf</t>
  </si>
  <si>
    <t>NY</t>
  </si>
  <si>
    <t>https://www.epa.gov/sites/production/files/2014-12/documents/nywqs-section2.pdf</t>
  </si>
  <si>
    <t>NJ</t>
  </si>
  <si>
    <t>https://www.epa.gov/sites/production/files/2014-12/documents/njwqs.pdf</t>
  </si>
  <si>
    <t>DE</t>
  </si>
  <si>
    <t>https://www.epa.gov/sites/production/files/2014-12/documents/dewqs.pdf</t>
  </si>
  <si>
    <t>NC</t>
  </si>
  <si>
    <t>https://www.epa.gov/sites/production/files/2020-08/documents/ncwqs-subchapter2b.pdf</t>
  </si>
  <si>
    <t>AZ</t>
  </si>
  <si>
    <t>https://www.epa.gov/sites/production/files/2014-12/documents/az-chapter11.pdf</t>
  </si>
  <si>
    <t>OR</t>
  </si>
  <si>
    <t>https://www.epa.gov/sites/production/files/2020-11/documents/orwqs.pdf</t>
  </si>
  <si>
    <t>OK</t>
  </si>
  <si>
    <t>https://www.epa.gov/sites/production/files/2014-12/documents/okwqs_chapter45.pdf</t>
  </si>
  <si>
    <t>OHKA</t>
  </si>
  <si>
    <t>https://www.epa.gov/sites/production/files/2014-12/documents/ohkay-tribe.pdf</t>
  </si>
  <si>
    <t>SRM</t>
  </si>
  <si>
    <t>https://www.epa.gov/sites/production/files/2014-12/documents/stregis-tribe.pdf</t>
  </si>
  <si>
    <t>HUAL</t>
  </si>
  <si>
    <t>https://www.epa.gov/sites/production/files/2014-12/documents/hualapai-tribe.pdf</t>
  </si>
  <si>
    <t>https://www.epa.gov/sites/production/files/2014-12/documents/nj-drbc-wqs.pdf</t>
  </si>
  <si>
    <t>https://www.epa.gov/sites/production/files/2014-12/documents/pawqs-drbc.pdf</t>
  </si>
  <si>
    <t>WV</t>
  </si>
  <si>
    <t>https://www.epa.gov/sites/production/files/2014-12/documents/wv-series2.pdf</t>
  </si>
  <si>
    <t>https://www.epa.gov/sites/production/files/2016-10/documents/dewqs-drbc.pdf</t>
  </si>
  <si>
    <t>IN</t>
  </si>
  <si>
    <t>https://www.epa.gov/sites/production/files/2014-12/documents/inwqs.pdf</t>
  </si>
  <si>
    <t>IA</t>
  </si>
  <si>
    <t>https://www.epa.gov/sites/production/files/2014-12/documents/ia-chapter61.pdf</t>
  </si>
  <si>
    <t>AR</t>
  </si>
  <si>
    <t>https://www.epa.gov/sites/production/files/2014-12/documents/arwqs.pdf</t>
  </si>
  <si>
    <t>LA</t>
  </si>
  <si>
    <t>https://www.epa.gov/sites/production/files/2014-12/documents/lawqs.pdf</t>
  </si>
  <si>
    <t>WA</t>
  </si>
  <si>
    <t>https://www.epa.gov/sites/production/files/2014-12/documents/wawqs.pdf</t>
  </si>
  <si>
    <t>CHE</t>
  </si>
  <si>
    <t>https://www.epa.gov/sites/production/files/2014-12/documents/confederated-tribes-chehalis.pdf</t>
  </si>
  <si>
    <t>MN</t>
  </si>
  <si>
    <t>https://www.epa.gov/sites/production/files/2014-12/documents/mnwqs-chapter-7052.pdf</t>
  </si>
  <si>
    <t>OH</t>
  </si>
  <si>
    <t>https://www.epa.gov/sites/production/files/2015-09/documents/oh_34751_1_to_40.pdf</t>
  </si>
  <si>
    <t>WI</t>
  </si>
  <si>
    <t>https://www.epa.gov/sites/production/files/2014-12/documents/wiwqs-nr105.pdf</t>
  </si>
  <si>
    <t>IL</t>
  </si>
  <si>
    <t>https://www.epa.gov/sites/production/files/2019-11/documents/ilwqs-title35-part302.pdf</t>
  </si>
  <si>
    <t>MI</t>
  </si>
  <si>
    <t>https://www.epa.gov/sites/production/files/2014-12/documents/mi-part4-wqs.pdf</t>
  </si>
  <si>
    <t>BRBCHP</t>
  </si>
  <si>
    <t>https://www.epa.gov/sites/production/files/2014-12/documents/bad_river_band_wqs.pdf</t>
  </si>
  <si>
    <t>GPCHMN</t>
  </si>
  <si>
    <t>https://www.epa.gov/wqs-tech/water-quality-standards-regulations-grand-portage-band-minnesota-chippewa</t>
  </si>
  <si>
    <t>FDL</t>
  </si>
  <si>
    <t>https://www.epa.gov/sites/default/files/2014-12/documents/chippewa-tribe.pdf</t>
  </si>
  <si>
    <t>ISL</t>
  </si>
  <si>
    <t>https://www.epa.gov/sites/production/files/2014-12/documents/isleta-tribe.pdf</t>
  </si>
  <si>
    <t>TAOS</t>
  </si>
  <si>
    <t>https://www.epa.gov/sites/production/files/2014-12/documents/taos-tribe.pdf</t>
  </si>
  <si>
    <t>CA6</t>
  </si>
  <si>
    <t>https://www.epa.gov/sites/production/files/2015-09/documents/ca6-north-south.pdf</t>
  </si>
  <si>
    <t>https://www.epa.gov/sites/production/files/2014-12/documents/mnwqs-chapter-7050.pdf</t>
  </si>
  <si>
    <t>CA5</t>
  </si>
  <si>
    <t>https://www.epa.gov/sites/production/files/2015-03/documents/ca5-plan-sacramento-sanjoaquin.pdf</t>
  </si>
  <si>
    <t>CA7</t>
  </si>
  <si>
    <t>https://www.epa.gov/sites/production/files/2015-03/documents/ca7-plan-colorado-river-basin.pdf</t>
  </si>
  <si>
    <t>TESU</t>
  </si>
  <si>
    <t>https://www.epa.gov/sites/production/files/2014-12/documents/tesuque-tribe.pdf</t>
  </si>
  <si>
    <t>PIC</t>
  </si>
  <si>
    <t>https://www.epa.gov/sites/production/files/2014-12/documents/picuris-tribe.pdf</t>
  </si>
  <si>
    <t>POJ</t>
  </si>
  <si>
    <t>https://www.epa.gov/sites/production/files/2014-12/documents/pojoaque-tribe.pdf</t>
  </si>
  <si>
    <t>WMA</t>
  </si>
  <si>
    <t>https://www.epa.gov/sites/production/files/2014-12/documents/white-mountain-tribe.pdf</t>
  </si>
  <si>
    <t>BPP</t>
  </si>
  <si>
    <t>https://www.epa.gov/sites/production/files/2014-12/documents/bigpine-tribe.pdf</t>
  </si>
  <si>
    <t>Criteria_Descriptor</t>
  </si>
  <si>
    <t>all surface waters</t>
  </si>
  <si>
    <t>class aa, a, &amp; b</t>
  </si>
  <si>
    <t>Statewide Criteria</t>
  </si>
  <si>
    <t>aquatic life</t>
  </si>
  <si>
    <t>Protection of Aquatic Life</t>
  </si>
  <si>
    <t>protection of aquatic biota</t>
  </si>
  <si>
    <t>ambient surface waters</t>
  </si>
  <si>
    <t>class c waters</t>
  </si>
  <si>
    <t>fish and aquatic life</t>
  </si>
  <si>
    <t>all waters</t>
  </si>
  <si>
    <t>toxic pollutant criteria - state waters</t>
  </si>
  <si>
    <t>warm water aquatic habitat</t>
  </si>
  <si>
    <t>classes i, ia, ii, iii</t>
  </si>
  <si>
    <t>aquatic life uses</t>
  </si>
  <si>
    <t>aquatic wildlife; class 3a</t>
  </si>
  <si>
    <t>aquatic wildlife; class 3b</t>
  </si>
  <si>
    <t>aquatic life protection</t>
  </si>
  <si>
    <t>aquatic wildlife; class 3c</t>
  </si>
  <si>
    <t>aquatic wildlife; class 3d</t>
  </si>
  <si>
    <t>Aquatic Life</t>
  </si>
  <si>
    <t>aquatic life criteria for fresh waters {water supply (aquaculture); growth and propagation of fish, shellfish, other aquatic life, and wildlife}</t>
  </si>
  <si>
    <t>waters designated for aquatic life, recreation, or domestic water supply</t>
  </si>
  <si>
    <t>surface waters</t>
  </si>
  <si>
    <t>Toxics criteria for those states not complying with Clean Water Act section 303(c)(2)(B)</t>
  </si>
  <si>
    <t>Aquatic Life Criteria</t>
  </si>
  <si>
    <t>high quality coldwater fishery use, marginal coldwater fishery use, and warmwater fishery use</t>
  </si>
  <si>
    <t>aquatic and wildlife (warmwater habitat)</t>
  </si>
  <si>
    <t>aquatic and wildlife (ephemeral)</t>
  </si>
  <si>
    <t>aquatic and wildlife habitat</t>
  </si>
  <si>
    <t>aquatic life use</t>
  </si>
  <si>
    <t>surface water used for domestic or municipal supply</t>
  </si>
  <si>
    <t>warm water aquatic life, cold water aquatic life</t>
  </si>
  <si>
    <t>aquatic and wildlife (cold), aquatic and wildlife (warm), and aquatic and wildlife (ephemeral)</t>
  </si>
  <si>
    <t>class III-a and class III-b waters</t>
  </si>
  <si>
    <t>Pyramid Lake Reservation Surface Waters</t>
  </si>
  <si>
    <t>surface water</t>
  </si>
  <si>
    <t>class SB waters</t>
  </si>
  <si>
    <t>class SD waters</t>
  </si>
  <si>
    <t>Category S-1, S-2, and S-3 waters</t>
  </si>
  <si>
    <t>class of inland fresh waters (IF) and inland groundwaters (IG)</t>
  </si>
  <si>
    <t>uses 2, 3, 4, 5, 6, 9</t>
  </si>
  <si>
    <t>classes a, a-s, aa, aa-s, b, c</t>
  </si>
  <si>
    <t>toxic substance criteria</t>
  </si>
  <si>
    <t>Aquatic and Wildlife (cold water) (A&amp;Wc)</t>
  </si>
  <si>
    <t>Aquatic and Wildlife (effluent-dependent water) (A&amp;Wedw)</t>
  </si>
  <si>
    <t>Aquatic and Wildlife (warm water) (A&amp;Ww)</t>
  </si>
  <si>
    <t>fish and wildlife propagation</t>
  </si>
  <si>
    <t>A, A-S, AA, AA-S, B, C, D water classes</t>
  </si>
  <si>
    <t>aquatic and wildlife (coldwater fishery)</t>
  </si>
  <si>
    <t>aquatic and wildlife (warmwater fishery)</t>
  </si>
  <si>
    <t>aquatic and wildlife (effluent dependent water)</t>
  </si>
  <si>
    <t>delaware river estuary</t>
  </si>
  <si>
    <t>fresh water (fw2) criteria</t>
  </si>
  <si>
    <t>delaware river estuary and bay. applied in pennsylvania on a site specific basis as outlined in the drbc wqs.</t>
  </si>
  <si>
    <t>category b1 and b4 waters</t>
  </si>
  <si>
    <t>category b2 waters</t>
  </si>
  <si>
    <t>delaware river estuary and bay</t>
  </si>
  <si>
    <t>outside of mixing zone</t>
  </si>
  <si>
    <t>class b(cw1) - cold water - type 1</t>
  </si>
  <si>
    <t>class b(lw) - lakes and wetlands</t>
  </si>
  <si>
    <t>class b(ww-1) - warm water aquatic life - type 1</t>
  </si>
  <si>
    <t>class b(ww-2) - warm water aquatic life - type 2</t>
  </si>
  <si>
    <t>class b(ww-3) - warm water aquatic life - type 3</t>
  </si>
  <si>
    <t>All Waterbodies - Aquatic Life Criteria</t>
  </si>
  <si>
    <t>Aquatic and Wildlife (ephemeral) (A&amp;We)</t>
  </si>
  <si>
    <t>Aquatic Life Protection</t>
  </si>
  <si>
    <t>aquatic and wildlife (ephermeral)</t>
  </si>
  <si>
    <t>great lakes</t>
  </si>
  <si>
    <t>classes a, a-s, aa, aa-s, b, c, d</t>
  </si>
  <si>
    <t>class 2bd - lake superior basin waters</t>
  </si>
  <si>
    <t>inside mixing zone maximum</t>
  </si>
  <si>
    <t>outside mixing zone average</t>
  </si>
  <si>
    <t>outside mixing zone maximum</t>
  </si>
  <si>
    <t>cold water</t>
  </si>
  <si>
    <t>limited aquatic life</t>
  </si>
  <si>
    <t>limited forage fish and limited aquatic life</t>
  </si>
  <si>
    <t>warm water sportfish, warm water forage</t>
  </si>
  <si>
    <t>warm water sportfish, warm water forage, and limited forage fish</t>
  </si>
  <si>
    <t>lake michigan basin</t>
  </si>
  <si>
    <t>class 2a - lake superior</t>
  </si>
  <si>
    <t>class 2a - lake superior basin waters other than lake superior</t>
  </si>
  <si>
    <t>class 2b and 2d - lake superior basin waters</t>
  </si>
  <si>
    <t>aquatic life and fish (a)</t>
  </si>
  <si>
    <t>A, B, C1, D1, and D2 designated use waters</t>
  </si>
  <si>
    <t>A, B, C2, D1, D2, and I designated use waters</t>
  </si>
  <si>
    <t>B, C2, C3, D1, D2, and I designated use waters</t>
  </si>
  <si>
    <t>class aa, a &amp; b</t>
  </si>
  <si>
    <t>fish and aquatic life; great lakes</t>
  </si>
  <si>
    <t>wildlife habitat</t>
  </si>
  <si>
    <t>drinking; non cancer criteria</t>
  </si>
  <si>
    <t>non-drinking; non cancer criteria</t>
  </si>
  <si>
    <t>class d</t>
  </si>
  <si>
    <t>fisheries management</t>
  </si>
  <si>
    <t>wallis pond</t>
  </si>
  <si>
    <t>ward pond</t>
  </si>
  <si>
    <t>whites mill pond</t>
  </si>
  <si>
    <t>whitney pond</t>
  </si>
  <si>
    <t>wickaboag pond</t>
  </si>
  <si>
    <t>wrights reservoir</t>
  </si>
  <si>
    <t>smiths pond</t>
  </si>
  <si>
    <t>south athol pond</t>
  </si>
  <si>
    <t>southwick pond</t>
  </si>
  <si>
    <t>spectacle pond</t>
  </si>
  <si>
    <t>stoddard pond</t>
  </si>
  <si>
    <t>stoneville pond</t>
  </si>
  <si>
    <t>sugden reservoir</t>
  </si>
  <si>
    <t>texas pond</t>
  </si>
  <si>
    <t>tobin (mosquito) pond</t>
  </si>
  <si>
    <t>wallace pond</t>
  </si>
  <si>
    <t>lakes/ponds/reservoirs/kettleholes</t>
  </si>
  <si>
    <t>aquatic (chronic): classes a, a-s, aa, aa-s, b, c</t>
  </si>
  <si>
    <t>fish and wildlife</t>
  </si>
  <si>
    <t>class 2a designated lake trout lakes in all ecoregions chronic standard</t>
  </si>
  <si>
    <t>class 2a designated trout lakes in all ecoregions, except lake trout lakes</t>
  </si>
  <si>
    <t>Class 2Bd, lakes and reservoirs - North Central Hardwood Forest Ecoregion</t>
  </si>
  <si>
    <t>Class 2Bd, lakes and reservoirs - Western Corn Belt Plains and Northern Glaciated Plains Ecoregions</t>
  </si>
  <si>
    <t>Class 2Bd, lakes, shallow lakes, and reservoirs - Northern Lakes and Forest Ecoregion</t>
  </si>
  <si>
    <t>Class 2Bd, shallow lakes - North Central Hardwood Forest Ecoregion</t>
  </si>
  <si>
    <t>Class 2Bd, shallow lakes - Western Corn Belt Plains and Northern Glaciated Plains Ecoregions</t>
  </si>
  <si>
    <t>Chicago Area Waterway System and Lower Des Plaines River</t>
  </si>
  <si>
    <t>all waters: general use</t>
  </si>
  <si>
    <t>class c waters; non-trout lakes and reservoirs</t>
  </si>
  <si>
    <t>class c waters; trout waters</t>
  </si>
  <si>
    <t>lakes and impoundments (eastern)</t>
  </si>
  <si>
    <t>lakes and impoundments (western)</t>
  </si>
  <si>
    <t>lakes/reservoirs; ozark highlands - clearwater lake</t>
  </si>
  <si>
    <t>lakes/reservoirs; ozark highlands - council bluff lake</t>
  </si>
  <si>
    <t>lakes/reservoirs; ozark highlands - crane lake</t>
  </si>
  <si>
    <t>lakes/reservoirs; ozark highlands - fourche lake</t>
  </si>
  <si>
    <t>lakes/reservoirs; ozark highlands - loggers lake</t>
  </si>
  <si>
    <t>lakes/reservoirs; ozark highlands - lower taum sauk lake</t>
  </si>
  <si>
    <t>lakes/reservoirs; ozark highlands - noblett lake</t>
  </si>
  <si>
    <t>lakes/reservoirs; ozark highlands - st. joe state park lakes</t>
  </si>
  <si>
    <t>lakes/reservoirs; ozark highlands - sunnen lake</t>
  </si>
  <si>
    <t>lakes/reservoirs; ozark highlands - table rock lake</t>
  </si>
  <si>
    <t>lakes/reservoirs; ozark highlands - terre du lak lakes</t>
  </si>
  <si>
    <t>lakes/reservoirs; ozark highlands - timberline lakes</t>
  </si>
  <si>
    <t>lakes/reservoirs; plains - bowling green lake</t>
  </si>
  <si>
    <t>lakes/reservoirs; plains - bowling green lake (old)</t>
  </si>
  <si>
    <t>lakes/reservoirs; plains - forest lake</t>
  </si>
  <si>
    <t>lakes/reservoirs; plains - fox valley lake</t>
  </si>
  <si>
    <t>lakes/reservoirs; plains - hazel creek lake</t>
  </si>
  <si>
    <t>lakes/reservoirs; plains - lincoln lake - cuivre river state park</t>
  </si>
  <si>
    <t>lakes/reservoirs; plains - marie, lake</t>
  </si>
  <si>
    <t>lakes/reservoirs; plains - nehai tonkaia lake</t>
  </si>
  <si>
    <t>lakes/reservoirs; plains - viking, lake</t>
  </si>
  <si>
    <t>lakes/reservoirs; ozark border - goose creek lake</t>
  </si>
  <si>
    <t>lakes/reservoirs; ozark border - wauwanoka, lake</t>
  </si>
  <si>
    <t>lakes/reservoirs; plains - waukomis lake</t>
  </si>
  <si>
    <t>lakes/reservoirs; plains - weatherby lake</t>
  </si>
  <si>
    <t>lakes/reservoirs; ozark border (ecoregion)</t>
  </si>
  <si>
    <t>lakes/reservoirs; ozark highland (ecoregion)</t>
  </si>
  <si>
    <t>north fork of the american river from the source to folsom lake; middle fork of the american river from the source to folsom lake; south fork of the american river from the source to folsom lake; american river from folsom dam to sacramento river</t>
  </si>
  <si>
    <t>folsom lake</t>
  </si>
  <si>
    <t>lakes/reservoirs; plains (ecoregion)</t>
  </si>
  <si>
    <t>salton sea</t>
  </si>
  <si>
    <t>cold water fishes; warm water fishes; trout stocking; migratory fishes</t>
  </si>
  <si>
    <t>aquatic and wildlife</t>
  </si>
  <si>
    <t>high quality coldwater fishery use</t>
  </si>
  <si>
    <t>warm water fishery use</t>
  </si>
  <si>
    <t>marginal coldwater use</t>
  </si>
  <si>
    <t>warm water fisheries</t>
  </si>
  <si>
    <t>fisheries</t>
  </si>
  <si>
    <t>segments designated for marginal coldwater fisheries</t>
  </si>
  <si>
    <t>marginal cold water fisheries</t>
  </si>
  <si>
    <t>fish culture and high-quality cold water fisheries</t>
  </si>
  <si>
    <t>marginal coldwater fisheries</t>
  </si>
  <si>
    <t>coldwater fisheries</t>
  </si>
  <si>
    <t>warmwater fisheries</t>
  </si>
  <si>
    <t>marginal coldwater fishery use</t>
  </si>
  <si>
    <t>coldwater fishery use</t>
  </si>
  <si>
    <t>warmwater fishery use</t>
  </si>
  <si>
    <t>coldwater habitat, including coldwater fish rearing</t>
  </si>
  <si>
    <t>high-quality coldwater habitat, including cold water fish hatchery</t>
  </si>
  <si>
    <t>warm water aquatic life</t>
  </si>
  <si>
    <t>cold water aquatic life</t>
  </si>
  <si>
    <t>Coolwater Aquatic Life/Fishery</t>
  </si>
  <si>
    <t>coldwater aquatic life/fisheries</t>
  </si>
  <si>
    <t>Pyramid Lake- Aquatic Life, Water of Special Ecological Significance (WSES), Extraordinary Aesthetic Value (EXAV), Primary Contact Ceremonial Use (PCCU), Water Contact Recreation (REC1)</t>
  </si>
  <si>
    <t>Pyramid Lake- Aquatic Life, Water of Special Ecological Significance (WSES)</t>
  </si>
  <si>
    <t>Pyramid Lake- Aquatic Life, Water of Special Ecological Significance (WSES), Extraordinary Aesthetic Value (EXAV)</t>
  </si>
  <si>
    <t>Truckee River- Aquatic Life, Primary Contact Ceremonial Use (PCCU), Water Contact Recreation (REC1), REC-2</t>
  </si>
  <si>
    <t>Truckee River- Aquatic Life, Primary Contact Ceremonial Use (PCCU), Water Contact Recreation (REC1), REC-2, Extraordinary Aesthetic Value (EXAV)</t>
  </si>
  <si>
    <t>Truckee River- Aquatic Life, Water of Special Ecological Significance (WSES)</t>
  </si>
  <si>
    <t>Truckee River- Freshwater Replenishment (FRSH), Aquatic Life, Water of Special Ecological Significance (WSES)</t>
  </si>
  <si>
    <t>Pyramid Lake or Truckee River- Aquatic Life</t>
  </si>
  <si>
    <t>warmwater aquatic life/fisheries</t>
  </si>
  <si>
    <t>fish culture</t>
  </si>
  <si>
    <t>NS00075580</t>
  </si>
  <si>
    <t>NS00080564</t>
  </si>
  <si>
    <t>Algae and plants | P-PNEC</t>
  </si>
  <si>
    <t>NS00073847</t>
  </si>
  <si>
    <t>Crustacean</t>
  </si>
  <si>
    <t>NS00083169</t>
  </si>
  <si>
    <t>NS00078025</t>
  </si>
  <si>
    <t>algae and plants</t>
  </si>
  <si>
    <t>NS00098761</t>
  </si>
  <si>
    <t>NS00073907</t>
  </si>
  <si>
    <t xml:space="preserve">NS00066932	</t>
  </si>
  <si>
    <t>NS00073926</t>
  </si>
  <si>
    <t>NS00098635</t>
  </si>
  <si>
    <t>NS00068380</t>
  </si>
  <si>
    <t xml:space="preserve">NS00079270	</t>
  </si>
  <si>
    <t xml:space="preserve">NS00076463	</t>
  </si>
  <si>
    <t xml:space="preserve">NS00096956	</t>
  </si>
  <si>
    <t>NS00076214</t>
  </si>
  <si>
    <t>P-PNEC</t>
  </si>
  <si>
    <t>NS00098764</t>
  </si>
  <si>
    <t>NS00098611</t>
  </si>
  <si>
    <t xml:space="preserve">NS00100964	</t>
  </si>
  <si>
    <t>NS00073930</t>
  </si>
  <si>
    <t>NS00076256</t>
  </si>
  <si>
    <t>NS00076189</t>
  </si>
  <si>
    <t>NS00067928</t>
  </si>
  <si>
    <t>NS00067050</t>
  </si>
  <si>
    <t xml:space="preserve">NS00073906	</t>
  </si>
  <si>
    <t xml:space="preserve">NS00099460	</t>
  </si>
  <si>
    <t>NS00073897</t>
  </si>
  <si>
    <t>NS00068607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</si>
</sst>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16" x14ac:knownFonts="1">
    <font>
      <sz val="11"/>
      <color theme="1"/>
      <name val="Calibri"/>
      <family val="2"/>
      <scheme val="minor"/>
    </font>
    <font>
      <b/>
      <sz val="11"/>
      <color theme="1"/>
      <name val="Calibri"/>
      <family val="2"/>
      <scheme val="minor"/>
    </font>
    <font>
      <u/>
      <sz val="11"/>
      <color theme="10"/>
      <name val="Calibri"/>
      <family val="2"/>
      <scheme val="minor"/>
    </font>
    <font>
      <sz val="11"/>
      <name val="Calibri"/>
      <family val="2"/>
      <scheme val="minor"/>
    </font>
    <font>
      <sz val="11"/>
      <color rgb="FF000000"/>
      <name val="Calibri"/>
      <family val="2"/>
      <scheme val="minor"/>
    </font>
    <font>
      <sz val="11"/>
      <color rgb="FF212121"/>
      <name val="Calibri"/>
      <family val="2"/>
      <scheme val="minor"/>
    </font>
    <font>
      <sz val="10"/>
      <name val="Arial"/>
      <family val="2"/>
      <charset val="1"/>
    </font>
    <font>
      <b/>
      <sz val="11"/>
      <name val="Calibri"/>
      <family val="2"/>
      <scheme val="minor"/>
    </font>
    <font>
      <sz val="8"/>
      <name val="Calibri"/>
      <family val="2"/>
      <scheme val="minor"/>
    </font>
    <font>
      <i/>
      <sz val="11"/>
      <color theme="1"/>
      <name val="Calibri"/>
      <family val="2"/>
      <scheme val="minor"/>
    </font>
    <font>
      <sz val="10"/>
      <name val="Arial"/>
      <family val="2"/>
    </font>
    <font>
      <sz val="10"/>
      <color theme="1"/>
      <name val="Arial"/>
      <family val="2"/>
    </font>
    <font>
      <sz val="7"/>
      <color rgb="FF000000"/>
      <name val="Verdana"/>
      <family val="2"/>
    </font>
    <font>
      <b/>
      <sz val="11"/>
      <color theme="1"/>
      <name val="Arial"/>
      <family val="2"/>
    </font>
    <font>
      <sz val="11"/>
      <color theme="1"/>
      <name val="Arial"/>
      <family val="2"/>
    </font>
    <font>
      <sz val="7"/>
      <color rgb="FF333333"/>
      <name val="Arial"/>
      <family val="2"/>
    </font>
  </fonts>
  <fills count="14">
    <fill>
      <patternFill patternType="none"/>
    </fill>
    <fill>
      <patternFill patternType="gray125"/>
    </fill>
    <fill>
      <patternFill patternType="solid">
        <fgColor rgb="FFFFFF00"/>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rgb="FFCCCCFF"/>
        <bgColor indexed="64"/>
      </patternFill>
    </fill>
    <fill>
      <patternFill patternType="solid">
        <fgColor rgb="FFDEA7FF"/>
        <bgColor indexed="64"/>
      </patternFill>
    </fill>
    <fill>
      <patternFill patternType="solid">
        <fgColor rgb="FFEDAFFF"/>
        <bgColor indexed="64"/>
      </patternFill>
    </fill>
    <fill>
      <patternFill patternType="solid">
        <fgColor rgb="FFFCA8A1"/>
        <bgColor indexed="64"/>
      </patternFill>
    </fill>
    <fill>
      <patternFill patternType="solid">
        <fgColor theme="2"/>
        <bgColor indexed="64"/>
      </patternFill>
    </fill>
    <fill>
      <patternFill patternType="solid">
        <fgColor rgb="FFFFC1E0"/>
        <bgColor indexed="64"/>
      </patternFill>
    </fill>
  </fills>
  <borders count="11">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3">
    <xf numFmtId="0" fontId="0" fillId="0" borderId="0"/>
    <xf numFmtId="0" fontId="2" fillId="0" borderId="0" applyNumberFormat="0" applyFill="0" applyBorder="0" applyAlignment="0" applyProtection="0"/>
    <xf numFmtId="0" fontId="6" fillId="0" borderId="0" applyBorder="0">
      <protection locked="0"/>
    </xf>
  </cellStyleXfs>
  <cellXfs count="73">
    <xf numFmtId="0" fontId="0" fillId="0" borderId="0" xfId="0"/>
    <xf numFmtId="0" fontId="3" fillId="0" borderId="0" xfId="0" applyFont="1"/>
    <xf numFmtId="0" fontId="1" fillId="2" borderId="0" xfId="0" applyFont="1" applyFill="1"/>
    <xf numFmtId="49" fontId="0" fillId="0" borderId="0" xfId="0" applyNumberFormat="1"/>
    <xf numFmtId="0" fontId="4" fillId="0" borderId="0" xfId="0" applyFont="1" applyAlignment="1">
      <alignment horizontal="justify" vertical="center" wrapText="1"/>
    </xf>
    <xf numFmtId="0" fontId="4" fillId="0" borderId="0" xfId="0" applyFont="1"/>
    <xf numFmtId="0" fontId="5" fillId="0" borderId="0" xfId="0" applyFont="1"/>
    <xf numFmtId="0" fontId="6" fillId="0" borderId="0" xfId="2" applyBorder="1">
      <protection locked="0"/>
    </xf>
    <xf numFmtId="0" fontId="0" fillId="0" borderId="0" xfId="0" applyAlignment="1">
      <alignment horizontal="center"/>
    </xf>
    <xf numFmtId="0" fontId="1" fillId="4" borderId="9" xfId="0" applyFont="1" applyFill="1" applyBorder="1"/>
    <xf numFmtId="0" fontId="1" fillId="3" borderId="9" xfId="0" applyFont="1" applyFill="1" applyBorder="1"/>
    <xf numFmtId="0" fontId="1" fillId="5" borderId="9" xfId="0" applyFont="1" applyFill="1" applyBorder="1"/>
    <xf numFmtId="0" fontId="0" fillId="5" borderId="0" xfId="0" applyFill="1"/>
    <xf numFmtId="0" fontId="2" fillId="0" borderId="0" xfId="1"/>
    <xf numFmtId="0" fontId="7" fillId="6" borderId="9" xfId="0" applyFont="1" applyFill="1" applyBorder="1"/>
    <xf numFmtId="0" fontId="7" fillId="7" borderId="9" xfId="0" applyFont="1" applyFill="1" applyBorder="1"/>
    <xf numFmtId="0" fontId="1" fillId="7" borderId="9" xfId="0" applyFont="1" applyFill="1" applyBorder="1"/>
    <xf numFmtId="0" fontId="7" fillId="8" borderId="9" xfId="0" applyFont="1" applyFill="1" applyBorder="1"/>
    <xf numFmtId="0" fontId="7" fillId="9" borderId="9" xfId="0" applyFont="1" applyFill="1" applyBorder="1"/>
    <xf numFmtId="0" fontId="7" fillId="10" borderId="9" xfId="0" applyFont="1" applyFill="1" applyBorder="1"/>
    <xf numFmtId="0" fontId="0" fillId="10" borderId="0" xfId="0" applyFill="1"/>
    <xf numFmtId="0" fontId="1" fillId="10" borderId="0" xfId="0" applyFont="1" applyFill="1"/>
    <xf numFmtId="0" fontId="7" fillId="11" borderId="9" xfId="0" applyFont="1" applyFill="1" applyBorder="1"/>
    <xf numFmtId="0" fontId="0" fillId="11" borderId="9" xfId="0" applyFill="1" applyBorder="1"/>
    <xf numFmtId="0" fontId="1" fillId="11" borderId="9" xfId="0" applyFont="1" applyFill="1" applyBorder="1"/>
    <xf numFmtId="0" fontId="6" fillId="0" borderId="0" xfId="2" applyFill="1" applyBorder="1">
      <protection locked="0"/>
    </xf>
    <xf numFmtId="0" fontId="0" fillId="0" borderId="0" xfId="0" applyFill="1"/>
    <xf numFmtId="0" fontId="0" fillId="0" borderId="0" xfId="0" applyNumberFormat="1"/>
    <xf numFmtId="0" fontId="1" fillId="0" borderId="0" xfId="0" applyFont="1"/>
    <xf numFmtId="0" fontId="0" fillId="11" borderId="10" xfId="0" applyFill="1" applyBorder="1"/>
    <xf numFmtId="0" fontId="1" fillId="11" borderId="10" xfId="0" applyFont="1" applyFill="1" applyBorder="1"/>
    <xf numFmtId="0" fontId="9" fillId="0" borderId="0" xfId="0" applyFont="1"/>
    <xf numFmtId="0" fontId="0" fillId="0" borderId="0" xfId="0" applyAlignment="1"/>
    <xf numFmtId="0" fontId="6" fillId="0" borderId="0" xfId="2" applyBorder="1" applyAlignment="1">
      <protection locked="0"/>
    </xf>
    <xf numFmtId="43" fontId="2" fillId="0" borderId="0" xfId="1" applyNumberFormat="1"/>
    <xf numFmtId="11" fontId="0" fillId="0" borderId="0" xfId="0" applyNumberFormat="1"/>
    <xf numFmtId="0" fontId="11" fillId="0" borderId="0" xfId="0" applyFont="1"/>
    <xf numFmtId="0" fontId="6" fillId="12" borderId="0" xfId="2" applyFill="1" applyBorder="1">
      <protection locked="0"/>
    </xf>
    <xf numFmtId="0" fontId="12" fillId="0" borderId="0" xfId="0" applyFont="1"/>
    <xf numFmtId="0" fontId="2" fillId="0" borderId="0" xfId="1" applyFill="1"/>
    <xf numFmtId="0" fontId="2" fillId="0" borderId="0" xfId="1" applyAlignment="1"/>
    <xf numFmtId="0" fontId="14" fillId="0" borderId="0" xfId="0" applyFont="1"/>
    <xf numFmtId="0" fontId="13" fillId="3" borderId="0" xfId="0" applyFont="1" applyFill="1" applyAlignment="1">
      <alignment horizontal="center"/>
    </xf>
    <xf numFmtId="0" fontId="13" fillId="3" borderId="0" xfId="0" applyFont="1" applyFill="1"/>
    <xf numFmtId="0" fontId="14" fillId="0" borderId="0" xfId="0" applyFont="1" applyFill="1"/>
    <xf numFmtId="0" fontId="14" fillId="0" borderId="0" xfId="0" applyFont="1" applyAlignment="1">
      <alignment wrapText="1"/>
    </xf>
    <xf numFmtId="0" fontId="1" fillId="2" borderId="0" xfId="0" applyFont="1" applyFill="1" applyAlignment="1">
      <alignment horizontal="center"/>
    </xf>
    <xf numFmtId="0" fontId="0" fillId="2" borderId="0" xfId="0" applyFill="1"/>
    <xf numFmtId="14" fontId="0" fillId="0" borderId="0" xfId="0" applyNumberFormat="1" applyFill="1"/>
    <xf numFmtId="0" fontId="1" fillId="0" borderId="0" xfId="0" applyFont="1" applyAlignment="1">
      <alignment horizontal="center"/>
    </xf>
    <xf numFmtId="0" fontId="10" fillId="0" borderId="9" xfId="0" applyFont="1" applyBorder="1" applyAlignment="1">
      <alignment horizontal="center" vertical="center" wrapText="1" shrinkToFit="1"/>
    </xf>
    <xf numFmtId="0" fontId="0" fillId="0" borderId="0" xfId="0" applyFont="1" applyFill="1"/>
    <xf numFmtId="0" fontId="15" fillId="0" borderId="0" xfId="0" applyFont="1"/>
    <xf numFmtId="0" fontId="0" fillId="0" borderId="0" xfId="0" applyAlignment="1">
      <alignment wrapText="1"/>
    </xf>
    <xf numFmtId="0" fontId="0" fillId="0" borderId="0" xfId="0" applyFont="1"/>
    <xf numFmtId="0" fontId="1" fillId="13" borderId="0" xfId="0" applyFont="1" applyFill="1" applyAlignment="1">
      <alignment horizontal="center"/>
    </xf>
    <xf numFmtId="0" fontId="0" fillId="0" borderId="0" xfId="0" applyFill="1" applyAlignment="1">
      <alignment wrapText="1"/>
    </xf>
    <xf numFmtId="14" fontId="0" fillId="0" borderId="0" xfId="0" applyNumberFormat="1"/>
    <xf numFmtId="14" fontId="0" fillId="0" borderId="0" xfId="0" applyNumberFormat="1" applyFont="1"/>
    <xf numFmtId="14" fontId="0" fillId="0" borderId="0" xfId="0" applyNumberFormat="1" applyAlignment="1"/>
    <xf numFmtId="16" fontId="0" fillId="0" borderId="0" xfId="0" applyNumberFormat="1"/>
    <xf numFmtId="14" fontId="14" fillId="0" borderId="0" xfId="0" applyNumberFormat="1" applyFont="1" applyFill="1"/>
    <xf numFmtId="14" fontId="14" fillId="0" borderId="0" xfId="0" applyNumberFormat="1" applyFont="1"/>
    <xf numFmtId="0" fontId="0" fillId="0" borderId="0" xfId="0" applyFill="1" applyBorder="1"/>
    <xf numFmtId="0" fontId="0" fillId="3" borderId="1" xfId="0" applyFill="1" applyBorder="1" applyAlignment="1">
      <alignment horizontal="center" wrapText="1"/>
    </xf>
    <xf numFmtId="0" fontId="0" fillId="3" borderId="2" xfId="0" applyFill="1" applyBorder="1" applyAlignment="1">
      <alignment horizontal="center" wrapText="1"/>
    </xf>
    <xf numFmtId="0" fontId="0" fillId="3" borderId="3" xfId="0" applyFill="1" applyBorder="1" applyAlignment="1">
      <alignment horizontal="center" wrapText="1"/>
    </xf>
    <xf numFmtId="0" fontId="0" fillId="3" borderId="4" xfId="0" applyFill="1" applyBorder="1" applyAlignment="1">
      <alignment horizontal="center" wrapText="1"/>
    </xf>
    <xf numFmtId="0" fontId="0" fillId="3" borderId="0" xfId="0" applyFill="1" applyBorder="1" applyAlignment="1">
      <alignment horizontal="center" wrapText="1"/>
    </xf>
    <xf numFmtId="0" fontId="0" fillId="3" borderId="5" xfId="0" applyFill="1" applyBorder="1" applyAlignment="1">
      <alignment horizontal="center" wrapText="1"/>
    </xf>
    <xf numFmtId="0" fontId="0" fillId="3" borderId="6" xfId="0" applyFill="1" applyBorder="1" applyAlignment="1">
      <alignment horizontal="center" wrapText="1"/>
    </xf>
    <xf numFmtId="0" fontId="0" fillId="3" borderId="7" xfId="0" applyFill="1" applyBorder="1" applyAlignment="1">
      <alignment horizontal="center" wrapText="1"/>
    </xf>
    <xf numFmtId="0" fontId="0" fillId="3" borderId="8" xfId="0" applyFill="1" applyBorder="1" applyAlignment="1">
      <alignment horizontal="center" wrapText="1"/>
    </xf>
  </cellXfs>
  <cellStyles count="3">
    <cellStyle name="Hyperlink" xfId="1" builtinId="8"/>
    <cellStyle name="Normal" xfId="0" builtinId="0"/>
    <cellStyle name="Normal 2" xfId="2" xr:uid="{026752D2-9042-4994-9E26-853085FAF510}"/>
  </cellStyles>
  <dxfs count="0"/>
  <tableStyles count="0" defaultTableStyle="TableStyleMedium2" defaultPivotStyle="PivotStyleLight16"/>
  <colors>
    <mruColors>
      <color rgb="FFFFC1E0"/>
      <color rgb="FFFCA8A1"/>
      <color rgb="FFFF3399"/>
      <color rgb="FFEDAFFF"/>
      <color rgb="FFDEA7FF"/>
      <color rgb="FFCC99FF"/>
      <color rgb="FFFFCCFF"/>
      <color rgb="FFCCCCFF"/>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WQG/Previous%20iterations/OPP_EM_manu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s>
    <sheetDataSet>
      <sheetData sheetId="0">
        <row r="1">
          <cell r="A1" t="str">
            <v xml:space="preserve">CAS </v>
          </cell>
          <cell r="B1" t="str">
            <v>Chemical Name</v>
          </cell>
          <cell r="C1" t="str">
            <v>Fish_acute</v>
          </cell>
          <cell r="D1" t="str">
            <v>Fish_Chronic</v>
          </cell>
          <cell r="E1" t="str">
            <v>Inverts_Acute</v>
          </cell>
          <cell r="F1" t="str">
            <v>Inverts_Chronic</v>
          </cell>
          <cell r="G1" t="str">
            <v>Nonvascular_Plants_Acute</v>
          </cell>
          <cell r="H1" t="str">
            <v>Vascular_Plants_Acute</v>
          </cell>
          <cell r="I1" t="str">
            <v>Maximum_Concentration_CMC</v>
          </cell>
          <cell r="J1" t="str">
            <v>Continuous_Concentration_CCC</v>
          </cell>
          <cell r="K1" t="str">
            <v>Note</v>
          </cell>
          <cell r="L1" t="str">
            <v>Benchmark_Type</v>
          </cell>
          <cell r="M1" t="str">
            <v>QAQC_3</v>
          </cell>
          <cell r="N1" t="str">
            <v>units</v>
          </cell>
        </row>
        <row r="2">
          <cell r="A2" t="str">
            <v>42399-41-7</v>
          </cell>
          <cell r="B2" t="str">
            <v>(+)-Diltiazem</v>
          </cell>
        </row>
        <row r="3">
          <cell r="A3" t="str">
            <v>51877-74-8</v>
          </cell>
          <cell r="B3" t="str">
            <v>(+)-trans-Permethrin</v>
          </cell>
        </row>
        <row r="4">
          <cell r="A4" t="str">
            <v>61949-76-6</v>
          </cell>
          <cell r="B4" t="str">
            <v>(+/-)-cis-Permethrin</v>
          </cell>
        </row>
        <row r="5">
          <cell r="A5" t="str">
            <v>52-53-9</v>
          </cell>
          <cell r="B5" t="str">
            <v>(+/-)-Verapamil</v>
          </cell>
        </row>
        <row r="6">
          <cell r="A6" t="str">
            <v>30759-92-3</v>
          </cell>
          <cell r="B6" t="str">
            <v>(18α)-Oleanane</v>
          </cell>
        </row>
        <row r="7">
          <cell r="A7" t="str">
            <v>139888-73-6</v>
          </cell>
          <cell r="B7" t="str">
            <v>(2,6-diethylanilino)(oxo)acetic acid</v>
          </cell>
        </row>
        <row r="8">
          <cell r="A8" t="str">
            <v>152019-74-4</v>
          </cell>
          <cell r="B8" t="str">
            <v>(2-Ethyl-6-methylanilino)(oxo)acetic acid</v>
          </cell>
        </row>
        <row r="9">
          <cell r="A9" t="str">
            <v>196611-19-5</v>
          </cell>
          <cell r="B9" t="str">
            <v>1-(2-amino-3-methylphenyl)ethan-1-ol</v>
          </cell>
        </row>
        <row r="10">
          <cell r="A10" t="str">
            <v>53-19-0</v>
          </cell>
          <cell r="B10" t="str">
            <v>1-(2-Chlorophenyl)-1-(4-chlorophenyl)-2,2-dichloroethane</v>
          </cell>
        </row>
        <row r="11">
          <cell r="A11" t="str">
            <v>53-86-1</v>
          </cell>
          <cell r="B11" t="str">
            <v>1-(p-Chlorobenzoyl)-5-methoxy-2-methyl-Indole-3-acetic acid</v>
          </cell>
        </row>
        <row r="12">
          <cell r="A12" t="str">
            <v>182677-28-7</v>
          </cell>
          <cell r="B12" t="str">
            <v>1,1'-Oxybis(2,3,4-tribromobenzene)</v>
          </cell>
        </row>
        <row r="13">
          <cell r="A13" t="str">
            <v>6903-63-5</v>
          </cell>
          <cell r="B13" t="str">
            <v>1,1'-Oxybis(3-bromobenzene)</v>
          </cell>
        </row>
        <row r="14">
          <cell r="A14" t="str">
            <v>1163-19-5</v>
          </cell>
          <cell r="B14" t="str">
            <v>1,1'-Oxybis[2,3,4,5,6-pentabromobenzene]</v>
          </cell>
        </row>
        <row r="15">
          <cell r="A15" t="str">
            <v>63387-28-0</v>
          </cell>
          <cell r="B15" t="str">
            <v>1,2,3,4,5-Pentabromo-6-(2,3,4,5-tetrabromophenoxy)benzene</v>
          </cell>
        </row>
        <row r="16">
          <cell r="A16" t="str">
            <v>4466-77-7</v>
          </cell>
          <cell r="B16" t="str">
            <v>1,2,3,4-Tetramethylphenanthrene</v>
          </cell>
        </row>
        <row r="17">
          <cell r="A17" t="str">
            <v>95-14-7</v>
          </cell>
          <cell r="B17" t="str">
            <v>1,2,3-Benzotriazole</v>
          </cell>
        </row>
        <row r="18">
          <cell r="A18" t="str">
            <v>366791-32-4</v>
          </cell>
          <cell r="B18" t="str">
            <v>1,2,3-Tribromo-5-(3,4-dibromophenoxy)benzene</v>
          </cell>
        </row>
        <row r="19">
          <cell r="A19" t="str">
            <v>27358-28-7</v>
          </cell>
          <cell r="B19" t="str">
            <v>1,2,3-Trimethylanthracene</v>
          </cell>
        </row>
        <row r="20">
          <cell r="A20" t="str">
            <v>41637-88-1</v>
          </cell>
          <cell r="B20" t="str">
            <v>1,2,3-Trimethylpyrene</v>
          </cell>
        </row>
        <row r="21">
          <cell r="A21" t="str">
            <v>15914-23-5</v>
          </cell>
          <cell r="B21" t="str">
            <v>1,2-Dimethylchrysene</v>
          </cell>
        </row>
        <row r="22">
          <cell r="A22" t="str">
            <v>573-98-8</v>
          </cell>
          <cell r="B22" t="str">
            <v>1,2-Dimethylnapthalene</v>
          </cell>
        </row>
        <row r="23">
          <cell r="A23" t="str">
            <v>39222-73-6</v>
          </cell>
          <cell r="B23" t="str">
            <v>1,3,4-Thiadiazol-2-amine, 5-(1,1-dimethylethyl)-</v>
          </cell>
        </row>
        <row r="24">
          <cell r="A24" t="str">
            <v>19988-24-0</v>
          </cell>
          <cell r="B24" t="str">
            <v>1,3,5-Triazin-2(1H)-one, 4-amino-6-((1-methylethyl)amino)-</v>
          </cell>
        </row>
        <row r="25">
          <cell r="A25" t="str">
            <v>7313-54-4</v>
          </cell>
          <cell r="B25" t="str">
            <v>1,3,5-Triazin-2(1H)-one, 4-amino-6-(ethylamino)-</v>
          </cell>
        </row>
        <row r="26">
          <cell r="A26" t="str">
            <v>4147-57-3</v>
          </cell>
          <cell r="B26" t="str">
            <v>1,3,5-Triazine-2,4-diamine, N-(1-methylethyl)-6-(methylthio)-</v>
          </cell>
        </row>
        <row r="27">
          <cell r="A27" t="str">
            <v>189084-57-9</v>
          </cell>
          <cell r="B27" t="str">
            <v>1,3-Dibromo-2-(2,4-dibromophenoxy)benzene</v>
          </cell>
        </row>
        <row r="28">
          <cell r="A28" t="str">
            <v>64401-21-4</v>
          </cell>
          <cell r="B28" t="str">
            <v>1,3-Dimethylpyrene</v>
          </cell>
        </row>
        <row r="29">
          <cell r="A29" t="str">
            <v>2960-97-6</v>
          </cell>
          <cell r="B29" t="str">
            <v>1,4,5,8-Tetramethylanthracene</v>
          </cell>
        </row>
        <row r="30">
          <cell r="A30" t="str">
            <v>106-46-7</v>
          </cell>
          <cell r="B30" t="str">
            <v>1,4-Dichlorobenzene</v>
          </cell>
        </row>
        <row r="31">
          <cell r="A31" t="str">
            <v>2245-38-7</v>
          </cell>
          <cell r="B31" t="str">
            <v>1,6,7-Trimethylnaphthalene</v>
          </cell>
        </row>
        <row r="32">
          <cell r="A32" t="str">
            <v>611-59-6</v>
          </cell>
          <cell r="B32" t="str">
            <v>1,7-Dimethylxanthine</v>
          </cell>
        </row>
        <row r="33">
          <cell r="A33" t="str">
            <v>20291-73-0</v>
          </cell>
          <cell r="B33" t="str">
            <v>1,9-Dimethylphenanthrene</v>
          </cell>
        </row>
        <row r="34">
          <cell r="A34" t="str">
            <v>508233-74-7</v>
          </cell>
          <cell r="B34" t="str">
            <v>1-{2-[(2,4-Dimethylphenyl)sulfanyl]phenyl}piperazine</v>
          </cell>
        </row>
        <row r="35">
          <cell r="A35" t="str">
            <v>1246833-15-7</v>
          </cell>
          <cell r="B35" t="str">
            <v>10-Hydroxy Amitriptyline Oxalate</v>
          </cell>
        </row>
        <row r="36">
          <cell r="A36" t="str">
            <v>1159-82-6</v>
          </cell>
          <cell r="B36" t="str">
            <v>10-Hydroxyamitriptyline</v>
          </cell>
        </row>
        <row r="37">
          <cell r="A37" t="str">
            <v>64520-05-4</v>
          </cell>
          <cell r="B37" t="str">
            <v>10-Hydroxy-amitriptyline</v>
          </cell>
        </row>
        <row r="38">
          <cell r="A38" t="str">
            <v>29331-92-8</v>
          </cell>
          <cell r="B38" t="str">
            <v>10-hydroxycarbazepine</v>
          </cell>
        </row>
        <row r="39">
          <cell r="A39" t="str">
            <v>564-35-2</v>
          </cell>
          <cell r="B39" t="str">
            <v>11-Ketotestosterone</v>
          </cell>
        </row>
        <row r="40">
          <cell r="A40" t="str">
            <v>57-91-0</v>
          </cell>
          <cell r="B40" t="str">
            <v>17alpha-Estradiol</v>
          </cell>
        </row>
        <row r="41">
          <cell r="A41" t="str">
            <v>57-63-6</v>
          </cell>
          <cell r="B41" t="str">
            <v>17alpha-Ethinylestradiol</v>
          </cell>
        </row>
        <row r="42">
          <cell r="A42" t="str">
            <v>50-28-2</v>
          </cell>
          <cell r="B42" t="str">
            <v>17beta-Estradiol</v>
          </cell>
        </row>
        <row r="43">
          <cell r="A43" t="str">
            <v>147217-71-8</v>
          </cell>
          <cell r="B43" t="str">
            <v>1-Bromo-2-(4-bromophenoxy)benzene</v>
          </cell>
        </row>
        <row r="44">
          <cell r="A44" t="str">
            <v>83694-71-7</v>
          </cell>
          <cell r="B44" t="str">
            <v>1-Bromo-3-(4-bromophenoxy)benzene</v>
          </cell>
        </row>
        <row r="45">
          <cell r="A45" t="str">
            <v>1127-76-0</v>
          </cell>
          <cell r="B45" t="str">
            <v>1-Ethylnaphthalene</v>
          </cell>
        </row>
        <row r="46">
          <cell r="A46" t="str">
            <v>288-88-0</v>
          </cell>
          <cell r="B46" t="str">
            <v>1H-1,2,4-Triazole</v>
          </cell>
          <cell r="C46">
            <v>249000</v>
          </cell>
          <cell r="G46">
            <v>14000</v>
          </cell>
          <cell r="L46" t="str">
            <v>Screening_Apical</v>
          </cell>
          <cell r="N46" t="str">
            <v>ug/L</v>
          </cell>
        </row>
        <row r="47">
          <cell r="A47" t="str">
            <v>832-69-9</v>
          </cell>
          <cell r="B47" t="str">
            <v>1-Methyl phenanthrene</v>
          </cell>
        </row>
        <row r="48">
          <cell r="A48" t="str">
            <v>2958-75-0</v>
          </cell>
          <cell r="B48" t="str">
            <v>1-methyldecahydronaphthalene</v>
          </cell>
        </row>
        <row r="49">
          <cell r="A49" t="str">
            <v>1730-37-6</v>
          </cell>
          <cell r="B49" t="str">
            <v>1-Methylfluorene</v>
          </cell>
        </row>
        <row r="50">
          <cell r="A50" t="str">
            <v>90-12-0</v>
          </cell>
          <cell r="B50" t="str">
            <v>1-Methylnaphthalene</v>
          </cell>
        </row>
        <row r="51">
          <cell r="A51" t="str">
            <v>2381-21-7</v>
          </cell>
          <cell r="B51" t="str">
            <v>1-Methylpyrene</v>
          </cell>
        </row>
        <row r="52">
          <cell r="A52" t="str">
            <v>104-35-8</v>
          </cell>
          <cell r="B52" t="str">
            <v>2-(4-Nonylphenoxy) ethanol</v>
          </cell>
        </row>
        <row r="53">
          <cell r="A53" t="str">
            <v>437701-78-5</v>
          </cell>
          <cell r="B53" t="str">
            <v>2,2',3,3',4,5,5',6,6'-nonabromodiphenyl ether</v>
          </cell>
        </row>
        <row r="54">
          <cell r="A54" t="str">
            <v>207122-16-5</v>
          </cell>
          <cell r="B54" t="str">
            <v>2,2',3,4,4',5',6-Heptabromodiphenyl ether</v>
          </cell>
        </row>
        <row r="55">
          <cell r="A55" t="str">
            <v>182346-21-0</v>
          </cell>
          <cell r="B55" t="str">
            <v>2,2',3,4,4'-Pentabromodiphenyl ether</v>
          </cell>
        </row>
        <row r="56">
          <cell r="A56" t="str">
            <v>68631-49-2</v>
          </cell>
          <cell r="B56" t="str">
            <v>2,2',4,4',5,5'-Hexabromodiphenyl ether</v>
          </cell>
        </row>
        <row r="57">
          <cell r="A57" t="str">
            <v>207122-15-4</v>
          </cell>
          <cell r="B57" t="str">
            <v>2,2',4,4',5,6'-Hexabromodiphenyl ether</v>
          </cell>
        </row>
        <row r="58">
          <cell r="A58" t="str">
            <v>60348-60-9</v>
          </cell>
          <cell r="B58" t="str">
            <v>2,2',4,4',5-Pentabromodiphenyl ether</v>
          </cell>
        </row>
        <row r="59">
          <cell r="A59" t="str">
            <v>35854-94-5</v>
          </cell>
          <cell r="B59" t="str">
            <v>2,2',4,4',6,6'-Hexabromodiphenyl Ether</v>
          </cell>
        </row>
        <row r="60">
          <cell r="A60" t="str">
            <v>189084-64-8</v>
          </cell>
          <cell r="B60" t="str">
            <v>2,2',4,4',6-Pentabromodiphenyl ether</v>
          </cell>
        </row>
        <row r="61">
          <cell r="A61" t="str">
            <v>5436-43-1</v>
          </cell>
          <cell r="B61" t="str">
            <v>2,2',4,4'-Tetrabromodiphenyl ether</v>
          </cell>
        </row>
        <row r="62">
          <cell r="A62" t="str">
            <v>243982-82-3</v>
          </cell>
          <cell r="B62" t="str">
            <v>2,2',4,5'-Tetrabromodiphenyl Ether</v>
          </cell>
        </row>
        <row r="63">
          <cell r="A63" t="str">
            <v>147217-75-2</v>
          </cell>
          <cell r="B63" t="str">
            <v>2,2',4-Tribromodiphenyl ether</v>
          </cell>
        </row>
        <row r="64">
          <cell r="A64" t="str">
            <v>189084-66-0</v>
          </cell>
          <cell r="B64" t="str">
            <v>2,3',4,4',6-Pentabromodiphenyl Ether</v>
          </cell>
        </row>
        <row r="65">
          <cell r="A65" t="str">
            <v>189084-61-5</v>
          </cell>
          <cell r="B65" t="str">
            <v>2,3',4,4'-Tetrabromodiphenyl ether</v>
          </cell>
        </row>
        <row r="66">
          <cell r="A66" t="str">
            <v>189084-62-6</v>
          </cell>
          <cell r="B66" t="str">
            <v>2,3',4',6-Tetrabromodiphenyl Ether</v>
          </cell>
        </row>
        <row r="67">
          <cell r="A67" t="str">
            <v>147217-78-5</v>
          </cell>
          <cell r="B67" t="str">
            <v>2',3,4-Tribromodiphenyl ether</v>
          </cell>
        </row>
        <row r="68">
          <cell r="A68" t="str">
            <v>117-18-0</v>
          </cell>
          <cell r="B68" t="str">
            <v>2,3,5,6-Tetrachloronitrobenzene</v>
          </cell>
        </row>
        <row r="69">
          <cell r="A69" t="str">
            <v>4612-63-9</v>
          </cell>
          <cell r="B69" t="str">
            <v>2,3-Dimethylfluorene</v>
          </cell>
        </row>
        <row r="70">
          <cell r="A70" t="str">
            <v>41318-75-6</v>
          </cell>
          <cell r="B70" t="str">
            <v>2,4,4'-Tribromodiphenyl ether</v>
          </cell>
        </row>
        <row r="71">
          <cell r="A71" t="str">
            <v>93-76-5</v>
          </cell>
          <cell r="B71" t="str">
            <v>2,4,5-Trichlorophenoxyacetic acid</v>
          </cell>
        </row>
        <row r="72">
          <cell r="A72" t="str">
            <v>74869-25-3</v>
          </cell>
          <cell r="B72" t="str">
            <v>2,4,5-Trimethylchrysene</v>
          </cell>
        </row>
        <row r="73">
          <cell r="A73" t="str">
            <v>81-15-2</v>
          </cell>
          <cell r="B73" t="str">
            <v>2,4,6-Trinitro-1,3-dimethyl-5-tert-butylbenzene</v>
          </cell>
        </row>
        <row r="74">
          <cell r="A74" t="str">
            <v>216983-03-8</v>
          </cell>
          <cell r="B74" t="str">
            <v>2,4,7-trimethyldibenzothiophene</v>
          </cell>
        </row>
        <row r="75">
          <cell r="A75" t="str">
            <v>147217-77-4</v>
          </cell>
          <cell r="B75" t="str">
            <v>2,4-Dibromo-1-(3-bromophenoxy)benzene</v>
          </cell>
        </row>
        <row r="76">
          <cell r="A76" t="str">
            <v>171977-44-9</v>
          </cell>
          <cell r="B76" t="str">
            <v>2,4-Dibromo-1-phenoxybenzene</v>
          </cell>
        </row>
        <row r="77">
          <cell r="A77" t="str">
            <v>94-75-7</v>
          </cell>
          <cell r="B77" t="str">
            <v>2,4-Dichlorophenoxyacetic acid</v>
          </cell>
          <cell r="E77">
            <v>12500</v>
          </cell>
          <cell r="H77">
            <v>299.2</v>
          </cell>
          <cell r="L77" t="str">
            <v>Screening_Apical</v>
          </cell>
          <cell r="M77" t="str">
            <v>Yes</v>
          </cell>
          <cell r="N77" t="str">
            <v>ug/L</v>
          </cell>
        </row>
        <row r="78">
          <cell r="A78" t="str">
            <v>16587-65-8</v>
          </cell>
          <cell r="B78" t="str">
            <v>2,5,7-Trimethyl-1-benzothiophene</v>
          </cell>
        </row>
        <row r="79">
          <cell r="A79" t="str">
            <v>581-42-0</v>
          </cell>
          <cell r="B79" t="str">
            <v>2,6-Dimethylnaphthalene</v>
          </cell>
        </row>
        <row r="80">
          <cell r="A80" t="str">
            <v>96563-09-6</v>
          </cell>
          <cell r="B80" t="str">
            <v>2,7,9-Trimethylfluorene</v>
          </cell>
        </row>
        <row r="81">
          <cell r="A81" t="str">
            <v>61520-53-4</v>
          </cell>
          <cell r="B81" t="str">
            <v>2-[(2-Ethyl-6-methylphenyl)amino]-1-propanol</v>
          </cell>
        </row>
        <row r="82">
          <cell r="A82" t="str">
            <v>27176-93-8</v>
          </cell>
          <cell r="B82" t="str">
            <v>2-[2-(2-Nonylphenoxy)ethoxy]ethan-1-ol</v>
          </cell>
        </row>
        <row r="83">
          <cell r="A83" t="str">
            <v>20427-84-3</v>
          </cell>
          <cell r="B83" t="str">
            <v>2-[2-(4-Nonylphenoxy)ethoxy]ethanol</v>
          </cell>
        </row>
        <row r="84">
          <cell r="A84" t="str">
            <v>2315-67-5</v>
          </cell>
          <cell r="B84" t="str">
            <v>2-[4-(2,4,4-Trimethyl-2-pentanyl)phenoxy]ethanol</v>
          </cell>
        </row>
        <row r="85">
          <cell r="A85" t="str">
            <v>934-32-7</v>
          </cell>
          <cell r="B85" t="str">
            <v>2-Aminobenzimidazole</v>
          </cell>
        </row>
        <row r="86">
          <cell r="A86" t="str">
            <v>30391-89-0</v>
          </cell>
          <cell r="B86" t="str">
            <v>2-Amino-N-(1-methylethyl)benzamide</v>
          </cell>
        </row>
        <row r="87">
          <cell r="A87" t="str">
            <v>6967-29-9</v>
          </cell>
          <cell r="B87" t="str">
            <v>2-Chloro-N-(2,6-diethylphenyl)acetamide</v>
          </cell>
        </row>
        <row r="88">
          <cell r="A88" t="str">
            <v>131-57-7</v>
          </cell>
          <cell r="B88" t="str">
            <v>2-Hydroxy-4-methoxybenzophenone</v>
          </cell>
        </row>
        <row r="89">
          <cell r="A89" t="str">
            <v>2163-68-0</v>
          </cell>
          <cell r="B89" t="str">
            <v>2-Hydroxyatrazine</v>
          </cell>
        </row>
        <row r="90">
          <cell r="A90" t="str">
            <v>51146-55-5</v>
          </cell>
          <cell r="B90" t="str">
            <v>2-Hydroxyibuprofen</v>
          </cell>
        </row>
        <row r="91">
          <cell r="A91" t="str">
            <v>2814-20-2</v>
          </cell>
          <cell r="B91" t="str">
            <v>2-Isopropyl-6-methyl-4-pyrimidone</v>
          </cell>
        </row>
        <row r="92">
          <cell r="A92" t="str">
            <v>2682-20-4</v>
          </cell>
          <cell r="B92" t="str">
            <v>2-Methyl-3(2H)-isothiazolone</v>
          </cell>
          <cell r="C92">
            <v>35</v>
          </cell>
          <cell r="D92">
            <v>20</v>
          </cell>
          <cell r="E92">
            <v>90</v>
          </cell>
          <cell r="F92">
            <v>100</v>
          </cell>
          <cell r="G92">
            <v>23</v>
          </cell>
          <cell r="L92" t="str">
            <v>Screening_Apical</v>
          </cell>
          <cell r="N92" t="str">
            <v>ug/L</v>
          </cell>
        </row>
        <row r="93">
          <cell r="A93" t="str">
            <v>613-12-7</v>
          </cell>
          <cell r="B93" t="str">
            <v>2-Methylanthracene</v>
          </cell>
        </row>
        <row r="94">
          <cell r="A94" t="str">
            <v>1195-14-8</v>
          </cell>
          <cell r="B94" t="str">
            <v>2-Methylbenzo(b)thiophene</v>
          </cell>
        </row>
        <row r="95">
          <cell r="A95" t="str">
            <v>91-57-6</v>
          </cell>
          <cell r="B95" t="str">
            <v>2-Methylnaphthalene</v>
          </cell>
        </row>
        <row r="96">
          <cell r="A96" t="str">
            <v>2531-84-2</v>
          </cell>
          <cell r="B96" t="str">
            <v>2-Methylphenanthrene</v>
          </cell>
        </row>
        <row r="97">
          <cell r="A97" t="str">
            <v>142994-06-7</v>
          </cell>
          <cell r="B97" t="str">
            <v>2-Methylsulfonyl-4-trifluoromethylbenzoic acid</v>
          </cell>
        </row>
        <row r="98">
          <cell r="A98" t="str">
            <v>7206-76-0</v>
          </cell>
          <cell r="B98" t="str">
            <v>2-Phenyl-2-ethylmalondiamide</v>
          </cell>
        </row>
        <row r="99">
          <cell r="A99" t="str">
            <v>121-00-6</v>
          </cell>
          <cell r="B99" t="str">
            <v>2-tert-Butyl-4-methoxyphenol</v>
          </cell>
        </row>
        <row r="100">
          <cell r="A100" t="str">
            <v>189084-59-1</v>
          </cell>
          <cell r="B100" t="str">
            <v>3,4-Dibromodiphenyl ether</v>
          </cell>
        </row>
        <row r="101">
          <cell r="A101" t="str">
            <v>102-36-3</v>
          </cell>
          <cell r="B101" t="str">
            <v>3,4-Dichlorophenyl isocyanate</v>
          </cell>
        </row>
        <row r="102">
          <cell r="A102" t="str">
            <v>2327-02-8</v>
          </cell>
          <cell r="B102" t="str">
            <v>3,4-Dichlorophenylurea</v>
          </cell>
        </row>
        <row r="103">
          <cell r="A103" t="str">
            <v>56750-76-6</v>
          </cell>
          <cell r="B103" t="str">
            <v>3,5-Dinitro-4-((1-ethylpropyl)amino)-2-methylbenzenemethanol</v>
          </cell>
        </row>
        <row r="104">
          <cell r="A104" t="str">
            <v>1576-67-6</v>
          </cell>
          <cell r="B104" t="str">
            <v>3,6-Dimethylphenanthrene</v>
          </cell>
        </row>
        <row r="105">
          <cell r="A105" t="str">
            <v>6493-05-6</v>
          </cell>
          <cell r="B105" t="str">
            <v>3,7-Dihydro-3,7-dimethyl-1-(5-oxohexyl)-1H-Purine-2,6-dione</v>
          </cell>
        </row>
        <row r="106">
          <cell r="A106" t="str">
            <v>30516-87-1</v>
          </cell>
          <cell r="B106" t="str">
            <v>3'-Azido-3'-deoxythymidine</v>
          </cell>
        </row>
        <row r="107">
          <cell r="A107" t="str">
            <v>16655-82-6</v>
          </cell>
          <cell r="B107" t="str">
            <v>3-Hydroxycarbofuran</v>
          </cell>
        </row>
        <row r="108">
          <cell r="A108" t="str">
            <v>1455-18-1</v>
          </cell>
          <cell r="B108" t="str">
            <v>3-Methylbenzo[b]thiophene</v>
          </cell>
        </row>
        <row r="109">
          <cell r="A109" t="str">
            <v>83-34-1</v>
          </cell>
          <cell r="B109" t="str">
            <v>3-Methylindole</v>
          </cell>
        </row>
        <row r="110">
          <cell r="A110" t="str">
            <v>3739-38-6</v>
          </cell>
          <cell r="B110" t="str">
            <v>3-Phenoxybenzoic acid</v>
          </cell>
        </row>
        <row r="111">
          <cell r="A111" t="str">
            <v>140-66-9</v>
          </cell>
          <cell r="B111" t="str">
            <v>4-(1,1,3,3-Tetramethylbutyl)phenol</v>
          </cell>
        </row>
        <row r="112">
          <cell r="A112" t="str">
            <v>2050-47-7</v>
          </cell>
          <cell r="B112" t="str">
            <v>4,4'-Dibromodiphenyl ether</v>
          </cell>
        </row>
        <row r="113">
          <cell r="A113" t="str">
            <v>21256-18-8</v>
          </cell>
          <cell r="B113" t="str">
            <v>4,5-Diphenyl-2-Oxazolepropanoic acid</v>
          </cell>
        </row>
        <row r="114">
          <cell r="A114" t="str">
            <v>1207-12-1</v>
          </cell>
          <cell r="B114" t="str">
            <v>4,6-Dimethyldibenzothiophene</v>
          </cell>
        </row>
        <row r="115">
          <cell r="A115" t="str">
            <v>63-05-8</v>
          </cell>
          <cell r="B115" t="str">
            <v>4-Androstene-3,17-dione</v>
          </cell>
        </row>
        <row r="116">
          <cell r="A116" t="str">
            <v>50-33-9</v>
          </cell>
          <cell r="B116" t="str">
            <v>4-Butyl-1,2-diphenyl-3,5-Pyrazolidinedione</v>
          </cell>
        </row>
        <row r="117">
          <cell r="A117" t="str">
            <v>88-04-0</v>
          </cell>
          <cell r="B117" t="str">
            <v>4-Chloro-3,5-dimethylphenol</v>
          </cell>
        </row>
        <row r="118">
          <cell r="A118" t="str">
            <v>1020056-56-7</v>
          </cell>
          <cell r="B118" t="str">
            <v>4-Chloro-5-methyl-1H-pyrrolo[2,3-b]pyridine</v>
          </cell>
        </row>
        <row r="119">
          <cell r="A119" t="str">
            <v>24176-68-9</v>
          </cell>
          <cell r="B119" t="str">
            <v>4-Chlorobenzylmethyl sulfoxide</v>
          </cell>
        </row>
        <row r="120">
          <cell r="A120" t="str">
            <v>934-73-6</v>
          </cell>
          <cell r="B120" t="str">
            <v>4-Chlorophenyl methyl sulfoxide</v>
          </cell>
        </row>
        <row r="121">
          <cell r="A121" t="str">
            <v>599-64-4</v>
          </cell>
          <cell r="B121" t="str">
            <v>4-Cumylphenol</v>
          </cell>
        </row>
        <row r="122">
          <cell r="A122" t="str">
            <v>81163-11-3</v>
          </cell>
          <cell r="B122" t="str">
            <v>4-Epianhydrochlortetracycline</v>
          </cell>
        </row>
        <row r="123">
          <cell r="A123" t="str">
            <v>7518-17-4</v>
          </cell>
          <cell r="B123" t="str">
            <v>4-Epianhydrotetracycline</v>
          </cell>
        </row>
        <row r="124">
          <cell r="A124" t="str">
            <v>14206-58-7</v>
          </cell>
          <cell r="B124" t="str">
            <v>4-epi-Oxytetracycline</v>
          </cell>
        </row>
        <row r="125">
          <cell r="A125" t="str">
            <v>28343-61-5</v>
          </cell>
          <cell r="B125" t="str">
            <v>4-Hydroxy-2,5,6-trichloroisophthalonitrile</v>
          </cell>
        </row>
        <row r="126">
          <cell r="A126" t="str">
            <v>fakecas_7</v>
          </cell>
          <cell r="B126" t="str">
            <v>4-Hydroxy-tert-fluometuron</v>
          </cell>
        </row>
        <row r="127">
          <cell r="A127" t="str">
            <v>29878-31-7</v>
          </cell>
          <cell r="B127" t="str">
            <v>4-Methyl-1,2,3-benzotriazole</v>
          </cell>
        </row>
        <row r="128">
          <cell r="A128" t="str">
            <v>7372-88-5 </v>
          </cell>
          <cell r="B128" t="str">
            <v>4-Methyldibenzothiophene</v>
          </cell>
        </row>
        <row r="129">
          <cell r="A129" t="str">
            <v>84852-15-3</v>
          </cell>
          <cell r="B129" t="str">
            <v>4-Nonylphenol (sum of all isomers)</v>
          </cell>
        </row>
        <row r="130">
          <cell r="A130" t="str">
            <v>68412-54-4</v>
          </cell>
          <cell r="B130" t="str">
            <v>4-Nonylphenol monoethoxylate (NP1EO), all isomers</v>
          </cell>
        </row>
        <row r="131">
          <cell r="A131" t="str">
            <v>1806-26-4</v>
          </cell>
          <cell r="B131" t="str">
            <v>4-Octylphenol</v>
          </cell>
        </row>
        <row r="132">
          <cell r="A132" t="str">
            <v>644-08-6</v>
          </cell>
          <cell r="B132" t="str">
            <v>4-Phenyltoluene</v>
          </cell>
        </row>
        <row r="133">
          <cell r="A133" t="str">
            <v>57-41-0</v>
          </cell>
          <cell r="B133" t="str">
            <v>5,5-Diphenylhydantoin</v>
          </cell>
        </row>
        <row r="134">
          <cell r="A134" t="str">
            <v>163521-19-5</v>
          </cell>
          <cell r="B134" t="str">
            <v>5-{4-[4-(5-Cyano-1H-indol-3-yl)butyl]piperazin-1-yl}-1-benzofuran-2-carboxylic acid</v>
          </cell>
        </row>
        <row r="135">
          <cell r="A135" t="str">
            <v>521-18-6</v>
          </cell>
          <cell r="B135" t="str">
            <v>5alpha-Dihydrotestosterone</v>
          </cell>
        </row>
        <row r="136">
          <cell r="A136" t="str">
            <v>209248-72-6</v>
          </cell>
          <cell r="B136" t="str">
            <v>5-Amino-3-cyano-1-[2,6-dichloro-4-(trifluoromethyl)phenyl]-1H-pyrazole-4-sulfonic acid</v>
          </cell>
        </row>
        <row r="137">
          <cell r="A137" t="str">
            <v>89-57-6</v>
          </cell>
          <cell r="B137" t="str">
            <v>5-Aminosalicylic acid</v>
          </cell>
        </row>
        <row r="138">
          <cell r="A138" t="str">
            <v>50-65-7</v>
          </cell>
          <cell r="B138" t="str">
            <v>5-Chloro-N-(2-chloro-4-nitrophenyl)-2-hydroxybenzamide</v>
          </cell>
          <cell r="C138">
            <v>15</v>
          </cell>
          <cell r="E138">
            <v>17</v>
          </cell>
          <cell r="F138">
            <v>56</v>
          </cell>
          <cell r="G138">
            <v>41</v>
          </cell>
          <cell r="H138">
            <v>630</v>
          </cell>
          <cell r="L138" t="str">
            <v>Screening_Apical</v>
          </cell>
          <cell r="N138" t="str">
            <v>ug/L</v>
          </cell>
        </row>
        <row r="139">
          <cell r="A139" t="str">
            <v>51-21-8</v>
          </cell>
          <cell r="B139" t="str">
            <v>5-Fluorouracil</v>
          </cell>
        </row>
        <row r="140">
          <cell r="A140" t="str">
            <v>53660-23-4</v>
          </cell>
          <cell r="B140" t="str">
            <v>5-Hydroxy-2-propylpentanoic acid</v>
          </cell>
        </row>
        <row r="141">
          <cell r="A141" t="str">
            <v>136-85-6</v>
          </cell>
          <cell r="B141" t="str">
            <v>5-Methyl-1H-benzotriazole</v>
          </cell>
        </row>
        <row r="142">
          <cell r="A142" t="str">
            <v>3697-24-3</v>
          </cell>
          <cell r="B142" t="str">
            <v>5-Methylchrysene</v>
          </cell>
        </row>
        <row r="143">
          <cell r="A143" t="str">
            <v>3397-62-4</v>
          </cell>
          <cell r="B143" t="str">
            <v>6-Chloro-1,3,5-triazine-2,4-diamine</v>
          </cell>
        </row>
        <row r="144">
          <cell r="A144" t="str">
            <v>57-97-6</v>
          </cell>
          <cell r="B144" t="str">
            <v>7,12-Dimethylbenz(a)anthracene</v>
          </cell>
        </row>
        <row r="145">
          <cell r="A145" t="str">
            <v>35335-07-0</v>
          </cell>
          <cell r="B145" t="str">
            <v>7,14-Dimethylbenzo[k]tetraphene</v>
          </cell>
        </row>
        <row r="146">
          <cell r="A146" t="str">
            <v>13345-64-7</v>
          </cell>
          <cell r="B146" t="str">
            <v>7,8,12-Trimethylbenz(a)anthracene</v>
          </cell>
        </row>
        <row r="147">
          <cell r="A147" t="str">
            <v>24964-12-3</v>
          </cell>
          <cell r="B147" t="str">
            <v>7,8-Dimethylbenzo(b)naphtho(2,3-d)thiophene</v>
          </cell>
        </row>
        <row r="148">
          <cell r="A148" t="str">
            <v>21145-77-7</v>
          </cell>
          <cell r="B148" t="str">
            <v>7-Acetyl-1,1,3,4,4,6-hexamethyltetraline</v>
          </cell>
        </row>
        <row r="149">
          <cell r="A149" t="str">
            <v>2541-69-7</v>
          </cell>
          <cell r="B149" t="str">
            <v>7-Methylbenz(a)anthracene</v>
          </cell>
        </row>
        <row r="150">
          <cell r="A150" t="str">
            <v>24964-01-0</v>
          </cell>
          <cell r="B150" t="str">
            <v>9,10-Dihydro-6,7,8-trimethylbenzo[b]naphtho[2,3-d]thiophene</v>
          </cell>
        </row>
        <row r="151">
          <cell r="A151" t="str">
            <v>781-43-1</v>
          </cell>
          <cell r="B151" t="str">
            <v>9,10-Dimethylanthracene</v>
          </cell>
        </row>
        <row r="152">
          <cell r="A152" t="str">
            <v>4569-45-3</v>
          </cell>
          <cell r="B152" t="str">
            <v>9H-Fluorene, 9,9-dimethyl-</v>
          </cell>
        </row>
        <row r="153">
          <cell r="A153" t="str">
            <v>144598-75-4</v>
          </cell>
          <cell r="B153" t="str">
            <v>9-Hydroxy-risperidone</v>
          </cell>
        </row>
        <row r="154">
          <cell r="A154" t="str">
            <v>779-02-2</v>
          </cell>
          <cell r="B154" t="str">
            <v>9-Methylanthracene</v>
          </cell>
        </row>
        <row r="155">
          <cell r="A155" t="str">
            <v>136470-78-5</v>
          </cell>
          <cell r="B155" t="str">
            <v>Abacavir</v>
          </cell>
        </row>
        <row r="156">
          <cell r="A156" t="str">
            <v>89796-99-6</v>
          </cell>
          <cell r="B156" t="str">
            <v>Aceclofenac</v>
          </cell>
        </row>
        <row r="157">
          <cell r="A157" t="str">
            <v>83-32-9</v>
          </cell>
          <cell r="B157" t="str">
            <v>Acenaphthene</v>
          </cell>
        </row>
        <row r="158">
          <cell r="A158" t="str">
            <v>208-96-8</v>
          </cell>
          <cell r="B158" t="str">
            <v>Acenaphthylene</v>
          </cell>
        </row>
        <row r="159">
          <cell r="A159" t="str">
            <v>30560-19-1</v>
          </cell>
          <cell r="B159" t="str">
            <v>Acephate</v>
          </cell>
          <cell r="C159">
            <v>416000</v>
          </cell>
          <cell r="D159">
            <v>5760</v>
          </cell>
          <cell r="E159">
            <v>550</v>
          </cell>
          <cell r="F159">
            <v>150</v>
          </cell>
          <cell r="G159" t="str">
            <v>&gt; 50000</v>
          </cell>
          <cell r="L159" t="str">
            <v>Screening_Apical</v>
          </cell>
          <cell r="M159" t="str">
            <v>Yes</v>
          </cell>
          <cell r="N159" t="str">
            <v>ug/L</v>
          </cell>
        </row>
        <row r="160">
          <cell r="A160" t="str">
            <v>33665-90-6</v>
          </cell>
          <cell r="B160" t="str">
            <v>Acesulfame</v>
          </cell>
        </row>
        <row r="161">
          <cell r="A161" t="str">
            <v>32428-71-0</v>
          </cell>
          <cell r="B161" t="str">
            <v>Acetamide, 2-chloro-N-(2-ethyl-6-methylphenyl)-</v>
          </cell>
        </row>
        <row r="162">
          <cell r="A162" t="str">
            <v>60090-47-3</v>
          </cell>
          <cell r="B162" t="str">
            <v>Acetamide, N-(ethoxymethyl)-N-(2-ethyl-6-methylphenyl)-2-hydroxy-</v>
          </cell>
        </row>
        <row r="163">
          <cell r="A163" t="str">
            <v>103-90-2</v>
          </cell>
          <cell r="B163" t="str">
            <v>Acetaminophen</v>
          </cell>
          <cell r="E163">
            <v>14750</v>
          </cell>
          <cell r="L163" t="str">
            <v>Screening_Apical</v>
          </cell>
          <cell r="M163" t="str">
            <v>Y</v>
          </cell>
          <cell r="N163" t="str">
            <v>ug/L</v>
          </cell>
        </row>
        <row r="164">
          <cell r="A164" t="str">
            <v>135410-20-7</v>
          </cell>
          <cell r="B164" t="str">
            <v>Acetamiprid</v>
          </cell>
          <cell r="C164" t="str">
            <v>&gt; 50000</v>
          </cell>
          <cell r="D164">
            <v>19200</v>
          </cell>
          <cell r="E164">
            <v>10.5</v>
          </cell>
          <cell r="F164">
            <v>2.1</v>
          </cell>
          <cell r="G164" t="str">
            <v>&gt;1000</v>
          </cell>
          <cell r="H164" t="str">
            <v>&gt;1000</v>
          </cell>
          <cell r="L164" t="str">
            <v>Screening_Apical</v>
          </cell>
          <cell r="M164" t="str">
            <v>Y</v>
          </cell>
          <cell r="N164" t="str">
            <v>ug/L</v>
          </cell>
        </row>
        <row r="165">
          <cell r="A165" t="str">
            <v>59-66-5</v>
          </cell>
          <cell r="B165" t="str">
            <v>Acetazolamide</v>
          </cell>
        </row>
        <row r="166">
          <cell r="A166" t="str">
            <v>34256-82-1</v>
          </cell>
          <cell r="B166" t="str">
            <v>Acetochlor</v>
          </cell>
          <cell r="C166">
            <v>190</v>
          </cell>
          <cell r="D166">
            <v>130</v>
          </cell>
          <cell r="E166">
            <v>4100</v>
          </cell>
          <cell r="F166">
            <v>22.1</v>
          </cell>
          <cell r="G166">
            <v>1.43</v>
          </cell>
          <cell r="H166">
            <v>3.4</v>
          </cell>
          <cell r="L166" t="str">
            <v>Screening_Apical</v>
          </cell>
          <cell r="M166" t="str">
            <v>Y</v>
          </cell>
          <cell r="N166" t="str">
            <v>ug/L</v>
          </cell>
        </row>
        <row r="167">
          <cell r="A167" t="str">
            <v>187022-11-3</v>
          </cell>
          <cell r="B167" t="str">
            <v>Acetochlor ESA</v>
          </cell>
          <cell r="C167" t="str">
            <v>&gt; 90000</v>
          </cell>
          <cell r="E167" t="str">
            <v>&gt; 62500</v>
          </cell>
          <cell r="G167">
            <v>9900</v>
          </cell>
          <cell r="L167" t="str">
            <v>Screening_Apical</v>
          </cell>
          <cell r="M167" t="str">
            <v>Y</v>
          </cell>
          <cell r="N167" t="str">
            <v>ug/L</v>
          </cell>
        </row>
        <row r="168">
          <cell r="A168" t="str">
            <v>194992-44-4</v>
          </cell>
          <cell r="B168" t="str">
            <v>Acetochlor OA</v>
          </cell>
        </row>
        <row r="169">
          <cell r="A169" t="str">
            <v>618113-86-3</v>
          </cell>
          <cell r="B169" t="str">
            <v>Acetochlor sulfynilacetic acid</v>
          </cell>
        </row>
        <row r="170">
          <cell r="A170" t="str">
            <v>968-81-0</v>
          </cell>
          <cell r="B170" t="str">
            <v>Acetohexamide</v>
          </cell>
        </row>
        <row r="171">
          <cell r="A171" t="str">
            <v>98-86-2</v>
          </cell>
          <cell r="B171" t="str">
            <v>Acetophenone</v>
          </cell>
        </row>
        <row r="172">
          <cell r="A172" t="str">
            <v>59277-89-3</v>
          </cell>
          <cell r="B172" t="str">
            <v>Acyclovir</v>
          </cell>
        </row>
        <row r="173">
          <cell r="A173" t="str">
            <v>15972-60-8</v>
          </cell>
          <cell r="B173" t="str">
            <v>Alachlor</v>
          </cell>
          <cell r="C173">
            <v>900</v>
          </cell>
          <cell r="D173">
            <v>187</v>
          </cell>
          <cell r="E173">
            <v>1250</v>
          </cell>
          <cell r="F173">
            <v>110</v>
          </cell>
          <cell r="G173">
            <v>1.64</v>
          </cell>
          <cell r="H173">
            <v>2.2999999999999998</v>
          </cell>
          <cell r="L173" t="str">
            <v>Screening_Apical</v>
          </cell>
          <cell r="M173" t="str">
            <v>Y</v>
          </cell>
          <cell r="N173" t="str">
            <v>ug/L</v>
          </cell>
        </row>
        <row r="174">
          <cell r="A174" t="str">
            <v>142363-53-9</v>
          </cell>
          <cell r="B174" t="str">
            <v>Alachlor ESA</v>
          </cell>
        </row>
        <row r="175">
          <cell r="A175" t="str">
            <v>171262-17-2</v>
          </cell>
          <cell r="B175" t="str">
            <v>Alachlor OA</v>
          </cell>
        </row>
        <row r="176">
          <cell r="A176" t="str">
            <v>494847-39-1</v>
          </cell>
          <cell r="B176" t="str">
            <v>Alachlor sulfynilacetic acid</v>
          </cell>
        </row>
        <row r="177">
          <cell r="A177" t="str">
            <v>18559-94-9</v>
          </cell>
          <cell r="B177" t="str">
            <v>Albuterol</v>
          </cell>
        </row>
        <row r="178">
          <cell r="A178" t="str">
            <v>116-06-3</v>
          </cell>
          <cell r="B178" t="str">
            <v>Aldicarb</v>
          </cell>
          <cell r="C178">
            <v>26</v>
          </cell>
          <cell r="D178">
            <v>0.46</v>
          </cell>
          <cell r="E178">
            <v>10</v>
          </cell>
          <cell r="F178">
            <v>1</v>
          </cell>
          <cell r="G178" t="str">
            <v>&gt; 50000</v>
          </cell>
          <cell r="H178" t="str">
            <v>&gt; 88700</v>
          </cell>
          <cell r="L178" t="str">
            <v>Screening_Apical</v>
          </cell>
          <cell r="M178" t="str">
            <v>Yes</v>
          </cell>
          <cell r="N178" t="str">
            <v>ug/L</v>
          </cell>
        </row>
        <row r="179">
          <cell r="A179" t="str">
            <v>1646-87-3</v>
          </cell>
          <cell r="B179" t="str">
            <v>Aldicarb sulfoxide</v>
          </cell>
          <cell r="C179">
            <v>3570</v>
          </cell>
          <cell r="E179">
            <v>21.5</v>
          </cell>
          <cell r="L179" t="str">
            <v>Screening_Apical</v>
          </cell>
          <cell r="M179" t="str">
            <v>Yes</v>
          </cell>
          <cell r="N179" t="str">
            <v>ug/L</v>
          </cell>
        </row>
        <row r="180">
          <cell r="A180" t="str">
            <v>1646-88-4</v>
          </cell>
          <cell r="B180" t="str">
            <v>Aldoxycarb</v>
          </cell>
          <cell r="C180">
            <v>21000</v>
          </cell>
          <cell r="E180">
            <v>140</v>
          </cell>
          <cell r="L180" t="str">
            <v>Screening_Apical</v>
          </cell>
          <cell r="M180" t="str">
            <v>Yes</v>
          </cell>
          <cell r="N180" t="str">
            <v>ug/L</v>
          </cell>
        </row>
        <row r="181">
          <cell r="A181" t="str">
            <v>309-00-2</v>
          </cell>
          <cell r="B181" t="str">
            <v>Aldrin</v>
          </cell>
        </row>
        <row r="182">
          <cell r="A182" t="str">
            <v>319-84-6</v>
          </cell>
          <cell r="B182" t="str">
            <v>alpha-1,2,3,4,5,6-Hexachlorocyclohexane</v>
          </cell>
        </row>
        <row r="183">
          <cell r="A183" t="str">
            <v>37115-43-8</v>
          </cell>
          <cell r="B183" t="str">
            <v>alpha-Hydroxyalprazolam</v>
          </cell>
        </row>
        <row r="184">
          <cell r="A184" t="str">
            <v>28981-97-7</v>
          </cell>
          <cell r="B184" t="str">
            <v>Alprazolam</v>
          </cell>
        </row>
        <row r="185">
          <cell r="A185" t="str">
            <v>5588-16-9</v>
          </cell>
          <cell r="B185" t="str">
            <v>Althiazide</v>
          </cell>
        </row>
        <row r="186">
          <cell r="A186" t="str">
            <v>834-12-8</v>
          </cell>
          <cell r="B186" t="str">
            <v>Ametryn</v>
          </cell>
          <cell r="C186">
            <v>1800</v>
          </cell>
          <cell r="D186">
            <v>700</v>
          </cell>
          <cell r="E186">
            <v>14000</v>
          </cell>
          <cell r="F186">
            <v>240</v>
          </cell>
          <cell r="G186">
            <v>3.67</v>
          </cell>
          <cell r="H186">
            <v>13</v>
          </cell>
          <cell r="L186" t="str">
            <v>Screening_Apical</v>
          </cell>
          <cell r="M186" t="str">
            <v>Yes</v>
          </cell>
          <cell r="N186" t="str">
            <v>ug/L</v>
          </cell>
        </row>
        <row r="187">
          <cell r="A187" t="str">
            <v>2609-46-3</v>
          </cell>
          <cell r="B187" t="str">
            <v>Amiloride</v>
          </cell>
        </row>
        <row r="188">
          <cell r="A188" t="str">
            <v>1066-51-9</v>
          </cell>
          <cell r="B188" t="str">
            <v>Aminomethylphosphonic acid</v>
          </cell>
          <cell r="C188">
            <v>249500</v>
          </cell>
          <cell r="E188">
            <v>341500</v>
          </cell>
          <cell r="L188" t="str">
            <v>Screening_Apical</v>
          </cell>
          <cell r="N188" t="str">
            <v>ug/L</v>
          </cell>
        </row>
        <row r="189">
          <cell r="A189" t="str">
            <v>1951-25-3</v>
          </cell>
          <cell r="B189" t="str">
            <v>Amiodarone</v>
          </cell>
        </row>
        <row r="190">
          <cell r="A190" t="str">
            <v>50-48-6</v>
          </cell>
          <cell r="B190" t="str">
            <v>Amitriptyline</v>
          </cell>
        </row>
        <row r="191">
          <cell r="A191" t="str">
            <v>88150-42-9</v>
          </cell>
          <cell r="B191" t="str">
            <v>Amlodipine</v>
          </cell>
        </row>
        <row r="192">
          <cell r="A192" t="str">
            <v>57-43-2</v>
          </cell>
          <cell r="B192" t="str">
            <v>Amobarbital</v>
          </cell>
        </row>
        <row r="193">
          <cell r="A193" t="str">
            <v>300-62-9</v>
          </cell>
          <cell r="B193" t="str">
            <v>Amphetamine</v>
          </cell>
        </row>
        <row r="194">
          <cell r="A194" t="str">
            <v>51264-14-3</v>
          </cell>
          <cell r="B194" t="str">
            <v>Amsacrine</v>
          </cell>
        </row>
        <row r="195">
          <cell r="A195" t="str">
            <v>53-41-8</v>
          </cell>
          <cell r="B195" t="str">
            <v>Androsterone</v>
          </cell>
        </row>
        <row r="196">
          <cell r="A196" t="str">
            <v>4497-08-9</v>
          </cell>
          <cell r="B196" t="str">
            <v>Anhydrochlortetracycline</v>
          </cell>
        </row>
        <row r="197">
          <cell r="A197" t="str">
            <v>1665-56-1</v>
          </cell>
          <cell r="B197" t="str">
            <v>Anhydrotetracycline</v>
          </cell>
        </row>
        <row r="198">
          <cell r="A198" t="str">
            <v>120-12-7</v>
          </cell>
          <cell r="B198" t="str">
            <v>Anthracene</v>
          </cell>
        </row>
        <row r="199">
          <cell r="A199" t="str">
            <v>17538-59-9</v>
          </cell>
          <cell r="B199" t="str">
            <v>Anthracene, 1,3,5,7-tetramethyl-</v>
          </cell>
        </row>
        <row r="200">
          <cell r="A200" t="str">
            <v>84-65-1</v>
          </cell>
          <cell r="B200" t="str">
            <v>Anthraquinone</v>
          </cell>
        </row>
        <row r="201">
          <cell r="A201" t="str">
            <v>129722-12-9</v>
          </cell>
          <cell r="B201" t="str">
            <v>Aripiprazole</v>
          </cell>
        </row>
        <row r="202">
          <cell r="A202" t="str">
            <v>22839-47-0</v>
          </cell>
          <cell r="B202" t="str">
            <v>Aspartame</v>
          </cell>
        </row>
        <row r="203">
          <cell r="A203" t="str">
            <v>14259-45-1</v>
          </cell>
          <cell r="B203" t="str">
            <v>Asperuloside</v>
          </cell>
        </row>
        <row r="204">
          <cell r="A204" t="str">
            <v>50-78-2</v>
          </cell>
          <cell r="B204" t="str">
            <v>Aspirin</v>
          </cell>
        </row>
        <row r="205">
          <cell r="A205" t="str">
            <v>3337-71-1</v>
          </cell>
          <cell r="B205" t="str">
            <v>Asulam</v>
          </cell>
        </row>
        <row r="206">
          <cell r="A206" t="str">
            <v>29122-68-7</v>
          </cell>
          <cell r="B206" t="str">
            <v>Atenolol</v>
          </cell>
        </row>
        <row r="207">
          <cell r="A207" t="str">
            <v>134523-00-5</v>
          </cell>
          <cell r="B207" t="str">
            <v>Atorvastatin</v>
          </cell>
        </row>
        <row r="208">
          <cell r="A208" t="str">
            <v>1912-24-9</v>
          </cell>
          <cell r="B208" t="str">
            <v>Atrazine</v>
          </cell>
          <cell r="C208">
            <v>2650</v>
          </cell>
          <cell r="D208">
            <v>5</v>
          </cell>
          <cell r="E208">
            <v>360</v>
          </cell>
          <cell r="F208">
            <v>60</v>
          </cell>
          <cell r="G208" t="str">
            <v>&lt; 1</v>
          </cell>
          <cell r="H208">
            <v>4.5999999999999996</v>
          </cell>
          <cell r="L208" t="str">
            <v>Screening_Apical</v>
          </cell>
          <cell r="M208" t="str">
            <v>Y</v>
          </cell>
          <cell r="N208" t="str">
            <v>ug/L</v>
          </cell>
        </row>
        <row r="209">
          <cell r="A209" t="str">
            <v>86-50-0</v>
          </cell>
          <cell r="B209" t="str">
            <v>Azinphos-methyl</v>
          </cell>
          <cell r="C209">
            <v>0.18</v>
          </cell>
          <cell r="D209">
            <v>0.44</v>
          </cell>
          <cell r="E209">
            <v>0.08</v>
          </cell>
          <cell r="F209">
            <v>0.25</v>
          </cell>
          <cell r="J209">
            <v>0.01</v>
          </cell>
          <cell r="L209" t="str">
            <v>Screening_Apical</v>
          </cell>
          <cell r="M209" t="str">
            <v>Y</v>
          </cell>
          <cell r="N209" t="str">
            <v>ug/L</v>
          </cell>
        </row>
        <row r="210">
          <cell r="A210" t="str">
            <v>961-22-8</v>
          </cell>
          <cell r="B210" t="str">
            <v>Azinphos-methyl oxon</v>
          </cell>
        </row>
        <row r="211">
          <cell r="A211" t="str">
            <v>83905-01-5</v>
          </cell>
          <cell r="B211" t="str">
            <v>Azithromycin</v>
          </cell>
        </row>
        <row r="212">
          <cell r="A212" t="str">
            <v>131860-33-8</v>
          </cell>
          <cell r="B212" t="str">
            <v>Azoxystrobin</v>
          </cell>
          <cell r="C212">
            <v>235</v>
          </cell>
          <cell r="D212">
            <v>147</v>
          </cell>
          <cell r="E212">
            <v>130</v>
          </cell>
          <cell r="F212">
            <v>44</v>
          </cell>
          <cell r="G212">
            <v>49</v>
          </cell>
          <cell r="H212">
            <v>3400</v>
          </cell>
          <cell r="L212" t="str">
            <v>Screening_Apical</v>
          </cell>
          <cell r="M212" t="str">
            <v>Y</v>
          </cell>
          <cell r="N212" t="str">
            <v>ug/L</v>
          </cell>
        </row>
        <row r="213">
          <cell r="A213" t="str">
            <v>80573-04-2</v>
          </cell>
          <cell r="B213" t="str">
            <v>Balsalazide</v>
          </cell>
        </row>
        <row r="214">
          <cell r="A214" t="str">
            <v>337513-72-1</v>
          </cell>
          <cell r="B214" t="str">
            <v>BDE-203</v>
          </cell>
        </row>
        <row r="215">
          <cell r="A215" t="str">
            <v>437701-79-6</v>
          </cell>
          <cell r="B215" t="str">
            <v>BDE-207</v>
          </cell>
        </row>
        <row r="216">
          <cell r="A216" t="str">
            <v>147217-80-9</v>
          </cell>
          <cell r="B216" t="str">
            <v>BDE-35</v>
          </cell>
        </row>
        <row r="217">
          <cell r="A217" t="str">
            <v>147217-81-0</v>
          </cell>
          <cell r="B217" t="str">
            <v>BDE-37</v>
          </cell>
        </row>
        <row r="218">
          <cell r="A218" t="str">
            <v>337513-77-6</v>
          </cell>
          <cell r="B218" t="str">
            <v>BDE-40</v>
          </cell>
        </row>
        <row r="219">
          <cell r="A219" t="str">
            <v>189084-63-7</v>
          </cell>
          <cell r="B219" t="str">
            <v>BDE-75</v>
          </cell>
        </row>
        <row r="220">
          <cell r="A220" t="str">
            <v>93703-48-1</v>
          </cell>
          <cell r="B220" t="str">
            <v>BDE-77</v>
          </cell>
        </row>
        <row r="221">
          <cell r="A221" t="str">
            <v>446254-48-4</v>
          </cell>
          <cell r="B221" t="str">
            <v>BDE-79</v>
          </cell>
        </row>
        <row r="222">
          <cell r="A222" t="str">
            <v>73-48-3</v>
          </cell>
          <cell r="B222" t="str">
            <v>Bendroflumethiazide</v>
          </cell>
        </row>
        <row r="223">
          <cell r="A223" t="str">
            <v>25057-89-0</v>
          </cell>
          <cell r="B223" t="str">
            <v>Bentazone</v>
          </cell>
          <cell r="C223">
            <v>95000</v>
          </cell>
          <cell r="D223">
            <v>9830</v>
          </cell>
          <cell r="E223">
            <v>31150</v>
          </cell>
          <cell r="F223">
            <v>101200</v>
          </cell>
          <cell r="G223">
            <v>4500</v>
          </cell>
          <cell r="H223">
            <v>5350</v>
          </cell>
          <cell r="L223" t="str">
            <v>Screening_Apical</v>
          </cell>
          <cell r="M223" t="str">
            <v>Yes</v>
          </cell>
          <cell r="N223" t="str">
            <v>ug/L</v>
          </cell>
        </row>
        <row r="224">
          <cell r="A224" t="str">
            <v>56-55-3</v>
          </cell>
          <cell r="B224" t="str">
            <v>Benz(a)anthracene</v>
          </cell>
        </row>
        <row r="225">
          <cell r="A225" t="str">
            <v>51930-04-2</v>
          </cell>
          <cell r="B225" t="str">
            <v>Benzene, 1,3-dibromo-2-phenoxy-</v>
          </cell>
        </row>
        <row r="226">
          <cell r="A226" t="str">
            <v>50-32-8</v>
          </cell>
          <cell r="B226" t="str">
            <v>Benzo(a)pyrene</v>
          </cell>
        </row>
        <row r="227">
          <cell r="A227" t="str">
            <v>205-99-2</v>
          </cell>
          <cell r="B227" t="str">
            <v>Benzo(b)fluoranthene</v>
          </cell>
        </row>
        <row r="228">
          <cell r="A228" t="str">
            <v>24964-09-8</v>
          </cell>
          <cell r="B228" t="str">
            <v>Benzo(b)naphtho(2,3-d)thiophene, 7-methyl-</v>
          </cell>
        </row>
        <row r="229">
          <cell r="A229" t="str">
            <v>1964-45-0</v>
          </cell>
          <cell r="B229" t="str">
            <v>Benzo(b)thiophene, 3,5-dimethyl-</v>
          </cell>
        </row>
        <row r="230">
          <cell r="A230" t="str">
            <v>192-97-2</v>
          </cell>
          <cell r="B230" t="str">
            <v>Benzo(e)pyrene</v>
          </cell>
        </row>
        <row r="231">
          <cell r="A231" t="str">
            <v>191-24-2</v>
          </cell>
          <cell r="B231" t="str">
            <v>Benzo(g,h,i)perylene</v>
          </cell>
        </row>
        <row r="232">
          <cell r="A232" t="str">
            <v>207-08-9</v>
          </cell>
          <cell r="B232" t="str">
            <v>Benzo(k)fluoranthene</v>
          </cell>
        </row>
        <row r="233">
          <cell r="A233" t="str">
            <v>239-35-0</v>
          </cell>
          <cell r="B233" t="str">
            <v>Benzo[b]naphtho[2,1-d]thiophene</v>
          </cell>
        </row>
        <row r="234">
          <cell r="A234" t="str">
            <v>243-46-9</v>
          </cell>
          <cell r="B234" t="str">
            <v>Benzo[b]naphtho[2,3-d]thiophene</v>
          </cell>
        </row>
        <row r="235">
          <cell r="A235" t="str">
            <v>24964-16-7</v>
          </cell>
          <cell r="B235" t="str">
            <v>benzo[b]naphtho[2,3-d]thiophene, 6,8-dimethyl-</v>
          </cell>
        </row>
        <row r="236">
          <cell r="A236" t="str">
            <v>205-99-2</v>
          </cell>
          <cell r="B236" t="str">
            <v>Benzo[e]acephenanthrylene</v>
          </cell>
        </row>
        <row r="237">
          <cell r="A237" t="str">
            <v>119-61-9</v>
          </cell>
          <cell r="B237" t="str">
            <v>Benzophenone</v>
          </cell>
        </row>
        <row r="238">
          <cell r="A238" t="str">
            <v>95-15-8</v>
          </cell>
          <cell r="B238" t="str">
            <v>Benzothiophene</v>
          </cell>
        </row>
        <row r="239">
          <cell r="A239" t="str">
            <v>11095-43-5</v>
          </cell>
          <cell r="B239" t="str">
            <v>Benzothiophene</v>
          </cell>
        </row>
        <row r="240">
          <cell r="A240" t="str">
            <v>519-09-5</v>
          </cell>
          <cell r="B240" t="str">
            <v>Benzoylecgonine</v>
          </cell>
        </row>
        <row r="241">
          <cell r="A241" t="str">
            <v>91-33-8</v>
          </cell>
          <cell r="B241" t="str">
            <v>Benzthiazide</v>
          </cell>
        </row>
        <row r="242">
          <cell r="A242" t="str">
            <v>86-13-5</v>
          </cell>
          <cell r="B242" t="str">
            <v>Benztropine</v>
          </cell>
        </row>
        <row r="243">
          <cell r="A243" t="str">
            <v>319-85-7</v>
          </cell>
          <cell r="B243" t="str">
            <v>beta-Hexachlorocyclohexane</v>
          </cell>
        </row>
        <row r="244">
          <cell r="A244" t="str">
            <v>378-44-9</v>
          </cell>
          <cell r="B244" t="str">
            <v>Betamethasone</v>
          </cell>
        </row>
        <row r="245">
          <cell r="A245" t="str">
            <v>83-46-5</v>
          </cell>
          <cell r="B245" t="str">
            <v>beta-Sitosterol</v>
          </cell>
        </row>
        <row r="246">
          <cell r="A246" t="str">
            <v>41859-67-0</v>
          </cell>
          <cell r="B246" t="str">
            <v>Bezafibrate</v>
          </cell>
        </row>
        <row r="247">
          <cell r="A247" t="str">
            <v>82657-04-3</v>
          </cell>
          <cell r="B247" t="str">
            <v>Bifenthrin</v>
          </cell>
          <cell r="C247">
            <v>7.4999999999999997E-2</v>
          </cell>
          <cell r="D247">
            <v>4.0000000000000001E-3</v>
          </cell>
          <cell r="E247">
            <v>2.4649999999999997E-4</v>
          </cell>
          <cell r="F247">
            <v>5.0000000000000002E-5</v>
          </cell>
          <cell r="G247" t="str">
            <v>&gt; 290</v>
          </cell>
          <cell r="H247" t="str">
            <v>&gt; 330</v>
          </cell>
          <cell r="L247" t="str">
            <v>Screening_Apical</v>
          </cell>
          <cell r="M247" t="str">
            <v>Yes</v>
          </cell>
          <cell r="N247" t="str">
            <v>ug/L</v>
          </cell>
        </row>
        <row r="248">
          <cell r="A248" t="str">
            <v>92-52-4</v>
          </cell>
          <cell r="B248" t="str">
            <v>Biphenyl</v>
          </cell>
        </row>
        <row r="249">
          <cell r="A249" t="str">
            <v>80-05-7</v>
          </cell>
          <cell r="B249" t="str">
            <v>Bisphenol A</v>
          </cell>
        </row>
        <row r="250">
          <cell r="A250" t="str">
            <v>314-40-9</v>
          </cell>
          <cell r="B250" t="str">
            <v>Bromacil</v>
          </cell>
          <cell r="C250">
            <v>18000</v>
          </cell>
          <cell r="D250">
            <v>3000</v>
          </cell>
          <cell r="E250">
            <v>60500</v>
          </cell>
          <cell r="F250">
            <v>8200</v>
          </cell>
          <cell r="G250">
            <v>6.8</v>
          </cell>
          <cell r="H250">
            <v>45</v>
          </cell>
          <cell r="L250" t="str">
            <v>Screening_Apical</v>
          </cell>
          <cell r="M250" t="str">
            <v>Y</v>
          </cell>
          <cell r="N250" t="str">
            <v>ug/L</v>
          </cell>
        </row>
        <row r="251">
          <cell r="A251" t="str">
            <v>75-25-2</v>
          </cell>
          <cell r="B251" t="str">
            <v>Bromoform</v>
          </cell>
        </row>
        <row r="252">
          <cell r="A252" t="str">
            <v>1689-84-5</v>
          </cell>
          <cell r="B252" t="str">
            <v>Bromoxynil</v>
          </cell>
          <cell r="C252">
            <v>1050</v>
          </cell>
          <cell r="E252">
            <v>7955</v>
          </cell>
          <cell r="L252" t="str">
            <v>Screening_Apical</v>
          </cell>
          <cell r="M252" t="str">
            <v>y</v>
          </cell>
          <cell r="N252" t="str">
            <v>ug/L</v>
          </cell>
        </row>
        <row r="253">
          <cell r="A253" t="str">
            <v>28395-03-1</v>
          </cell>
          <cell r="B253" t="str">
            <v>Bumetanide</v>
          </cell>
        </row>
        <row r="254">
          <cell r="A254" t="str">
            <v>34911-55-2</v>
          </cell>
          <cell r="B254" t="str">
            <v>Bupropion</v>
          </cell>
        </row>
        <row r="255">
          <cell r="A255" t="str">
            <v>34841-39-9</v>
          </cell>
          <cell r="B255" t="str">
            <v>Bupropion</v>
          </cell>
        </row>
        <row r="256">
          <cell r="A256" t="str">
            <v>55-98-1</v>
          </cell>
          <cell r="B256" t="str">
            <v>Busulfan</v>
          </cell>
        </row>
        <row r="257">
          <cell r="A257" t="str">
            <v>125-40-6</v>
          </cell>
          <cell r="B257" t="str">
            <v>Butabarbital</v>
          </cell>
        </row>
        <row r="258">
          <cell r="A258" t="str">
            <v>77-26-9</v>
          </cell>
          <cell r="B258" t="str">
            <v>Butalbital</v>
          </cell>
        </row>
        <row r="259">
          <cell r="A259" t="str">
            <v>33629-47-9</v>
          </cell>
          <cell r="B259" t="str">
            <v>Butralin</v>
          </cell>
        </row>
        <row r="260">
          <cell r="A260" t="str">
            <v>2008-41-5</v>
          </cell>
          <cell r="B260" t="str">
            <v>Butylate</v>
          </cell>
          <cell r="C260">
            <v>105</v>
          </cell>
          <cell r="D260">
            <v>300</v>
          </cell>
          <cell r="E260">
            <v>5500</v>
          </cell>
          <cell r="H260">
            <v>4600</v>
          </cell>
          <cell r="L260" t="str">
            <v>Screening_Apical</v>
          </cell>
          <cell r="M260" t="str">
            <v>y</v>
          </cell>
          <cell r="N260" t="str">
            <v>ug/L</v>
          </cell>
        </row>
        <row r="261">
          <cell r="A261" t="str">
            <v>58193-25-2</v>
          </cell>
          <cell r="B261" t="str">
            <v>C29-Hopane</v>
          </cell>
        </row>
        <row r="262">
          <cell r="A262" t="str">
            <v>58-08-2</v>
          </cell>
          <cell r="B262" t="str">
            <v>Caffeine</v>
          </cell>
        </row>
        <row r="263">
          <cell r="A263" t="str">
            <v>76-22-2</v>
          </cell>
          <cell r="B263" t="str">
            <v>Camphor</v>
          </cell>
        </row>
        <row r="264">
          <cell r="A264" t="str">
            <v>133-06-2</v>
          </cell>
          <cell r="B264" t="str">
            <v>Captan</v>
          </cell>
          <cell r="C264">
            <v>13.1</v>
          </cell>
          <cell r="D264">
            <v>16.5</v>
          </cell>
          <cell r="E264">
            <v>4200</v>
          </cell>
          <cell r="F264">
            <v>560</v>
          </cell>
          <cell r="G264">
            <v>320</v>
          </cell>
          <cell r="H264" t="str">
            <v>&gt; 12700</v>
          </cell>
          <cell r="L264" t="str">
            <v>Screening_Apical</v>
          </cell>
          <cell r="N264" t="str">
            <v>ug/L</v>
          </cell>
        </row>
        <row r="265">
          <cell r="A265" t="str">
            <v>6804-07-5</v>
          </cell>
          <cell r="B265" t="str">
            <v>Carbadox</v>
          </cell>
        </row>
        <row r="266">
          <cell r="A266" t="str">
            <v>298-46-4</v>
          </cell>
          <cell r="B266" t="str">
            <v>Carbamazepine</v>
          </cell>
        </row>
        <row r="267">
          <cell r="A267" t="str">
            <v>36507-30-9</v>
          </cell>
          <cell r="B267" t="str">
            <v>Carbamazepine epoxide</v>
          </cell>
        </row>
        <row r="268">
          <cell r="A268" t="str">
            <v>63-25-2</v>
          </cell>
          <cell r="B268" t="str">
            <v>Carbaryl</v>
          </cell>
          <cell r="C268">
            <v>110</v>
          </cell>
          <cell r="D268">
            <v>6</v>
          </cell>
          <cell r="E268">
            <v>0.85</v>
          </cell>
          <cell r="F268">
            <v>0.5</v>
          </cell>
          <cell r="G268">
            <v>660</v>
          </cell>
          <cell r="I268">
            <v>2.1</v>
          </cell>
          <cell r="J268">
            <v>2.1</v>
          </cell>
          <cell r="L268" t="str">
            <v>Screening_Apical</v>
          </cell>
          <cell r="M268" t="str">
            <v>y</v>
          </cell>
          <cell r="N268" t="str">
            <v>ug/L</v>
          </cell>
        </row>
        <row r="269">
          <cell r="A269" t="str">
            <v>86-74-8</v>
          </cell>
          <cell r="B269" t="str">
            <v>Carbazole</v>
          </cell>
        </row>
        <row r="270">
          <cell r="A270" t="str">
            <v>10605-21-7</v>
          </cell>
          <cell r="B270" t="str">
            <v>Carbendazim</v>
          </cell>
          <cell r="C270">
            <v>3.7</v>
          </cell>
          <cell r="D270">
            <v>0.99</v>
          </cell>
          <cell r="E270">
            <v>55</v>
          </cell>
          <cell r="F270">
            <v>3.1</v>
          </cell>
          <cell r="L270" t="str">
            <v>Screening_Apical</v>
          </cell>
          <cell r="N270" t="str">
            <v>ug/L</v>
          </cell>
        </row>
        <row r="271">
          <cell r="A271" t="str">
            <v>1563-66-2</v>
          </cell>
          <cell r="B271" t="str">
            <v>Carbofuran</v>
          </cell>
          <cell r="C271">
            <v>44</v>
          </cell>
          <cell r="D271">
            <v>5.7</v>
          </cell>
          <cell r="E271">
            <v>1.115</v>
          </cell>
          <cell r="F271">
            <v>0.75</v>
          </cell>
          <cell r="L271" t="str">
            <v>Screening_Apical</v>
          </cell>
          <cell r="M271" t="str">
            <v>y</v>
          </cell>
          <cell r="N271" t="str">
            <v>ug/L</v>
          </cell>
        </row>
        <row r="272">
          <cell r="A272" t="str">
            <v>66747-13-5</v>
          </cell>
          <cell r="B272" t="str">
            <v>Carboxy molinate</v>
          </cell>
        </row>
        <row r="273">
          <cell r="A273" t="str">
            <v>78-44-4</v>
          </cell>
          <cell r="B273" t="str">
            <v>Carisoprodol</v>
          </cell>
        </row>
        <row r="274">
          <cell r="A274" t="str">
            <v>53716-49-7</v>
          </cell>
          <cell r="B274" t="str">
            <v>Carprofen</v>
          </cell>
        </row>
        <row r="275">
          <cell r="A275" t="str">
            <v>55268-75-2</v>
          </cell>
          <cell r="B275" t="str">
            <v>Cefuroxime</v>
          </cell>
        </row>
        <row r="276">
          <cell r="A276" t="str">
            <v>169590-42-5</v>
          </cell>
          <cell r="B276" t="str">
            <v>Celecoxib</v>
          </cell>
        </row>
        <row r="277">
          <cell r="A277" t="str">
            <v>13171-00-1</v>
          </cell>
          <cell r="B277" t="str">
            <v>Celestolide</v>
          </cell>
        </row>
        <row r="278">
          <cell r="A278" t="str">
            <v>145599-86-6</v>
          </cell>
          <cell r="B278" t="str">
            <v>Cerivastatin</v>
          </cell>
        </row>
        <row r="279">
          <cell r="A279" t="str">
            <v>83881-51-0</v>
          </cell>
          <cell r="B279" t="str">
            <v>Cetirizine</v>
          </cell>
        </row>
        <row r="280">
          <cell r="A280" t="str">
            <v>38345-66-3</v>
          </cell>
          <cell r="B280" t="str">
            <v>Chirald</v>
          </cell>
        </row>
        <row r="281">
          <cell r="A281" t="str">
            <v>56-75-7</v>
          </cell>
          <cell r="B281" t="str">
            <v>Chloramphenicol</v>
          </cell>
        </row>
        <row r="282">
          <cell r="A282" t="str">
            <v>90982-32-4</v>
          </cell>
          <cell r="B282" t="str">
            <v>Chlorimuron-ethyl</v>
          </cell>
          <cell r="G282">
            <v>0.77</v>
          </cell>
          <cell r="H282">
            <v>0.27</v>
          </cell>
          <cell r="L282" t="str">
            <v>Screening_Apical</v>
          </cell>
          <cell r="M282" t="str">
            <v>y</v>
          </cell>
          <cell r="N282" t="str">
            <v>ug/L</v>
          </cell>
        </row>
        <row r="283">
          <cell r="A283" t="str">
            <v>7778-42-9</v>
          </cell>
          <cell r="B283" t="str">
            <v>Chlorosulfonamide acid</v>
          </cell>
        </row>
        <row r="284">
          <cell r="A284" t="str">
            <v>130-45-0</v>
          </cell>
          <cell r="B284" t="str">
            <v>Chlorosulfonamide acid</v>
          </cell>
        </row>
        <row r="285">
          <cell r="A285" t="str">
            <v>1897-45-6</v>
          </cell>
          <cell r="B285" t="str">
            <v>Chlorothalonil</v>
          </cell>
          <cell r="C285">
            <v>9</v>
          </cell>
          <cell r="D285">
            <v>0.77</v>
          </cell>
          <cell r="E285">
            <v>27</v>
          </cell>
          <cell r="F285">
            <v>0.6</v>
          </cell>
          <cell r="G285">
            <v>12</v>
          </cell>
          <cell r="H285">
            <v>640</v>
          </cell>
          <cell r="L285" t="str">
            <v>Screening_Apical</v>
          </cell>
          <cell r="M285" t="str">
            <v>Y</v>
          </cell>
          <cell r="N285" t="str">
            <v>ug/L</v>
          </cell>
        </row>
        <row r="286">
          <cell r="A286" t="str">
            <v>58-94-6</v>
          </cell>
          <cell r="B286" t="str">
            <v>Chlorothiazide</v>
          </cell>
        </row>
        <row r="287">
          <cell r="A287" t="str">
            <v>132-22-9</v>
          </cell>
          <cell r="B287" t="str">
            <v>Chlorpheniramine</v>
          </cell>
        </row>
        <row r="288">
          <cell r="A288" t="str">
            <v>94-20-2</v>
          </cell>
          <cell r="B288" t="str">
            <v>Chlorpropamide</v>
          </cell>
        </row>
        <row r="289">
          <cell r="A289" t="str">
            <v>2921-88-2</v>
          </cell>
          <cell r="B289" t="str">
            <v>Chlorpyrifos</v>
          </cell>
          <cell r="C289">
            <v>0.9</v>
          </cell>
          <cell r="D289">
            <v>0.56999999999999995</v>
          </cell>
          <cell r="E289">
            <v>0.05</v>
          </cell>
          <cell r="F289">
            <v>0.04</v>
          </cell>
          <cell r="G289">
            <v>140</v>
          </cell>
          <cell r="I289">
            <v>8.3000000000000004E-2</v>
          </cell>
          <cell r="J289">
            <v>4.1000000000000002E-2</v>
          </cell>
          <cell r="L289" t="str">
            <v>Screening_Apical</v>
          </cell>
          <cell r="M289" t="str">
            <v>y</v>
          </cell>
          <cell r="N289" t="str">
            <v>ug/L</v>
          </cell>
        </row>
        <row r="290">
          <cell r="A290" t="str">
            <v>5598-15-2</v>
          </cell>
          <cell r="B290" t="str">
            <v>Chlorpyrifos oxon</v>
          </cell>
        </row>
        <row r="291">
          <cell r="A291" t="str">
            <v>5598-13-0</v>
          </cell>
          <cell r="B291" t="str">
            <v>Chlorpyrifos-methyl</v>
          </cell>
          <cell r="C291">
            <v>7</v>
          </cell>
          <cell r="E291">
            <v>8.5000000000000006E-2</v>
          </cell>
          <cell r="L291" t="str">
            <v>Screening_Apical</v>
          </cell>
          <cell r="M291" t="str">
            <v>y</v>
          </cell>
          <cell r="N291" t="str">
            <v>ug/L</v>
          </cell>
        </row>
        <row r="292">
          <cell r="A292" t="str">
            <v>64902-72-3</v>
          </cell>
          <cell r="B292" t="str">
            <v>Chlorsulfuron</v>
          </cell>
          <cell r="C292" t="str">
            <v>&gt; 150000</v>
          </cell>
          <cell r="D292">
            <v>32000</v>
          </cell>
          <cell r="E292" t="str">
            <v>&gt; 185000</v>
          </cell>
          <cell r="F292">
            <v>20000</v>
          </cell>
          <cell r="G292">
            <v>50</v>
          </cell>
          <cell r="H292">
            <v>0.35</v>
          </cell>
          <cell r="L292" t="str">
            <v>Screening_Apical</v>
          </cell>
          <cell r="M292" t="str">
            <v>Y</v>
          </cell>
          <cell r="N292" t="str">
            <v>ug/L</v>
          </cell>
        </row>
        <row r="293">
          <cell r="A293" t="str">
            <v>1861-32-1</v>
          </cell>
          <cell r="B293" t="str">
            <v>Chlorthal-dimethyl</v>
          </cell>
          <cell r="C293">
            <v>15000</v>
          </cell>
          <cell r="E293">
            <v>13500</v>
          </cell>
          <cell r="G293" t="str">
            <v>&gt; 11000</v>
          </cell>
          <cell r="H293" t="str">
            <v>&gt; 11000</v>
          </cell>
          <cell r="L293" t="str">
            <v>Screening_Apical</v>
          </cell>
          <cell r="M293" t="str">
            <v>y</v>
          </cell>
          <cell r="N293" t="str">
            <v>ug/L</v>
          </cell>
        </row>
        <row r="294">
          <cell r="A294" t="str">
            <v>77-36-1</v>
          </cell>
          <cell r="B294" t="str">
            <v>Chlorthalidone</v>
          </cell>
        </row>
        <row r="295">
          <cell r="A295" t="str">
            <v>887-54-7</v>
          </cell>
          <cell r="B295" t="str">
            <v>Chlorthal-monomethyl</v>
          </cell>
        </row>
        <row r="296">
          <cell r="A296" t="str">
            <v>57-88-5</v>
          </cell>
          <cell r="B296" t="str">
            <v>Cholesterol</v>
          </cell>
        </row>
        <row r="297">
          <cell r="A297" t="str">
            <v>218-01-9</v>
          </cell>
          <cell r="B297" t="str">
            <v>Chrysene</v>
          </cell>
        </row>
        <row r="298">
          <cell r="A298" t="str">
            <v>39500-27-1</v>
          </cell>
          <cell r="B298" t="str">
            <v>chrysene, 1,2,7,8-tetramethyl-</v>
          </cell>
        </row>
        <row r="299">
          <cell r="A299" t="str">
            <v>73963-72-1</v>
          </cell>
          <cell r="B299" t="str">
            <v>Cilostazol</v>
          </cell>
        </row>
        <row r="300">
          <cell r="A300" t="str">
            <v>51481-61-9</v>
          </cell>
          <cell r="B300" t="str">
            <v>Cimetidine</v>
          </cell>
        </row>
        <row r="301">
          <cell r="A301" t="str">
            <v>85721-33-1</v>
          </cell>
          <cell r="B301" t="str">
            <v>Ciprofloxacin</v>
          </cell>
        </row>
        <row r="302">
          <cell r="A302" t="str">
            <v>5103-71-9</v>
          </cell>
          <cell r="B302" t="str">
            <v>cis-Chlordane</v>
          </cell>
        </row>
        <row r="303">
          <cell r="A303" t="str">
            <v>5103-73-1</v>
          </cell>
          <cell r="B303" t="str">
            <v>cis-Nonachlordane</v>
          </cell>
        </row>
        <row r="304">
          <cell r="A304" t="str">
            <v>59729-33-8</v>
          </cell>
          <cell r="B304" t="str">
            <v>Citalopram</v>
          </cell>
        </row>
        <row r="305">
          <cell r="A305" t="str">
            <v>81103-11-9</v>
          </cell>
          <cell r="B305" t="str">
            <v>Clarithromycin</v>
          </cell>
        </row>
        <row r="306">
          <cell r="A306" t="str">
            <v>105956-97-6</v>
          </cell>
          <cell r="B306" t="str">
            <v>Clinafloxacin</v>
          </cell>
        </row>
        <row r="307">
          <cell r="A307" t="str">
            <v>18323-44-9</v>
          </cell>
          <cell r="B307" t="str">
            <v>Clindamycin</v>
          </cell>
        </row>
        <row r="308">
          <cell r="A308" t="str">
            <v>22316-47-8</v>
          </cell>
          <cell r="B308" t="str">
            <v>Clobazam</v>
          </cell>
        </row>
        <row r="309">
          <cell r="A309" t="str">
            <v>882-09-7</v>
          </cell>
          <cell r="B309" t="str">
            <v>Clofibric acid</v>
          </cell>
        </row>
        <row r="310">
          <cell r="A310" t="str">
            <v>4205-90-7</v>
          </cell>
          <cell r="B310" t="str">
            <v>Clonidine</v>
          </cell>
        </row>
        <row r="311">
          <cell r="A311" t="str">
            <v>636-54-4</v>
          </cell>
          <cell r="B311" t="str">
            <v>Clopamide</v>
          </cell>
        </row>
        <row r="312">
          <cell r="A312" t="str">
            <v>113665-84-2</v>
          </cell>
          <cell r="B312" t="str">
            <v>Clopidogrel</v>
          </cell>
        </row>
        <row r="313">
          <cell r="A313" t="str">
            <v>210880-92-5</v>
          </cell>
          <cell r="B313" t="str">
            <v>Clothianidin</v>
          </cell>
          <cell r="C313" t="str">
            <v>&gt; 50750</v>
          </cell>
          <cell r="D313">
            <v>9700</v>
          </cell>
          <cell r="E313">
            <v>11</v>
          </cell>
          <cell r="F313">
            <v>0.05</v>
          </cell>
          <cell r="G313">
            <v>64000</v>
          </cell>
          <cell r="H313" t="str">
            <v>&gt; 280000</v>
          </cell>
          <cell r="L313" t="str">
            <v>Screening_Apical</v>
          </cell>
          <cell r="N313" t="str">
            <v>ug/L</v>
          </cell>
        </row>
        <row r="314">
          <cell r="A314" t="str">
            <v>23593-75-1</v>
          </cell>
          <cell r="B314" t="str">
            <v>Clotrimazole</v>
          </cell>
        </row>
        <row r="315">
          <cell r="A315" t="str">
            <v>61-72-3</v>
          </cell>
          <cell r="B315" t="str">
            <v>Cloxacillin</v>
          </cell>
        </row>
        <row r="316">
          <cell r="A316" t="str">
            <v>5786-21-0</v>
          </cell>
          <cell r="B316" t="str">
            <v>Clozapine</v>
          </cell>
        </row>
        <row r="317">
          <cell r="A317" t="str">
            <v>50-36-2</v>
          </cell>
          <cell r="B317" t="str">
            <v>Cocaine</v>
          </cell>
        </row>
        <row r="318">
          <cell r="A318" t="str">
            <v>76-57-3</v>
          </cell>
          <cell r="B318" t="str">
            <v>Codeine</v>
          </cell>
        </row>
        <row r="319">
          <cell r="A319" t="str">
            <v>64-86-8</v>
          </cell>
          <cell r="B319" t="str">
            <v>Colchicine</v>
          </cell>
        </row>
        <row r="320">
          <cell r="A320" t="str">
            <v>360-68-9</v>
          </cell>
          <cell r="B320" t="str">
            <v>Coprosterol</v>
          </cell>
        </row>
        <row r="321">
          <cell r="A321" t="str">
            <v>53-06-5</v>
          </cell>
          <cell r="B321" t="str">
            <v>Cortisone</v>
          </cell>
        </row>
        <row r="322">
          <cell r="A322" t="str">
            <v>486-56-6</v>
          </cell>
          <cell r="B322" t="str">
            <v>Cotinine</v>
          </cell>
        </row>
        <row r="323">
          <cell r="A323" t="str">
            <v>60-27-5</v>
          </cell>
          <cell r="B323" t="str">
            <v>Creatinine</v>
          </cell>
        </row>
        <row r="324">
          <cell r="A324" t="str">
            <v>98-82-8</v>
          </cell>
          <cell r="B324" t="str">
            <v>Cumene</v>
          </cell>
        </row>
        <row r="325">
          <cell r="A325" t="str">
            <v>21725-46-2</v>
          </cell>
          <cell r="B325" t="str">
            <v>Cyanazine</v>
          </cell>
        </row>
        <row r="326">
          <cell r="A326" t="str">
            <v>100-88-9</v>
          </cell>
          <cell r="B326" t="str">
            <v>Cyclamic acid</v>
          </cell>
        </row>
        <row r="327">
          <cell r="A327" t="str">
            <v>1222-05-5</v>
          </cell>
          <cell r="B327" t="str">
            <v>Cyclopenta[g]-2-benzopyran, 1,3,4,6,7,8-hexahydro-4,6,6,7,8,8-hexamethyl-</v>
          </cell>
        </row>
        <row r="328">
          <cell r="A328" t="str">
            <v>96782-85-3</v>
          </cell>
          <cell r="B328" t="str">
            <v>Cyclopenthiazide</v>
          </cell>
        </row>
        <row r="329">
          <cell r="A329" t="str">
            <v>50-18-0</v>
          </cell>
          <cell r="B329" t="str">
            <v>Cyclophosphamide</v>
          </cell>
        </row>
        <row r="330">
          <cell r="A330" t="str">
            <v>68127-59-3</v>
          </cell>
          <cell r="B330" t="str">
            <v>Cyclopropanecarboxylic acid, 3-[(1Z)-2-chloro-3,3,3-trifluoro-1-propen-1-yl]-2,2-dimethyl-, (1R,3R)-rel-</v>
          </cell>
        </row>
        <row r="331">
          <cell r="A331" t="str">
            <v>2259-96-3</v>
          </cell>
          <cell r="B331" t="str">
            <v>Cyclothiazide</v>
          </cell>
        </row>
        <row r="332">
          <cell r="A332" t="str">
            <v>20830-81-3</v>
          </cell>
          <cell r="B332" t="str">
            <v>Daunorubicin</v>
          </cell>
        </row>
        <row r="333">
          <cell r="A333" t="str">
            <v>2958-76-1</v>
          </cell>
          <cell r="B333" t="str">
            <v>Decahydro-2-methylnaphthalene</v>
          </cell>
        </row>
        <row r="334">
          <cell r="A334" t="str">
            <v>91-17-8</v>
          </cell>
          <cell r="B334" t="str">
            <v>Decalin</v>
          </cell>
        </row>
        <row r="335">
          <cell r="A335" t="str">
            <v>1928714-96-8</v>
          </cell>
          <cell r="B335" t="str">
            <v>Dechlorofipronil</v>
          </cell>
        </row>
        <row r="336">
          <cell r="A336" t="str">
            <v>fakecas_1</v>
          </cell>
          <cell r="B336" t="str">
            <v>Dechlorofipronil</v>
          </cell>
        </row>
        <row r="337">
          <cell r="A337" t="str">
            <v>126605-22-9</v>
          </cell>
          <cell r="B337" t="str">
            <v>Dechlorometolachlor</v>
          </cell>
        </row>
        <row r="338">
          <cell r="A338" t="str">
            <v>134-62-3</v>
          </cell>
          <cell r="B338" t="str">
            <v>DEET</v>
          </cell>
          <cell r="C338">
            <v>37500</v>
          </cell>
          <cell r="E338">
            <v>37500</v>
          </cell>
          <cell r="L338" t="str">
            <v>Screening_Apical</v>
          </cell>
          <cell r="N338" t="str">
            <v>ug/L</v>
          </cell>
        </row>
        <row r="339">
          <cell r="A339" t="str">
            <v>6190-65-4</v>
          </cell>
          <cell r="B339" t="str">
            <v>Deethylatrazine</v>
          </cell>
        </row>
        <row r="340">
          <cell r="A340" t="str">
            <v>1016160-78-3</v>
          </cell>
          <cell r="B340" t="str">
            <v>Deiodo flubendiamide</v>
          </cell>
        </row>
        <row r="341">
          <cell r="A341" t="str">
            <v>fakecas_2</v>
          </cell>
          <cell r="B341" t="str">
            <v>Deiodo flubendiamide</v>
          </cell>
        </row>
        <row r="342">
          <cell r="A342" t="str">
            <v>1007-28-9</v>
          </cell>
          <cell r="B342" t="str">
            <v>Deisopropylatrazine</v>
          </cell>
        </row>
        <row r="343">
          <cell r="A343" t="str">
            <v>319-86-8</v>
          </cell>
          <cell r="B343" t="str">
            <v>delta-Hexachlorocyclohexane</v>
          </cell>
        </row>
        <row r="344">
          <cell r="A344" t="str">
            <v>127-33-3</v>
          </cell>
          <cell r="B344" t="str">
            <v>Demeclocycline</v>
          </cell>
        </row>
        <row r="345">
          <cell r="A345" t="str">
            <v>126-75-0</v>
          </cell>
          <cell r="B345" t="str">
            <v>Demeton-S</v>
          </cell>
        </row>
        <row r="346">
          <cell r="A346" t="str">
            <v>42399-40-6</v>
          </cell>
          <cell r="B346" t="str">
            <v>Desacetyl diltiazem</v>
          </cell>
        </row>
        <row r="347">
          <cell r="A347" t="str">
            <v>62498-67-3</v>
          </cell>
          <cell r="B347" t="str">
            <v>desmethylcitalopram</v>
          </cell>
        </row>
        <row r="348">
          <cell r="A348" t="str">
            <v>1088-11-5</v>
          </cell>
          <cell r="B348" t="str">
            <v>Desmethyldiazepam</v>
          </cell>
        </row>
        <row r="349">
          <cell r="A349" t="str">
            <v>23576-24-1</v>
          </cell>
          <cell r="B349" t="str">
            <v>Desmethylnorflurazon</v>
          </cell>
        </row>
        <row r="350">
          <cell r="A350" t="str">
            <v>87857-41-8</v>
          </cell>
          <cell r="B350" t="str">
            <v>Desmethylsertraline</v>
          </cell>
        </row>
        <row r="351">
          <cell r="A351" t="str">
            <v>1115248-09-3</v>
          </cell>
          <cell r="B351" t="str">
            <v>Desulfinylfipronil amide</v>
          </cell>
        </row>
        <row r="352">
          <cell r="A352" t="str">
            <v>50-02-2</v>
          </cell>
          <cell r="B352" t="str">
            <v>Dexamethasone</v>
          </cell>
        </row>
        <row r="353">
          <cell r="A353" t="str">
            <v>125-71-3</v>
          </cell>
          <cell r="B353" t="str">
            <v>Dextromethorphan</v>
          </cell>
        </row>
        <row r="354">
          <cell r="A354" t="str">
            <v>117-81-7</v>
          </cell>
          <cell r="B354" t="str">
            <v>Di(2-ethylhexyl) phthalate</v>
          </cell>
        </row>
        <row r="355">
          <cell r="A355" t="str">
            <v>439-14-5</v>
          </cell>
          <cell r="B355" t="str">
            <v>Diazepam</v>
          </cell>
        </row>
        <row r="356">
          <cell r="A356" t="str">
            <v>333-41-5</v>
          </cell>
          <cell r="B356" t="str">
            <v>Diazinon</v>
          </cell>
          <cell r="C356">
            <v>45</v>
          </cell>
          <cell r="E356">
            <v>0.105</v>
          </cell>
          <cell r="F356">
            <v>0.17</v>
          </cell>
          <cell r="G356">
            <v>3700</v>
          </cell>
          <cell r="I356">
            <v>0.17</v>
          </cell>
          <cell r="J356">
            <v>0.17</v>
          </cell>
          <cell r="L356" t="str">
            <v>Screening_Apical</v>
          </cell>
          <cell r="N356" t="str">
            <v>ug/L</v>
          </cell>
        </row>
        <row r="357">
          <cell r="A357" t="str">
            <v>962-58-3</v>
          </cell>
          <cell r="B357" t="str">
            <v>Diazoxon</v>
          </cell>
        </row>
        <row r="358">
          <cell r="A358" t="str">
            <v>53-70-3</v>
          </cell>
          <cell r="B358" t="str">
            <v>Dibenz(a,h)anthracene</v>
          </cell>
        </row>
        <row r="359">
          <cell r="A359" t="str">
            <v>63041-83-8</v>
          </cell>
          <cell r="B359" t="str">
            <v>Dibenz(a,h)anthracene, 2-methyl-</v>
          </cell>
        </row>
        <row r="360">
          <cell r="A360" t="str">
            <v>132-64-9</v>
          </cell>
          <cell r="B360" t="str">
            <v>Dibenzofuran</v>
          </cell>
        </row>
        <row r="361">
          <cell r="A361" t="str">
            <v>132-65-0</v>
          </cell>
          <cell r="B361" t="str">
            <v>Dibenzothiophene</v>
          </cell>
        </row>
        <row r="362">
          <cell r="A362" t="str">
            <v>132-65-0</v>
          </cell>
          <cell r="B362" t="str">
            <v>Dibenzothiophene</v>
          </cell>
        </row>
        <row r="363">
          <cell r="A363" t="str">
            <v>1918-00-9</v>
          </cell>
          <cell r="B363" t="str">
            <v>Dicamba</v>
          </cell>
          <cell r="C363">
            <v>14000</v>
          </cell>
          <cell r="G363">
            <v>61</v>
          </cell>
          <cell r="L363" t="str">
            <v>Screening_Apical</v>
          </cell>
          <cell r="N363" t="str">
            <v>ug/L</v>
          </cell>
        </row>
        <row r="364">
          <cell r="A364" t="str">
            <v>50-29-3</v>
          </cell>
          <cell r="B364" t="str">
            <v>Dichlorodiphenyltrichloroethane</v>
          </cell>
        </row>
        <row r="365">
          <cell r="A365" t="str">
            <v>120-97-8</v>
          </cell>
          <cell r="B365" t="str">
            <v>Dichlorphenamide</v>
          </cell>
        </row>
        <row r="366">
          <cell r="A366" t="str">
            <v>120-36-5</v>
          </cell>
          <cell r="B366" t="str">
            <v>Dichlorprop</v>
          </cell>
          <cell r="C366" t="str">
            <v>&gt; 45750</v>
          </cell>
          <cell r="E366">
            <v>279000</v>
          </cell>
          <cell r="F366">
            <v>100000</v>
          </cell>
          <cell r="G366">
            <v>77</v>
          </cell>
          <cell r="H366">
            <v>32000</v>
          </cell>
          <cell r="L366" t="str">
            <v>Screening_Apical</v>
          </cell>
          <cell r="N366" t="str">
            <v>ug/L</v>
          </cell>
        </row>
        <row r="367">
          <cell r="A367" t="str">
            <v>62-73-7</v>
          </cell>
          <cell r="B367" t="str">
            <v>Dichlorvos</v>
          </cell>
          <cell r="C367">
            <v>50</v>
          </cell>
          <cell r="D367">
            <v>5.2</v>
          </cell>
          <cell r="E367">
            <v>3.3399999999999999E-2</v>
          </cell>
          <cell r="F367">
            <v>5.7999999999999996E-3</v>
          </cell>
          <cell r="G367">
            <v>14000</v>
          </cell>
          <cell r="H367">
            <v>60600</v>
          </cell>
          <cell r="L367" t="str">
            <v>Screening_Apical</v>
          </cell>
          <cell r="N367" t="str">
            <v>ug/L</v>
          </cell>
        </row>
        <row r="368">
          <cell r="A368" t="str">
            <v>15307-86-5</v>
          </cell>
          <cell r="B368" t="str">
            <v>Diclofenac</v>
          </cell>
        </row>
        <row r="369">
          <cell r="A369" t="str">
            <v>141-66-2</v>
          </cell>
          <cell r="B369" t="str">
            <v>Dicrotophos</v>
          </cell>
          <cell r="C369">
            <v>2850</v>
          </cell>
          <cell r="D369">
            <v>9880</v>
          </cell>
          <cell r="E369">
            <v>6.3</v>
          </cell>
          <cell r="F369">
            <v>1.7</v>
          </cell>
          <cell r="L369" t="str">
            <v>Screening_Apical</v>
          </cell>
          <cell r="N369" t="str">
            <v>ug/L</v>
          </cell>
        </row>
        <row r="370">
          <cell r="A370" t="str">
            <v>60-57-1</v>
          </cell>
          <cell r="B370" t="str">
            <v>Dieldrin</v>
          </cell>
        </row>
        <row r="371">
          <cell r="A371" t="str">
            <v>84-66-2</v>
          </cell>
          <cell r="B371" t="str">
            <v>Diethyl phthalate</v>
          </cell>
        </row>
        <row r="372">
          <cell r="A372" t="str">
            <v>56-53-1</v>
          </cell>
          <cell r="B372" t="str">
            <v>Diethylstilbestrol</v>
          </cell>
        </row>
        <row r="373">
          <cell r="A373" t="str">
            <v>35367-38-5</v>
          </cell>
          <cell r="B373" t="str">
            <v>Diflubenzuron</v>
          </cell>
          <cell r="C373">
            <v>64500</v>
          </cell>
          <cell r="D373">
            <v>100</v>
          </cell>
          <cell r="E373">
            <v>1.4E-3</v>
          </cell>
          <cell r="F373">
            <v>2.5000000000000001E-4</v>
          </cell>
          <cell r="G373">
            <v>200</v>
          </cell>
          <cell r="H373">
            <v>190</v>
          </cell>
          <cell r="L373" t="str">
            <v>Screening_Apical</v>
          </cell>
          <cell r="N373" t="str">
            <v>ug/L</v>
          </cell>
        </row>
        <row r="374">
          <cell r="A374" t="str">
            <v>109293-97-2</v>
          </cell>
          <cell r="B374" t="str">
            <v>Diflufenzopyr</v>
          </cell>
        </row>
        <row r="375">
          <cell r="A375" t="str">
            <v>20830-75-5</v>
          </cell>
          <cell r="B375" t="str">
            <v>Digoxin</v>
          </cell>
        </row>
        <row r="376">
          <cell r="A376" t="str">
            <v>125-28-0</v>
          </cell>
          <cell r="B376" t="str">
            <v>Dihydrocodeine</v>
          </cell>
        </row>
        <row r="377">
          <cell r="A377" t="str">
            <v>56507-37-0</v>
          </cell>
          <cell r="B377" t="str">
            <v>Diketometribuzin</v>
          </cell>
        </row>
        <row r="378">
          <cell r="A378" t="str">
            <v>87674-68-8</v>
          </cell>
          <cell r="B378" t="str">
            <v>Dimethenamid</v>
          </cell>
          <cell r="C378">
            <v>3150</v>
          </cell>
          <cell r="D378">
            <v>300</v>
          </cell>
          <cell r="E378">
            <v>6000</v>
          </cell>
          <cell r="F378">
            <v>1360</v>
          </cell>
          <cell r="G378">
            <v>14</v>
          </cell>
          <cell r="H378">
            <v>8.9</v>
          </cell>
          <cell r="L378" t="str">
            <v>Screening_Apical</v>
          </cell>
          <cell r="N378" t="str">
            <v>ug/L</v>
          </cell>
        </row>
        <row r="379">
          <cell r="A379" t="str">
            <v>fakecas_4</v>
          </cell>
          <cell r="B379" t="str">
            <v>Dimethenamid OA</v>
          </cell>
        </row>
        <row r="380">
          <cell r="A380" t="str">
            <v>380412-59-9</v>
          </cell>
          <cell r="B380" t="str">
            <v>Dimethenamid oxanilic acid</v>
          </cell>
        </row>
        <row r="381">
          <cell r="A381" t="str">
            <v>fakecas_5</v>
          </cell>
          <cell r="B381" t="str">
            <v>Dimethenamid SAA</v>
          </cell>
        </row>
        <row r="382">
          <cell r="A382" t="str">
            <v>NA</v>
          </cell>
          <cell r="B382" t="str">
            <v>Dimethenamid sulfinylacetic acid</v>
          </cell>
        </row>
        <row r="383">
          <cell r="A383" t="str">
            <v>205939-58-8</v>
          </cell>
          <cell r="B383" t="str">
            <v>Dimethenamide ESA</v>
          </cell>
        </row>
        <row r="384">
          <cell r="A384" t="str">
            <v>60-51-5</v>
          </cell>
          <cell r="B384" t="str">
            <v>Dimethoate</v>
          </cell>
          <cell r="C384">
            <v>3100</v>
          </cell>
          <cell r="D384">
            <v>430</v>
          </cell>
          <cell r="E384">
            <v>21.5</v>
          </cell>
          <cell r="F384">
            <v>0.5</v>
          </cell>
          <cell r="G384">
            <v>20000</v>
          </cell>
          <cell r="L384" t="str">
            <v>Screening_Apical</v>
          </cell>
          <cell r="N384" t="str">
            <v>ug/L</v>
          </cell>
        </row>
        <row r="385">
          <cell r="A385" t="str">
            <v>67035-22-7</v>
          </cell>
          <cell r="B385" t="str">
            <v>Dimethyl 2,6-dimethyl-4-(2-nitrophenyl)-3,5-pyridinedicarboxylate</v>
          </cell>
        </row>
        <row r="386">
          <cell r="A386" t="str">
            <v>165252-70-0</v>
          </cell>
          <cell r="B386" t="str">
            <v>Dinotefuran</v>
          </cell>
          <cell r="D386">
            <v>6360</v>
          </cell>
          <cell r="L386" t="str">
            <v>Screening_Apical</v>
          </cell>
          <cell r="N386" t="str">
            <v>ug/L</v>
          </cell>
        </row>
        <row r="387">
          <cell r="A387" t="str">
            <v>58-73-1</v>
          </cell>
          <cell r="B387" t="str">
            <v>Diphenhydramine</v>
          </cell>
        </row>
        <row r="388">
          <cell r="A388" t="str">
            <v>147-24-0</v>
          </cell>
          <cell r="B388" t="str">
            <v>Diphenhydramine hydrochloride</v>
          </cell>
        </row>
        <row r="389">
          <cell r="A389" t="str">
            <v>298-04-4</v>
          </cell>
          <cell r="B389" t="str">
            <v>Disulfoton</v>
          </cell>
          <cell r="C389">
            <v>19.5</v>
          </cell>
          <cell r="D389">
            <v>3</v>
          </cell>
          <cell r="E389">
            <v>1.95</v>
          </cell>
          <cell r="F389">
            <v>0.01</v>
          </cell>
          <cell r="L389" t="str">
            <v>Screening_Apical</v>
          </cell>
          <cell r="N389" t="str">
            <v>ug/L</v>
          </cell>
        </row>
        <row r="390">
          <cell r="A390" t="str">
            <v>2497-06-5</v>
          </cell>
          <cell r="B390" t="str">
            <v>Disulfoton sulfone</v>
          </cell>
          <cell r="C390">
            <v>56</v>
          </cell>
          <cell r="E390">
            <v>17.5</v>
          </cell>
          <cell r="F390">
            <v>0.14000000000000001</v>
          </cell>
          <cell r="L390" t="str">
            <v>Screening_Apical</v>
          </cell>
          <cell r="N390" t="str">
            <v>ug/L</v>
          </cell>
        </row>
        <row r="391">
          <cell r="A391" t="str">
            <v>330-54-1</v>
          </cell>
          <cell r="B391" t="str">
            <v>Diuron</v>
          </cell>
          <cell r="C391">
            <v>660</v>
          </cell>
          <cell r="D391">
            <v>26.4</v>
          </cell>
          <cell r="E391">
            <v>87.5</v>
          </cell>
          <cell r="F391">
            <v>0.83</v>
          </cell>
          <cell r="G391">
            <v>3.08</v>
          </cell>
          <cell r="H391">
            <v>0.13</v>
          </cell>
          <cell r="L391" t="str">
            <v>Screening_Apical</v>
          </cell>
          <cell r="N391" t="str">
            <v>ug/L</v>
          </cell>
        </row>
        <row r="392">
          <cell r="A392" t="str">
            <v>5989-27-5</v>
          </cell>
          <cell r="B392" t="str">
            <v>D-Limonene</v>
          </cell>
          <cell r="C392">
            <v>40000</v>
          </cell>
          <cell r="E392">
            <v>19500</v>
          </cell>
          <cell r="G392">
            <v>9353</v>
          </cell>
          <cell r="H392">
            <v>29650</v>
          </cell>
          <cell r="L392" t="str">
            <v>Screening_Apical</v>
          </cell>
          <cell r="M392" t="str">
            <v>Y</v>
          </cell>
          <cell r="N392" t="str">
            <v>ug/L</v>
          </cell>
        </row>
        <row r="393">
          <cell r="A393" t="str">
            <v>89-78-1</v>
          </cell>
          <cell r="B393" t="str">
            <v>dl-Menthol</v>
          </cell>
        </row>
        <row r="394">
          <cell r="A394" t="str">
            <v>23214-92-8</v>
          </cell>
          <cell r="B394" t="str">
            <v>Doxorubicin</v>
          </cell>
        </row>
        <row r="395">
          <cell r="A395" t="str">
            <v>67392-87-4</v>
          </cell>
          <cell r="B395" t="str">
            <v>Drospirenone</v>
          </cell>
        </row>
        <row r="396">
          <cell r="A396" t="str">
            <v>116539-59-4</v>
          </cell>
          <cell r="B396" t="str">
            <v>Duloxetine</v>
          </cell>
        </row>
        <row r="397">
          <cell r="A397" t="str">
            <v>136434-34-9</v>
          </cell>
          <cell r="B397" t="str">
            <v>Duloxetine hydrochloride</v>
          </cell>
        </row>
        <row r="398">
          <cell r="A398" t="str">
            <v>154598-52-4</v>
          </cell>
          <cell r="B398" t="str">
            <v>Efavirenz</v>
          </cell>
        </row>
        <row r="399">
          <cell r="A399" t="str">
            <v>72895-88-6</v>
          </cell>
          <cell r="B399" t="str">
            <v>Eltenac</v>
          </cell>
        </row>
        <row r="400">
          <cell r="A400" t="str">
            <v>75847-73-3</v>
          </cell>
          <cell r="B400" t="str">
            <v>Enalapril</v>
          </cell>
        </row>
        <row r="401">
          <cell r="A401" t="str">
            <v>76420-72-9</v>
          </cell>
          <cell r="B401" t="str">
            <v>Enalapril acid</v>
          </cell>
        </row>
        <row r="402">
          <cell r="A402" t="str">
            <v>959-98-8</v>
          </cell>
          <cell r="B402" t="str">
            <v>Endosulfan I</v>
          </cell>
        </row>
        <row r="403">
          <cell r="A403" t="str">
            <v>33213-65-9</v>
          </cell>
          <cell r="B403" t="str">
            <v>Endosulfan II</v>
          </cell>
        </row>
        <row r="404">
          <cell r="A404" t="str">
            <v>1031-07-8</v>
          </cell>
          <cell r="B404" t="str">
            <v>Endosulfan sulfate</v>
          </cell>
          <cell r="C404">
            <v>1.9</v>
          </cell>
          <cell r="E404">
            <v>150</v>
          </cell>
          <cell r="L404" t="str">
            <v>Screening_Apical</v>
          </cell>
          <cell r="N404" t="str">
            <v>ug/L</v>
          </cell>
        </row>
        <row r="405">
          <cell r="A405" t="str">
            <v>72-20-8</v>
          </cell>
          <cell r="B405" t="str">
            <v>Endrin</v>
          </cell>
        </row>
        <row r="406">
          <cell r="A406" t="str">
            <v>53494-70-5</v>
          </cell>
          <cell r="B406" t="str">
            <v>Endrin ketone</v>
          </cell>
        </row>
        <row r="407">
          <cell r="A407" t="str">
            <v>93106-60-6</v>
          </cell>
          <cell r="B407" t="str">
            <v>Enrofloxacin</v>
          </cell>
        </row>
        <row r="408">
          <cell r="A408" t="str">
            <v>481-30-1</v>
          </cell>
          <cell r="B408" t="str">
            <v>Epitestosterone</v>
          </cell>
        </row>
        <row r="409">
          <cell r="A409" t="str">
            <v>759-94-4</v>
          </cell>
          <cell r="B409" t="str">
            <v>EPTC</v>
          </cell>
          <cell r="C409">
            <v>7000</v>
          </cell>
          <cell r="D409">
            <v>40</v>
          </cell>
          <cell r="E409">
            <v>3250</v>
          </cell>
          <cell r="F409">
            <v>800</v>
          </cell>
          <cell r="G409">
            <v>1400</v>
          </cell>
          <cell r="H409">
            <v>5600</v>
          </cell>
          <cell r="L409" t="str">
            <v>Screening_Apical</v>
          </cell>
          <cell r="N409" t="str">
            <v>ug/L</v>
          </cell>
        </row>
        <row r="410">
          <cell r="A410" t="str">
            <v>517-09-9</v>
          </cell>
          <cell r="B410" t="str">
            <v>Equilenin</v>
          </cell>
        </row>
        <row r="411">
          <cell r="A411" t="str">
            <v>474-86-2</v>
          </cell>
          <cell r="B411" t="str">
            <v>Equilin</v>
          </cell>
        </row>
        <row r="412">
          <cell r="A412" t="str">
            <v>114-07-8</v>
          </cell>
          <cell r="B412" t="str">
            <v>Erythromycin</v>
          </cell>
        </row>
        <row r="413">
          <cell r="A413" t="str">
            <v>219861-08-2</v>
          </cell>
          <cell r="B413" t="str">
            <v>Escitalopram oxalate</v>
          </cell>
        </row>
        <row r="414">
          <cell r="A414" t="str">
            <v>50-27-1</v>
          </cell>
          <cell r="B414" t="str">
            <v>Estriol</v>
          </cell>
        </row>
        <row r="415">
          <cell r="A415" t="str">
            <v>53-16-7</v>
          </cell>
          <cell r="B415" t="str">
            <v>Estrone</v>
          </cell>
        </row>
        <row r="416">
          <cell r="A416" t="str">
            <v>58-54-8</v>
          </cell>
          <cell r="B416" t="str">
            <v>Ethacrynic acid</v>
          </cell>
        </row>
        <row r="417">
          <cell r="A417" t="str">
            <v>13749-94-5</v>
          </cell>
          <cell r="B417" t="str">
            <v>Ethanimidothioic acid, N-hydroxy-, methyl ester</v>
          </cell>
        </row>
        <row r="418">
          <cell r="A418" t="str">
            <v>13194-48-4</v>
          </cell>
          <cell r="B418" t="str">
            <v>Ethoprop</v>
          </cell>
          <cell r="C418">
            <v>150</v>
          </cell>
          <cell r="D418">
            <v>24</v>
          </cell>
          <cell r="E418">
            <v>22</v>
          </cell>
          <cell r="F418">
            <v>0.8</v>
          </cell>
          <cell r="G418">
            <v>8400</v>
          </cell>
          <cell r="L418" t="str">
            <v>Screening_Apical</v>
          </cell>
          <cell r="N418" t="str">
            <v>ug/L</v>
          </cell>
        </row>
        <row r="419">
          <cell r="A419" t="str">
            <v>17685-04-0</v>
          </cell>
          <cell r="B419" t="str">
            <v>Ethyl glucuronide</v>
          </cell>
        </row>
        <row r="420">
          <cell r="A420" t="str">
            <v>27986-36-3</v>
          </cell>
          <cell r="B420" t="str">
            <v>Ethylene glycol nonylphenyl ether</v>
          </cell>
        </row>
        <row r="421">
          <cell r="A421" t="str">
            <v>41340-25-4</v>
          </cell>
          <cell r="B421" t="str">
            <v>Etodolac</v>
          </cell>
        </row>
        <row r="422">
          <cell r="A422" t="str">
            <v>33419-42-0</v>
          </cell>
          <cell r="B422" t="str">
            <v>Etoposide</v>
          </cell>
        </row>
        <row r="423">
          <cell r="A423" t="str">
            <v>153233-91-1</v>
          </cell>
          <cell r="B423" t="str">
            <v>Etoxazole</v>
          </cell>
          <cell r="D423">
            <v>15</v>
          </cell>
          <cell r="E423">
            <v>3.65</v>
          </cell>
          <cell r="F423">
            <v>0.13</v>
          </cell>
          <cell r="L423" t="str">
            <v>Screening_Apical</v>
          </cell>
          <cell r="N423" t="str">
            <v>ug/L</v>
          </cell>
        </row>
        <row r="424">
          <cell r="A424" t="str">
            <v>163222-33-1</v>
          </cell>
          <cell r="B424" t="str">
            <v>Ezetimibe</v>
          </cell>
        </row>
        <row r="425">
          <cell r="A425" t="str">
            <v>102676-47-1</v>
          </cell>
          <cell r="B425" t="str">
            <v>Fadrozole</v>
          </cell>
        </row>
        <row r="426">
          <cell r="A426" t="str">
            <v>76824-35-6</v>
          </cell>
          <cell r="B426" t="str">
            <v>Famotidine</v>
          </cell>
        </row>
        <row r="427">
          <cell r="A427" t="str">
            <v>22224-92-6</v>
          </cell>
          <cell r="B427" t="str">
            <v>Fenamiphos</v>
          </cell>
          <cell r="C427">
            <v>4.75</v>
          </cell>
          <cell r="D427">
            <v>3.8</v>
          </cell>
          <cell r="E427">
            <v>0.95</v>
          </cell>
          <cell r="F427">
            <v>0.12</v>
          </cell>
          <cell r="L427" t="str">
            <v>Screening_Apical</v>
          </cell>
          <cell r="N427" t="str">
            <v>ug/L</v>
          </cell>
        </row>
        <row r="428">
          <cell r="A428" t="str">
            <v>31972-44-8</v>
          </cell>
          <cell r="B428" t="str">
            <v>Fenamiphos sulfone</v>
          </cell>
        </row>
        <row r="429">
          <cell r="A429" t="str">
            <v>31972-43-7</v>
          </cell>
          <cell r="B429" t="str">
            <v>Fenamiphos sulfoxide</v>
          </cell>
        </row>
        <row r="430">
          <cell r="A430" t="str">
            <v>13356-08-6</v>
          </cell>
          <cell r="B430" t="str">
            <v>Fenbutatin oxide</v>
          </cell>
          <cell r="C430">
            <v>0.85</v>
          </cell>
          <cell r="D430">
            <v>0.31</v>
          </cell>
          <cell r="E430">
            <v>15.5</v>
          </cell>
          <cell r="F430">
            <v>16</v>
          </cell>
          <cell r="L430" t="str">
            <v>Screening_Apical</v>
          </cell>
          <cell r="N430" t="str">
            <v>ug/L</v>
          </cell>
        </row>
        <row r="431">
          <cell r="A431" t="str">
            <v>122-14-5</v>
          </cell>
          <cell r="B431" t="str">
            <v>Fenitrothion</v>
          </cell>
          <cell r="C431">
            <v>860</v>
          </cell>
          <cell r="D431">
            <v>46</v>
          </cell>
          <cell r="E431">
            <v>2.15</v>
          </cell>
          <cell r="F431">
            <v>8.6999999999999994E-2</v>
          </cell>
          <cell r="G431">
            <v>1300</v>
          </cell>
          <cell r="L431" t="str">
            <v>Screening_Apical</v>
          </cell>
          <cell r="N431" t="str">
            <v>ug/L</v>
          </cell>
        </row>
        <row r="432">
          <cell r="A432" t="str">
            <v>49562-28-9</v>
          </cell>
          <cell r="B432" t="str">
            <v>Fenofibrate</v>
          </cell>
        </row>
        <row r="433">
          <cell r="A433" t="str">
            <v>29679-58-1</v>
          </cell>
          <cell r="B433" t="str">
            <v>Fenoprofen</v>
          </cell>
        </row>
        <row r="434">
          <cell r="A434" t="str">
            <v>437-38-7</v>
          </cell>
          <cell r="B434" t="str">
            <v>Fentanyl</v>
          </cell>
        </row>
        <row r="435">
          <cell r="A435" t="str">
            <v>668-34-8</v>
          </cell>
          <cell r="B435" t="str">
            <v>Fentin</v>
          </cell>
        </row>
        <row r="436">
          <cell r="A436" t="str">
            <v>83799-24-0</v>
          </cell>
          <cell r="B436" t="str">
            <v>Fexofenadine</v>
          </cell>
        </row>
        <row r="437">
          <cell r="A437" t="str">
            <v>98319-26-7</v>
          </cell>
          <cell r="B437" t="str">
            <v>Finasteride</v>
          </cell>
        </row>
        <row r="438">
          <cell r="A438" t="str">
            <v>120068-37-3</v>
          </cell>
          <cell r="B438" t="str">
            <v>Fipronil</v>
          </cell>
          <cell r="C438">
            <v>41.5</v>
          </cell>
          <cell r="D438">
            <v>6.6</v>
          </cell>
          <cell r="E438">
            <v>0.11</v>
          </cell>
          <cell r="F438">
            <v>1.0999999999999999E-2</v>
          </cell>
          <cell r="G438">
            <v>76</v>
          </cell>
          <cell r="L438" t="str">
            <v>Screening_Apical</v>
          </cell>
          <cell r="N438" t="str">
            <v>ug/L</v>
          </cell>
        </row>
        <row r="439">
          <cell r="A439" t="str">
            <v>205650-69-7</v>
          </cell>
          <cell r="B439" t="str">
            <v>Fipronil amide</v>
          </cell>
        </row>
        <row r="440">
          <cell r="A440" t="str">
            <v>120067-83-6</v>
          </cell>
          <cell r="B440" t="str">
            <v>Fipronil sulfide</v>
          </cell>
        </row>
        <row r="441">
          <cell r="A441" t="str">
            <v>120068-36-2</v>
          </cell>
          <cell r="B441" t="str">
            <v>Fipronil Sulfone</v>
          </cell>
        </row>
        <row r="442">
          <cell r="A442" t="str">
            <v>205650-65-3</v>
          </cell>
          <cell r="B442" t="str">
            <v>Fipronil-desulfinyl</v>
          </cell>
        </row>
        <row r="443">
          <cell r="A443" t="str">
            <v>54143-55-4</v>
          </cell>
          <cell r="B443" t="str">
            <v>Flecainide</v>
          </cell>
        </row>
        <row r="444">
          <cell r="A444" t="str">
            <v>73231-34-2</v>
          </cell>
          <cell r="B444" t="str">
            <v>Florfenicol</v>
          </cell>
        </row>
        <row r="445">
          <cell r="A445" t="str">
            <v>272451-65-7</v>
          </cell>
          <cell r="B445" t="str">
            <v>Flubendiamide</v>
          </cell>
          <cell r="D445">
            <v>60.5</v>
          </cell>
          <cell r="F445">
            <v>41.1</v>
          </cell>
          <cell r="L445" t="str">
            <v>Screening_Apical</v>
          </cell>
          <cell r="N445" t="str">
            <v>ug/L</v>
          </cell>
        </row>
        <row r="446">
          <cell r="A446" t="str">
            <v>86386-73-4</v>
          </cell>
          <cell r="B446" t="str">
            <v>Fluconazole</v>
          </cell>
        </row>
        <row r="447">
          <cell r="A447" t="str">
            <v>42835-25-6</v>
          </cell>
          <cell r="B447" t="str">
            <v>Flumequine</v>
          </cell>
        </row>
        <row r="448">
          <cell r="A448" t="str">
            <v>98967-40-9</v>
          </cell>
          <cell r="B448" t="str">
            <v>Flumetsulam</v>
          </cell>
          <cell r="D448">
            <v>197000</v>
          </cell>
          <cell r="E448">
            <v>127000</v>
          </cell>
          <cell r="F448">
            <v>111000</v>
          </cell>
          <cell r="G448">
            <v>3.21</v>
          </cell>
          <cell r="H448">
            <v>3.1</v>
          </cell>
          <cell r="L448" t="str">
            <v>Screening_Apical</v>
          </cell>
          <cell r="N448" t="str">
            <v>ug/L</v>
          </cell>
        </row>
        <row r="449">
          <cell r="A449" t="str">
            <v>38677-85-9</v>
          </cell>
          <cell r="B449" t="str">
            <v>Flunixin</v>
          </cell>
        </row>
        <row r="450">
          <cell r="A450" t="str">
            <v>2164-17-2</v>
          </cell>
          <cell r="B450" t="str">
            <v>Fluometuron</v>
          </cell>
          <cell r="C450">
            <v>1480</v>
          </cell>
          <cell r="D450">
            <v>3100</v>
          </cell>
          <cell r="E450">
            <v>110</v>
          </cell>
          <cell r="F450">
            <v>38</v>
          </cell>
          <cell r="G450">
            <v>30</v>
          </cell>
          <cell r="H450">
            <v>220</v>
          </cell>
          <cell r="L450" t="str">
            <v>Screening_Apical</v>
          </cell>
          <cell r="N450" t="str">
            <v>ug/L</v>
          </cell>
        </row>
        <row r="451">
          <cell r="A451" t="str">
            <v>206-44-0</v>
          </cell>
          <cell r="B451" t="str">
            <v>Fluoranthene</v>
          </cell>
        </row>
        <row r="452">
          <cell r="A452" t="str">
            <v>33543-31-6</v>
          </cell>
          <cell r="B452" t="str">
            <v>Fluoranthene, 2-methyl-</v>
          </cell>
        </row>
        <row r="453">
          <cell r="A453" t="str">
            <v>25889-63-8</v>
          </cell>
          <cell r="B453" t="str">
            <v>Fluoranthene, 8,9-dimethyl-</v>
          </cell>
        </row>
        <row r="454">
          <cell r="A454" t="str">
            <v>86-73-7</v>
          </cell>
          <cell r="B454" t="str">
            <v>Fluorene</v>
          </cell>
        </row>
        <row r="455">
          <cell r="A455" t="str">
            <v>54910-89-3</v>
          </cell>
          <cell r="B455" t="str">
            <v>Fluoxetine</v>
          </cell>
        </row>
        <row r="456">
          <cell r="A456" t="str">
            <v>5104-49-4</v>
          </cell>
          <cell r="B456" t="str">
            <v>Flurbiprofen</v>
          </cell>
        </row>
        <row r="457">
          <cell r="A457" t="str">
            <v>13311-84-7</v>
          </cell>
          <cell r="B457" t="str">
            <v>Flutamide</v>
          </cell>
        </row>
        <row r="458">
          <cell r="A458" t="str">
            <v>80474-14-2</v>
          </cell>
          <cell r="B458" t="str">
            <v>Fluticasone propionate</v>
          </cell>
        </row>
        <row r="459">
          <cell r="A459" t="str">
            <v>76674-21-0</v>
          </cell>
          <cell r="B459" t="str">
            <v>Flutriafol</v>
          </cell>
          <cell r="C459">
            <v>16500</v>
          </cell>
          <cell r="D459">
            <v>4800</v>
          </cell>
          <cell r="E459">
            <v>33550</v>
          </cell>
          <cell r="F459">
            <v>310</v>
          </cell>
          <cell r="G459">
            <v>460</v>
          </cell>
          <cell r="H459">
            <v>780</v>
          </cell>
          <cell r="L459" t="str">
            <v>Screening_Apical</v>
          </cell>
          <cell r="N459" t="str">
            <v>ug/L</v>
          </cell>
        </row>
        <row r="460">
          <cell r="A460" t="str">
            <v>93957-54-1</v>
          </cell>
          <cell r="B460" t="str">
            <v>Fluvastatin</v>
          </cell>
        </row>
        <row r="461">
          <cell r="A461" t="str">
            <v>54739-18-3</v>
          </cell>
          <cell r="B461" t="str">
            <v>Fluvoxamine</v>
          </cell>
        </row>
        <row r="462">
          <cell r="A462" t="str">
            <v>944-22-9</v>
          </cell>
          <cell r="B462" t="str">
            <v>Fonofos</v>
          </cell>
        </row>
        <row r="463">
          <cell r="A463" t="str">
            <v>54-31-9</v>
          </cell>
          <cell r="B463" t="str">
            <v>Furosemide</v>
          </cell>
        </row>
        <row r="464">
          <cell r="A464" t="str">
            <v>60142-96-3</v>
          </cell>
          <cell r="B464" t="str">
            <v>Gabapentin</v>
          </cell>
        </row>
        <row r="465">
          <cell r="A465" t="str">
            <v>25812-30-0</v>
          </cell>
          <cell r="B465" t="str">
            <v>Gemfibrozil</v>
          </cell>
        </row>
        <row r="466">
          <cell r="A466" t="str">
            <v>21187-98-4</v>
          </cell>
          <cell r="B466" t="str">
            <v>Gliclazide</v>
          </cell>
        </row>
        <row r="467">
          <cell r="A467" t="str">
            <v>93479-97-1</v>
          </cell>
          <cell r="B467" t="str">
            <v>Glimepiride</v>
          </cell>
        </row>
        <row r="468">
          <cell r="A468" t="str">
            <v>29094-61-9</v>
          </cell>
          <cell r="B468" t="str">
            <v>Glipizide</v>
          </cell>
        </row>
        <row r="469">
          <cell r="A469" t="str">
            <v>10238-21-8</v>
          </cell>
          <cell r="B469" t="str">
            <v>Glybenclamide</v>
          </cell>
        </row>
        <row r="470">
          <cell r="A470" t="str">
            <v>1071-83-6</v>
          </cell>
          <cell r="B470" t="str">
            <v>Glyphosate</v>
          </cell>
          <cell r="C470">
            <v>21500</v>
          </cell>
          <cell r="D470">
            <v>25700</v>
          </cell>
          <cell r="E470">
            <v>26600</v>
          </cell>
          <cell r="F470">
            <v>49900</v>
          </cell>
          <cell r="G470">
            <v>12100</v>
          </cell>
          <cell r="H470">
            <v>11900</v>
          </cell>
          <cell r="L470" t="str">
            <v>Screening_Apical</v>
          </cell>
          <cell r="N470" t="str">
            <v>ug/L</v>
          </cell>
        </row>
        <row r="471">
          <cell r="A471" t="str">
            <v>126-07-8</v>
          </cell>
          <cell r="B471" t="str">
            <v>Griseofulvin</v>
          </cell>
        </row>
        <row r="472">
          <cell r="A472" t="str">
            <v>93-14-1</v>
          </cell>
          <cell r="B472" t="str">
            <v>Guaifenesin</v>
          </cell>
        </row>
        <row r="473">
          <cell r="A473" t="str">
            <v>141-83-3</v>
          </cell>
          <cell r="B473" t="str">
            <v>Guanidine carboxamide</v>
          </cell>
        </row>
        <row r="474">
          <cell r="A474" t="str">
            <v>100784-20-1</v>
          </cell>
          <cell r="B474" t="str">
            <v>Halosulfuron-methyl</v>
          </cell>
          <cell r="G474">
            <v>4.0999999999999996</v>
          </cell>
          <cell r="H474">
            <v>4.2000000000000003E-2</v>
          </cell>
          <cell r="L474" t="str">
            <v>Screening_Apical</v>
          </cell>
          <cell r="N474" t="str">
            <v>ug/L</v>
          </cell>
        </row>
        <row r="475">
          <cell r="A475" t="str">
            <v>76-44-8</v>
          </cell>
          <cell r="B475" t="str">
            <v>Heptachlor</v>
          </cell>
        </row>
        <row r="476">
          <cell r="A476" t="str">
            <v>1024-57-3</v>
          </cell>
          <cell r="B476" t="str">
            <v>Heptachlor epoxide B</v>
          </cell>
        </row>
        <row r="477">
          <cell r="A477" t="str">
            <v>118-74-1</v>
          </cell>
          <cell r="B477" t="str">
            <v>Hexachlorobenzene</v>
          </cell>
        </row>
        <row r="478">
          <cell r="A478" t="str">
            <v>51235-04-2</v>
          </cell>
          <cell r="B478" t="str">
            <v>Hexazinone</v>
          </cell>
          <cell r="C478">
            <v>137000</v>
          </cell>
          <cell r="D478">
            <v>17000</v>
          </cell>
          <cell r="E478">
            <v>75800</v>
          </cell>
          <cell r="F478">
            <v>20000</v>
          </cell>
          <cell r="G478">
            <v>7</v>
          </cell>
          <cell r="H478">
            <v>37.4</v>
          </cell>
          <cell r="L478" t="str">
            <v>Screening_Apical</v>
          </cell>
          <cell r="N478" t="str">
            <v>ug/L</v>
          </cell>
        </row>
        <row r="479">
          <cell r="A479" t="str">
            <v>72576-13-7</v>
          </cell>
          <cell r="B479" t="str">
            <v>Hexazinone (Metab A)</v>
          </cell>
        </row>
        <row r="480">
          <cell r="A480" t="str">
            <v>56611-54-2</v>
          </cell>
          <cell r="B480" t="str">
            <v>Hexazinone (Metab B)</v>
          </cell>
        </row>
        <row r="481">
          <cell r="A481" t="str">
            <v>72585-88-7</v>
          </cell>
          <cell r="B481" t="str">
            <v>Hexazinone (Metab C)</v>
          </cell>
        </row>
        <row r="482">
          <cell r="A482" t="str">
            <v>30243-77-7</v>
          </cell>
          <cell r="B482" t="str">
            <v>Hexazinone (Metab D)</v>
          </cell>
        </row>
        <row r="483">
          <cell r="A483" t="str">
            <v>72576-14-8</v>
          </cell>
          <cell r="B483" t="str">
            <v>Hexazinone (Metab E)</v>
          </cell>
        </row>
        <row r="484">
          <cell r="A484" t="str">
            <v>56611-55-3</v>
          </cell>
          <cell r="B484" t="str">
            <v>Hexazinone TP F</v>
          </cell>
        </row>
        <row r="485">
          <cell r="A485" t="str">
            <v>fakecas_14</v>
          </cell>
          <cell r="B485" t="str">
            <v>Hexazinone TP G</v>
          </cell>
        </row>
        <row r="486">
          <cell r="A486" t="str">
            <v>471-62-5</v>
          </cell>
          <cell r="B486" t="str">
            <v>Hopane</v>
          </cell>
        </row>
        <row r="487">
          <cell r="A487" t="str">
            <v>58-93-5</v>
          </cell>
          <cell r="B487" t="str">
            <v>Hydrochlorothiazide</v>
          </cell>
        </row>
        <row r="488">
          <cell r="A488" t="str">
            <v>125-29-1</v>
          </cell>
          <cell r="B488" t="str">
            <v>Hydrocodone</v>
          </cell>
        </row>
        <row r="489">
          <cell r="A489" t="str">
            <v>50-23-7</v>
          </cell>
          <cell r="B489" t="str">
            <v>Hydrocortisone</v>
          </cell>
        </row>
        <row r="490">
          <cell r="A490" t="str">
            <v>135-09-1</v>
          </cell>
          <cell r="B490" t="str">
            <v>Hydroflumethiazide</v>
          </cell>
        </row>
        <row r="491">
          <cell r="A491" t="str">
            <v>357399-43-0</v>
          </cell>
          <cell r="B491" t="str">
            <v>Hydroxy Bupropion</v>
          </cell>
        </row>
        <row r="492">
          <cell r="A492" t="str">
            <v>fakecas_6</v>
          </cell>
          <cell r="B492" t="str">
            <v>Hydroxy mono demethyl fluometuron</v>
          </cell>
        </row>
        <row r="493">
          <cell r="A493" t="str">
            <v>56681-55-1</v>
          </cell>
          <cell r="B493" t="str">
            <v>Hydroxyalachlor</v>
          </cell>
        </row>
        <row r="494">
          <cell r="A494" t="str">
            <v>fakecas_8</v>
          </cell>
          <cell r="B494" t="str">
            <v>Hydroxyfluometuron</v>
          </cell>
        </row>
        <row r="495">
          <cell r="A495" t="str">
            <v>fakecas_9</v>
          </cell>
          <cell r="B495" t="str">
            <v>Hydroxyphthalazinone</v>
          </cell>
        </row>
        <row r="496">
          <cell r="A496" t="str">
            <v>2599-11-3</v>
          </cell>
          <cell r="B496" t="str">
            <v>Hydroxysimazine</v>
          </cell>
        </row>
        <row r="497">
          <cell r="A497" t="str">
            <v>68-88-2</v>
          </cell>
          <cell r="B497" t="str">
            <v>Hydroxyzine</v>
          </cell>
        </row>
        <row r="498">
          <cell r="A498" t="str">
            <v>15687-27-1</v>
          </cell>
          <cell r="B498" t="str">
            <v>Ibuprofen</v>
          </cell>
        </row>
        <row r="499">
          <cell r="A499" t="str">
            <v>114311-32-9</v>
          </cell>
          <cell r="B499" t="str">
            <v>Imazamox</v>
          </cell>
          <cell r="H499">
            <v>8</v>
          </cell>
          <cell r="L499" t="str">
            <v>Screening_Apical</v>
          </cell>
          <cell r="N499" t="str">
            <v>ug/L</v>
          </cell>
        </row>
        <row r="500">
          <cell r="A500" t="str">
            <v>81335-37-7</v>
          </cell>
          <cell r="B500" t="str">
            <v>Imazaquin</v>
          </cell>
          <cell r="C500">
            <v>140000</v>
          </cell>
          <cell r="E500">
            <v>140000</v>
          </cell>
          <cell r="L500" t="str">
            <v>Screening_Apical</v>
          </cell>
          <cell r="N500" t="str">
            <v>ug/L</v>
          </cell>
        </row>
        <row r="501">
          <cell r="A501" t="str">
            <v>81335-77-5</v>
          </cell>
          <cell r="B501" t="str">
            <v>Imazethapyr</v>
          </cell>
          <cell r="C501">
            <v>120000</v>
          </cell>
          <cell r="D501">
            <v>97000</v>
          </cell>
          <cell r="F501">
            <v>103000</v>
          </cell>
          <cell r="G501">
            <v>4770</v>
          </cell>
          <cell r="H501">
            <v>8.1</v>
          </cell>
          <cell r="L501" t="str">
            <v>Screening_Apical</v>
          </cell>
          <cell r="N501" t="str">
            <v>ug/L</v>
          </cell>
        </row>
        <row r="502">
          <cell r="A502" t="str">
            <v>138261-41-3</v>
          </cell>
          <cell r="B502" t="str">
            <v>Imidacloprid</v>
          </cell>
          <cell r="C502">
            <v>114500</v>
          </cell>
          <cell r="D502">
            <v>9000</v>
          </cell>
          <cell r="E502">
            <v>0.38500000000000001</v>
          </cell>
          <cell r="F502">
            <v>0.01</v>
          </cell>
          <cell r="L502" t="str">
            <v>Screening_Apical</v>
          </cell>
          <cell r="N502" t="str">
            <v>ug/L</v>
          </cell>
        </row>
        <row r="503">
          <cell r="A503" t="str">
            <v>256-96-2</v>
          </cell>
          <cell r="B503" t="str">
            <v>Iminostilbene</v>
          </cell>
        </row>
        <row r="504">
          <cell r="A504" t="str">
            <v>26807-65-8</v>
          </cell>
          <cell r="B504" t="str">
            <v>Indapamide</v>
          </cell>
        </row>
        <row r="505">
          <cell r="A505" t="str">
            <v>193-39-5</v>
          </cell>
          <cell r="B505" t="str">
            <v>Indeno(1,2,3-cd)pyrene</v>
          </cell>
        </row>
        <row r="506">
          <cell r="A506" t="str">
            <v>120-72-9</v>
          </cell>
          <cell r="B506" t="str">
            <v>Indole</v>
          </cell>
        </row>
        <row r="507">
          <cell r="A507" t="str">
            <v>173584-44-6</v>
          </cell>
          <cell r="B507" t="str">
            <v>Indoxacarb</v>
          </cell>
          <cell r="C507">
            <v>145</v>
          </cell>
          <cell r="D507">
            <v>150</v>
          </cell>
          <cell r="E507">
            <v>300</v>
          </cell>
          <cell r="F507">
            <v>75</v>
          </cell>
          <cell r="L507" t="str">
            <v>Screening_Apical</v>
          </cell>
          <cell r="N507" t="str">
            <v>ug/L</v>
          </cell>
        </row>
        <row r="508">
          <cell r="A508" t="str">
            <v>66108-95-0</v>
          </cell>
          <cell r="B508" t="str">
            <v>Iohexol</v>
          </cell>
        </row>
        <row r="509">
          <cell r="A509" t="str">
            <v>60166-93-0</v>
          </cell>
          <cell r="B509" t="str">
            <v>Iopamidol</v>
          </cell>
        </row>
        <row r="510">
          <cell r="A510" t="str">
            <v>73334-07-3</v>
          </cell>
          <cell r="B510" t="str">
            <v>Iopromide</v>
          </cell>
        </row>
        <row r="511">
          <cell r="A511" t="str">
            <v>138402-11-6</v>
          </cell>
          <cell r="B511" t="str">
            <v>Irbesartan</v>
          </cell>
        </row>
        <row r="512">
          <cell r="A512" t="str">
            <v>124-76-5</v>
          </cell>
          <cell r="B512" t="str">
            <v>Isoborneol</v>
          </cell>
        </row>
        <row r="513">
          <cell r="A513" t="str">
            <v>78-59-1</v>
          </cell>
          <cell r="B513" t="str">
            <v>Isophorone</v>
          </cell>
        </row>
        <row r="514">
          <cell r="A514" t="str">
            <v>119-65-3</v>
          </cell>
          <cell r="B514" t="str">
            <v>Isoquinoline</v>
          </cell>
        </row>
        <row r="515">
          <cell r="A515" t="str">
            <v>141112-29-0</v>
          </cell>
          <cell r="B515" t="str">
            <v>Isoxaflutole</v>
          </cell>
          <cell r="D515">
            <v>80</v>
          </cell>
          <cell r="F515">
            <v>350</v>
          </cell>
          <cell r="G515">
            <v>110</v>
          </cell>
          <cell r="H515">
            <v>4.9000000000000004</v>
          </cell>
          <cell r="L515" t="str">
            <v>Screening_Apical</v>
          </cell>
          <cell r="N515" t="str">
            <v>ug/L</v>
          </cell>
        </row>
        <row r="516">
          <cell r="A516" t="str">
            <v>6740-88-1</v>
          </cell>
          <cell r="B516" t="str">
            <v>Ketamine</v>
          </cell>
        </row>
        <row r="517">
          <cell r="A517" t="str">
            <v>65277-42-1</v>
          </cell>
          <cell r="B517" t="str">
            <v>Ketoconazole</v>
          </cell>
        </row>
        <row r="518">
          <cell r="A518" t="str">
            <v>22071-15-4</v>
          </cell>
          <cell r="B518" t="str">
            <v>Ketoprofen</v>
          </cell>
        </row>
        <row r="519">
          <cell r="A519" t="str">
            <v>74103-06-3</v>
          </cell>
          <cell r="B519" t="str">
            <v>Ketorolac</v>
          </cell>
        </row>
        <row r="520">
          <cell r="A520" t="str">
            <v>143390-89-0</v>
          </cell>
          <cell r="B520" t="str">
            <v>Kresoxim-methyl</v>
          </cell>
          <cell r="C520">
            <v>95</v>
          </cell>
          <cell r="D520">
            <v>87</v>
          </cell>
          <cell r="E520">
            <v>166</v>
          </cell>
          <cell r="F520">
            <v>55</v>
          </cell>
          <cell r="G520">
            <v>30.3</v>
          </cell>
          <cell r="L520" t="str">
            <v>Screening_Apical</v>
          </cell>
          <cell r="N520" t="str">
            <v>ug/L</v>
          </cell>
        </row>
        <row r="521">
          <cell r="A521" t="str">
            <v>77501-63-4</v>
          </cell>
          <cell r="B521" t="str">
            <v>Lactofen</v>
          </cell>
          <cell r="C521">
            <v>230</v>
          </cell>
          <cell r="D521">
            <v>1.4</v>
          </cell>
          <cell r="E521">
            <v>2425</v>
          </cell>
          <cell r="G521">
            <v>0.44</v>
          </cell>
          <cell r="H521">
            <v>23</v>
          </cell>
          <cell r="L521" t="str">
            <v>Screening_Apical</v>
          </cell>
          <cell r="N521" t="str">
            <v>ug/L</v>
          </cell>
        </row>
        <row r="522">
          <cell r="A522" t="str">
            <v>134678-17-4</v>
          </cell>
          <cell r="B522" t="str">
            <v>Lamivudine</v>
          </cell>
        </row>
        <row r="523">
          <cell r="A523" t="str">
            <v>84057-84-1</v>
          </cell>
          <cell r="B523" t="str">
            <v>Lamotrigine</v>
          </cell>
        </row>
        <row r="524">
          <cell r="A524" t="str">
            <v>133310-19-7</v>
          </cell>
          <cell r="B524" t="str">
            <v>Lamotrigine 2-N-glucuronide</v>
          </cell>
        </row>
        <row r="525">
          <cell r="A525" t="str">
            <v>102767-28-2</v>
          </cell>
          <cell r="B525" t="str">
            <v>Levetiracetam</v>
          </cell>
        </row>
        <row r="526">
          <cell r="A526" t="str">
            <v>100986-85-4</v>
          </cell>
          <cell r="B526" t="str">
            <v>Levofloxacin</v>
          </cell>
        </row>
        <row r="527">
          <cell r="A527" t="str">
            <v>51-48-9</v>
          </cell>
          <cell r="B527" t="str">
            <v>Levothyroxine</v>
          </cell>
        </row>
        <row r="528">
          <cell r="A528" t="str">
            <v>137-58-6</v>
          </cell>
          <cell r="B528" t="str">
            <v>Lidocaine</v>
          </cell>
        </row>
        <row r="529">
          <cell r="A529" t="str">
            <v>851199-59-2</v>
          </cell>
          <cell r="B529" t="str">
            <v>Linaclotide</v>
          </cell>
        </row>
        <row r="530">
          <cell r="A530" t="str">
            <v>154-21-2</v>
          </cell>
          <cell r="B530" t="str">
            <v>Lincomycin</v>
          </cell>
        </row>
        <row r="531">
          <cell r="A531" t="str">
            <v>58-89-9</v>
          </cell>
          <cell r="B531" t="str">
            <v>Lindane</v>
          </cell>
          <cell r="C531">
            <v>0.85</v>
          </cell>
          <cell r="D531">
            <v>2.9</v>
          </cell>
          <cell r="E531">
            <v>0.5</v>
          </cell>
          <cell r="F531">
            <v>54</v>
          </cell>
          <cell r="I531">
            <v>0.95</v>
          </cell>
          <cell r="L531" t="str">
            <v>Screening_Apical</v>
          </cell>
          <cell r="N531" t="str">
            <v>ug/L</v>
          </cell>
        </row>
        <row r="532">
          <cell r="A532" t="str">
            <v>330-55-2</v>
          </cell>
          <cell r="B532" t="str">
            <v>Linuron</v>
          </cell>
          <cell r="C532">
            <v>1500</v>
          </cell>
          <cell r="D532">
            <v>5.58</v>
          </cell>
          <cell r="E532">
            <v>60</v>
          </cell>
          <cell r="F532">
            <v>0.09</v>
          </cell>
          <cell r="G532">
            <v>13.7</v>
          </cell>
          <cell r="H532">
            <v>2.5</v>
          </cell>
          <cell r="L532" t="str">
            <v>Screening_Apical</v>
          </cell>
          <cell r="N532" t="str">
            <v>ug/L</v>
          </cell>
        </row>
        <row r="533">
          <cell r="A533" t="str">
            <v>76547-98-3</v>
          </cell>
          <cell r="B533" t="str">
            <v>Lisinopril</v>
          </cell>
        </row>
        <row r="534">
          <cell r="A534" t="str">
            <v>98079-51-7</v>
          </cell>
          <cell r="B534" t="str">
            <v>Lomefloxacin</v>
          </cell>
        </row>
        <row r="535">
          <cell r="A535" t="str">
            <v>53179-11-6</v>
          </cell>
          <cell r="B535" t="str">
            <v>Loperamide</v>
          </cell>
        </row>
        <row r="536">
          <cell r="A536" t="str">
            <v>79794-75-5</v>
          </cell>
          <cell r="B536" t="str">
            <v>Loratadine</v>
          </cell>
        </row>
        <row r="537">
          <cell r="A537" t="str">
            <v>846-49-1</v>
          </cell>
          <cell r="B537" t="str">
            <v>Lorazepam</v>
          </cell>
        </row>
        <row r="538">
          <cell r="A538" t="str">
            <v>114798-26-4</v>
          </cell>
          <cell r="B538" t="str">
            <v>Losartan</v>
          </cell>
        </row>
        <row r="539">
          <cell r="A539" t="str">
            <v>75330-75-5</v>
          </cell>
          <cell r="B539" t="str">
            <v>Lovastatin</v>
          </cell>
        </row>
        <row r="540">
          <cell r="A540" t="str">
            <v>75225-51-3</v>
          </cell>
          <cell r="B540" t="str">
            <v>Lovastatin acid</v>
          </cell>
        </row>
        <row r="541">
          <cell r="A541" t="str">
            <v>1634-78-2</v>
          </cell>
          <cell r="B541" t="str">
            <v>Malaoxon</v>
          </cell>
        </row>
        <row r="542">
          <cell r="A542" t="str">
            <v>121-75-5</v>
          </cell>
          <cell r="B542" t="str">
            <v>Malathion</v>
          </cell>
          <cell r="C542">
            <v>2.0499999999999998</v>
          </cell>
          <cell r="D542">
            <v>8.6</v>
          </cell>
          <cell r="E542">
            <v>4.9000000000000002E-2</v>
          </cell>
          <cell r="F542">
            <v>0.06</v>
          </cell>
          <cell r="G542">
            <v>2040</v>
          </cell>
          <cell r="H542">
            <v>24000</v>
          </cell>
          <cell r="J542">
            <v>0.1</v>
          </cell>
          <cell r="L542" t="str">
            <v>Screening_Apical</v>
          </cell>
          <cell r="N542" t="str">
            <v>ug/L</v>
          </cell>
        </row>
        <row r="543">
          <cell r="A543" t="str">
            <v>94-74-6</v>
          </cell>
          <cell r="B543" t="str">
            <v>MCPA</v>
          </cell>
          <cell r="G543">
            <v>630</v>
          </cell>
          <cell r="H543">
            <v>170</v>
          </cell>
          <cell r="L543" t="str">
            <v>Screening_Apical</v>
          </cell>
          <cell r="N543" t="str">
            <v>ug/L</v>
          </cell>
        </row>
        <row r="544">
          <cell r="A544" t="str">
            <v>644-62-2</v>
          </cell>
          <cell r="B544" t="str">
            <v>Meclofenamic acid</v>
          </cell>
        </row>
        <row r="545">
          <cell r="A545" t="str">
            <v>93-65-2</v>
          </cell>
          <cell r="B545" t="str">
            <v>Mecoprop</v>
          </cell>
        </row>
        <row r="546">
          <cell r="A546" t="str">
            <v>7085-19-0</v>
          </cell>
          <cell r="B546" t="str">
            <v>Mecoprop</v>
          </cell>
        </row>
        <row r="547">
          <cell r="A547" t="str">
            <v>61-68-7</v>
          </cell>
          <cell r="B547" t="str">
            <v>Mefenamic acid</v>
          </cell>
        </row>
        <row r="548">
          <cell r="A548" t="str">
            <v>71125-38-7</v>
          </cell>
          <cell r="B548" t="str">
            <v>Meloxicam</v>
          </cell>
        </row>
        <row r="549">
          <cell r="A549" t="str">
            <v>148-82-3</v>
          </cell>
          <cell r="B549" t="str">
            <v>Melphalan</v>
          </cell>
        </row>
        <row r="550">
          <cell r="A550" t="str">
            <v>19982-08-2</v>
          </cell>
          <cell r="B550" t="str">
            <v>Memantine</v>
          </cell>
        </row>
        <row r="551">
          <cell r="A551" t="str">
            <v>57-42-1</v>
          </cell>
          <cell r="B551" t="str">
            <v>Meperidine</v>
          </cell>
        </row>
        <row r="552">
          <cell r="A552" t="str">
            <v>57-53-4</v>
          </cell>
          <cell r="B552" t="str">
            <v>Meprobamate</v>
          </cell>
        </row>
        <row r="553">
          <cell r="A553" t="str">
            <v>72-33-3</v>
          </cell>
          <cell r="B553" t="str">
            <v>Mestranol</v>
          </cell>
        </row>
        <row r="554">
          <cell r="A554" t="str">
            <v>57837-19-1</v>
          </cell>
          <cell r="B554" t="str">
            <v>Metalaxyl</v>
          </cell>
          <cell r="C554">
            <v>65000</v>
          </cell>
          <cell r="D554">
            <v>9100</v>
          </cell>
          <cell r="E554">
            <v>14000</v>
          </cell>
          <cell r="F554">
            <v>1200</v>
          </cell>
          <cell r="H554">
            <v>85000</v>
          </cell>
          <cell r="L554" t="str">
            <v>Screening_Apical</v>
          </cell>
          <cell r="N554" t="str">
            <v>ug/L</v>
          </cell>
        </row>
        <row r="555">
          <cell r="A555" t="str">
            <v>50567-35-6</v>
          </cell>
          <cell r="B555" t="str">
            <v>Metamizol</v>
          </cell>
        </row>
        <row r="556">
          <cell r="A556" t="str">
            <v>1665-48-1</v>
          </cell>
          <cell r="B556" t="str">
            <v>Metaxalone</v>
          </cell>
        </row>
        <row r="557">
          <cell r="A557" t="str">
            <v>125116-23-6</v>
          </cell>
          <cell r="B557" t="str">
            <v>Metconazole</v>
          </cell>
          <cell r="C557">
            <v>1650</v>
          </cell>
          <cell r="D557">
            <v>2.9</v>
          </cell>
          <cell r="E557">
            <v>2950</v>
          </cell>
          <cell r="F557">
            <v>31</v>
          </cell>
          <cell r="G557">
            <v>81</v>
          </cell>
          <cell r="H557">
            <v>22</v>
          </cell>
          <cell r="L557" t="str">
            <v>Screening_Apical</v>
          </cell>
          <cell r="N557" t="str">
            <v>ug/L</v>
          </cell>
        </row>
        <row r="558">
          <cell r="A558" t="str">
            <v>657-24-9</v>
          </cell>
          <cell r="B558" t="str">
            <v>Metformin</v>
          </cell>
        </row>
        <row r="559">
          <cell r="A559" t="str">
            <v>76-99-3</v>
          </cell>
          <cell r="B559" t="str">
            <v>Methadone</v>
          </cell>
        </row>
        <row r="560">
          <cell r="A560" t="str">
            <v>1095-90-5</v>
          </cell>
          <cell r="B560" t="str">
            <v>Methadone hydrochloride</v>
          </cell>
        </row>
        <row r="561">
          <cell r="A561" t="str">
            <v>10265-92-6</v>
          </cell>
          <cell r="B561" t="str">
            <v>Methamidophos</v>
          </cell>
          <cell r="C561">
            <v>12500</v>
          </cell>
          <cell r="D561">
            <v>173.6</v>
          </cell>
          <cell r="E561">
            <v>13</v>
          </cell>
          <cell r="F561">
            <v>4.5</v>
          </cell>
          <cell r="L561" t="str">
            <v>Screening_Apical</v>
          </cell>
          <cell r="N561" t="str">
            <v>ug/L</v>
          </cell>
        </row>
        <row r="562">
          <cell r="A562" t="str">
            <v>554-57-4</v>
          </cell>
          <cell r="B562" t="str">
            <v>Methazolamide</v>
          </cell>
        </row>
        <row r="563">
          <cell r="A563" t="str">
            <v>100-97-0</v>
          </cell>
          <cell r="B563" t="str">
            <v>Methenamine</v>
          </cell>
        </row>
        <row r="564">
          <cell r="A564" t="str">
            <v>950-37-8</v>
          </cell>
          <cell r="B564" t="str">
            <v>Methidathion</v>
          </cell>
          <cell r="C564">
            <v>1.1000000000000001</v>
          </cell>
          <cell r="D564">
            <v>6.3</v>
          </cell>
          <cell r="E564">
            <v>1.5</v>
          </cell>
          <cell r="F564">
            <v>0.66</v>
          </cell>
          <cell r="L564" t="str">
            <v>Screening_Apical</v>
          </cell>
          <cell r="N564" t="str">
            <v>ug/L</v>
          </cell>
        </row>
        <row r="565">
          <cell r="A565" t="str">
            <v>2032-65-7</v>
          </cell>
          <cell r="B565" t="str">
            <v>Methiocarb</v>
          </cell>
          <cell r="C565">
            <v>90</v>
          </cell>
          <cell r="D565">
            <v>50</v>
          </cell>
          <cell r="E565">
            <v>2.75</v>
          </cell>
          <cell r="L565" t="str">
            <v>Screening_Apical</v>
          </cell>
          <cell r="N565" t="str">
            <v>ug/L</v>
          </cell>
        </row>
        <row r="566">
          <cell r="A566" t="str">
            <v>532-03-6</v>
          </cell>
          <cell r="B566" t="str">
            <v>Methocarbamol</v>
          </cell>
        </row>
        <row r="567">
          <cell r="A567" t="str">
            <v>16752-77-5</v>
          </cell>
          <cell r="B567" t="str">
            <v>Methomyl</v>
          </cell>
          <cell r="C567">
            <v>250</v>
          </cell>
          <cell r="D567">
            <v>57</v>
          </cell>
          <cell r="E567">
            <v>4.4000000000000004</v>
          </cell>
          <cell r="F567">
            <v>0.6</v>
          </cell>
          <cell r="L567" t="str">
            <v>Screening_Apical</v>
          </cell>
          <cell r="N567" t="str">
            <v>ug/L</v>
          </cell>
        </row>
        <row r="568">
          <cell r="A568" t="str">
            <v>59-05-2</v>
          </cell>
          <cell r="B568" t="str">
            <v>Methotrexate</v>
          </cell>
        </row>
        <row r="569">
          <cell r="A569" t="str">
            <v>72-43-5</v>
          </cell>
          <cell r="B569" t="str">
            <v>Methoxychlor</v>
          </cell>
          <cell r="C569">
            <v>7.5</v>
          </cell>
          <cell r="E569">
            <v>0.7</v>
          </cell>
          <cell r="L569" t="str">
            <v>Screening_Apical</v>
          </cell>
          <cell r="N569" t="str">
            <v>ug/L</v>
          </cell>
        </row>
        <row r="570">
          <cell r="A570" t="str">
            <v>161050-58-4</v>
          </cell>
          <cell r="B570" t="str">
            <v>Methoxyfenozide</v>
          </cell>
          <cell r="D570">
            <v>530</v>
          </cell>
          <cell r="E570">
            <v>28.5</v>
          </cell>
          <cell r="F570">
            <v>3.1</v>
          </cell>
          <cell r="L570" t="str">
            <v>Screening_Apical</v>
          </cell>
          <cell r="N570" t="str">
            <v>ug/L</v>
          </cell>
        </row>
        <row r="571">
          <cell r="A571" t="str">
            <v>135-07-9</v>
          </cell>
          <cell r="B571" t="str">
            <v>Methyclothiazide</v>
          </cell>
        </row>
        <row r="572">
          <cell r="A572" t="str">
            <v>298-00-0</v>
          </cell>
          <cell r="B572" t="str">
            <v>Methyl parathion</v>
          </cell>
          <cell r="C572">
            <v>925</v>
          </cell>
          <cell r="E572">
            <v>0.48499999999999999</v>
          </cell>
          <cell r="F572">
            <v>0.25</v>
          </cell>
          <cell r="G572">
            <v>15000</v>
          </cell>
          <cell r="H572">
            <v>18000</v>
          </cell>
          <cell r="L572" t="str">
            <v>Screening_Apical</v>
          </cell>
          <cell r="N572" t="str">
            <v>ug/L</v>
          </cell>
        </row>
        <row r="573">
          <cell r="A573" t="str">
            <v>119-36-8</v>
          </cell>
          <cell r="B573" t="str">
            <v>Methyl salicylate</v>
          </cell>
        </row>
        <row r="574">
          <cell r="A574" t="str">
            <v>4640-01-1</v>
          </cell>
          <cell r="B574" t="str">
            <v>Methyl triclosan</v>
          </cell>
        </row>
        <row r="575">
          <cell r="A575" t="str">
            <v>950-35-6</v>
          </cell>
          <cell r="B575" t="str">
            <v>Methylparaoxon</v>
          </cell>
          <cell r="E575">
            <v>1.1499999999999999</v>
          </cell>
          <cell r="F575">
            <v>1</v>
          </cell>
          <cell r="L575" t="str">
            <v>Screening_Apical</v>
          </cell>
          <cell r="N575" t="str">
            <v>ug/L</v>
          </cell>
        </row>
        <row r="576">
          <cell r="A576" t="str">
            <v>113-45-1</v>
          </cell>
          <cell r="B576" t="str">
            <v>Methylphenidate</v>
          </cell>
        </row>
        <row r="577">
          <cell r="A577" t="str">
            <v>83-43-2</v>
          </cell>
          <cell r="B577" t="str">
            <v>Methylprednisolone</v>
          </cell>
        </row>
        <row r="578">
          <cell r="A578" t="str">
            <v>1084-65-7</v>
          </cell>
          <cell r="B578" t="str">
            <v>Meticrane</v>
          </cell>
        </row>
        <row r="579">
          <cell r="A579" t="str">
            <v>51218-45-2</v>
          </cell>
          <cell r="B579" t="str">
            <v>Metolachlor</v>
          </cell>
          <cell r="C579">
            <v>1900</v>
          </cell>
          <cell r="D579">
            <v>30</v>
          </cell>
          <cell r="E579">
            <v>550</v>
          </cell>
          <cell r="F579">
            <v>1</v>
          </cell>
          <cell r="G579">
            <v>8</v>
          </cell>
          <cell r="H579">
            <v>21</v>
          </cell>
          <cell r="L579" t="str">
            <v>Screening_Apical</v>
          </cell>
          <cell r="N579" t="str">
            <v>ug/L</v>
          </cell>
        </row>
        <row r="580">
          <cell r="A580" t="str">
            <v>171118-09-5</v>
          </cell>
          <cell r="B580" t="str">
            <v>Metolachlor ESA</v>
          </cell>
          <cell r="C580">
            <v>24000</v>
          </cell>
          <cell r="H580">
            <v>43000</v>
          </cell>
          <cell r="L580" t="str">
            <v>Screening_Apical</v>
          </cell>
          <cell r="N580" t="str">
            <v>ug/L</v>
          </cell>
        </row>
        <row r="581">
          <cell r="A581" t="str">
            <v>152019-73-3</v>
          </cell>
          <cell r="B581" t="str">
            <v>Metolachlor OA</v>
          </cell>
          <cell r="E581">
            <v>7700</v>
          </cell>
          <cell r="G581">
            <v>57100</v>
          </cell>
          <cell r="L581" t="str">
            <v>Screening_Apical</v>
          </cell>
          <cell r="N581" t="str">
            <v>ug/L</v>
          </cell>
        </row>
        <row r="582">
          <cell r="A582" t="str">
            <v>51384-51-1</v>
          </cell>
          <cell r="B582" t="str">
            <v>Metoprolol</v>
          </cell>
        </row>
        <row r="583">
          <cell r="A583" t="str">
            <v>21087-64-9</v>
          </cell>
          <cell r="B583" t="str">
            <v>Metribuzin</v>
          </cell>
          <cell r="C583">
            <v>21000</v>
          </cell>
          <cell r="E583">
            <v>2100</v>
          </cell>
          <cell r="F583">
            <v>1290</v>
          </cell>
          <cell r="G583">
            <v>8.1</v>
          </cell>
          <cell r="H583">
            <v>130</v>
          </cell>
          <cell r="L583" t="str">
            <v>Screening_Apical</v>
          </cell>
          <cell r="N583" t="str">
            <v>ug/L</v>
          </cell>
        </row>
        <row r="584">
          <cell r="A584" t="str">
            <v>35045-02-4</v>
          </cell>
          <cell r="B584" t="str">
            <v>Metribuzin-DA</v>
          </cell>
        </row>
        <row r="585">
          <cell r="A585" t="str">
            <v>52236-30-3</v>
          </cell>
          <cell r="B585" t="str">
            <v>Metribuzin-DADK</v>
          </cell>
        </row>
        <row r="586">
          <cell r="A586" t="str">
            <v>443-48-1</v>
          </cell>
          <cell r="B586" t="str">
            <v>Metronidazole</v>
          </cell>
        </row>
        <row r="587">
          <cell r="A587" t="str">
            <v>73573-88-3</v>
          </cell>
          <cell r="B587" t="str">
            <v>Mevastatin</v>
          </cell>
        </row>
        <row r="588">
          <cell r="A588" t="str">
            <v>22916-47-8</v>
          </cell>
          <cell r="B588" t="str">
            <v>Miconazole</v>
          </cell>
        </row>
        <row r="589">
          <cell r="A589" t="str">
            <v>10118-90-8</v>
          </cell>
          <cell r="B589" t="str">
            <v>Minocycline</v>
          </cell>
        </row>
        <row r="590">
          <cell r="A590" t="str">
            <v>2385-85-5</v>
          </cell>
          <cell r="B590" t="str">
            <v>Mirex</v>
          </cell>
        </row>
        <row r="591">
          <cell r="A591" t="str">
            <v>85650-52-8</v>
          </cell>
          <cell r="B591" t="str">
            <v>Mirtazapine</v>
          </cell>
        </row>
        <row r="592">
          <cell r="A592" t="str">
            <v>2212-67-1</v>
          </cell>
          <cell r="B592" t="str">
            <v>Molinate</v>
          </cell>
          <cell r="C592">
            <v>105</v>
          </cell>
          <cell r="D592">
            <v>390</v>
          </cell>
          <cell r="E592">
            <v>170</v>
          </cell>
          <cell r="F592">
            <v>340</v>
          </cell>
          <cell r="G592">
            <v>220</v>
          </cell>
          <cell r="H592">
            <v>3300</v>
          </cell>
          <cell r="L592" t="str">
            <v>Screening_Apical</v>
          </cell>
          <cell r="N592" t="str">
            <v>ug/L</v>
          </cell>
        </row>
        <row r="593">
          <cell r="A593" t="str">
            <v>105102-22-5</v>
          </cell>
          <cell r="B593" t="str">
            <v>Mometasone</v>
          </cell>
        </row>
        <row r="594">
          <cell r="A594" t="str">
            <v>158966-92-8</v>
          </cell>
          <cell r="B594" t="str">
            <v>Montelukast</v>
          </cell>
        </row>
        <row r="595">
          <cell r="A595" t="str">
            <v>57-27-2</v>
          </cell>
          <cell r="B595" t="str">
            <v>Morphine</v>
          </cell>
        </row>
        <row r="596">
          <cell r="A596" t="str">
            <v>151096-09-2</v>
          </cell>
          <cell r="B596" t="str">
            <v>Moxifloxacin</v>
          </cell>
        </row>
        <row r="597">
          <cell r="A597" t="str">
            <v>83-66-9</v>
          </cell>
          <cell r="B597" t="str">
            <v>Musk ambrette</v>
          </cell>
        </row>
        <row r="598">
          <cell r="A598" t="str">
            <v>81-14-1</v>
          </cell>
          <cell r="B598" t="str">
            <v>Musk ketone</v>
          </cell>
        </row>
        <row r="599">
          <cell r="A599" t="str">
            <v>88671-89-0</v>
          </cell>
          <cell r="B599" t="str">
            <v>Myclobutanil</v>
          </cell>
          <cell r="C599">
            <v>1200</v>
          </cell>
          <cell r="D599">
            <v>980</v>
          </cell>
          <cell r="E599">
            <v>5500</v>
          </cell>
          <cell r="G599">
            <v>830</v>
          </cell>
          <cell r="L599" t="str">
            <v>Screening_Apical</v>
          </cell>
          <cell r="N599" t="str">
            <v>ug/L</v>
          </cell>
        </row>
        <row r="600">
          <cell r="A600" t="str">
            <v>24280-93-1</v>
          </cell>
          <cell r="B600" t="str">
            <v>Mycophenolic acid</v>
          </cell>
        </row>
        <row r="601">
          <cell r="A601" t="str">
            <v>18607-98-2</v>
          </cell>
          <cell r="B601" t="str">
            <v>N(1)-Acetylsulfamethoxazole</v>
          </cell>
        </row>
        <row r="602">
          <cell r="A602" t="str">
            <v>131068-72-9</v>
          </cell>
          <cell r="B602" t="str">
            <v>N-(2-Ethyl-6-methylphenyl)-2-hydroxy-N-(1-methoxypropan-2-yl)acetamide</v>
          </cell>
        </row>
        <row r="603">
          <cell r="A603" t="str">
            <v>3567-62-2</v>
          </cell>
          <cell r="B603" t="str">
            <v>N-(3,4-Dichlorophenyl)-N'-methylurea</v>
          </cell>
        </row>
        <row r="604">
          <cell r="A604" t="str">
            <v>135308-74-6</v>
          </cell>
          <cell r="B604" t="str">
            <v>N,O-Didesmethylvenlafaxine</v>
          </cell>
        </row>
        <row r="605">
          <cell r="A605" t="str">
            <v>21312-10-7</v>
          </cell>
          <cell r="B605" t="str">
            <v>N-Acetyl sulfamethoxazole</v>
          </cell>
        </row>
        <row r="606">
          <cell r="A606" t="str">
            <v>42200-33-9</v>
          </cell>
          <cell r="B606" t="str">
            <v>Nadolol</v>
          </cell>
        </row>
        <row r="607">
          <cell r="A607" t="str">
            <v>300-76-5</v>
          </cell>
          <cell r="B607" t="str">
            <v>Naled</v>
          </cell>
          <cell r="C607">
            <v>46</v>
          </cell>
          <cell r="D607">
            <v>3.4</v>
          </cell>
          <cell r="E607">
            <v>5.7500000000000002E-2</v>
          </cell>
          <cell r="F607">
            <v>0.01</v>
          </cell>
          <cell r="G607">
            <v>24</v>
          </cell>
          <cell r="L607" t="str">
            <v>Screening_Apical</v>
          </cell>
          <cell r="N607" t="str">
            <v>ug/L</v>
          </cell>
        </row>
        <row r="608">
          <cell r="A608" t="str">
            <v>91-20-3</v>
          </cell>
          <cell r="B608" t="str">
            <v>Naphthalene</v>
          </cell>
        </row>
        <row r="609">
          <cell r="A609" t="str">
            <v>91-20-3</v>
          </cell>
          <cell r="B609" t="str">
            <v>Naphthalene</v>
          </cell>
        </row>
        <row r="610">
          <cell r="A610" t="str">
            <v>99486-63-2</v>
          </cell>
          <cell r="B610" t="str">
            <v>Naphthalene, 1,2,6,7-tetramethyl-</v>
          </cell>
        </row>
        <row r="611">
          <cell r="A611" t="str">
            <v>1618-22-0</v>
          </cell>
          <cell r="B611" t="str">
            <v>naphthalene, decahydro-2,6-dimethyl-</v>
          </cell>
        </row>
        <row r="612">
          <cell r="A612" t="str">
            <v>22204-53-1</v>
          </cell>
          <cell r="B612" t="str">
            <v>Naproxen</v>
          </cell>
        </row>
        <row r="613">
          <cell r="A613" t="str">
            <v>3622-84-2</v>
          </cell>
          <cell r="B613" t="str">
            <v>N-Butylbenzenesulfonamide</v>
          </cell>
        </row>
        <row r="614">
          <cell r="A614" t="str">
            <v>371775-74-5</v>
          </cell>
          <cell r="B614" t="str">
            <v>N-Desmethyl rosuvastatin</v>
          </cell>
        </row>
        <row r="615">
          <cell r="A615" t="str">
            <v>6104-71-8</v>
          </cell>
          <cell r="B615" t="str">
            <v>N-Desmethylclozapine</v>
          </cell>
        </row>
        <row r="616">
          <cell r="A616" t="str">
            <v>86408-45-9</v>
          </cell>
          <cell r="B616" t="str">
            <v>N-Desmethyldiltiazem</v>
          </cell>
        </row>
        <row r="617">
          <cell r="A617" t="str">
            <v>55283-68-6</v>
          </cell>
          <cell r="B617" t="str">
            <v>N-Ethyl-N-(2-methyl-2-propenyl)-2,6-dinitro-4-(trifluoromethyl)benzenamine</v>
          </cell>
          <cell r="C617">
            <v>16</v>
          </cell>
          <cell r="D617">
            <v>0.4</v>
          </cell>
          <cell r="E617">
            <v>30</v>
          </cell>
          <cell r="F617">
            <v>24</v>
          </cell>
          <cell r="G617">
            <v>25</v>
          </cell>
          <cell r="H617">
            <v>7.3</v>
          </cell>
          <cell r="L617" t="str">
            <v>Screening_Apical</v>
          </cell>
          <cell r="N617" t="str">
            <v>ug/L</v>
          </cell>
        </row>
        <row r="618">
          <cell r="A618" t="str">
            <v>129618-40-2</v>
          </cell>
          <cell r="B618" t="str">
            <v>Nevirapine</v>
          </cell>
        </row>
        <row r="619">
          <cell r="A619" t="str">
            <v>111991-09-4</v>
          </cell>
          <cell r="B619" t="str">
            <v>Nicosulfuron</v>
          </cell>
          <cell r="F619">
            <v>43000</v>
          </cell>
          <cell r="L619" t="str">
            <v>Screening_Apical</v>
          </cell>
          <cell r="N619" t="str">
            <v>ug/L</v>
          </cell>
        </row>
        <row r="620">
          <cell r="A620" t="str">
            <v>54-11-5</v>
          </cell>
          <cell r="B620" t="str">
            <v>Nicotine</v>
          </cell>
        </row>
        <row r="621">
          <cell r="A621" t="str">
            <v>4394-00-7</v>
          </cell>
          <cell r="B621" t="str">
            <v>Niflumic acid</v>
          </cell>
        </row>
        <row r="622">
          <cell r="A622" t="str">
            <v>51803-78-2</v>
          </cell>
          <cell r="B622" t="str">
            <v>Nimesulide</v>
          </cell>
        </row>
        <row r="623">
          <cell r="A623" t="str">
            <v>66085-59-4</v>
          </cell>
          <cell r="B623" t="str">
            <v>Nimodipine</v>
          </cell>
        </row>
        <row r="624">
          <cell r="A624" t="str">
            <v>146-22-5</v>
          </cell>
          <cell r="B624" t="str">
            <v>Nitrazepam</v>
          </cell>
        </row>
        <row r="625">
          <cell r="A625" t="str">
            <v>39562-70-4</v>
          </cell>
          <cell r="B625" t="str">
            <v>Nitrendipine</v>
          </cell>
        </row>
        <row r="626">
          <cell r="A626" t="str">
            <v>76963-41-2</v>
          </cell>
          <cell r="B626" t="str">
            <v>Nizatidine</v>
          </cell>
        </row>
        <row r="627">
          <cell r="A627" t="str">
            <v>68-22-4</v>
          </cell>
          <cell r="B627" t="str">
            <v>Norethindrone</v>
          </cell>
        </row>
        <row r="628">
          <cell r="A628" t="str">
            <v>1609-66-1</v>
          </cell>
          <cell r="B628" t="str">
            <v>Norfentanyl</v>
          </cell>
        </row>
        <row r="629">
          <cell r="A629" t="str">
            <v>70458-96-7</v>
          </cell>
          <cell r="B629" t="str">
            <v>Norfloxacin</v>
          </cell>
        </row>
        <row r="630">
          <cell r="A630" t="str">
            <v>83891-03-6</v>
          </cell>
          <cell r="B630" t="str">
            <v>Norfluoxetine</v>
          </cell>
        </row>
        <row r="631">
          <cell r="A631" t="str">
            <v>56161-73-0</v>
          </cell>
          <cell r="B631" t="str">
            <v>Norfluoxetine</v>
          </cell>
        </row>
        <row r="632">
          <cell r="A632" t="str">
            <v>27314-13-2</v>
          </cell>
          <cell r="B632" t="str">
            <v>Norflurazon</v>
          </cell>
          <cell r="C632">
            <v>4050</v>
          </cell>
          <cell r="D632">
            <v>770</v>
          </cell>
          <cell r="F632">
            <v>1000</v>
          </cell>
          <cell r="G632">
            <v>9.6999999999999993</v>
          </cell>
          <cell r="H632">
            <v>58.2</v>
          </cell>
          <cell r="L632" t="str">
            <v>Screening_Apical</v>
          </cell>
          <cell r="N632" t="str">
            <v>ug/L</v>
          </cell>
        </row>
        <row r="633">
          <cell r="A633" t="str">
            <v>35211-10-0</v>
          </cell>
          <cell r="B633" t="str">
            <v>Norketamine</v>
          </cell>
        </row>
        <row r="634">
          <cell r="A634" t="str">
            <v>3376-94-1</v>
          </cell>
          <cell r="B634" t="str">
            <v>Norpropoxyphene</v>
          </cell>
        </row>
        <row r="635">
          <cell r="A635" t="str">
            <v>5747-48-8</v>
          </cell>
          <cell r="B635" t="str">
            <v>Norquetiapine</v>
          </cell>
        </row>
        <row r="636">
          <cell r="A636" t="str">
            <v>67018-85-3</v>
          </cell>
          <cell r="B636" t="str">
            <v>Norverapamil</v>
          </cell>
        </row>
        <row r="637">
          <cell r="A637" t="str">
            <v>116714-46-6</v>
          </cell>
          <cell r="B637" t="str">
            <v>Novaluron</v>
          </cell>
          <cell r="D637">
            <v>6.16</v>
          </cell>
          <cell r="E637">
            <v>7.4999999999999997E-2</v>
          </cell>
          <cell r="F637">
            <v>0.03</v>
          </cell>
          <cell r="G637">
            <v>32000</v>
          </cell>
          <cell r="L637" t="str">
            <v>Screening_Apical</v>
          </cell>
          <cell r="N637" t="str">
            <v>ug/L</v>
          </cell>
        </row>
        <row r="638">
          <cell r="A638" t="str">
            <v>56165-57-2</v>
          </cell>
          <cell r="B638" t="str">
            <v>O,O-Diethyl S-[(2-methylpropane-2-sulfinyl)methyl] phosphorothioate</v>
          </cell>
        </row>
        <row r="639">
          <cell r="A639" t="str">
            <v>2496-92-6</v>
          </cell>
          <cell r="B639" t="str">
            <v>O,O-diethyl S-[2-(ethylsulfinyl)-ethyl]phosphorothioate</v>
          </cell>
        </row>
        <row r="640">
          <cell r="A640" t="str">
            <v>2496-91-5</v>
          </cell>
          <cell r="B640" t="str">
            <v>O,O-diethyl S-[2-(ethylsulfonyl)-ethyl]phosphorothioate</v>
          </cell>
        </row>
        <row r="641">
          <cell r="A641" t="str">
            <v>3424-82-6</v>
          </cell>
          <cell r="B641" t="str">
            <v>o,p'-DDE</v>
          </cell>
        </row>
        <row r="642">
          <cell r="A642" t="str">
            <v>789-02-6</v>
          </cell>
          <cell r="B642" t="str">
            <v>o,p'-DDT</v>
          </cell>
        </row>
        <row r="643">
          <cell r="A643" t="str">
            <v>93413-62-8</v>
          </cell>
          <cell r="B643" t="str">
            <v>O-Desmethyl Venlafaxine</v>
          </cell>
        </row>
        <row r="644">
          <cell r="A644" t="str">
            <v>76960-87-7</v>
          </cell>
          <cell r="B644" t="str">
            <v>O-ethyl O-methyl S-propylphosphorothioate (metabolite of ethoprop)</v>
          </cell>
        </row>
        <row r="645">
          <cell r="A645" t="str">
            <v>76936-72-6</v>
          </cell>
          <cell r="B645" t="str">
            <v>O-ethyl S-methyl S-propyl phosphorodithioate</v>
          </cell>
        </row>
        <row r="646">
          <cell r="A646" t="str">
            <v>31110-62-0</v>
          </cell>
          <cell r="B646" t="str">
            <v>O-Ethyl S-propyl phosphorothioic acid (Metabolite of ethoprop)</v>
          </cell>
        </row>
        <row r="647">
          <cell r="A647" t="str">
            <v>82419-36-1</v>
          </cell>
          <cell r="B647" t="str">
            <v>Ofloxacin</v>
          </cell>
        </row>
        <row r="648">
          <cell r="A648" t="str">
            <v>73590-58-6</v>
          </cell>
          <cell r="B648" t="str">
            <v>Omeprazole</v>
          </cell>
        </row>
        <row r="649">
          <cell r="A649" t="str">
            <v>73590-58-6 + 161796-78-7</v>
          </cell>
          <cell r="B649" t="str">
            <v>Omeprazole + Esomeprazole</v>
          </cell>
        </row>
        <row r="650">
          <cell r="A650" t="str">
            <v>1113-02-6</v>
          </cell>
          <cell r="B650" t="str">
            <v>Omethoate</v>
          </cell>
        </row>
        <row r="651">
          <cell r="A651" t="str">
            <v>6981-18-6</v>
          </cell>
          <cell r="B651" t="str">
            <v>Ormetoprim</v>
          </cell>
        </row>
        <row r="652">
          <cell r="A652" t="str">
            <v>83-98-7</v>
          </cell>
          <cell r="B652" t="str">
            <v>Orphenadrine</v>
          </cell>
        </row>
        <row r="653">
          <cell r="A653" t="str">
            <v>213464-77-8</v>
          </cell>
          <cell r="B653" t="str">
            <v>Orthosulfamuron</v>
          </cell>
          <cell r="D653">
            <v>6100</v>
          </cell>
          <cell r="F653">
            <v>6500</v>
          </cell>
          <cell r="G653">
            <v>80</v>
          </cell>
          <cell r="H653">
            <v>0.7</v>
          </cell>
          <cell r="L653" t="str">
            <v>Screening_Apical</v>
          </cell>
          <cell r="N653" t="str">
            <v>ug/L</v>
          </cell>
        </row>
        <row r="654">
          <cell r="A654" t="str">
            <v>19044-88-3</v>
          </cell>
          <cell r="B654" t="str">
            <v>Oryzalin</v>
          </cell>
          <cell r="C654">
            <v>1440</v>
          </cell>
          <cell r="D654">
            <v>220</v>
          </cell>
          <cell r="E654">
            <v>750</v>
          </cell>
          <cell r="F654">
            <v>358</v>
          </cell>
          <cell r="G654">
            <v>52</v>
          </cell>
          <cell r="H654">
            <v>13</v>
          </cell>
          <cell r="L654" t="str">
            <v>Screening_Apical</v>
          </cell>
          <cell r="N654" t="str">
            <v>ug/L</v>
          </cell>
        </row>
        <row r="655">
          <cell r="A655" t="str">
            <v>196618-13-0</v>
          </cell>
          <cell r="B655" t="str">
            <v>Oseltamivir</v>
          </cell>
        </row>
        <row r="656">
          <cell r="A656" t="str">
            <v>187227-45-8</v>
          </cell>
          <cell r="B656" t="str">
            <v>Oseltamivir acid</v>
          </cell>
        </row>
        <row r="657">
          <cell r="A657" t="str">
            <v>23135-22-0</v>
          </cell>
          <cell r="B657" t="str">
            <v>Oxamyl</v>
          </cell>
          <cell r="C657">
            <v>2100</v>
          </cell>
          <cell r="D657">
            <v>500</v>
          </cell>
          <cell r="E657">
            <v>90</v>
          </cell>
          <cell r="F657">
            <v>27</v>
          </cell>
          <cell r="G657">
            <v>120</v>
          </cell>
          <cell r="H657">
            <v>30000</v>
          </cell>
          <cell r="L657" t="str">
            <v>Screening_Apical</v>
          </cell>
          <cell r="N657" t="str">
            <v>ug/L</v>
          </cell>
        </row>
        <row r="658">
          <cell r="A658" t="str">
            <v>30558-43-1</v>
          </cell>
          <cell r="B658" t="str">
            <v>Oxamyl oxime</v>
          </cell>
        </row>
        <row r="659">
          <cell r="A659" t="str">
            <v>604-75-1</v>
          </cell>
          <cell r="B659" t="str">
            <v>Oxazepam</v>
          </cell>
        </row>
        <row r="660">
          <cell r="A660" t="str">
            <v>28721-07-5</v>
          </cell>
          <cell r="B660" t="str">
            <v>Oxcarbazepine</v>
          </cell>
        </row>
        <row r="661">
          <cell r="A661" t="str">
            <v>14698-29-4</v>
          </cell>
          <cell r="B661" t="str">
            <v>Oxolinic acid</v>
          </cell>
        </row>
        <row r="662">
          <cell r="A662" t="str">
            <v>27304-13-8</v>
          </cell>
          <cell r="B662" t="str">
            <v>Oxychlordane</v>
          </cell>
        </row>
        <row r="663">
          <cell r="A663" t="str">
            <v>76-42-6</v>
          </cell>
          <cell r="B663" t="str">
            <v>Oxycodone</v>
          </cell>
        </row>
        <row r="664">
          <cell r="A664" t="str">
            <v>2497-07-6</v>
          </cell>
          <cell r="B664" t="str">
            <v>Oxydisulfoton</v>
          </cell>
          <cell r="C664">
            <v>94</v>
          </cell>
          <cell r="E664">
            <v>32</v>
          </cell>
          <cell r="F664">
            <v>1.5</v>
          </cell>
          <cell r="L664" t="str">
            <v>Screening_Apical</v>
          </cell>
          <cell r="N664" t="str">
            <v>ug/L</v>
          </cell>
        </row>
        <row r="665">
          <cell r="A665" t="str">
            <v>42874-03-3</v>
          </cell>
          <cell r="B665" t="str">
            <v>Oxyfluorfen</v>
          </cell>
          <cell r="C665">
            <v>100</v>
          </cell>
          <cell r="D665">
            <v>1.3</v>
          </cell>
          <cell r="E665">
            <v>750</v>
          </cell>
          <cell r="F665">
            <v>13</v>
          </cell>
          <cell r="G665">
            <v>0.28999999999999998</v>
          </cell>
          <cell r="H665">
            <v>0.33</v>
          </cell>
          <cell r="L665" t="str">
            <v>Screening_Apical</v>
          </cell>
          <cell r="N665" t="str">
            <v>ug/L</v>
          </cell>
        </row>
        <row r="666">
          <cell r="A666" t="str">
            <v>129-20-4</v>
          </cell>
          <cell r="B666" t="str">
            <v>Oxyphenbutazone</v>
          </cell>
        </row>
        <row r="667">
          <cell r="A667" t="str">
            <v>79-57-2</v>
          </cell>
          <cell r="B667" t="str">
            <v>Oxytetracycline</v>
          </cell>
          <cell r="D667">
            <v>8850</v>
          </cell>
          <cell r="F667">
            <v>13500</v>
          </cell>
          <cell r="G667">
            <v>125</v>
          </cell>
          <cell r="H667">
            <v>3044</v>
          </cell>
          <cell r="L667" t="str">
            <v>Screening_Apical</v>
          </cell>
          <cell r="N667" t="str">
            <v>ug/L</v>
          </cell>
        </row>
        <row r="668">
          <cell r="A668" t="str">
            <v>72-54-8</v>
          </cell>
          <cell r="B668" t="str">
            <v>p,p'-DDD</v>
          </cell>
        </row>
        <row r="669">
          <cell r="A669" t="str">
            <v>72-55-9</v>
          </cell>
          <cell r="B669" t="str">
            <v>p,p'-DDE</v>
          </cell>
        </row>
        <row r="670">
          <cell r="A670" t="str">
            <v>311-45-5</v>
          </cell>
          <cell r="B670" t="str">
            <v>Paraoxon</v>
          </cell>
        </row>
        <row r="671">
          <cell r="A671" t="str">
            <v>56-38-2</v>
          </cell>
          <cell r="B671" t="str">
            <v>Parathion-ethyl</v>
          </cell>
        </row>
        <row r="672">
          <cell r="A672" t="str">
            <v>61869-08-7</v>
          </cell>
          <cell r="B672" t="str">
            <v>Paroxetine</v>
          </cell>
        </row>
        <row r="673">
          <cell r="A673" t="str">
            <v>106-44-5</v>
          </cell>
          <cell r="B673" t="str">
            <v>p-Cresol</v>
          </cell>
        </row>
        <row r="674">
          <cell r="A674" t="str">
            <v>39809-25-1</v>
          </cell>
          <cell r="B674" t="str">
            <v>Penciclovir</v>
          </cell>
        </row>
        <row r="675">
          <cell r="A675" t="str">
            <v>40487-42-1</v>
          </cell>
          <cell r="B675" t="str">
            <v>Pendimethalin</v>
          </cell>
          <cell r="C675">
            <v>69</v>
          </cell>
          <cell r="D675">
            <v>6.3</v>
          </cell>
          <cell r="E675">
            <v>140</v>
          </cell>
          <cell r="F675">
            <v>14.5</v>
          </cell>
          <cell r="G675">
            <v>5.2</v>
          </cell>
          <cell r="H675">
            <v>12.5</v>
          </cell>
          <cell r="L675" t="str">
            <v>Screening_Apical</v>
          </cell>
          <cell r="N675" t="str">
            <v>ug/L</v>
          </cell>
        </row>
        <row r="676">
          <cell r="A676" t="str">
            <v>61-33-6</v>
          </cell>
          <cell r="B676" t="str">
            <v>Penicillin G</v>
          </cell>
        </row>
        <row r="677">
          <cell r="A677" t="str">
            <v>87-08-1</v>
          </cell>
          <cell r="B677" t="str">
            <v>Penicillin V</v>
          </cell>
        </row>
        <row r="678">
          <cell r="A678" t="str">
            <v>32534-81-9</v>
          </cell>
          <cell r="B678" t="str">
            <v>Pentabromodiphenyl ether</v>
          </cell>
        </row>
        <row r="679">
          <cell r="A679" t="str">
            <v>527-20-8</v>
          </cell>
          <cell r="B679" t="str">
            <v>Pentachloroaniline</v>
          </cell>
          <cell r="C679">
            <v>28</v>
          </cell>
          <cell r="E679">
            <v>150</v>
          </cell>
          <cell r="L679" t="str">
            <v>Screening_Apical</v>
          </cell>
          <cell r="N679" t="str">
            <v>ug/L</v>
          </cell>
        </row>
        <row r="680">
          <cell r="A680" t="str">
            <v>82-68-8</v>
          </cell>
          <cell r="B680" t="str">
            <v>Pentachloronitrobenzene</v>
          </cell>
          <cell r="C680">
            <v>50</v>
          </cell>
          <cell r="D680">
            <v>13</v>
          </cell>
          <cell r="E680">
            <v>385</v>
          </cell>
          <cell r="F680">
            <v>18</v>
          </cell>
          <cell r="L680" t="str">
            <v>Screening_Apical</v>
          </cell>
          <cell r="N680" t="str">
            <v>ug/L</v>
          </cell>
        </row>
        <row r="681">
          <cell r="A681" t="str">
            <v>87-86-5</v>
          </cell>
          <cell r="B681" t="str">
            <v>Pentachlorophenol</v>
          </cell>
          <cell r="C681">
            <v>47.5</v>
          </cell>
          <cell r="E681">
            <v>25</v>
          </cell>
          <cell r="L681" t="str">
            <v>Screening_Apical</v>
          </cell>
          <cell r="N681" t="str">
            <v>ug/L</v>
          </cell>
        </row>
        <row r="682">
          <cell r="A682" t="str">
            <v>76-74-4</v>
          </cell>
          <cell r="B682" t="str">
            <v>Pentobarbital</v>
          </cell>
        </row>
        <row r="683">
          <cell r="A683" t="str">
            <v>45187-15-3</v>
          </cell>
          <cell r="B683" t="str">
            <v>Perfluorobutanesulfonate</v>
          </cell>
        </row>
        <row r="684">
          <cell r="A684" t="str">
            <v>335-76-2</v>
          </cell>
          <cell r="B684" t="str">
            <v>Perfluorodecanoic acid</v>
          </cell>
        </row>
        <row r="685">
          <cell r="A685" t="str">
            <v>307-55-1</v>
          </cell>
          <cell r="B685" t="str">
            <v>Perfluorododecanoic acid</v>
          </cell>
        </row>
        <row r="686">
          <cell r="A686" t="str">
            <v>375-85-9</v>
          </cell>
          <cell r="B686" t="str">
            <v>Perfluoroheptanoic acid</v>
          </cell>
        </row>
        <row r="687">
          <cell r="A687" t="str">
            <v>108427-53-8</v>
          </cell>
          <cell r="B687" t="str">
            <v>Perfluorohexanesulfonate</v>
          </cell>
        </row>
        <row r="688">
          <cell r="A688" t="str">
            <v>307-24-4</v>
          </cell>
          <cell r="B688" t="str">
            <v>Perfluorohexanoic acid</v>
          </cell>
        </row>
        <row r="689">
          <cell r="A689" t="str">
            <v>375-95-1</v>
          </cell>
          <cell r="B689" t="str">
            <v>Perfluorononanoic acid</v>
          </cell>
        </row>
        <row r="690">
          <cell r="A690" t="str">
            <v>45298-90-6</v>
          </cell>
          <cell r="B690" t="str">
            <v>Perfluorooctanesulfonate</v>
          </cell>
        </row>
        <row r="691">
          <cell r="A691" t="str">
            <v>335-67-1</v>
          </cell>
          <cell r="B691" t="str">
            <v>Perfluorooctanoic acid</v>
          </cell>
        </row>
        <row r="692">
          <cell r="A692" t="str">
            <v>2706-90-3</v>
          </cell>
          <cell r="B692" t="str">
            <v>Perfluoropentanoic acid</v>
          </cell>
        </row>
        <row r="693">
          <cell r="A693" t="str">
            <v>72629-94-8</v>
          </cell>
          <cell r="B693" t="str">
            <v>Perfluorotridecanoic acid</v>
          </cell>
        </row>
        <row r="694">
          <cell r="A694" t="str">
            <v>2058-94-8</v>
          </cell>
          <cell r="B694" t="str">
            <v>Perfluoroundecanoic acid</v>
          </cell>
        </row>
        <row r="695">
          <cell r="A695" t="str">
            <v>82834-16-0</v>
          </cell>
          <cell r="B695" t="str">
            <v>Perindopril</v>
          </cell>
        </row>
        <row r="696">
          <cell r="A696" t="str">
            <v>52645-53-1</v>
          </cell>
          <cell r="B696" t="str">
            <v>Permethrin</v>
          </cell>
          <cell r="C696">
            <v>0.39500000000000002</v>
          </cell>
          <cell r="D696">
            <v>5.1999999999999998E-2</v>
          </cell>
          <cell r="E696">
            <v>3.3E-3</v>
          </cell>
          <cell r="F696">
            <v>4.1999999999999997E-3</v>
          </cell>
          <cell r="L696" t="str">
            <v>Screening_Apical</v>
          </cell>
          <cell r="N696" t="str">
            <v>ug/L</v>
          </cell>
        </row>
        <row r="697">
          <cell r="A697" t="str">
            <v>198-55-0</v>
          </cell>
          <cell r="B697" t="str">
            <v>Perylene</v>
          </cell>
        </row>
        <row r="698">
          <cell r="A698" t="str">
            <v>15323-35-0</v>
          </cell>
          <cell r="B698" t="str">
            <v>Phantolide</v>
          </cell>
        </row>
        <row r="699">
          <cell r="A699" t="str">
            <v>85-01-8</v>
          </cell>
          <cell r="B699" t="str">
            <v>Phenanthrene</v>
          </cell>
        </row>
        <row r="700">
          <cell r="A700" t="str">
            <v>7396-38-5</v>
          </cell>
          <cell r="B700" t="str">
            <v>Phenanthrene, 2,4,5,7-tetramethyl- (8CI)(9CI)</v>
          </cell>
        </row>
        <row r="701">
          <cell r="A701" t="str">
            <v>60-80-0</v>
          </cell>
          <cell r="B701" t="str">
            <v>Phenazone</v>
          </cell>
        </row>
        <row r="702">
          <cell r="A702" t="str">
            <v>94-78-0</v>
          </cell>
          <cell r="B702" t="str">
            <v>Phenazopyridine</v>
          </cell>
        </row>
        <row r="703">
          <cell r="A703" t="str">
            <v>634-03-7</v>
          </cell>
          <cell r="B703" t="str">
            <v>Phendimetrazine</v>
          </cell>
        </row>
        <row r="704">
          <cell r="A704" t="str">
            <v>50-06-6</v>
          </cell>
          <cell r="B704" t="str">
            <v>Phenobarbital</v>
          </cell>
        </row>
        <row r="705">
          <cell r="A705" t="str">
            <v>108-95-2</v>
          </cell>
          <cell r="B705" t="str">
            <v>Phenol</v>
          </cell>
        </row>
        <row r="706">
          <cell r="A706" t="str">
            <v>17685-05-1</v>
          </cell>
          <cell r="B706" t="str">
            <v>Phenyl-beta-D-glucuronide, water, filtered, recoverable, nanograms per liter</v>
          </cell>
        </row>
        <row r="707">
          <cell r="A707" t="str">
            <v>298-02-2</v>
          </cell>
          <cell r="B707" t="str">
            <v>Phorate</v>
          </cell>
          <cell r="C707">
            <v>1.17</v>
          </cell>
          <cell r="D707">
            <v>0.34</v>
          </cell>
          <cell r="E707">
            <v>0.3</v>
          </cell>
          <cell r="F707">
            <v>0.21</v>
          </cell>
          <cell r="G707">
            <v>1300</v>
          </cell>
          <cell r="H707">
            <v>9000</v>
          </cell>
          <cell r="L707" t="str">
            <v>Screening_Apical</v>
          </cell>
          <cell r="N707" t="str">
            <v>ug/L</v>
          </cell>
        </row>
        <row r="708">
          <cell r="A708" t="str">
            <v>2600-69-3</v>
          </cell>
          <cell r="B708" t="str">
            <v>Phorate oxon</v>
          </cell>
        </row>
        <row r="709">
          <cell r="A709" t="str">
            <v>2588-05-8</v>
          </cell>
          <cell r="B709" t="str">
            <v>Phorate oxon sulfoxide</v>
          </cell>
        </row>
        <row r="710">
          <cell r="A710" t="str">
            <v>2588-04-7</v>
          </cell>
          <cell r="B710" t="str">
            <v>Phorate sulfone</v>
          </cell>
        </row>
        <row r="711">
          <cell r="A711" t="str">
            <v>2588-03-6</v>
          </cell>
          <cell r="B711" t="str">
            <v>Phorate sulfoxide</v>
          </cell>
        </row>
        <row r="712">
          <cell r="A712" t="str">
            <v>2588-06-9</v>
          </cell>
          <cell r="B712" t="str">
            <v>Phoratoxon sulfone</v>
          </cell>
        </row>
        <row r="713">
          <cell r="A713" t="str">
            <v>29820-16-4</v>
          </cell>
          <cell r="B713" t="str">
            <v>Phosphorothioic acid, O,O-diethyl O-(2-(1-hydroxy-1-methylethyl)-6-methyl-4-pyrimidinyl) ester</v>
          </cell>
        </row>
        <row r="714">
          <cell r="A714" t="str">
            <v>90004-07-2</v>
          </cell>
          <cell r="B714" t="str">
            <v>Phthalazinone</v>
          </cell>
        </row>
        <row r="715">
          <cell r="A715" t="str">
            <v>fakecas_10</v>
          </cell>
          <cell r="B715" t="str">
            <v>Phthalazinone</v>
          </cell>
        </row>
        <row r="716">
          <cell r="A716" t="str">
            <v>51-03-6</v>
          </cell>
          <cell r="B716" t="str">
            <v>Piperonyl butoxide</v>
          </cell>
          <cell r="C716">
            <v>950</v>
          </cell>
          <cell r="D716">
            <v>40</v>
          </cell>
          <cell r="E716">
            <v>255</v>
          </cell>
          <cell r="F716">
            <v>30</v>
          </cell>
          <cell r="L716" t="str">
            <v>Screening_Apical</v>
          </cell>
          <cell r="N716" t="str">
            <v>ug/L</v>
          </cell>
        </row>
        <row r="717">
          <cell r="A717" t="str">
            <v>23103-98-2</v>
          </cell>
          <cell r="B717" t="str">
            <v>Pirimicarb</v>
          </cell>
          <cell r="C717">
            <v>14500</v>
          </cell>
          <cell r="E717">
            <v>9.5</v>
          </cell>
          <cell r="L717" t="str">
            <v>Screening_Apical</v>
          </cell>
          <cell r="N717" t="str">
            <v>ug/L</v>
          </cell>
        </row>
        <row r="718">
          <cell r="A718" t="str">
            <v>29232-93-7</v>
          </cell>
          <cell r="B718" t="str">
            <v>Pirimiphos-methyl</v>
          </cell>
          <cell r="C718">
            <v>200</v>
          </cell>
          <cell r="E718">
            <v>5.5E-2</v>
          </cell>
          <cell r="L718" t="str">
            <v>Screening_Apical</v>
          </cell>
          <cell r="N718" t="str">
            <v>ug/L</v>
          </cell>
        </row>
        <row r="719">
          <cell r="A719" t="str">
            <v>36322-90-4</v>
          </cell>
          <cell r="B719" t="str">
            <v>Piroxicam</v>
          </cell>
        </row>
        <row r="720">
          <cell r="A720" t="str">
            <v>147511-69-1</v>
          </cell>
          <cell r="B720" t="str">
            <v>Pitavastatin</v>
          </cell>
        </row>
        <row r="721">
          <cell r="A721" t="str">
            <v>1336-36-3</v>
          </cell>
          <cell r="B721" t="str">
            <v>Polychlorinated biphenyls</v>
          </cell>
        </row>
        <row r="722">
          <cell r="A722" t="str">
            <v>346-18-9</v>
          </cell>
          <cell r="B722" t="str">
            <v>Polythiazide</v>
          </cell>
        </row>
        <row r="723">
          <cell r="A723" t="str">
            <v>81093-37-0</v>
          </cell>
          <cell r="B723" t="str">
            <v>Pravastatin</v>
          </cell>
        </row>
        <row r="724">
          <cell r="A724" t="str">
            <v>50-24-8</v>
          </cell>
          <cell r="B724" t="str">
            <v>Prednisolone</v>
          </cell>
        </row>
        <row r="725">
          <cell r="A725" t="str">
            <v>53-03-2</v>
          </cell>
          <cell r="B725" t="str">
            <v>Prednisone</v>
          </cell>
        </row>
        <row r="726">
          <cell r="A726" t="str">
            <v>148553-50-8</v>
          </cell>
          <cell r="B726" t="str">
            <v>Pregabalin</v>
          </cell>
        </row>
        <row r="727">
          <cell r="A727" t="str">
            <v>125-33-7</v>
          </cell>
          <cell r="B727" t="str">
            <v>Primidone</v>
          </cell>
        </row>
        <row r="728">
          <cell r="A728" t="str">
            <v>57-66-9</v>
          </cell>
          <cell r="B728" t="str">
            <v>Probenecid</v>
          </cell>
        </row>
        <row r="729">
          <cell r="A729" t="str">
            <v>41198-08-7</v>
          </cell>
          <cell r="B729" t="str">
            <v>Profenofos</v>
          </cell>
          <cell r="C729">
            <v>7.05</v>
          </cell>
          <cell r="D729">
            <v>2</v>
          </cell>
          <cell r="E729">
            <v>0.46500000000000002</v>
          </cell>
          <cell r="F729">
            <v>0.2</v>
          </cell>
          <cell r="L729" t="str">
            <v>Screening_Apical</v>
          </cell>
          <cell r="N729" t="str">
            <v>ug/L</v>
          </cell>
        </row>
        <row r="730">
          <cell r="A730" t="str">
            <v>57-83-0</v>
          </cell>
          <cell r="B730" t="str">
            <v>Progesterone</v>
          </cell>
        </row>
        <row r="731">
          <cell r="A731" t="str">
            <v>6620-60-6</v>
          </cell>
          <cell r="B731" t="str">
            <v>Proglumide</v>
          </cell>
        </row>
        <row r="732">
          <cell r="A732" t="str">
            <v>60-87-7</v>
          </cell>
          <cell r="B732" t="str">
            <v>Promethazine</v>
          </cell>
        </row>
        <row r="733">
          <cell r="A733" t="str">
            <v>1610-18-0</v>
          </cell>
          <cell r="B733" t="str">
            <v>Prometon</v>
          </cell>
          <cell r="C733">
            <v>6000</v>
          </cell>
          <cell r="D733">
            <v>19700</v>
          </cell>
          <cell r="E733">
            <v>12850</v>
          </cell>
          <cell r="F733">
            <v>3450</v>
          </cell>
          <cell r="G733">
            <v>98</v>
          </cell>
          <cell r="L733" t="str">
            <v>Screening_Apical</v>
          </cell>
          <cell r="N733" t="str">
            <v>ug/L</v>
          </cell>
        </row>
        <row r="734">
          <cell r="A734" t="str">
            <v>7287-19-6</v>
          </cell>
          <cell r="B734" t="str">
            <v>Prometryn</v>
          </cell>
          <cell r="C734">
            <v>1455</v>
          </cell>
          <cell r="D734">
            <v>620</v>
          </cell>
          <cell r="E734">
            <v>4850</v>
          </cell>
          <cell r="F734">
            <v>1000</v>
          </cell>
          <cell r="G734">
            <v>1.04</v>
          </cell>
          <cell r="H734">
            <v>11.9</v>
          </cell>
          <cell r="L734" t="str">
            <v>Screening_Apical</v>
          </cell>
          <cell r="N734" t="str">
            <v>ug/L</v>
          </cell>
        </row>
        <row r="735">
          <cell r="A735" t="str">
            <v>709-98-8</v>
          </cell>
          <cell r="B735" t="str">
            <v>Propanil</v>
          </cell>
          <cell r="C735">
            <v>1150</v>
          </cell>
          <cell r="D735">
            <v>9.1</v>
          </cell>
          <cell r="E735">
            <v>265</v>
          </cell>
          <cell r="F735">
            <v>86</v>
          </cell>
          <cell r="G735">
            <v>16</v>
          </cell>
          <cell r="H735">
            <v>110</v>
          </cell>
          <cell r="L735" t="str">
            <v>Screening_Apical</v>
          </cell>
          <cell r="N735" t="str">
            <v>ug/L</v>
          </cell>
        </row>
        <row r="736">
          <cell r="A736" t="str">
            <v>2312-35-8</v>
          </cell>
          <cell r="B736" t="str">
            <v>Propargite</v>
          </cell>
          <cell r="C736">
            <v>22</v>
          </cell>
          <cell r="D736">
            <v>16</v>
          </cell>
          <cell r="E736">
            <v>7</v>
          </cell>
          <cell r="F736">
            <v>9</v>
          </cell>
          <cell r="G736">
            <v>19.399999999999999</v>
          </cell>
          <cell r="H736">
            <v>75</v>
          </cell>
          <cell r="L736" t="str">
            <v>Screening_Apical</v>
          </cell>
          <cell r="N736" t="str">
            <v>ug/L</v>
          </cell>
        </row>
        <row r="737">
          <cell r="A737" t="str">
            <v>139-40-2</v>
          </cell>
          <cell r="B737" t="str">
            <v>Propazine</v>
          </cell>
          <cell r="D737">
            <v>560</v>
          </cell>
          <cell r="F737">
            <v>47</v>
          </cell>
          <cell r="G737">
            <v>24.8</v>
          </cell>
          <cell r="H737">
            <v>100</v>
          </cell>
          <cell r="L737" t="str">
            <v>Screening_Apical</v>
          </cell>
          <cell r="N737" t="str">
            <v>ug/L</v>
          </cell>
        </row>
        <row r="738">
          <cell r="A738" t="str">
            <v>60207-90-1</v>
          </cell>
          <cell r="B738" t="str">
            <v>Propiconazole</v>
          </cell>
          <cell r="C738">
            <v>425</v>
          </cell>
          <cell r="D738">
            <v>15</v>
          </cell>
          <cell r="E738">
            <v>2400</v>
          </cell>
          <cell r="F738">
            <v>180</v>
          </cell>
          <cell r="G738">
            <v>21</v>
          </cell>
          <cell r="H738">
            <v>3500</v>
          </cell>
          <cell r="L738" t="str">
            <v>Screening_Apical</v>
          </cell>
          <cell r="N738" t="str">
            <v>ug/L</v>
          </cell>
        </row>
        <row r="739">
          <cell r="A739" t="str">
            <v>2078-54-8</v>
          </cell>
          <cell r="B739" t="str">
            <v>Propofol</v>
          </cell>
        </row>
        <row r="740">
          <cell r="A740" t="str">
            <v>114-26-1</v>
          </cell>
          <cell r="B740" t="str">
            <v>Propoxur</v>
          </cell>
          <cell r="C740">
            <v>1850</v>
          </cell>
          <cell r="E740">
            <v>5.5</v>
          </cell>
          <cell r="L740" t="str">
            <v>Screening_Apical</v>
          </cell>
          <cell r="N740" t="str">
            <v>ug/L</v>
          </cell>
        </row>
        <row r="741">
          <cell r="A741" t="str">
            <v>469-62-5</v>
          </cell>
          <cell r="B741" t="str">
            <v>Propoxyphene</v>
          </cell>
        </row>
        <row r="742">
          <cell r="A742" t="str">
            <v>525-66-6</v>
          </cell>
          <cell r="B742" t="str">
            <v>Propranolol</v>
          </cell>
        </row>
        <row r="743">
          <cell r="A743" t="str">
            <v>318-98-9</v>
          </cell>
          <cell r="B743" t="str">
            <v>Propranolol hydrochloride</v>
          </cell>
        </row>
        <row r="744">
          <cell r="A744" t="str">
            <v>23950-58-5</v>
          </cell>
          <cell r="B744" t="str">
            <v>Propyzamide</v>
          </cell>
          <cell r="C744">
            <v>5300</v>
          </cell>
          <cell r="D744">
            <v>224</v>
          </cell>
          <cell r="F744">
            <v>600</v>
          </cell>
          <cell r="G744">
            <v>760</v>
          </cell>
          <cell r="H744">
            <v>1180</v>
          </cell>
          <cell r="L744" t="str">
            <v>Screening_Apical</v>
          </cell>
          <cell r="N744" t="str">
            <v>ug/L</v>
          </cell>
        </row>
        <row r="745">
          <cell r="A745" t="str">
            <v>94125-34-5</v>
          </cell>
          <cell r="B745" t="str">
            <v>Prosulfuron</v>
          </cell>
          <cell r="G745">
            <v>10.6</v>
          </cell>
          <cell r="H745">
            <v>1.22</v>
          </cell>
          <cell r="L745" t="str">
            <v>Screening_Apical</v>
          </cell>
          <cell r="N745" t="str">
            <v>ug/L</v>
          </cell>
        </row>
        <row r="746">
          <cell r="A746" t="str">
            <v>90-82-4 + 299-42-3</v>
          </cell>
          <cell r="B746" t="str">
            <v>Pseudoephedrine + Ephedrine</v>
          </cell>
        </row>
        <row r="747">
          <cell r="A747" t="str">
            <v>175013-18-0</v>
          </cell>
          <cell r="B747" t="str">
            <v>Pyraclostrobin</v>
          </cell>
          <cell r="C747">
            <v>3.1</v>
          </cell>
          <cell r="D747">
            <v>2.35</v>
          </cell>
          <cell r="E747">
            <v>7.85</v>
          </cell>
          <cell r="F747">
            <v>4</v>
          </cell>
          <cell r="G747">
            <v>1.5</v>
          </cell>
          <cell r="H747">
            <v>1197</v>
          </cell>
          <cell r="L747" t="str">
            <v>Screening_Apical</v>
          </cell>
          <cell r="N747" t="str">
            <v>ug/L</v>
          </cell>
        </row>
        <row r="748">
          <cell r="A748" t="str">
            <v>129-00-0</v>
          </cell>
          <cell r="B748" t="str">
            <v>Pyrene</v>
          </cell>
        </row>
        <row r="749">
          <cell r="A749" t="str">
            <v>96489-71-3</v>
          </cell>
          <cell r="B749" t="str">
            <v>Pyridaben</v>
          </cell>
          <cell r="C749">
            <v>0.36</v>
          </cell>
          <cell r="D749">
            <v>8.6999999999999994E-2</v>
          </cell>
          <cell r="E749">
            <v>0.26500000000000001</v>
          </cell>
          <cell r="F749">
            <v>4.3999999999999997E-2</v>
          </cell>
          <cell r="L749" t="str">
            <v>Screening_Apical</v>
          </cell>
          <cell r="N749" t="str">
            <v>ug/L</v>
          </cell>
        </row>
        <row r="750">
          <cell r="A750" t="str">
            <v>95737-68-1</v>
          </cell>
          <cell r="B750" t="str">
            <v>Pyriproxyfen</v>
          </cell>
          <cell r="D750">
            <v>4.3</v>
          </cell>
          <cell r="E750">
            <v>200</v>
          </cell>
          <cell r="F750">
            <v>1.4999999999999999E-2</v>
          </cell>
          <cell r="G750">
            <v>56</v>
          </cell>
          <cell r="L750" t="str">
            <v>Screening_Apical</v>
          </cell>
          <cell r="N750" t="str">
            <v>ug/L</v>
          </cell>
        </row>
        <row r="751">
          <cell r="A751" t="str">
            <v>71109-09-6</v>
          </cell>
          <cell r="B751" t="str">
            <v>Quadrisol</v>
          </cell>
        </row>
        <row r="752">
          <cell r="A752" t="str">
            <v>111974-69-7</v>
          </cell>
          <cell r="B752" t="str">
            <v>Quetiapine</v>
          </cell>
        </row>
        <row r="753">
          <cell r="A753" t="str">
            <v>130-95-0</v>
          </cell>
          <cell r="B753" t="str">
            <v>Quinine</v>
          </cell>
        </row>
        <row r="754">
          <cell r="A754" t="str">
            <v>144457-28-3</v>
          </cell>
          <cell r="B754" t="str">
            <v>rac-Clopidogrel carboxylic acid</v>
          </cell>
        </row>
        <row r="755">
          <cell r="A755" t="str">
            <v>90055-55-3</v>
          </cell>
          <cell r="B755" t="str">
            <v>rac-Clopidogrel carboxylic acid</v>
          </cell>
        </row>
        <row r="756">
          <cell r="A756" t="str">
            <v>97825-25-7</v>
          </cell>
          <cell r="B756" t="str">
            <v>Ractopamine</v>
          </cell>
        </row>
        <row r="757">
          <cell r="A757" t="str">
            <v>84449-90-1</v>
          </cell>
          <cell r="B757" t="str">
            <v>Raloxifene</v>
          </cell>
        </row>
        <row r="758">
          <cell r="A758" t="str">
            <v>66357-35-5</v>
          </cell>
          <cell r="B758" t="str">
            <v>Ranitidine</v>
          </cell>
        </row>
        <row r="759">
          <cell r="A759" t="str">
            <v>106266-06-2</v>
          </cell>
          <cell r="B759" t="str">
            <v>Risperidone</v>
          </cell>
        </row>
        <row r="760">
          <cell r="A760" t="str">
            <v>287714-41-4</v>
          </cell>
          <cell r="B760" t="str">
            <v>Rosuvastatin</v>
          </cell>
        </row>
        <row r="761">
          <cell r="A761" t="str">
            <v>143701-75-1</v>
          </cell>
          <cell r="B761" t="str">
            <v>RPA 202248</v>
          </cell>
        </row>
        <row r="762">
          <cell r="A762" t="str">
            <v>81-07-2</v>
          </cell>
          <cell r="B762" t="str">
            <v>Saccharin</v>
          </cell>
        </row>
        <row r="763">
          <cell r="A763" t="str">
            <v>65-45-2</v>
          </cell>
          <cell r="B763" t="str">
            <v>Salicylamide</v>
          </cell>
        </row>
        <row r="764">
          <cell r="A764" t="str">
            <v>69-72-7</v>
          </cell>
          <cell r="B764" t="str">
            <v>Salicylic acid</v>
          </cell>
        </row>
        <row r="765">
          <cell r="A765" t="str">
            <v>98105-99-8</v>
          </cell>
          <cell r="B765" t="str">
            <v>Sarafloxacin</v>
          </cell>
        </row>
        <row r="766">
          <cell r="A766" t="str">
            <v>628324-79-8</v>
          </cell>
          <cell r="B766" t="str">
            <v>sec-Alachlor oxanilic acid</v>
          </cell>
        </row>
        <row r="767">
          <cell r="A767" t="str">
            <v>fakecas_11</v>
          </cell>
          <cell r="B767" t="str">
            <v>sec-Alachlor-OA</v>
          </cell>
        </row>
        <row r="768">
          <cell r="A768" t="str">
            <v>76-73-3</v>
          </cell>
          <cell r="B768" t="str">
            <v>Secobarbital</v>
          </cell>
        </row>
        <row r="769">
          <cell r="A769" t="str">
            <v>79617-96-2</v>
          </cell>
          <cell r="B769" t="str">
            <v>Sertraline</v>
          </cell>
        </row>
        <row r="770">
          <cell r="A770" t="str">
            <v>79559-97-0</v>
          </cell>
          <cell r="B770" t="str">
            <v>Sertraline hydrochloride</v>
          </cell>
        </row>
        <row r="771">
          <cell r="A771" t="str">
            <v>65109-69-5</v>
          </cell>
          <cell r="B771" t="str">
            <v>S-Ethyl (2-hydroxypropyl)propylcarbamothioate</v>
          </cell>
        </row>
        <row r="772">
          <cell r="A772" t="str">
            <v>66747-12-4</v>
          </cell>
          <cell r="B772" t="str">
            <v>S-Ethyl 4-hydroxyazepane-1-carbothioate</v>
          </cell>
        </row>
        <row r="773">
          <cell r="A773" t="str">
            <v>1982-49-6</v>
          </cell>
          <cell r="B773" t="str">
            <v>Siduron</v>
          </cell>
          <cell r="C773">
            <v>4050</v>
          </cell>
          <cell r="D773">
            <v>15</v>
          </cell>
          <cell r="F773">
            <v>6</v>
          </cell>
          <cell r="G773">
            <v>220</v>
          </cell>
          <cell r="H773">
            <v>21</v>
          </cell>
          <cell r="L773" t="str">
            <v>Screening_Apical</v>
          </cell>
          <cell r="N773" t="str">
            <v>ug/L</v>
          </cell>
        </row>
        <row r="774">
          <cell r="A774" t="str">
            <v>139755-83-2</v>
          </cell>
          <cell r="B774" t="str">
            <v>Sildenafil</v>
          </cell>
        </row>
        <row r="775">
          <cell r="A775" t="str">
            <v>122-34-9</v>
          </cell>
          <cell r="B775" t="str">
            <v>Simazine</v>
          </cell>
          <cell r="C775">
            <v>3200</v>
          </cell>
          <cell r="D775">
            <v>60</v>
          </cell>
          <cell r="E775">
            <v>500</v>
          </cell>
          <cell r="F775">
            <v>40</v>
          </cell>
          <cell r="G775">
            <v>6</v>
          </cell>
          <cell r="H775">
            <v>67</v>
          </cell>
          <cell r="L775" t="str">
            <v>Screening_Apical</v>
          </cell>
          <cell r="N775" t="str">
            <v>ug/L</v>
          </cell>
        </row>
        <row r="776">
          <cell r="A776" t="str">
            <v>79902-63-9</v>
          </cell>
          <cell r="B776" t="str">
            <v>Simvastatin</v>
          </cell>
        </row>
        <row r="777">
          <cell r="A777" t="str">
            <v>121009-77-6</v>
          </cell>
          <cell r="B777" t="str">
            <v>Simvastatin carboxylic acid</v>
          </cell>
        </row>
        <row r="778">
          <cell r="A778" t="str">
            <v>486460-32-6</v>
          </cell>
          <cell r="B778" t="str">
            <v>Sitagliptin</v>
          </cell>
        </row>
        <row r="779">
          <cell r="A779" t="str">
            <v>65600-61-5</v>
          </cell>
          <cell r="B779" t="str">
            <v>Sodium 2,3,3-trichloroprop-2-ene-1-sulfonate</v>
          </cell>
        </row>
        <row r="780">
          <cell r="A780" t="str">
            <v>4775-80-8</v>
          </cell>
          <cell r="B780" t="str">
            <v>S-Phenyl-N-acetylcysteine</v>
          </cell>
        </row>
        <row r="781">
          <cell r="A781" t="str">
            <v>19466-47-8</v>
          </cell>
          <cell r="B781" t="str">
            <v>Stigmastan-3beta-ol</v>
          </cell>
        </row>
        <row r="782">
          <cell r="A782" t="str">
            <v>56038-13-2</v>
          </cell>
          <cell r="B782" t="str">
            <v>Sucralose</v>
          </cell>
        </row>
        <row r="783">
          <cell r="A783" t="str">
            <v>68-35-9</v>
          </cell>
          <cell r="B783" t="str">
            <v>Sulfadiazine</v>
          </cell>
        </row>
        <row r="784">
          <cell r="A784" t="str">
            <v>122-11-2</v>
          </cell>
          <cell r="B784" t="str">
            <v>Sulfadimethoxine</v>
          </cell>
        </row>
        <row r="785">
          <cell r="A785" t="str">
            <v>57-68-1</v>
          </cell>
          <cell r="B785" t="str">
            <v>Sulfamethazine</v>
          </cell>
        </row>
        <row r="786">
          <cell r="A786" t="str">
            <v>144-82-1</v>
          </cell>
          <cell r="B786" t="str">
            <v>Sulfamethizole</v>
          </cell>
        </row>
        <row r="787">
          <cell r="A787" t="str">
            <v>723-46-6</v>
          </cell>
          <cell r="B787" t="str">
            <v>Sulfamethoxazole</v>
          </cell>
        </row>
        <row r="788">
          <cell r="A788" t="str">
            <v>122836-35-5</v>
          </cell>
          <cell r="B788" t="str">
            <v>Sulfentrazone</v>
          </cell>
          <cell r="C788">
            <v>46900</v>
          </cell>
          <cell r="D788">
            <v>2950</v>
          </cell>
          <cell r="E788">
            <v>30200</v>
          </cell>
          <cell r="F788">
            <v>200</v>
          </cell>
          <cell r="G788">
            <v>31</v>
          </cell>
          <cell r="H788">
            <v>28.8</v>
          </cell>
          <cell r="L788" t="str">
            <v>Screening_Apical</v>
          </cell>
          <cell r="N788" t="str">
            <v>ug/L</v>
          </cell>
        </row>
        <row r="789">
          <cell r="A789" t="str">
            <v>74222-97-2</v>
          </cell>
          <cell r="B789" t="str">
            <v>Sulfometuron-methyl</v>
          </cell>
          <cell r="F789">
            <v>97000</v>
          </cell>
          <cell r="G789">
            <v>4.3</v>
          </cell>
          <cell r="H789">
            <v>0.45</v>
          </cell>
          <cell r="L789" t="str">
            <v>Screening_Apical</v>
          </cell>
          <cell r="N789" t="str">
            <v>ug/L</v>
          </cell>
        </row>
        <row r="790">
          <cell r="A790" t="str">
            <v>141776-32-1</v>
          </cell>
          <cell r="B790" t="str">
            <v>Sulfosulfuron</v>
          </cell>
          <cell r="D790">
            <v>100000</v>
          </cell>
          <cell r="F790">
            <v>102000</v>
          </cell>
          <cell r="G790">
            <v>310</v>
          </cell>
          <cell r="H790">
            <v>1</v>
          </cell>
          <cell r="L790" t="str">
            <v>Screening_Apical</v>
          </cell>
          <cell r="N790" t="str">
            <v>ug/L</v>
          </cell>
        </row>
        <row r="791">
          <cell r="A791" t="str">
            <v>fakecas_12</v>
          </cell>
          <cell r="B791" t="str">
            <v>Sulfosulfuron ethyl sulfone</v>
          </cell>
        </row>
        <row r="792">
          <cell r="A792" t="str">
            <v>38194-50-2</v>
          </cell>
          <cell r="B792" t="str">
            <v>Sulindac</v>
          </cell>
        </row>
        <row r="793">
          <cell r="A793" t="str">
            <v>103628-46-2</v>
          </cell>
          <cell r="B793" t="str">
            <v>Sumatriptan</v>
          </cell>
        </row>
        <row r="794">
          <cell r="A794" t="str">
            <v>171596-29-5</v>
          </cell>
          <cell r="B794" t="str">
            <v>Tadalafil</v>
          </cell>
        </row>
        <row r="795">
          <cell r="A795" t="str">
            <v>68152-92-1</v>
          </cell>
          <cell r="B795" t="str">
            <v>Tall oil, disproportionated</v>
          </cell>
        </row>
        <row r="796">
          <cell r="A796" t="str">
            <v>10540-29-1</v>
          </cell>
          <cell r="B796" t="str">
            <v>Tamoxifen</v>
          </cell>
        </row>
        <row r="797">
          <cell r="A797" t="str">
            <v>107534-96-3</v>
          </cell>
          <cell r="B797" t="str">
            <v>Tebuconazole</v>
          </cell>
          <cell r="C797">
            <v>1135</v>
          </cell>
          <cell r="D797">
            <v>11</v>
          </cell>
          <cell r="E797">
            <v>1440</v>
          </cell>
          <cell r="F797">
            <v>120</v>
          </cell>
          <cell r="G797">
            <v>1450</v>
          </cell>
          <cell r="H797">
            <v>151</v>
          </cell>
          <cell r="L797" t="str">
            <v>Screening_Apical</v>
          </cell>
          <cell r="N797" t="str">
            <v>ug/L</v>
          </cell>
        </row>
        <row r="798">
          <cell r="A798" t="str">
            <v>112410-23-8</v>
          </cell>
          <cell r="B798" t="str">
            <v>Tebufenozide</v>
          </cell>
          <cell r="C798">
            <v>1500</v>
          </cell>
          <cell r="D798">
            <v>51.1</v>
          </cell>
          <cell r="E798">
            <v>1900</v>
          </cell>
          <cell r="F798">
            <v>29</v>
          </cell>
          <cell r="L798" t="str">
            <v>Screening_Apical</v>
          </cell>
          <cell r="N798" t="str">
            <v>ug/L</v>
          </cell>
        </row>
        <row r="799">
          <cell r="A799" t="str">
            <v>96182-53-5</v>
          </cell>
          <cell r="B799" t="str">
            <v>Tebupirimfos</v>
          </cell>
          <cell r="C799">
            <v>44.5</v>
          </cell>
          <cell r="D799">
            <v>130</v>
          </cell>
          <cell r="E799">
            <v>3.9E-2</v>
          </cell>
          <cell r="F799">
            <v>1.0999999999999999E-2</v>
          </cell>
          <cell r="G799">
            <v>630</v>
          </cell>
          <cell r="H799">
            <v>8800</v>
          </cell>
          <cell r="L799" t="str">
            <v>Screening_Apical</v>
          </cell>
          <cell r="N799" t="str">
            <v>ug/L</v>
          </cell>
        </row>
        <row r="800">
          <cell r="A800" t="str">
            <v>1035330-36-9</v>
          </cell>
          <cell r="B800" t="str">
            <v>Tebupirimfos oxon</v>
          </cell>
        </row>
        <row r="801">
          <cell r="A801" t="str">
            <v>fakecas_13</v>
          </cell>
          <cell r="B801" t="str">
            <v>Tebupirimfos oxon</v>
          </cell>
        </row>
        <row r="802">
          <cell r="A802" t="str">
            <v>34014-18-1</v>
          </cell>
          <cell r="B802" t="str">
            <v>Tebuthiuron</v>
          </cell>
          <cell r="C802">
            <v>53000</v>
          </cell>
          <cell r="D802">
            <v>9300</v>
          </cell>
          <cell r="E802">
            <v>148500</v>
          </cell>
          <cell r="F802">
            <v>21800</v>
          </cell>
          <cell r="G802">
            <v>50</v>
          </cell>
          <cell r="H802">
            <v>130</v>
          </cell>
          <cell r="L802" t="str">
            <v>Screening_Apical</v>
          </cell>
          <cell r="N802" t="str">
            <v>ug/L</v>
          </cell>
        </row>
        <row r="803">
          <cell r="A803" t="str">
            <v>fakecas_3</v>
          </cell>
          <cell r="B803" t="str">
            <v>Tebuthiuron TP 104</v>
          </cell>
        </row>
        <row r="804">
          <cell r="A804" t="str">
            <v>fakecas_15</v>
          </cell>
          <cell r="B804" t="str">
            <v>Tebuthiuron TP 106</v>
          </cell>
        </row>
        <row r="805">
          <cell r="A805" t="str">
            <v>59962-53-7</v>
          </cell>
          <cell r="B805" t="str">
            <v>Tebuthiuron Transformation Product 104</v>
          </cell>
        </row>
        <row r="806">
          <cell r="A806" t="str">
            <v>16279-27-9</v>
          </cell>
          <cell r="B806" t="str">
            <v>Tebuthiuron Transformation Product 106</v>
          </cell>
        </row>
        <row r="807">
          <cell r="A807" t="str">
            <v>79538-32-2</v>
          </cell>
          <cell r="B807" t="str">
            <v>Tefluthrin</v>
          </cell>
          <cell r="C807">
            <v>0.03</v>
          </cell>
          <cell r="D807">
            <v>4.0000000000000001E-3</v>
          </cell>
          <cell r="E807">
            <v>3.5000000000000003E-2</v>
          </cell>
          <cell r="F807">
            <v>8.0000000000000002E-3</v>
          </cell>
          <cell r="L807" t="str">
            <v>Screening_Apical</v>
          </cell>
          <cell r="N807" t="str">
            <v>ug/L</v>
          </cell>
        </row>
        <row r="808">
          <cell r="A808" t="str">
            <v>846-50-4</v>
          </cell>
          <cell r="B808" t="str">
            <v>Temazepam</v>
          </cell>
        </row>
        <row r="809">
          <cell r="A809" t="str">
            <v>29767-20-2</v>
          </cell>
          <cell r="B809" t="str">
            <v>Teniposide</v>
          </cell>
        </row>
        <row r="810">
          <cell r="A810" t="str">
            <v>5902-51-2</v>
          </cell>
          <cell r="B810" t="str">
            <v>Terbacil</v>
          </cell>
          <cell r="C810">
            <v>23100</v>
          </cell>
          <cell r="D810">
            <v>1200</v>
          </cell>
          <cell r="E810">
            <v>32500</v>
          </cell>
          <cell r="F810">
            <v>50</v>
          </cell>
          <cell r="G810">
            <v>11</v>
          </cell>
          <cell r="H810">
            <v>140</v>
          </cell>
          <cell r="L810" t="str">
            <v>Screening_Apical</v>
          </cell>
          <cell r="N810" t="str">
            <v>ug/L</v>
          </cell>
        </row>
        <row r="811">
          <cell r="A811" t="str">
            <v>13071-79-9</v>
          </cell>
          <cell r="B811" t="str">
            <v>Terbufos</v>
          </cell>
          <cell r="C811">
            <v>0.38500000000000001</v>
          </cell>
          <cell r="D811">
            <v>0.1</v>
          </cell>
          <cell r="E811">
            <v>8.5000000000000006E-2</v>
          </cell>
          <cell r="F811">
            <v>0.03</v>
          </cell>
          <cell r="L811" t="str">
            <v>Screening_Apical</v>
          </cell>
          <cell r="N811" t="str">
            <v>ug/L</v>
          </cell>
        </row>
        <row r="812">
          <cell r="A812" t="str">
            <v>56070-15-6</v>
          </cell>
          <cell r="B812" t="str">
            <v>Terbufos OA sulfone</v>
          </cell>
        </row>
        <row r="813">
          <cell r="A813" t="str">
            <v>56070-14-5</v>
          </cell>
          <cell r="B813" t="str">
            <v>Terbufos oxon</v>
          </cell>
        </row>
        <row r="814">
          <cell r="A814" t="str">
            <v>56070-16-7</v>
          </cell>
          <cell r="B814" t="str">
            <v>Terbufos sulfone</v>
          </cell>
        </row>
        <row r="815">
          <cell r="A815" t="str">
            <v>10548-10-4</v>
          </cell>
          <cell r="B815" t="str">
            <v>Terbufos sulfoxide</v>
          </cell>
        </row>
        <row r="816">
          <cell r="A816" t="str">
            <v>5915-41-3</v>
          </cell>
          <cell r="B816" t="str">
            <v>Terbutylazine</v>
          </cell>
          <cell r="C816">
            <v>1800</v>
          </cell>
          <cell r="E816">
            <v>19700</v>
          </cell>
          <cell r="L816" t="str">
            <v>Screening_Apical</v>
          </cell>
          <cell r="N816" t="str">
            <v>ug/L</v>
          </cell>
        </row>
        <row r="817">
          <cell r="A817" t="str">
            <v>58-22-0</v>
          </cell>
          <cell r="B817" t="str">
            <v>Testosterone</v>
          </cell>
        </row>
        <row r="818">
          <cell r="A818" t="str">
            <v>127-18-4</v>
          </cell>
          <cell r="B818" t="str">
            <v>Tetrachloroethylene</v>
          </cell>
        </row>
        <row r="819">
          <cell r="A819" t="str">
            <v>112281-77-3</v>
          </cell>
          <cell r="B819" t="str">
            <v>Tetraconazole</v>
          </cell>
          <cell r="C819">
            <v>1925</v>
          </cell>
          <cell r="D819">
            <v>80</v>
          </cell>
          <cell r="E819">
            <v>1315</v>
          </cell>
          <cell r="F819">
            <v>190</v>
          </cell>
          <cell r="G819">
            <v>2280</v>
          </cell>
          <cell r="H819">
            <v>310</v>
          </cell>
          <cell r="L819" t="str">
            <v>Screening_Apical</v>
          </cell>
          <cell r="N819" t="str">
            <v>ug/L</v>
          </cell>
        </row>
        <row r="820">
          <cell r="A820" t="str">
            <v>58-55-9</v>
          </cell>
          <cell r="B820" t="str">
            <v>Theophylline</v>
          </cell>
        </row>
        <row r="821">
          <cell r="A821" t="str">
            <v>148-79-8</v>
          </cell>
          <cell r="B821" t="str">
            <v>Thiabendazole</v>
          </cell>
          <cell r="C821">
            <v>280</v>
          </cell>
          <cell r="D821">
            <v>110</v>
          </cell>
          <cell r="E821">
            <v>155</v>
          </cell>
          <cell r="F821">
            <v>42</v>
          </cell>
          <cell r="G821">
            <v>1420</v>
          </cell>
          <cell r="H821">
            <v>2320</v>
          </cell>
          <cell r="L821" t="str">
            <v>Screening_Apical</v>
          </cell>
          <cell r="N821" t="str">
            <v>ug/L</v>
          </cell>
        </row>
        <row r="822">
          <cell r="A822" t="str">
            <v>111988-49-9</v>
          </cell>
          <cell r="B822" t="str">
            <v>Thiacloprid</v>
          </cell>
          <cell r="C822">
            <v>12600</v>
          </cell>
          <cell r="D822">
            <v>918</v>
          </cell>
          <cell r="E822">
            <v>18.899999999999999</v>
          </cell>
          <cell r="F822">
            <v>0.97</v>
          </cell>
          <cell r="G822">
            <v>45000</v>
          </cell>
          <cell r="L822" t="str">
            <v>Screening_Apical</v>
          </cell>
          <cell r="N822" t="str">
            <v>ug/L</v>
          </cell>
        </row>
        <row r="823">
          <cell r="A823" t="str">
            <v>153719-23-4</v>
          </cell>
          <cell r="B823" t="str">
            <v>Thiamethoxam</v>
          </cell>
          <cell r="D823">
            <v>20000</v>
          </cell>
          <cell r="E823">
            <v>17.5</v>
          </cell>
          <cell r="F823">
            <v>0.74</v>
          </cell>
          <cell r="L823" t="str">
            <v>Screening_Apical</v>
          </cell>
          <cell r="N823" t="str">
            <v>ug/L</v>
          </cell>
        </row>
        <row r="824">
          <cell r="A824" t="str">
            <v>15318-45-3</v>
          </cell>
          <cell r="B824" t="str">
            <v>Thiamphenicol</v>
          </cell>
        </row>
        <row r="825">
          <cell r="A825" t="str">
            <v>28249-77-6</v>
          </cell>
          <cell r="B825" t="str">
            <v>Thiobencarb</v>
          </cell>
          <cell r="C825">
            <v>280</v>
          </cell>
          <cell r="E825">
            <v>50</v>
          </cell>
          <cell r="F825">
            <v>1</v>
          </cell>
          <cell r="G825">
            <v>17</v>
          </cell>
          <cell r="H825">
            <v>770</v>
          </cell>
          <cell r="L825" t="str">
            <v>Screening_Apical</v>
          </cell>
          <cell r="N825" t="str">
            <v>ug/L</v>
          </cell>
        </row>
        <row r="826">
          <cell r="A826" t="str">
            <v>76-75-5</v>
          </cell>
          <cell r="B826" t="str">
            <v>Thiopental</v>
          </cell>
        </row>
        <row r="827">
          <cell r="A827" t="str">
            <v>55142-85-3</v>
          </cell>
          <cell r="B827" t="str">
            <v>Ticlopidine</v>
          </cell>
        </row>
        <row r="828">
          <cell r="A828" t="str">
            <v>186691-13-4</v>
          </cell>
          <cell r="B828" t="str">
            <v>Tiotropium</v>
          </cell>
        </row>
        <row r="829">
          <cell r="A829" t="str">
            <v>1156-19-0</v>
          </cell>
          <cell r="B829" t="str">
            <v>Tolazamide</v>
          </cell>
        </row>
        <row r="830">
          <cell r="A830" t="str">
            <v>64-77-7</v>
          </cell>
          <cell r="B830" t="str">
            <v>Tolbutamide</v>
          </cell>
        </row>
        <row r="831">
          <cell r="A831" t="str">
            <v>13710-19-5</v>
          </cell>
          <cell r="B831" t="str">
            <v>Tolfenamic acid</v>
          </cell>
        </row>
        <row r="832">
          <cell r="A832" t="str">
            <v>26171-23-3</v>
          </cell>
          <cell r="B832" t="str">
            <v>Tolmetin</v>
          </cell>
        </row>
        <row r="833">
          <cell r="A833" t="str">
            <v>29385-43-1</v>
          </cell>
          <cell r="B833" t="str">
            <v>Tolyltriazole</v>
          </cell>
        </row>
        <row r="834">
          <cell r="A834" t="str">
            <v>97240-79-4</v>
          </cell>
          <cell r="B834" t="str">
            <v>Topiramate</v>
          </cell>
        </row>
        <row r="835">
          <cell r="A835" t="str">
            <v>56211-40-6</v>
          </cell>
          <cell r="B835" t="str">
            <v>Torsemide</v>
          </cell>
        </row>
        <row r="836">
          <cell r="A836" t="str">
            <v>27203-92-5</v>
          </cell>
          <cell r="B836" t="str">
            <v>Tramadol</v>
          </cell>
        </row>
        <row r="837">
          <cell r="A837" t="str">
            <v>36282-47-0</v>
          </cell>
          <cell r="B837" t="str">
            <v>Tramadol hydrochloride</v>
          </cell>
        </row>
        <row r="838">
          <cell r="A838" t="str">
            <v>58955-93-4</v>
          </cell>
          <cell r="B838" t="str">
            <v>trans-10,11-Dihydroxy-10,11-dihydrocarbazepine</v>
          </cell>
        </row>
        <row r="839">
          <cell r="A839" t="str">
            <v>5103-74-2</v>
          </cell>
          <cell r="B839" t="str">
            <v>trans-Chlordane</v>
          </cell>
        </row>
        <row r="840">
          <cell r="A840" t="str">
            <v>39765-80-5</v>
          </cell>
          <cell r="B840" t="str">
            <v>trans-Nonachlor</v>
          </cell>
        </row>
        <row r="841">
          <cell r="A841" t="str">
            <v>61949-77-7</v>
          </cell>
          <cell r="B841" t="str">
            <v>trans-Permethrin</v>
          </cell>
        </row>
        <row r="842">
          <cell r="A842" t="str">
            <v>68140-48-7</v>
          </cell>
          <cell r="B842" t="str">
            <v>Traseolide</v>
          </cell>
        </row>
        <row r="843">
          <cell r="A843" t="str">
            <v>10161-34-9</v>
          </cell>
          <cell r="B843" t="str">
            <v>Trenbolone acetate</v>
          </cell>
        </row>
        <row r="844">
          <cell r="A844" t="str">
            <v>2303-17-5</v>
          </cell>
          <cell r="B844" t="str">
            <v>Tri-allate</v>
          </cell>
          <cell r="C844">
            <v>600</v>
          </cell>
          <cell r="D844">
            <v>38</v>
          </cell>
          <cell r="E844">
            <v>45.5</v>
          </cell>
          <cell r="F844">
            <v>14</v>
          </cell>
          <cell r="G844">
            <v>21</v>
          </cell>
          <cell r="H844">
            <v>2400</v>
          </cell>
          <cell r="L844" t="str">
            <v>Screening_Apical</v>
          </cell>
          <cell r="N844" t="str">
            <v>ug/L</v>
          </cell>
        </row>
        <row r="845">
          <cell r="A845" t="str">
            <v>396-01-0</v>
          </cell>
          <cell r="B845" t="str">
            <v>Triamterene</v>
          </cell>
        </row>
        <row r="846">
          <cell r="A846" t="str">
            <v>78-48-8</v>
          </cell>
          <cell r="B846" t="str">
            <v>Tribufos</v>
          </cell>
          <cell r="C846">
            <v>141.5</v>
          </cell>
          <cell r="D846">
            <v>4.0999999999999996</v>
          </cell>
          <cell r="E846">
            <v>2.7</v>
          </cell>
          <cell r="F846">
            <v>1.56</v>
          </cell>
          <cell r="G846">
            <v>148</v>
          </cell>
          <cell r="H846">
            <v>1100</v>
          </cell>
          <cell r="L846" t="str">
            <v>Screening_Apical</v>
          </cell>
          <cell r="N846" t="str">
            <v>ug/L</v>
          </cell>
        </row>
        <row r="847">
          <cell r="A847" t="str">
            <v>126-73-8</v>
          </cell>
          <cell r="B847" t="str">
            <v>Tributyl phosphate</v>
          </cell>
        </row>
        <row r="848">
          <cell r="A848" t="str">
            <v>133-67-5</v>
          </cell>
          <cell r="B848" t="str">
            <v>Trichlormethiazide</v>
          </cell>
        </row>
        <row r="849">
          <cell r="A849" t="str">
            <v>101-20-2</v>
          </cell>
          <cell r="B849" t="str">
            <v>Triclocarban</v>
          </cell>
        </row>
        <row r="850">
          <cell r="A850" t="str">
            <v>55335-06-3</v>
          </cell>
          <cell r="B850" t="str">
            <v>Triclopyr</v>
          </cell>
          <cell r="C850">
            <v>58500</v>
          </cell>
          <cell r="E850">
            <v>66450</v>
          </cell>
          <cell r="G850">
            <v>32500</v>
          </cell>
          <cell r="L850" t="str">
            <v>Screening_Apical</v>
          </cell>
          <cell r="N850" t="str">
            <v>ug/L</v>
          </cell>
        </row>
        <row r="851">
          <cell r="A851" t="str">
            <v>3380-34-5</v>
          </cell>
          <cell r="B851" t="str">
            <v>Triclosan</v>
          </cell>
        </row>
        <row r="852">
          <cell r="A852" t="str">
            <v>77-93-0</v>
          </cell>
          <cell r="B852" t="str">
            <v>Triethyl citrate</v>
          </cell>
        </row>
        <row r="853">
          <cell r="A853" t="str">
            <v>78-40-0</v>
          </cell>
          <cell r="B853" t="str">
            <v>Triethyl phosphate</v>
          </cell>
        </row>
        <row r="854">
          <cell r="A854" t="str">
            <v>141517-21-7</v>
          </cell>
          <cell r="B854" t="str">
            <v>Trifloxystrobin</v>
          </cell>
          <cell r="C854">
            <v>7.15</v>
          </cell>
          <cell r="D854">
            <v>4.3</v>
          </cell>
          <cell r="E854">
            <v>12.65</v>
          </cell>
          <cell r="F854">
            <v>2.76</v>
          </cell>
          <cell r="G854">
            <v>37.1</v>
          </cell>
          <cell r="L854" t="str">
            <v>Screening_Apical</v>
          </cell>
          <cell r="N854" t="str">
            <v>ug/L</v>
          </cell>
        </row>
        <row r="855">
          <cell r="A855" t="str">
            <v>1582-09-8</v>
          </cell>
          <cell r="B855" t="str">
            <v>Trifluralin</v>
          </cell>
          <cell r="C855">
            <v>9.25</v>
          </cell>
          <cell r="D855">
            <v>1.9</v>
          </cell>
          <cell r="E855">
            <v>125.5</v>
          </cell>
          <cell r="F855">
            <v>2.4</v>
          </cell>
          <cell r="G855">
            <v>21.9</v>
          </cell>
          <cell r="H855">
            <v>49.7</v>
          </cell>
          <cell r="L855" t="str">
            <v>Screening_Apical</v>
          </cell>
          <cell r="N855" t="str">
            <v>ug/L</v>
          </cell>
        </row>
        <row r="856">
          <cell r="A856" t="str">
            <v>738-70-5</v>
          </cell>
          <cell r="B856" t="str">
            <v>Trimethoprim</v>
          </cell>
        </row>
        <row r="857">
          <cell r="A857" t="str">
            <v>30232-26-9</v>
          </cell>
          <cell r="B857" t="str">
            <v>Trimethylphenanthrene</v>
          </cell>
        </row>
        <row r="858">
          <cell r="A858" t="str">
            <v>115-86-6</v>
          </cell>
          <cell r="B858" t="str">
            <v>Triphenyl phosphate</v>
          </cell>
        </row>
        <row r="859">
          <cell r="A859" t="str">
            <v>13674-87-8</v>
          </cell>
          <cell r="B859" t="str">
            <v>Tris(1,3-dichloro-2-propyl) phosphate</v>
          </cell>
        </row>
        <row r="860">
          <cell r="A860" t="str">
            <v>78-51-3</v>
          </cell>
          <cell r="B860" t="str">
            <v>Tris(2-butoxyethyl) phosphate</v>
          </cell>
        </row>
        <row r="861">
          <cell r="A861" t="str">
            <v>115-96-8</v>
          </cell>
          <cell r="B861" t="str">
            <v>Tris(2-chloroethyl) phosphate</v>
          </cell>
        </row>
        <row r="862">
          <cell r="A862" t="str">
            <v>13674-84-5</v>
          </cell>
          <cell r="B862" t="str">
            <v>Tris(2-chloroisopropyl)phosphate</v>
          </cell>
        </row>
        <row r="863">
          <cell r="A863" t="str">
            <v>78-42-2</v>
          </cell>
          <cell r="B863" t="str">
            <v>Tris(2-ethylhexyl) phosphate</v>
          </cell>
        </row>
        <row r="864">
          <cell r="A864" t="str">
            <v>2315-61-9</v>
          </cell>
          <cell r="B864" t="str">
            <v>Triton X-100.2</v>
          </cell>
        </row>
        <row r="865">
          <cell r="A865" t="str">
            <v>1401-69-0</v>
          </cell>
          <cell r="B865" t="str">
            <v>Tylosin</v>
          </cell>
        </row>
        <row r="866">
          <cell r="A866" t="str">
            <v>59962-54-8</v>
          </cell>
          <cell r="B866" t="str">
            <v>Urea, 3-(hydroxymethyl)-1-methyl-1-(5-tert-butyl-1,3,4-thiadiazol-2-yl)-</v>
          </cell>
        </row>
        <row r="867">
          <cell r="A867" t="str">
            <v>3032-40-4</v>
          </cell>
          <cell r="B867" t="str">
            <v>Urea, N-methyl-N'-(3-(trifluoromethyl)phenyl)-</v>
          </cell>
        </row>
        <row r="868">
          <cell r="A868" t="str">
            <v>124832-26-4</v>
          </cell>
          <cell r="B868" t="str">
            <v>Valacyclovir</v>
          </cell>
        </row>
        <row r="869">
          <cell r="A869" t="str">
            <v>137862-53-4</v>
          </cell>
          <cell r="B869" t="str">
            <v>Valsartan</v>
          </cell>
        </row>
        <row r="870">
          <cell r="A870" t="str">
            <v>1404-90-6</v>
          </cell>
          <cell r="B870" t="str">
            <v>Vancomycin</v>
          </cell>
        </row>
        <row r="871">
          <cell r="A871" t="str">
            <v>93413-69-5</v>
          </cell>
          <cell r="B871" t="str">
            <v>Venlafaxine</v>
          </cell>
        </row>
        <row r="872">
          <cell r="A872" t="str">
            <v>163521-12-8</v>
          </cell>
          <cell r="B872" t="str">
            <v>Vilazodone</v>
          </cell>
        </row>
        <row r="873">
          <cell r="A873" t="str">
            <v>21411-53-0</v>
          </cell>
          <cell r="B873" t="str">
            <v>Virginiamycin M1</v>
          </cell>
        </row>
        <row r="874">
          <cell r="A874" t="str">
            <v>81-81-2</v>
          </cell>
          <cell r="B874" t="str">
            <v>Warfarin</v>
          </cell>
        </row>
        <row r="875">
          <cell r="A875" t="str">
            <v>139110-80-8</v>
          </cell>
          <cell r="B875" t="str">
            <v>Zanamivir</v>
          </cell>
        </row>
        <row r="876">
          <cell r="A876" t="str">
            <v>43200-80-2</v>
          </cell>
          <cell r="B876" t="str">
            <v>Zopiclone</v>
          </cell>
        </row>
        <row r="877">
          <cell r="A877" t="str">
            <v>61520-54-5</v>
          </cell>
        </row>
        <row r="878">
          <cell r="A878" t="str">
            <v>59690-92-5</v>
          </cell>
        </row>
        <row r="879">
          <cell r="A879" t="str">
            <v>503610-43-3</v>
          </cell>
        </row>
        <row r="880">
          <cell r="A880" t="str">
            <v>31317-09-6</v>
          </cell>
        </row>
        <row r="881">
          <cell r="A881" t="str">
            <v>96829-58-2</v>
          </cell>
        </row>
        <row r="882">
          <cell r="A882" t="str">
            <v>127-79-7</v>
          </cell>
        </row>
        <row r="883">
          <cell r="A883" t="str">
            <v>72-14-0</v>
          </cell>
        </row>
        <row r="884">
          <cell r="A884" t="str">
            <v>60-54-8</v>
          </cell>
        </row>
        <row r="885">
          <cell r="A885" t="str">
            <v>88-85-7</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epa.gov/sites/production/files/2015-09/documents/v3no2.pdf" TargetMode="External"/><Relationship Id="rId13" Type="http://schemas.openxmlformats.org/officeDocument/2006/relationships/hyperlink" Target="https://www.epa.gov/wqs-tech/state-specific-water-quality-standards-effective-under-clean-water-act-cwa" TargetMode="External"/><Relationship Id="rId3" Type="http://schemas.openxmlformats.org/officeDocument/2006/relationships/hyperlink" Target="https://www.epa.gov/wqc/national-recommended-water-quality-criteria-aquatic-life-criteria-table" TargetMode="External"/><Relationship Id="rId7" Type="http://schemas.openxmlformats.org/officeDocument/2006/relationships/hyperlink" Target="https://archive.epa.gov/emergency/bpspill/web/html/water-benchmarks.html" TargetMode="External"/><Relationship Id="rId12" Type="http://schemas.openxmlformats.org/officeDocument/2006/relationships/hyperlink" Target="https://clu-in.org/conf/tio/porewater1/resources/EPA-ESB-Procedures-PAH-mixtures.pdf" TargetMode="External"/><Relationship Id="rId2" Type="http://schemas.openxmlformats.org/officeDocument/2006/relationships/hyperlink" Target="https://repository.library.noaa.gov/view/noaa/9327" TargetMode="External"/><Relationship Id="rId1" Type="http://schemas.openxmlformats.org/officeDocument/2006/relationships/hyperlink" Target="https://www.epa.gov/sites/production/files/2018-03/documents/era_regional_supplemental_guidance_report-march-2018_update.pdf" TargetMode="External"/><Relationship Id="rId6" Type="http://schemas.openxmlformats.org/officeDocument/2006/relationships/hyperlink" Target="https://www.canada.ca/en/health-canada/services/chemical-substances/fact-sheets/federal-environmental-quality-guidelines.html" TargetMode="External"/><Relationship Id="rId11" Type="http://schemas.openxmlformats.org/officeDocument/2006/relationships/hyperlink" Target="https://www.norman-network.com/nds/ecotox/lowestPnecsIndex.php" TargetMode="External"/><Relationship Id="rId5" Type="http://schemas.openxmlformats.org/officeDocument/2006/relationships/hyperlink" Target="https://open.canada.ca/data/en/dataset/ece7204f-c486-4ed9-b318-ddf61935f02c?_ga=1.236759745.1726283229.1401990467" TargetMode="External"/><Relationship Id="rId10" Type="http://schemas.openxmlformats.org/officeDocument/2006/relationships/hyperlink" Target="https://www.epa.gov/pesticide-science-and-assessing-pesticide-risks/aquatic-life-benchmarks-and-ecological-risk" TargetMode="External"/><Relationship Id="rId4" Type="http://schemas.openxmlformats.org/officeDocument/2006/relationships/hyperlink" Target="https://ccme.ca/en/summary-table" TargetMode="External"/><Relationship Id="rId9" Type="http://schemas.openxmlformats.org/officeDocument/2006/relationships/hyperlink" Target="https://eur-lex.europa.eu/legal-content/EN/TXT/HTML/?uri=CELEX:02008L0105-20130913&amp;from=EN" TargetMode="External"/><Relationship Id="rId1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hyperlink" Target="http://st-ts.ccme.ca/" TargetMode="External"/><Relationship Id="rId2" Type="http://schemas.openxmlformats.org/officeDocument/2006/relationships/hyperlink" Target="https://www.epa.gov/wqc/national-recommended-water-quality-criteria-aquatic-life-criteria-table" TargetMode="External"/><Relationship Id="rId1" Type="http://schemas.openxmlformats.org/officeDocument/2006/relationships/hyperlink" Target="http://www.michigan.gov/deq/0,1607,7-135-3313_3686_3728-11383--,00.html" TargetMode="External"/><Relationship Id="rId5" Type="http://schemas.openxmlformats.org/officeDocument/2006/relationships/hyperlink" Target="http://www.gov.ab.ca/env/protenf/publications/SurfWtrQual-Nov99.pdf" TargetMode="External"/><Relationship Id="rId4" Type="http://schemas.openxmlformats.org/officeDocument/2006/relationships/hyperlink" Target="https://dec.alaska.gov/water/water-quality/standards/"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8" Type="http://schemas.openxmlformats.org/officeDocument/2006/relationships/hyperlink" Target="https://comptox.epa.gov/dashboard/dsstoxdb/results?search=DTXSID5020819" TargetMode="External"/><Relationship Id="rId13" Type="http://schemas.openxmlformats.org/officeDocument/2006/relationships/hyperlink" Target="https://comptox.epa.gov/dashboard/dsstoxdb/results?search=DTXSID2024113" TargetMode="External"/><Relationship Id="rId18" Type="http://schemas.openxmlformats.org/officeDocument/2006/relationships/hyperlink" Target="https://comptox.epa.gov/dashboard/dsstoxdb/results?search=DTXSID5040675" TargetMode="External"/><Relationship Id="rId26" Type="http://schemas.openxmlformats.org/officeDocument/2006/relationships/hyperlink" Target="https://comptox.epa.gov/dashboard/dsstoxdb/results?search=DTXSID4022658" TargetMode="External"/><Relationship Id="rId3" Type="http://schemas.openxmlformats.org/officeDocument/2006/relationships/hyperlink" Target="https://comptox.epa.gov/dashboard/dsstoxdb/results?search=DTXSID4058499" TargetMode="External"/><Relationship Id="rId21" Type="http://schemas.openxmlformats.org/officeDocument/2006/relationships/hyperlink" Target="https://comptox.epa.gov/dashboard/dsstoxdb/results?search=DTXSID6023737" TargetMode="External"/><Relationship Id="rId7" Type="http://schemas.openxmlformats.org/officeDocument/2006/relationships/hyperlink" Target="https://comptox.epa.gov/dashboard/dsstoxdb/results?search=DTXSID6020147" TargetMode="External"/><Relationship Id="rId12" Type="http://schemas.openxmlformats.org/officeDocument/2006/relationships/hyperlink" Target="https://comptox.epa.gov/dashboard/dsstoxdb/results?search=DTXSID4024195" TargetMode="External"/><Relationship Id="rId17" Type="http://schemas.openxmlformats.org/officeDocument/2006/relationships/hyperlink" Target="https://comptox.epa.gov/dashboard/dsstoxdb/results?search=DTXSID9024194" TargetMode="External"/><Relationship Id="rId25" Type="http://schemas.openxmlformats.org/officeDocument/2006/relationships/hyperlink" Target="https://comptox.epa.gov/dashboard/dsstoxdb/results?search=DTXSID4020878" TargetMode="External"/><Relationship Id="rId2" Type="http://schemas.openxmlformats.org/officeDocument/2006/relationships/hyperlink" Target="https://comptox.epa.gov/dashboard/dsstoxdb/results?search=DTXSID1032482" TargetMode="External"/><Relationship Id="rId16" Type="http://schemas.openxmlformats.org/officeDocument/2006/relationships/hyperlink" Target="https://comptox.epa.gov/dashboard/dsstoxdb/results?search=DTXSID2020636" TargetMode="External"/><Relationship Id="rId20" Type="http://schemas.openxmlformats.org/officeDocument/2006/relationships/hyperlink" Target="https://comptox.epa.gov/dashboard/dsstoxdb/results?search=DTXSID1024465" TargetMode="External"/><Relationship Id="rId29" Type="http://schemas.openxmlformats.org/officeDocument/2006/relationships/hyperlink" Target="https://comptox.epa.gov/dashboard/dsstoxdb/results?search=DTXSID9020877" TargetMode="External"/><Relationship Id="rId1" Type="http://schemas.openxmlformats.org/officeDocument/2006/relationships/hyperlink" Target="https://comptox.epa.gov/dashboard/dsstoxdb/results?search=DTXSID5037523" TargetMode="External"/><Relationship Id="rId6" Type="http://schemas.openxmlformats.org/officeDocument/2006/relationships/hyperlink" Target="https://comptox.epa.gov/dashboard/dsstoxdb/results?search=DTXSID2052736" TargetMode="External"/><Relationship Id="rId11" Type="http://schemas.openxmlformats.org/officeDocument/2006/relationships/hyperlink" Target="https://comptox.epa.gov/dashboard/dsstoxdb/results?search=DTXSID0020442" TargetMode="External"/><Relationship Id="rId24" Type="http://schemas.openxmlformats.org/officeDocument/2006/relationships/hyperlink" Target="https://comptox.epa.gov/dashboard/dsstoxdb/results?search=DTXSID4020161" TargetMode="External"/><Relationship Id="rId5" Type="http://schemas.openxmlformats.org/officeDocument/2006/relationships/hyperlink" Target="https://comptox.epa.gov/dashboard/dsstoxdb/results?search=DTXSID1032640" TargetMode="External"/><Relationship Id="rId15" Type="http://schemas.openxmlformats.org/officeDocument/2006/relationships/hyperlink" Target="https://comptox.epa.gov/dashboard/dsstoxdb/results?search=DTXSID9034868" TargetMode="External"/><Relationship Id="rId23" Type="http://schemas.openxmlformats.org/officeDocument/2006/relationships/hyperlink" Target="https://comptox.epa.gov/dashboard/dsstoxdb/results?search=DTXSID5023114" TargetMode="External"/><Relationship Id="rId28" Type="http://schemas.openxmlformats.org/officeDocument/2006/relationships/hyperlink" Target="https://comptox.epa.gov/dashboard/dsstoxdb/results?search=DTXSID0023955" TargetMode="External"/><Relationship Id="rId10" Type="http://schemas.openxmlformats.org/officeDocument/2006/relationships/hyperlink" Target="https://comptox.epa.gov/dashboard/dsstoxdb/results?search=DTXSID1023445" TargetMode="External"/><Relationship Id="rId19" Type="http://schemas.openxmlformats.org/officeDocument/2006/relationships/hyperlink" Target="https://comptox.epa.gov/dashboard/dsstoxdb/results?search=DTXSID8023975" TargetMode="External"/><Relationship Id="rId4" Type="http://schemas.openxmlformats.org/officeDocument/2006/relationships/hyperlink" Target="https://comptox.epa.gov/dashboard/dsstoxdb/results?search=DTXSID9037539" TargetMode="External"/><Relationship Id="rId9" Type="http://schemas.openxmlformats.org/officeDocument/2006/relationships/hyperlink" Target="https://comptox.epa.gov/dashboard/dsstoxdb/results?search=DTXSID5037571" TargetMode="External"/><Relationship Id="rId14" Type="http://schemas.openxmlformats.org/officeDocument/2006/relationships/hyperlink" Target="https://comptox.epa.gov/dashboard/dsstoxdb/results?search=DTXSID9020322" TargetMode="External"/><Relationship Id="rId22" Type="http://schemas.openxmlformats.org/officeDocument/2006/relationships/hyperlink" Target="https://comptox.epa.gov/dashboard/dsstoxdb/results?search=DTXSID40869118" TargetMode="External"/><Relationship Id="rId27" Type="http://schemas.openxmlformats.org/officeDocument/2006/relationships/hyperlink" Target="https://comptox.epa.gov/dashboard/dsstoxdb/results?search=DTXSID8020913"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comptox.epa.gov/dashboard/dsstoxdb/results?search=DTXSID5020819" TargetMode="External"/><Relationship Id="rId13" Type="http://schemas.openxmlformats.org/officeDocument/2006/relationships/hyperlink" Target="https://comptox.epa.gov/dashboard/dsstoxdb/results?search=DTXSID2024113" TargetMode="External"/><Relationship Id="rId18" Type="http://schemas.openxmlformats.org/officeDocument/2006/relationships/hyperlink" Target="https://comptox.epa.gov/dashboard/dsstoxdb/results?search=DTXSID5040675" TargetMode="External"/><Relationship Id="rId26" Type="http://schemas.openxmlformats.org/officeDocument/2006/relationships/hyperlink" Target="https://comptox.epa.gov/dashboard/dsstoxdb/results?search=DTXSID4022658" TargetMode="External"/><Relationship Id="rId3" Type="http://schemas.openxmlformats.org/officeDocument/2006/relationships/hyperlink" Target="https://comptox.epa.gov/dashboard/dsstoxdb/results?search=DTXSID4058499" TargetMode="External"/><Relationship Id="rId21" Type="http://schemas.openxmlformats.org/officeDocument/2006/relationships/hyperlink" Target="https://comptox.epa.gov/dashboard/dsstoxdb/results?search=DTXSID6023737" TargetMode="External"/><Relationship Id="rId7" Type="http://schemas.openxmlformats.org/officeDocument/2006/relationships/hyperlink" Target="https://comptox.epa.gov/dashboard/dsstoxdb/results?search=DTXSID6020147" TargetMode="External"/><Relationship Id="rId12" Type="http://schemas.openxmlformats.org/officeDocument/2006/relationships/hyperlink" Target="https://comptox.epa.gov/dashboard/dsstoxdb/results?search=DTXSID4024195" TargetMode="External"/><Relationship Id="rId17" Type="http://schemas.openxmlformats.org/officeDocument/2006/relationships/hyperlink" Target="https://comptox.epa.gov/dashboard/dsstoxdb/results?search=DTXSID9024194" TargetMode="External"/><Relationship Id="rId25" Type="http://schemas.openxmlformats.org/officeDocument/2006/relationships/hyperlink" Target="https://comptox.epa.gov/dashboard/dsstoxdb/results?search=DTXSID4020878" TargetMode="External"/><Relationship Id="rId2" Type="http://schemas.openxmlformats.org/officeDocument/2006/relationships/hyperlink" Target="https://comptox.epa.gov/dashboard/dsstoxdb/results?search=DTXSID1032482" TargetMode="External"/><Relationship Id="rId16" Type="http://schemas.openxmlformats.org/officeDocument/2006/relationships/hyperlink" Target="https://comptox.epa.gov/dashboard/dsstoxdb/results?search=DTXSID2020636" TargetMode="External"/><Relationship Id="rId20" Type="http://schemas.openxmlformats.org/officeDocument/2006/relationships/hyperlink" Target="https://comptox.epa.gov/dashboard/dsstoxdb/results?search=DTXSID1024465" TargetMode="External"/><Relationship Id="rId29" Type="http://schemas.openxmlformats.org/officeDocument/2006/relationships/hyperlink" Target="https://comptox.epa.gov/dashboard/dsstoxdb/results?search=DTXSID9020877" TargetMode="External"/><Relationship Id="rId1" Type="http://schemas.openxmlformats.org/officeDocument/2006/relationships/hyperlink" Target="https://comptox.epa.gov/dashboard/dsstoxdb/results?search=DTXSID5037523" TargetMode="External"/><Relationship Id="rId6" Type="http://schemas.openxmlformats.org/officeDocument/2006/relationships/hyperlink" Target="https://comptox.epa.gov/dashboard/dsstoxdb/results?search=DTXSID2052736" TargetMode="External"/><Relationship Id="rId11" Type="http://schemas.openxmlformats.org/officeDocument/2006/relationships/hyperlink" Target="https://comptox.epa.gov/dashboard/dsstoxdb/results?search=DTXSID0020442" TargetMode="External"/><Relationship Id="rId24" Type="http://schemas.openxmlformats.org/officeDocument/2006/relationships/hyperlink" Target="https://comptox.epa.gov/dashboard/dsstoxdb/results?search=DTXSID4020161" TargetMode="External"/><Relationship Id="rId5" Type="http://schemas.openxmlformats.org/officeDocument/2006/relationships/hyperlink" Target="https://comptox.epa.gov/dashboard/dsstoxdb/results?search=DTXSID1032640" TargetMode="External"/><Relationship Id="rId15" Type="http://schemas.openxmlformats.org/officeDocument/2006/relationships/hyperlink" Target="https://comptox.epa.gov/dashboard/dsstoxdb/results?search=DTXSID9034868" TargetMode="External"/><Relationship Id="rId23" Type="http://schemas.openxmlformats.org/officeDocument/2006/relationships/hyperlink" Target="https://comptox.epa.gov/dashboard/dsstoxdb/results?search=DTXSID5023114" TargetMode="External"/><Relationship Id="rId28" Type="http://schemas.openxmlformats.org/officeDocument/2006/relationships/hyperlink" Target="https://comptox.epa.gov/dashboard/dsstoxdb/results?search=DTXSID0023955" TargetMode="External"/><Relationship Id="rId10" Type="http://schemas.openxmlformats.org/officeDocument/2006/relationships/hyperlink" Target="https://comptox.epa.gov/dashboard/dsstoxdb/results?search=DTXSID1023445" TargetMode="External"/><Relationship Id="rId19" Type="http://schemas.openxmlformats.org/officeDocument/2006/relationships/hyperlink" Target="https://comptox.epa.gov/dashboard/dsstoxdb/results?search=DTXSID8023975" TargetMode="External"/><Relationship Id="rId4" Type="http://schemas.openxmlformats.org/officeDocument/2006/relationships/hyperlink" Target="https://comptox.epa.gov/dashboard/dsstoxdb/results?search=DTXSID9037539" TargetMode="External"/><Relationship Id="rId9" Type="http://schemas.openxmlformats.org/officeDocument/2006/relationships/hyperlink" Target="https://comptox.epa.gov/dashboard/dsstoxdb/results?search=DTXSID5037571" TargetMode="External"/><Relationship Id="rId14" Type="http://schemas.openxmlformats.org/officeDocument/2006/relationships/hyperlink" Target="https://comptox.epa.gov/dashboard/dsstoxdb/results?search=DTXSID9020322" TargetMode="External"/><Relationship Id="rId22" Type="http://schemas.openxmlformats.org/officeDocument/2006/relationships/hyperlink" Target="https://comptox.epa.gov/dashboard/dsstoxdb/results?search=DTXSID40869118" TargetMode="External"/><Relationship Id="rId27" Type="http://schemas.openxmlformats.org/officeDocument/2006/relationships/hyperlink" Target="https://comptox.epa.gov/dashboard/dsstoxdb/results?search=DTXSID8020913"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comptox.epa.gov/dashboard/dsstoxdb/results?search=DTXSID5020819" TargetMode="External"/><Relationship Id="rId13" Type="http://schemas.openxmlformats.org/officeDocument/2006/relationships/hyperlink" Target="https://comptox.epa.gov/dashboard/dsstoxdb/results?search=DTXSID2024113" TargetMode="External"/><Relationship Id="rId18" Type="http://schemas.openxmlformats.org/officeDocument/2006/relationships/hyperlink" Target="https://comptox.epa.gov/dashboard/dsstoxdb/results?search=DTXSID5040675" TargetMode="External"/><Relationship Id="rId26" Type="http://schemas.openxmlformats.org/officeDocument/2006/relationships/hyperlink" Target="https://comptox.epa.gov/dashboard/dsstoxdb/results?search=DTXSID4022658" TargetMode="External"/><Relationship Id="rId3" Type="http://schemas.openxmlformats.org/officeDocument/2006/relationships/hyperlink" Target="https://comptox.epa.gov/dashboard/dsstoxdb/results?search=DTXSID4058499" TargetMode="External"/><Relationship Id="rId21" Type="http://schemas.openxmlformats.org/officeDocument/2006/relationships/hyperlink" Target="https://comptox.epa.gov/dashboard/dsstoxdb/results?search=DTXSID6023737" TargetMode="External"/><Relationship Id="rId7" Type="http://schemas.openxmlformats.org/officeDocument/2006/relationships/hyperlink" Target="https://comptox.epa.gov/dashboard/dsstoxdb/results?search=DTXSID6020147" TargetMode="External"/><Relationship Id="rId12" Type="http://schemas.openxmlformats.org/officeDocument/2006/relationships/hyperlink" Target="https://comptox.epa.gov/dashboard/dsstoxdb/results?search=DTXSID4024195" TargetMode="External"/><Relationship Id="rId17" Type="http://schemas.openxmlformats.org/officeDocument/2006/relationships/hyperlink" Target="https://comptox.epa.gov/dashboard/dsstoxdb/results?search=DTXSID9024194" TargetMode="External"/><Relationship Id="rId25" Type="http://schemas.openxmlformats.org/officeDocument/2006/relationships/hyperlink" Target="https://comptox.epa.gov/dashboard/dsstoxdb/results?search=DTXSID4020878" TargetMode="External"/><Relationship Id="rId2" Type="http://schemas.openxmlformats.org/officeDocument/2006/relationships/hyperlink" Target="https://comptox.epa.gov/dashboard/dsstoxdb/results?search=DTXSID1032482" TargetMode="External"/><Relationship Id="rId16" Type="http://schemas.openxmlformats.org/officeDocument/2006/relationships/hyperlink" Target="https://comptox.epa.gov/dashboard/dsstoxdb/results?search=DTXSID2020636" TargetMode="External"/><Relationship Id="rId20" Type="http://schemas.openxmlformats.org/officeDocument/2006/relationships/hyperlink" Target="https://comptox.epa.gov/dashboard/dsstoxdb/results?search=DTXSID1024465" TargetMode="External"/><Relationship Id="rId29" Type="http://schemas.openxmlformats.org/officeDocument/2006/relationships/hyperlink" Target="https://comptox.epa.gov/dashboard/dsstoxdb/results?search=DTXSID9020877" TargetMode="External"/><Relationship Id="rId1" Type="http://schemas.openxmlformats.org/officeDocument/2006/relationships/hyperlink" Target="https://comptox.epa.gov/dashboard/dsstoxdb/results?search=DTXSID5037523" TargetMode="External"/><Relationship Id="rId6" Type="http://schemas.openxmlformats.org/officeDocument/2006/relationships/hyperlink" Target="https://comptox.epa.gov/dashboard/dsstoxdb/results?search=DTXSID2052736" TargetMode="External"/><Relationship Id="rId11" Type="http://schemas.openxmlformats.org/officeDocument/2006/relationships/hyperlink" Target="https://comptox.epa.gov/dashboard/dsstoxdb/results?search=DTXSID0020442" TargetMode="External"/><Relationship Id="rId24" Type="http://schemas.openxmlformats.org/officeDocument/2006/relationships/hyperlink" Target="https://comptox.epa.gov/dashboard/dsstoxdb/results?search=DTXSID4020161" TargetMode="External"/><Relationship Id="rId5" Type="http://schemas.openxmlformats.org/officeDocument/2006/relationships/hyperlink" Target="https://comptox.epa.gov/dashboard/dsstoxdb/results?search=DTXSID1032640" TargetMode="External"/><Relationship Id="rId15" Type="http://schemas.openxmlformats.org/officeDocument/2006/relationships/hyperlink" Target="https://comptox.epa.gov/dashboard/dsstoxdb/results?search=DTXSID9034868" TargetMode="External"/><Relationship Id="rId23" Type="http://schemas.openxmlformats.org/officeDocument/2006/relationships/hyperlink" Target="https://comptox.epa.gov/dashboard/dsstoxdb/results?search=DTXSID5023114" TargetMode="External"/><Relationship Id="rId28" Type="http://schemas.openxmlformats.org/officeDocument/2006/relationships/hyperlink" Target="https://comptox.epa.gov/dashboard/dsstoxdb/results?search=DTXSID0023955" TargetMode="External"/><Relationship Id="rId10" Type="http://schemas.openxmlformats.org/officeDocument/2006/relationships/hyperlink" Target="https://comptox.epa.gov/dashboard/dsstoxdb/results?search=DTXSID1023445" TargetMode="External"/><Relationship Id="rId19" Type="http://schemas.openxmlformats.org/officeDocument/2006/relationships/hyperlink" Target="https://comptox.epa.gov/dashboard/dsstoxdb/results?search=DTXSID8023975" TargetMode="External"/><Relationship Id="rId4" Type="http://schemas.openxmlformats.org/officeDocument/2006/relationships/hyperlink" Target="https://comptox.epa.gov/dashboard/dsstoxdb/results?search=DTXSID9037539" TargetMode="External"/><Relationship Id="rId9" Type="http://schemas.openxmlformats.org/officeDocument/2006/relationships/hyperlink" Target="https://comptox.epa.gov/dashboard/dsstoxdb/results?search=DTXSID5037571" TargetMode="External"/><Relationship Id="rId14" Type="http://schemas.openxmlformats.org/officeDocument/2006/relationships/hyperlink" Target="https://comptox.epa.gov/dashboard/dsstoxdb/results?search=DTXSID9020322" TargetMode="External"/><Relationship Id="rId22" Type="http://schemas.openxmlformats.org/officeDocument/2006/relationships/hyperlink" Target="https://comptox.epa.gov/dashboard/dsstoxdb/results?search=DTXSID40869118" TargetMode="External"/><Relationship Id="rId27" Type="http://schemas.openxmlformats.org/officeDocument/2006/relationships/hyperlink" Target="https://comptox.epa.gov/dashboard/dsstoxdb/results?search=DTXSID8020913" TargetMode="External"/><Relationship Id="rId30"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3" Type="http://schemas.openxmlformats.org/officeDocument/2006/relationships/hyperlink" Target="https://comptox.epa.gov/dashboard/dsstoxdb/results?search=DTXSID2024113" TargetMode="External"/><Relationship Id="rId18" Type="http://schemas.openxmlformats.org/officeDocument/2006/relationships/hyperlink" Target="https://comptox.epa.gov/dashboard/dsstoxdb/results?search=DTXSID5040675" TargetMode="External"/><Relationship Id="rId26" Type="http://schemas.openxmlformats.org/officeDocument/2006/relationships/hyperlink" Target="https://comptox.epa.gov/dashboard/dsstoxdb/results?search=DTXSID4022658" TargetMode="External"/><Relationship Id="rId3" Type="http://schemas.openxmlformats.org/officeDocument/2006/relationships/hyperlink" Target="https://comptox.epa.gov/dashboard/dsstoxdb/results?search=DTXSID4058499" TargetMode="External"/><Relationship Id="rId21" Type="http://schemas.openxmlformats.org/officeDocument/2006/relationships/hyperlink" Target="https://comptox.epa.gov/dashboard/dsstoxdb/results?search=DTXSID6023737" TargetMode="External"/><Relationship Id="rId7" Type="http://schemas.openxmlformats.org/officeDocument/2006/relationships/hyperlink" Target="https://comptox.epa.gov/dashboard/dsstoxdb/results?search=DTXSID6020147" TargetMode="External"/><Relationship Id="rId12" Type="http://schemas.openxmlformats.org/officeDocument/2006/relationships/hyperlink" Target="https://comptox.epa.gov/dashboard/dsstoxdb/results?search=DTXSID4024195" TargetMode="External"/><Relationship Id="rId17" Type="http://schemas.openxmlformats.org/officeDocument/2006/relationships/hyperlink" Target="https://comptox.epa.gov/dashboard/dsstoxdb/results?search=DTXSID9024194" TargetMode="External"/><Relationship Id="rId25" Type="http://schemas.openxmlformats.org/officeDocument/2006/relationships/hyperlink" Target="https://comptox.epa.gov/dashboard/dsstoxdb/results?search=DTXSID4020878" TargetMode="External"/><Relationship Id="rId33" Type="http://schemas.openxmlformats.org/officeDocument/2006/relationships/hyperlink" Target="../../../../../Downloads/noaa_9327_DS1%20(1).pdf" TargetMode="External"/><Relationship Id="rId2" Type="http://schemas.openxmlformats.org/officeDocument/2006/relationships/hyperlink" Target="https://comptox.epa.gov/dashboard/dsstoxdb/results?search=DTXSID1032482" TargetMode="External"/><Relationship Id="rId16" Type="http://schemas.openxmlformats.org/officeDocument/2006/relationships/hyperlink" Target="https://comptox.epa.gov/dashboard/dsstoxdb/results?search=DTXSID2020636" TargetMode="External"/><Relationship Id="rId20" Type="http://schemas.openxmlformats.org/officeDocument/2006/relationships/hyperlink" Target="https://comptox.epa.gov/dashboard/dsstoxdb/results?search=DTXSID1024465" TargetMode="External"/><Relationship Id="rId29" Type="http://schemas.openxmlformats.org/officeDocument/2006/relationships/hyperlink" Target="https://comptox.epa.gov/dashboard/dsstoxdb/results?search=DTXSID9020877" TargetMode="External"/><Relationship Id="rId1" Type="http://schemas.openxmlformats.org/officeDocument/2006/relationships/hyperlink" Target="https://comptox.epa.gov/dashboard/dsstoxdb/results?search=DTXSID5037523" TargetMode="External"/><Relationship Id="rId6" Type="http://schemas.openxmlformats.org/officeDocument/2006/relationships/hyperlink" Target="https://comptox.epa.gov/dashboard/dsstoxdb/results?search=DTXSID2052736" TargetMode="External"/><Relationship Id="rId11" Type="http://schemas.openxmlformats.org/officeDocument/2006/relationships/hyperlink" Target="https://comptox.epa.gov/dashboard/dsstoxdb/results?search=DTXSID0020442" TargetMode="External"/><Relationship Id="rId24" Type="http://schemas.openxmlformats.org/officeDocument/2006/relationships/hyperlink" Target="https://comptox.epa.gov/dashboard/dsstoxdb/results?search=DTXSID4020161" TargetMode="External"/><Relationship Id="rId32" Type="http://schemas.openxmlformats.org/officeDocument/2006/relationships/hyperlink" Target="https://comptox.epa.gov/dashboard/dsstoxdb/results?search=DTXSID9020322" TargetMode="External"/><Relationship Id="rId5" Type="http://schemas.openxmlformats.org/officeDocument/2006/relationships/hyperlink" Target="https://comptox.epa.gov/dashboard/dsstoxdb/results?search=DTXSID1032640" TargetMode="External"/><Relationship Id="rId15" Type="http://schemas.openxmlformats.org/officeDocument/2006/relationships/hyperlink" Target="https://comptox.epa.gov/dashboard/dsstoxdb/results?search=DTXSID9034868" TargetMode="External"/><Relationship Id="rId23" Type="http://schemas.openxmlformats.org/officeDocument/2006/relationships/hyperlink" Target="https://comptox.epa.gov/dashboard/dsstoxdb/results?search=DTXSID5023114" TargetMode="External"/><Relationship Id="rId28" Type="http://schemas.openxmlformats.org/officeDocument/2006/relationships/hyperlink" Target="https://comptox.epa.gov/dashboard/dsstoxdb/results?search=DTXSID0023955" TargetMode="External"/><Relationship Id="rId10" Type="http://schemas.openxmlformats.org/officeDocument/2006/relationships/hyperlink" Target="https://comptox.epa.gov/dashboard/dsstoxdb/results?search=DTXSID1023445" TargetMode="External"/><Relationship Id="rId19" Type="http://schemas.openxmlformats.org/officeDocument/2006/relationships/hyperlink" Target="https://comptox.epa.gov/dashboard/dsstoxdb/results?search=DTXSID8023975" TargetMode="External"/><Relationship Id="rId31" Type="http://schemas.openxmlformats.org/officeDocument/2006/relationships/hyperlink" Target="https://comptox.epa.gov/dashboard/dsstoxdb/results?search=DTXSID40869118" TargetMode="External"/><Relationship Id="rId4" Type="http://schemas.openxmlformats.org/officeDocument/2006/relationships/hyperlink" Target="https://comptox.epa.gov/dashboard/dsstoxdb/results?search=DTXSID9037539" TargetMode="External"/><Relationship Id="rId9" Type="http://schemas.openxmlformats.org/officeDocument/2006/relationships/hyperlink" Target="https://comptox.epa.gov/dashboard/dsstoxdb/results?search=DTXSID5037571" TargetMode="External"/><Relationship Id="rId14" Type="http://schemas.openxmlformats.org/officeDocument/2006/relationships/hyperlink" Target="https://comptox.epa.gov/dashboard/dsstoxdb/results?search=DTXSID9020322" TargetMode="External"/><Relationship Id="rId22" Type="http://schemas.openxmlformats.org/officeDocument/2006/relationships/hyperlink" Target="https://comptox.epa.gov/dashboard/dsstoxdb/results?search=DTXSID40869118" TargetMode="External"/><Relationship Id="rId27" Type="http://schemas.openxmlformats.org/officeDocument/2006/relationships/hyperlink" Target="https://comptox.epa.gov/dashboard/dsstoxdb/results?search=DTXSID8020913" TargetMode="External"/><Relationship Id="rId30" Type="http://schemas.openxmlformats.org/officeDocument/2006/relationships/hyperlink" Target="https://comptox.epa.gov/dashboard/dsstoxdb/results?search=DTXSID6023737" TargetMode="External"/><Relationship Id="rId8" Type="http://schemas.openxmlformats.org/officeDocument/2006/relationships/hyperlink" Target="https://comptox.epa.gov/dashboard/dsstoxdb/results?search=DTXSID5020819"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comptox.epa.gov/dashboard/dsstoxdb/results?search=DTXSID5020819" TargetMode="External"/><Relationship Id="rId13" Type="http://schemas.openxmlformats.org/officeDocument/2006/relationships/hyperlink" Target="https://comptox.epa.gov/dashboard/dsstoxdb/results?search=DTXSID2024113" TargetMode="External"/><Relationship Id="rId18" Type="http://schemas.openxmlformats.org/officeDocument/2006/relationships/hyperlink" Target="https://comptox.epa.gov/dashboard/dsstoxdb/results?search=DTXSID5040675" TargetMode="External"/><Relationship Id="rId26" Type="http://schemas.openxmlformats.org/officeDocument/2006/relationships/hyperlink" Target="https://comptox.epa.gov/dashboard/dsstoxdb/results?search=DTXSID4022658" TargetMode="External"/><Relationship Id="rId3" Type="http://schemas.openxmlformats.org/officeDocument/2006/relationships/hyperlink" Target="https://comptox.epa.gov/dashboard/dsstoxdb/results?search=DTXSID4058499" TargetMode="External"/><Relationship Id="rId21" Type="http://schemas.openxmlformats.org/officeDocument/2006/relationships/hyperlink" Target="https://comptox.epa.gov/dashboard/dsstoxdb/results?search=DTXSID6023737" TargetMode="External"/><Relationship Id="rId7" Type="http://schemas.openxmlformats.org/officeDocument/2006/relationships/hyperlink" Target="https://comptox.epa.gov/dashboard/dsstoxdb/results?search=DTXSID6020147" TargetMode="External"/><Relationship Id="rId12" Type="http://schemas.openxmlformats.org/officeDocument/2006/relationships/hyperlink" Target="https://comptox.epa.gov/dashboard/dsstoxdb/results?search=DTXSID4024195" TargetMode="External"/><Relationship Id="rId17" Type="http://schemas.openxmlformats.org/officeDocument/2006/relationships/hyperlink" Target="https://comptox.epa.gov/dashboard/dsstoxdb/results?search=DTXSID9024194" TargetMode="External"/><Relationship Id="rId25" Type="http://schemas.openxmlformats.org/officeDocument/2006/relationships/hyperlink" Target="https://comptox.epa.gov/dashboard/dsstoxdb/results?search=DTXSID4020878" TargetMode="External"/><Relationship Id="rId2" Type="http://schemas.openxmlformats.org/officeDocument/2006/relationships/hyperlink" Target="https://comptox.epa.gov/dashboard/dsstoxdb/results?search=DTXSID1032482" TargetMode="External"/><Relationship Id="rId16" Type="http://schemas.openxmlformats.org/officeDocument/2006/relationships/hyperlink" Target="https://comptox.epa.gov/dashboard/dsstoxdb/results?search=DTXSID2020636" TargetMode="External"/><Relationship Id="rId20" Type="http://schemas.openxmlformats.org/officeDocument/2006/relationships/hyperlink" Target="https://comptox.epa.gov/dashboard/dsstoxdb/results?search=DTXSID1024465" TargetMode="External"/><Relationship Id="rId29" Type="http://schemas.openxmlformats.org/officeDocument/2006/relationships/hyperlink" Target="https://comptox.epa.gov/dashboard/dsstoxdb/results?search=DTXSID9020877" TargetMode="External"/><Relationship Id="rId1" Type="http://schemas.openxmlformats.org/officeDocument/2006/relationships/hyperlink" Target="https://comptox.epa.gov/dashboard/dsstoxdb/results?search=DTXSID5037523" TargetMode="External"/><Relationship Id="rId6" Type="http://schemas.openxmlformats.org/officeDocument/2006/relationships/hyperlink" Target="https://comptox.epa.gov/dashboard/dsstoxdb/results?search=DTXSID2052736" TargetMode="External"/><Relationship Id="rId11" Type="http://schemas.openxmlformats.org/officeDocument/2006/relationships/hyperlink" Target="https://comptox.epa.gov/dashboard/dsstoxdb/results?search=DTXSID0020442" TargetMode="External"/><Relationship Id="rId24" Type="http://schemas.openxmlformats.org/officeDocument/2006/relationships/hyperlink" Target="https://comptox.epa.gov/dashboard/dsstoxdb/results?search=DTXSID4020161" TargetMode="External"/><Relationship Id="rId5" Type="http://schemas.openxmlformats.org/officeDocument/2006/relationships/hyperlink" Target="https://comptox.epa.gov/dashboard/dsstoxdb/results?search=DTXSID1032640" TargetMode="External"/><Relationship Id="rId15" Type="http://schemas.openxmlformats.org/officeDocument/2006/relationships/hyperlink" Target="https://comptox.epa.gov/dashboard/dsstoxdb/results?search=DTXSID9034868" TargetMode="External"/><Relationship Id="rId23" Type="http://schemas.openxmlformats.org/officeDocument/2006/relationships/hyperlink" Target="https://comptox.epa.gov/dashboard/dsstoxdb/results?search=DTXSID5023114" TargetMode="External"/><Relationship Id="rId28" Type="http://schemas.openxmlformats.org/officeDocument/2006/relationships/hyperlink" Target="https://comptox.epa.gov/dashboard/dsstoxdb/results?search=DTXSID0023955" TargetMode="External"/><Relationship Id="rId10" Type="http://schemas.openxmlformats.org/officeDocument/2006/relationships/hyperlink" Target="https://comptox.epa.gov/dashboard/dsstoxdb/results?search=DTXSID1023445" TargetMode="External"/><Relationship Id="rId19" Type="http://schemas.openxmlformats.org/officeDocument/2006/relationships/hyperlink" Target="https://comptox.epa.gov/dashboard/dsstoxdb/results?search=DTXSID8023975" TargetMode="External"/><Relationship Id="rId4" Type="http://schemas.openxmlformats.org/officeDocument/2006/relationships/hyperlink" Target="https://comptox.epa.gov/dashboard/dsstoxdb/results?search=DTXSID9037539" TargetMode="External"/><Relationship Id="rId9" Type="http://schemas.openxmlformats.org/officeDocument/2006/relationships/hyperlink" Target="https://comptox.epa.gov/dashboard/dsstoxdb/results?search=DTXSID5037571" TargetMode="External"/><Relationship Id="rId14" Type="http://schemas.openxmlformats.org/officeDocument/2006/relationships/hyperlink" Target="https://comptox.epa.gov/dashboard/dsstoxdb/results?search=DTXSID9020322" TargetMode="External"/><Relationship Id="rId22" Type="http://schemas.openxmlformats.org/officeDocument/2006/relationships/hyperlink" Target="https://comptox.epa.gov/dashboard/dsstoxdb/results?search=DTXSID40869118" TargetMode="External"/><Relationship Id="rId27" Type="http://schemas.openxmlformats.org/officeDocument/2006/relationships/hyperlink" Target="https://comptox.epa.gov/dashboard/dsstoxdb/results?search=DTXSID8020913"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https://comptox.epa.gov/dashboard/dsstoxdb/results?search=DTXSID5020819" TargetMode="External"/><Relationship Id="rId13" Type="http://schemas.openxmlformats.org/officeDocument/2006/relationships/hyperlink" Target="https://comptox.epa.gov/dashboard/dsstoxdb/results?search=DTXSID2024113" TargetMode="External"/><Relationship Id="rId18" Type="http://schemas.openxmlformats.org/officeDocument/2006/relationships/hyperlink" Target="https://comptox.epa.gov/dashboard/dsstoxdb/results?search=DTXSID5040675" TargetMode="External"/><Relationship Id="rId26" Type="http://schemas.openxmlformats.org/officeDocument/2006/relationships/hyperlink" Target="https://comptox.epa.gov/dashboard/dsstoxdb/results?search=DTXSID4022658" TargetMode="External"/><Relationship Id="rId3" Type="http://schemas.openxmlformats.org/officeDocument/2006/relationships/hyperlink" Target="https://comptox.epa.gov/dashboard/dsstoxdb/results?search=DTXSID4058499" TargetMode="External"/><Relationship Id="rId21" Type="http://schemas.openxmlformats.org/officeDocument/2006/relationships/hyperlink" Target="https://comptox.epa.gov/dashboard/dsstoxdb/results?search=DTXSID6023737" TargetMode="External"/><Relationship Id="rId7" Type="http://schemas.openxmlformats.org/officeDocument/2006/relationships/hyperlink" Target="https://comptox.epa.gov/dashboard/dsstoxdb/results?search=DTXSID6020147" TargetMode="External"/><Relationship Id="rId12" Type="http://schemas.openxmlformats.org/officeDocument/2006/relationships/hyperlink" Target="https://comptox.epa.gov/dashboard/dsstoxdb/results?search=DTXSID4024195" TargetMode="External"/><Relationship Id="rId17" Type="http://schemas.openxmlformats.org/officeDocument/2006/relationships/hyperlink" Target="https://comptox.epa.gov/dashboard/dsstoxdb/results?search=DTXSID9024194" TargetMode="External"/><Relationship Id="rId25" Type="http://schemas.openxmlformats.org/officeDocument/2006/relationships/hyperlink" Target="https://comptox.epa.gov/dashboard/dsstoxdb/results?search=DTXSID4020878" TargetMode="External"/><Relationship Id="rId2" Type="http://schemas.openxmlformats.org/officeDocument/2006/relationships/hyperlink" Target="https://comptox.epa.gov/dashboard/dsstoxdb/results?search=DTXSID1032482" TargetMode="External"/><Relationship Id="rId16" Type="http://schemas.openxmlformats.org/officeDocument/2006/relationships/hyperlink" Target="https://comptox.epa.gov/dashboard/dsstoxdb/results?search=DTXSID2020636" TargetMode="External"/><Relationship Id="rId20" Type="http://schemas.openxmlformats.org/officeDocument/2006/relationships/hyperlink" Target="https://comptox.epa.gov/dashboard/dsstoxdb/results?search=DTXSID1024465" TargetMode="External"/><Relationship Id="rId29" Type="http://schemas.openxmlformats.org/officeDocument/2006/relationships/hyperlink" Target="https://comptox.epa.gov/dashboard/dsstoxdb/results?search=DTXSID9020877" TargetMode="External"/><Relationship Id="rId1" Type="http://schemas.openxmlformats.org/officeDocument/2006/relationships/hyperlink" Target="https://comptox.epa.gov/dashboard/dsstoxdb/results?search=DTXSID5037523" TargetMode="External"/><Relationship Id="rId6" Type="http://schemas.openxmlformats.org/officeDocument/2006/relationships/hyperlink" Target="https://comptox.epa.gov/dashboard/dsstoxdb/results?search=DTXSID2052736" TargetMode="External"/><Relationship Id="rId11" Type="http://schemas.openxmlformats.org/officeDocument/2006/relationships/hyperlink" Target="https://comptox.epa.gov/dashboard/dsstoxdb/results?search=DTXSID0020442" TargetMode="External"/><Relationship Id="rId24" Type="http://schemas.openxmlformats.org/officeDocument/2006/relationships/hyperlink" Target="https://comptox.epa.gov/dashboard/dsstoxdb/results?search=DTXSID4020161" TargetMode="External"/><Relationship Id="rId5" Type="http://schemas.openxmlformats.org/officeDocument/2006/relationships/hyperlink" Target="https://comptox.epa.gov/dashboard/dsstoxdb/results?search=DTXSID1032640" TargetMode="External"/><Relationship Id="rId15" Type="http://schemas.openxmlformats.org/officeDocument/2006/relationships/hyperlink" Target="https://comptox.epa.gov/dashboard/dsstoxdb/results?search=DTXSID9034868" TargetMode="External"/><Relationship Id="rId23" Type="http://schemas.openxmlformats.org/officeDocument/2006/relationships/hyperlink" Target="https://comptox.epa.gov/dashboard/dsstoxdb/results?search=DTXSID5023114" TargetMode="External"/><Relationship Id="rId28" Type="http://schemas.openxmlformats.org/officeDocument/2006/relationships/hyperlink" Target="https://comptox.epa.gov/dashboard/dsstoxdb/results?search=DTXSID0023955" TargetMode="External"/><Relationship Id="rId10" Type="http://schemas.openxmlformats.org/officeDocument/2006/relationships/hyperlink" Target="https://comptox.epa.gov/dashboard/dsstoxdb/results?search=DTXSID1023445" TargetMode="External"/><Relationship Id="rId19" Type="http://schemas.openxmlformats.org/officeDocument/2006/relationships/hyperlink" Target="https://comptox.epa.gov/dashboard/dsstoxdb/results?search=DTXSID8023975" TargetMode="External"/><Relationship Id="rId4" Type="http://schemas.openxmlformats.org/officeDocument/2006/relationships/hyperlink" Target="https://comptox.epa.gov/dashboard/dsstoxdb/results?search=DTXSID9037539" TargetMode="External"/><Relationship Id="rId9" Type="http://schemas.openxmlformats.org/officeDocument/2006/relationships/hyperlink" Target="https://comptox.epa.gov/dashboard/dsstoxdb/results?search=DTXSID5037571" TargetMode="External"/><Relationship Id="rId14" Type="http://schemas.openxmlformats.org/officeDocument/2006/relationships/hyperlink" Target="https://comptox.epa.gov/dashboard/dsstoxdb/results?search=DTXSID9020322" TargetMode="External"/><Relationship Id="rId22" Type="http://schemas.openxmlformats.org/officeDocument/2006/relationships/hyperlink" Target="https://comptox.epa.gov/dashboard/dsstoxdb/results?search=DTXSID40869118" TargetMode="External"/><Relationship Id="rId27" Type="http://schemas.openxmlformats.org/officeDocument/2006/relationships/hyperlink" Target="https://comptox.epa.gov/dashboard/dsstoxdb/results?search=DTXSID8020913" TargetMode="Externa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4.xml.rels><?xml version="1.0" encoding="UTF-8" standalone="yes"?>
<Relationships xmlns="http://schemas.openxmlformats.org/package/2006/relationships"><Relationship Id="rId8" Type="http://schemas.openxmlformats.org/officeDocument/2006/relationships/hyperlink" Target="https://comptox.epa.gov/dashboard/dsstoxdb/results?search=DTXSID5020819" TargetMode="External"/><Relationship Id="rId13" Type="http://schemas.openxmlformats.org/officeDocument/2006/relationships/hyperlink" Target="https://comptox.epa.gov/dashboard/dsstoxdb/results?search=DTXSID2024113" TargetMode="External"/><Relationship Id="rId18" Type="http://schemas.openxmlformats.org/officeDocument/2006/relationships/hyperlink" Target="https://comptox.epa.gov/dashboard/dsstoxdb/results?search=DTXSID5040675" TargetMode="External"/><Relationship Id="rId26" Type="http://schemas.openxmlformats.org/officeDocument/2006/relationships/hyperlink" Target="https://comptox.epa.gov/dashboard/dsstoxdb/results?search=DTXSID4022658" TargetMode="External"/><Relationship Id="rId3" Type="http://schemas.openxmlformats.org/officeDocument/2006/relationships/hyperlink" Target="https://comptox.epa.gov/dashboard/dsstoxdb/results?search=DTXSID4058499" TargetMode="External"/><Relationship Id="rId21" Type="http://schemas.openxmlformats.org/officeDocument/2006/relationships/hyperlink" Target="https://comptox.epa.gov/dashboard/dsstoxdb/results?search=DTXSID6023737" TargetMode="External"/><Relationship Id="rId7" Type="http://schemas.openxmlformats.org/officeDocument/2006/relationships/hyperlink" Target="https://comptox.epa.gov/dashboard/dsstoxdb/results?search=DTXSID6020147" TargetMode="External"/><Relationship Id="rId12" Type="http://schemas.openxmlformats.org/officeDocument/2006/relationships/hyperlink" Target="https://comptox.epa.gov/dashboard/dsstoxdb/results?search=DTXSID4024195" TargetMode="External"/><Relationship Id="rId17" Type="http://schemas.openxmlformats.org/officeDocument/2006/relationships/hyperlink" Target="https://comptox.epa.gov/dashboard/dsstoxdb/results?search=DTXSID9024194" TargetMode="External"/><Relationship Id="rId25" Type="http://schemas.openxmlformats.org/officeDocument/2006/relationships/hyperlink" Target="https://comptox.epa.gov/dashboard/dsstoxdb/results?search=DTXSID4020878" TargetMode="External"/><Relationship Id="rId2" Type="http://schemas.openxmlformats.org/officeDocument/2006/relationships/hyperlink" Target="https://comptox.epa.gov/dashboard/dsstoxdb/results?search=DTXSID1032482" TargetMode="External"/><Relationship Id="rId16" Type="http://schemas.openxmlformats.org/officeDocument/2006/relationships/hyperlink" Target="https://comptox.epa.gov/dashboard/dsstoxdb/results?search=DTXSID2020636" TargetMode="External"/><Relationship Id="rId20" Type="http://schemas.openxmlformats.org/officeDocument/2006/relationships/hyperlink" Target="https://comptox.epa.gov/dashboard/dsstoxdb/results?search=DTXSID1024465" TargetMode="External"/><Relationship Id="rId29" Type="http://schemas.openxmlformats.org/officeDocument/2006/relationships/hyperlink" Target="https://comptox.epa.gov/dashboard/dsstoxdb/results?search=DTXSID9020877" TargetMode="External"/><Relationship Id="rId1" Type="http://schemas.openxmlformats.org/officeDocument/2006/relationships/hyperlink" Target="https://comptox.epa.gov/dashboard/dsstoxdb/results?search=DTXSID5037523" TargetMode="External"/><Relationship Id="rId6" Type="http://schemas.openxmlformats.org/officeDocument/2006/relationships/hyperlink" Target="https://comptox.epa.gov/dashboard/dsstoxdb/results?search=DTXSID2052736" TargetMode="External"/><Relationship Id="rId11" Type="http://schemas.openxmlformats.org/officeDocument/2006/relationships/hyperlink" Target="https://comptox.epa.gov/dashboard/dsstoxdb/results?search=DTXSID0020442" TargetMode="External"/><Relationship Id="rId24" Type="http://schemas.openxmlformats.org/officeDocument/2006/relationships/hyperlink" Target="https://comptox.epa.gov/dashboard/dsstoxdb/results?search=DTXSID4020161" TargetMode="External"/><Relationship Id="rId5" Type="http://schemas.openxmlformats.org/officeDocument/2006/relationships/hyperlink" Target="https://comptox.epa.gov/dashboard/dsstoxdb/results?search=DTXSID1032640" TargetMode="External"/><Relationship Id="rId15" Type="http://schemas.openxmlformats.org/officeDocument/2006/relationships/hyperlink" Target="https://comptox.epa.gov/dashboard/dsstoxdb/results?search=DTXSID9034868" TargetMode="External"/><Relationship Id="rId23" Type="http://schemas.openxmlformats.org/officeDocument/2006/relationships/hyperlink" Target="https://comptox.epa.gov/dashboard/dsstoxdb/results?search=DTXSID5023114" TargetMode="External"/><Relationship Id="rId28" Type="http://schemas.openxmlformats.org/officeDocument/2006/relationships/hyperlink" Target="https://comptox.epa.gov/dashboard/dsstoxdb/results?search=DTXSID0023955" TargetMode="External"/><Relationship Id="rId10" Type="http://schemas.openxmlformats.org/officeDocument/2006/relationships/hyperlink" Target="https://comptox.epa.gov/dashboard/dsstoxdb/results?search=DTXSID1023445" TargetMode="External"/><Relationship Id="rId19" Type="http://schemas.openxmlformats.org/officeDocument/2006/relationships/hyperlink" Target="https://comptox.epa.gov/dashboard/dsstoxdb/results?search=DTXSID8023975" TargetMode="External"/><Relationship Id="rId4" Type="http://schemas.openxmlformats.org/officeDocument/2006/relationships/hyperlink" Target="https://comptox.epa.gov/dashboard/dsstoxdb/results?search=DTXSID9037539" TargetMode="External"/><Relationship Id="rId9" Type="http://schemas.openxmlformats.org/officeDocument/2006/relationships/hyperlink" Target="https://comptox.epa.gov/dashboard/dsstoxdb/results?search=DTXSID5037571" TargetMode="External"/><Relationship Id="rId14" Type="http://schemas.openxmlformats.org/officeDocument/2006/relationships/hyperlink" Target="https://comptox.epa.gov/dashboard/dsstoxdb/results?search=DTXSID9020322" TargetMode="External"/><Relationship Id="rId22" Type="http://schemas.openxmlformats.org/officeDocument/2006/relationships/hyperlink" Target="https://comptox.epa.gov/dashboard/dsstoxdb/results?search=DTXSID40869118" TargetMode="External"/><Relationship Id="rId27" Type="http://schemas.openxmlformats.org/officeDocument/2006/relationships/hyperlink" Target="https://comptox.epa.gov/dashboard/dsstoxdb/results?search=DTXSID8020913" TargetMode="External"/></Relationships>
</file>

<file path=xl/worksheets/_rels/sheet16.xml.rels><?xml version="1.0" encoding="UTF-8" standalone="yes"?>
<Relationships xmlns="http://schemas.openxmlformats.org/package/2006/relationships"><Relationship Id="rId117" Type="http://schemas.openxmlformats.org/officeDocument/2006/relationships/hyperlink" Target="https://www.environnement.gouv.qc.ca/eau/criteres_eau/details.asp?code=S0595" TargetMode="External"/><Relationship Id="rId21" Type="http://schemas.openxmlformats.org/officeDocument/2006/relationships/hyperlink" Target="https://comptox.epa.gov/dashboard/dsstoxdb/results?search=DTXSID40869118" TargetMode="External"/><Relationship Id="rId42" Type="http://schemas.openxmlformats.org/officeDocument/2006/relationships/hyperlink" Target="https://www2.gov.bc.ca/assets/gov/environment/air-land-water/water/waterquality/water-quality-guidelines/bc_env_working_water_quality_guidelines.pdf;" TargetMode="External"/><Relationship Id="rId63" Type="http://schemas.openxmlformats.org/officeDocument/2006/relationships/hyperlink" Target="https://www.ontario.ca/page/water-management-policies-guidelines-provincial-water-quality-objectives" TargetMode="External"/><Relationship Id="rId84" Type="http://schemas.openxmlformats.org/officeDocument/2006/relationships/hyperlink" Target="https://www.environnement.gouv.qc.ca/eau/criteres_eau/details.asp?code=S0461" TargetMode="External"/><Relationship Id="rId138" Type="http://schemas.openxmlformats.org/officeDocument/2006/relationships/hyperlink" Target="http://www.saskh2o.ca/pdf/epb356.pdf" TargetMode="External"/><Relationship Id="rId159" Type="http://schemas.openxmlformats.org/officeDocument/2006/relationships/hyperlink" Target="https://open.alberta.ca/dataset/5298aadb-f5cc-4160-8620-ad139bb985d8/resource/38ed9bb1-233f-4e28-b344-808670b20dae/download/environmentalqualitysurfacewaters-mar28-2018.pdf" TargetMode="External"/><Relationship Id="rId170" Type="http://schemas.openxmlformats.org/officeDocument/2006/relationships/hyperlink" Target="https://comptox.epa.gov/dashboard/dsstoxdb/results?search=DTXSID6023737" TargetMode="External"/><Relationship Id="rId191" Type="http://schemas.openxmlformats.org/officeDocument/2006/relationships/hyperlink" Target="https://comptox.epa.gov/dashboard/dsstoxdb/results?search=DTXSID1032640" TargetMode="External"/><Relationship Id="rId107" Type="http://schemas.openxmlformats.org/officeDocument/2006/relationships/hyperlink" Target="https://www.environnement.gouv.qc.ca/eau/criteres_eau/details.asp?code=S0622" TargetMode="External"/><Relationship Id="rId11" Type="http://schemas.openxmlformats.org/officeDocument/2006/relationships/hyperlink" Target="https://comptox.epa.gov/dashboard/dsstoxdb/results?search=DTXSID0020442" TargetMode="External"/><Relationship Id="rId32" Type="http://schemas.openxmlformats.org/officeDocument/2006/relationships/hyperlink" Target="https://www2.gov.bc.ca/assets/gov/environment/air-land-water/water/waterquality/water-quality-guidelines/bc_env_working_water_quality_guidelines.pdf" TargetMode="External"/><Relationship Id="rId53" Type="http://schemas.openxmlformats.org/officeDocument/2006/relationships/hyperlink" Target="https://www.ontario.ca/page/water-management-policies-guidelines-provincial-water-quality-objectives" TargetMode="External"/><Relationship Id="rId74" Type="http://schemas.openxmlformats.org/officeDocument/2006/relationships/hyperlink" Target="https://www.ontario.ca/page/water-management-policies-guidelines-provincial-water-quality-objectives" TargetMode="External"/><Relationship Id="rId128" Type="http://schemas.openxmlformats.org/officeDocument/2006/relationships/hyperlink" Target="https://www2.gov.bc.ca/assets/gov/environment/air-land-water/water/waterquality/water-quality-guidelines/bc_env_working_water_quality_guidelines.pdf" TargetMode="External"/><Relationship Id="rId149" Type="http://schemas.openxmlformats.org/officeDocument/2006/relationships/hyperlink" Target="https://www.gov.mb.ca/water/pubs/water/lakes-beaches-rivers/mb_water_quality_standard_final.pdf" TargetMode="External"/><Relationship Id="rId5" Type="http://schemas.openxmlformats.org/officeDocument/2006/relationships/hyperlink" Target="https://comptox.epa.gov/dashboard/dsstoxdb/results?search=DTXSID1032640" TargetMode="External"/><Relationship Id="rId95" Type="http://schemas.openxmlformats.org/officeDocument/2006/relationships/hyperlink" Target="https://www.environnement.gouv.qc.ca/eau/criteres_eau/details.asp?code=S0461" TargetMode="External"/><Relationship Id="rId160" Type="http://schemas.openxmlformats.org/officeDocument/2006/relationships/hyperlink" Target="https://www.environnement.gouv.qc.ca/eau/criteres_eau/details.asp?code=S0041" TargetMode="External"/><Relationship Id="rId181" Type="http://schemas.openxmlformats.org/officeDocument/2006/relationships/hyperlink" Target="https://www2.gov.bc.ca/assets/gov/environment/air-land-water/water/waterquality/water-quality-guidelines/bc_env_working_water_quality_guidelines.pdf" TargetMode="External"/><Relationship Id="rId22" Type="http://schemas.openxmlformats.org/officeDocument/2006/relationships/hyperlink" Target="https://comptox.epa.gov/dashboard/dsstoxdb/results?search=DTXSID5023114" TargetMode="External"/><Relationship Id="rId43" Type="http://schemas.openxmlformats.org/officeDocument/2006/relationships/hyperlink" Target="https://www.environnement.gouv.qc.ca/eau/criteres_eau/details.asp?code=S0430" TargetMode="External"/><Relationship Id="rId64" Type="http://schemas.openxmlformats.org/officeDocument/2006/relationships/hyperlink" Target="https://www.ontario.ca/page/water-management-policies-guidelines-provincial-water-quality-objectives" TargetMode="External"/><Relationship Id="rId118" Type="http://schemas.openxmlformats.org/officeDocument/2006/relationships/hyperlink" Target="https://www.environnement.gouv.qc.ca/eau/criteres_eau/details.asp?code=S0020" TargetMode="External"/><Relationship Id="rId139" Type="http://schemas.openxmlformats.org/officeDocument/2006/relationships/hyperlink" Target="https://www.environnement.gouv.qc.ca/eau/criteres_eau/details.asp?code=S0475" TargetMode="External"/><Relationship Id="rId85" Type="http://schemas.openxmlformats.org/officeDocument/2006/relationships/hyperlink" Target="https://www.environnement.gouv.qc.ca/eau/criteres_eau/details.asp?code=S0918" TargetMode="External"/><Relationship Id="rId150" Type="http://schemas.openxmlformats.org/officeDocument/2006/relationships/hyperlink" Target="https://open.alberta.ca/dataset/5298aadb-f5cc-4160-8620-ad139bb985d8/resource/38ed9bb1-233f-4e28-b344-808670b20dae/download/environmentalqualitysurfacewaters-mar28-2018.pdf" TargetMode="External"/><Relationship Id="rId171" Type="http://schemas.openxmlformats.org/officeDocument/2006/relationships/hyperlink" Target="https://open.alberta.ca/dataset/5298aadb-f5cc-4160-8620-ad139bb985d8/resource/38ed9bb1-233f-4e28-b344-808670b20dae/download/environmentalqualitysurfacewaters-mar28-2018.pdf" TargetMode="External"/><Relationship Id="rId192" Type="http://schemas.openxmlformats.org/officeDocument/2006/relationships/printerSettings" Target="../printerSettings/printerSettings6.bin"/><Relationship Id="rId12" Type="http://schemas.openxmlformats.org/officeDocument/2006/relationships/hyperlink" Target="https://comptox.epa.gov/dashboard/dsstoxdb/results?search=DTXSID4024195" TargetMode="External"/><Relationship Id="rId33" Type="http://schemas.openxmlformats.org/officeDocument/2006/relationships/hyperlink" Target="https://www2.gov.bc.ca/assets/gov/environment/air-land-water/water/waterquality/water-quality-guidelines/bc_env_working_water_quality_guidelines.pdf" TargetMode="External"/><Relationship Id="rId108" Type="http://schemas.openxmlformats.org/officeDocument/2006/relationships/hyperlink" Target="https://www.environnement.gouv.qc.ca/eau/criteres_eau/details.asp?code=S0553" TargetMode="External"/><Relationship Id="rId129" Type="http://schemas.openxmlformats.org/officeDocument/2006/relationships/hyperlink" Target="https://www2.gov.bc.ca/assets/gov/environment/air-land-water/water/waterquality/water-quality-guidelines/bc_env_working_water_quality_guidelines.pdf" TargetMode="External"/><Relationship Id="rId54" Type="http://schemas.openxmlformats.org/officeDocument/2006/relationships/hyperlink" Target="https://www.ontario.ca/page/water-management-policies-guidelines-provincial-water-quality-objectives" TargetMode="External"/><Relationship Id="rId75" Type="http://schemas.openxmlformats.org/officeDocument/2006/relationships/hyperlink" Target="https://www.ontario.ca/page/water-management-policies-guidelines-provincial-water-quality-objectives" TargetMode="External"/><Relationship Id="rId96" Type="http://schemas.openxmlformats.org/officeDocument/2006/relationships/hyperlink" Target="https://www.environnement.gouv.qc.ca/eau/criteres_eau/details.asp?code=S0918" TargetMode="External"/><Relationship Id="rId140" Type="http://schemas.openxmlformats.org/officeDocument/2006/relationships/hyperlink" Target="https://comptox.epa.gov/dashboard/dsstoxdb/results?search=DTXSID5037571" TargetMode="External"/><Relationship Id="rId161" Type="http://schemas.openxmlformats.org/officeDocument/2006/relationships/hyperlink" Target="https://open.alberta.ca/dataset/5298aadb-f5cc-4160-8620-ad139bb985d8/resource/38ed9bb1-233f-4e28-b344-808670b20dae/download/environmentalqualitysurfacewaters-mar28-2018.pdf" TargetMode="External"/><Relationship Id="rId182" Type="http://schemas.openxmlformats.org/officeDocument/2006/relationships/hyperlink" Target="https://www.environnement.gouv.qc.ca/eau/criteres_eau/details.asp?code=S0090" TargetMode="External"/><Relationship Id="rId6" Type="http://schemas.openxmlformats.org/officeDocument/2006/relationships/hyperlink" Target="https://comptox.epa.gov/dashboard/dsstoxdb/results?search=DTXSID2052736" TargetMode="External"/><Relationship Id="rId23" Type="http://schemas.openxmlformats.org/officeDocument/2006/relationships/hyperlink" Target="https://comptox.epa.gov/dashboard/dsstoxdb/results?search=DTXSID4020161" TargetMode="External"/><Relationship Id="rId119" Type="http://schemas.openxmlformats.org/officeDocument/2006/relationships/hyperlink" Target="https://www.environnement.gouv.qc.ca/eau/criteres_eau/details.asp?code=S0020" TargetMode="External"/><Relationship Id="rId44" Type="http://schemas.openxmlformats.org/officeDocument/2006/relationships/hyperlink" Target="https://www.environnement.gouv.qc.ca/eau/criteres_eau/details.asp?code=S0460" TargetMode="External"/><Relationship Id="rId65" Type="http://schemas.openxmlformats.org/officeDocument/2006/relationships/hyperlink" Target="https://comptox.epa.gov/dashboard/dsstoxdb/results?search=DTXSID2024113" TargetMode="External"/><Relationship Id="rId86" Type="http://schemas.openxmlformats.org/officeDocument/2006/relationships/hyperlink" Target="https://www.environnement.gouv.qc.ca/eau/criteres_eau/details.asp?code=S0001" TargetMode="External"/><Relationship Id="rId130" Type="http://schemas.openxmlformats.org/officeDocument/2006/relationships/hyperlink" Target="https://www.gov.mb.ca/water/pubs/water/lakes-beaches-rivers/mb_water_quality_standard_final.pdf" TargetMode="External"/><Relationship Id="rId151" Type="http://schemas.openxmlformats.org/officeDocument/2006/relationships/hyperlink" Target="https://www.gov.mb.ca/water/pubs/water/lakes-beaches-rivers/mb_water_quality_standard_final.pdf" TargetMode="External"/><Relationship Id="rId172" Type="http://schemas.openxmlformats.org/officeDocument/2006/relationships/hyperlink" Target="https://www.gov.mb.ca/water/pubs/water/lake" TargetMode="External"/><Relationship Id="rId13" Type="http://schemas.openxmlformats.org/officeDocument/2006/relationships/hyperlink" Target="https://comptox.epa.gov/dashboard/dsstoxdb/results?search=DTXSID9020322" TargetMode="External"/><Relationship Id="rId18" Type="http://schemas.openxmlformats.org/officeDocument/2006/relationships/hyperlink" Target="https://comptox.epa.gov/dashboard/dsstoxdb/results?search=DTXSID8023975" TargetMode="External"/><Relationship Id="rId39" Type="http://schemas.openxmlformats.org/officeDocument/2006/relationships/hyperlink" Target="https://www2.gov.bc.ca/assets/gov/environment/air-land-water/water/waterquality/water-quality-guidelines/bc_env_working_water_quality_guidelines.pdf" TargetMode="External"/><Relationship Id="rId109" Type="http://schemas.openxmlformats.org/officeDocument/2006/relationships/hyperlink" Target="https://www.environnement.gouv.qc.ca/eau/criteres_eau/details.asp?code=S0553" TargetMode="External"/><Relationship Id="rId34" Type="http://schemas.openxmlformats.org/officeDocument/2006/relationships/hyperlink" Target="https://www2.gov.bc.ca/assets/gov/environment/air-land-water/water/waterquality/water-quality-guidelines/bc_env_working_water_quality_guidelines.pdf" TargetMode="External"/><Relationship Id="rId50" Type="http://schemas.openxmlformats.org/officeDocument/2006/relationships/hyperlink" Target="https://www.environnement.gouv.qc.ca/eau/criteres_eau/details.asp?code=S0203" TargetMode="External"/><Relationship Id="rId55" Type="http://schemas.openxmlformats.org/officeDocument/2006/relationships/hyperlink" Target="https://www.ontario.ca/page/water-management-policies-guidelines-provincial-water-quality-objectives" TargetMode="External"/><Relationship Id="rId76" Type="http://schemas.openxmlformats.org/officeDocument/2006/relationships/hyperlink" Target="https://comptox.epa.gov/dashboard/dsstoxdb/results?search=DTXSID6023737" TargetMode="External"/><Relationship Id="rId97" Type="http://schemas.openxmlformats.org/officeDocument/2006/relationships/hyperlink" Target="https://www.environnement.gouv.qc.ca/eau/criteres_eau/details.asp?code=S0001" TargetMode="External"/><Relationship Id="rId104" Type="http://schemas.openxmlformats.org/officeDocument/2006/relationships/hyperlink" Target="https://www.environnement.gouv.qc.ca/eau/criteres_eau/details.asp?code=S0506" TargetMode="External"/><Relationship Id="rId120" Type="http://schemas.openxmlformats.org/officeDocument/2006/relationships/hyperlink" Target="https://www.environnement.gouv.qc.ca/eau/criteres_eau/details.asp?code=S0155" TargetMode="External"/><Relationship Id="rId125" Type="http://schemas.openxmlformats.org/officeDocument/2006/relationships/hyperlink" Target="https://www.environnement.gouv.qc.ca/eau/criteres_eau/details.asp?code=S0960" TargetMode="External"/><Relationship Id="rId141" Type="http://schemas.openxmlformats.org/officeDocument/2006/relationships/hyperlink" Target="http://www.saskh2o.ca/pdf/epb356.pdf" TargetMode="External"/><Relationship Id="rId146" Type="http://schemas.openxmlformats.org/officeDocument/2006/relationships/hyperlink" Target="https://comptox.epa.gov/dashboard/dsstoxdb/results?search=DTXSID5037571" TargetMode="External"/><Relationship Id="rId167" Type="http://schemas.openxmlformats.org/officeDocument/2006/relationships/hyperlink" Target="https://www.environnement.gouv.qc.ca/eau/criteres_eau/details.asp?code=S0313" TargetMode="External"/><Relationship Id="rId188" Type="http://schemas.openxmlformats.org/officeDocument/2006/relationships/hyperlink" Target="https://www2.gov.bc.ca/assets/gov/environment/air-land-water/water/waterquality/water-quality-guidelines/bc_env_working_water_quality_guidelines.pdf" TargetMode="External"/><Relationship Id="rId7" Type="http://schemas.openxmlformats.org/officeDocument/2006/relationships/hyperlink" Target="https://comptox.epa.gov/dashboard/dsstoxdb/results?search=DTXSID6020147" TargetMode="External"/><Relationship Id="rId71" Type="http://schemas.openxmlformats.org/officeDocument/2006/relationships/hyperlink" Target="https://www.ontario.ca/page/water-management-policies-guidelines-provincial-water-quality-objectives" TargetMode="External"/><Relationship Id="rId92" Type="http://schemas.openxmlformats.org/officeDocument/2006/relationships/hyperlink" Target="https://www.environnement.gouv.qc.ca/eau/criteres_eau/details.asp?code=S0506" TargetMode="External"/><Relationship Id="rId162" Type="http://schemas.openxmlformats.org/officeDocument/2006/relationships/hyperlink" Target="https://www.gov.mb.ca/water/pubs/water/lakes-beaches-rivers/mb_water_quality_standard_final.pdf" TargetMode="External"/><Relationship Id="rId183" Type="http://schemas.openxmlformats.org/officeDocument/2006/relationships/hyperlink" Target="https://www.environnement.gouv.qc.ca/eau/criteres_eau/details.asp?code=S0092" TargetMode="External"/><Relationship Id="rId2" Type="http://schemas.openxmlformats.org/officeDocument/2006/relationships/hyperlink" Target="https://comptox.epa.gov/dashboard/dsstoxdb/results?search=DTXSID1032482" TargetMode="External"/><Relationship Id="rId29" Type="http://schemas.openxmlformats.org/officeDocument/2006/relationships/hyperlink" Target="https://www2.gov.bc.ca/assets/gov/environment/air-land-water/water/waterquality/water-quality-guidelines/bc_env_working_water_quality_guidelines.pdf" TargetMode="External"/><Relationship Id="rId24" Type="http://schemas.openxmlformats.org/officeDocument/2006/relationships/hyperlink" Target="https://comptox.epa.gov/dashboard/dsstoxdb/results?search=DTXSID4020878" TargetMode="External"/><Relationship Id="rId40" Type="http://schemas.openxmlformats.org/officeDocument/2006/relationships/hyperlink" Target="https://www2.gov.bc.ca/assets/gov/environment/air-land-water/water/waterquality/water-quality-guidelines/bc_env_working_water_quality_guidelines.pdf" TargetMode="External"/><Relationship Id="rId45" Type="http://schemas.openxmlformats.org/officeDocument/2006/relationships/hyperlink" Target="https://www2.gov.bc.ca/assets/gov/environment/air-land-water/water/waterquality/water-quality-guidelines/bc_env_working_water_quality_guidelines.pdf" TargetMode="External"/><Relationship Id="rId66" Type="http://schemas.openxmlformats.org/officeDocument/2006/relationships/hyperlink" Target="https://www.ontario.ca/page/water-management-policies-guidelines-provincial-water-quality-objectives" TargetMode="External"/><Relationship Id="rId87" Type="http://schemas.openxmlformats.org/officeDocument/2006/relationships/hyperlink" Target="https://comptox.epa.gov/dashboard/dsstoxdb/results?search=DTXSID6023737" TargetMode="External"/><Relationship Id="rId110" Type="http://schemas.openxmlformats.org/officeDocument/2006/relationships/hyperlink" Target="https://www.environnement.gouv.qc.ca/eau/criteres_eau/details.asp?code=S0417" TargetMode="External"/><Relationship Id="rId115" Type="http://schemas.openxmlformats.org/officeDocument/2006/relationships/hyperlink" Target="https://www.environnement.gouv.qc.ca/eau/criteres_eau/details.asp?code=S0379" TargetMode="External"/><Relationship Id="rId131" Type="http://schemas.openxmlformats.org/officeDocument/2006/relationships/hyperlink" Target="https://www.environnement.gouv.qc.ca/eau/criteres_eau/details.asp?code=S0257" TargetMode="External"/><Relationship Id="rId136" Type="http://schemas.openxmlformats.org/officeDocument/2006/relationships/hyperlink" Target="https://comptox.epa.gov/dashboard/dsstoxdb/results?search=DTXSID40869118" TargetMode="External"/><Relationship Id="rId157" Type="http://schemas.openxmlformats.org/officeDocument/2006/relationships/hyperlink" Target="https://www.gov.mb.ca/water/pubs/water/lakes-beaches-rivers/mb_water_quality_standard_final.pdf" TargetMode="External"/><Relationship Id="rId178" Type="http://schemas.openxmlformats.org/officeDocument/2006/relationships/hyperlink" Target="https://www.environnement.gouv.qc.ca/eau/criteres_eau/details.asp?code=S0039" TargetMode="External"/><Relationship Id="rId61" Type="http://schemas.openxmlformats.org/officeDocument/2006/relationships/hyperlink" Target="https://www.ontario.ca/page/water-management-policies-guidelines-provincial-water-quality-objectives" TargetMode="External"/><Relationship Id="rId82" Type="http://schemas.openxmlformats.org/officeDocument/2006/relationships/hyperlink" Target="https://www.environnement.gouv.qc.ca/eau/criteres_eau/details.asp?code=S0148" TargetMode="External"/><Relationship Id="rId152" Type="http://schemas.openxmlformats.org/officeDocument/2006/relationships/hyperlink" Target="https://open.alberta.ca/dataset/5298aadb-f5cc-4160-8620-ad139bb985d8/resource/38ed9bb1-233f-4e28-b344-808670b20dae/download/environmentalqualitysurfacewaters-mar28-2018.pdf" TargetMode="External"/><Relationship Id="rId173" Type="http://schemas.openxmlformats.org/officeDocument/2006/relationships/hyperlink" Target="https://open.alberta.ca/dataset/5298aadb-f5cc-4160-8620-ad139bb985d8/resource/38ed9bb1-233f-4e28-b344-808" TargetMode="External"/><Relationship Id="rId19" Type="http://schemas.openxmlformats.org/officeDocument/2006/relationships/hyperlink" Target="https://comptox.epa.gov/dashboard/dsstoxdb/results?search=DTXSID1024465" TargetMode="External"/><Relationship Id="rId14" Type="http://schemas.openxmlformats.org/officeDocument/2006/relationships/hyperlink" Target="https://comptox.epa.gov/dashboard/dsstoxdb/results?search=DTXSID9034868" TargetMode="External"/><Relationship Id="rId30" Type="http://schemas.openxmlformats.org/officeDocument/2006/relationships/hyperlink" Target="https://www2.gov.bc.ca/assets/gov/environment/air-land-water/water/waterquality/water-quality-guidelines/bc_env_working_water_quality_guidelines.pdf" TargetMode="External"/><Relationship Id="rId35" Type="http://schemas.openxmlformats.org/officeDocument/2006/relationships/hyperlink" Target="https://www.environnement.gouv.qc.ca/eau/criteres_eau/details.asp?code=S0302" TargetMode="External"/><Relationship Id="rId56" Type="http://schemas.openxmlformats.org/officeDocument/2006/relationships/hyperlink" Target="https://www.ontario.ca/page/water-management-policies-guidelines-provincial-water-quality-objectives" TargetMode="External"/><Relationship Id="rId77" Type="http://schemas.openxmlformats.org/officeDocument/2006/relationships/hyperlink" Target="https://www.ontario.ca/page/water-management-policies-guidelines-provincial-water-quality-objectives" TargetMode="External"/><Relationship Id="rId100" Type="http://schemas.openxmlformats.org/officeDocument/2006/relationships/hyperlink" Target="https://www.environnement.gouv.qc.ca/eau/criteres_eau/details.asp?code=S0382" TargetMode="External"/><Relationship Id="rId105" Type="http://schemas.openxmlformats.org/officeDocument/2006/relationships/hyperlink" Target="https://www.environnement.gouv.qc.ca/eau/criteres_eau/details.asp?code=S0506" TargetMode="External"/><Relationship Id="rId126" Type="http://schemas.openxmlformats.org/officeDocument/2006/relationships/hyperlink" Target="https://www.environnement.gouv.qc.ca/eau/criteres_eau/details.asp?code=S0239" TargetMode="External"/><Relationship Id="rId147" Type="http://schemas.openxmlformats.org/officeDocument/2006/relationships/hyperlink" Target="http://www.saskh2o.ca/pdf/epb356.pdf" TargetMode="External"/><Relationship Id="rId168" Type="http://schemas.openxmlformats.org/officeDocument/2006/relationships/hyperlink" Target="https://open.alberta.ca/dataset/5298aadb-f5cc-4160-8620-ad139bb985d8/resource/38ed9bb1-233f-4e28-b344-808670b20dae/download/environmentalqualitysurfacewaters-mar28-2018.pdf" TargetMode="External"/><Relationship Id="rId8" Type="http://schemas.openxmlformats.org/officeDocument/2006/relationships/hyperlink" Target="https://comptox.epa.gov/dashboard/dsstoxdb/results?search=DTXSID5020819" TargetMode="External"/><Relationship Id="rId51" Type="http://schemas.openxmlformats.org/officeDocument/2006/relationships/hyperlink" Target="https://www.ontario.ca/page/water-management-policies-guidelines-provincial-water-quality-objectives" TargetMode="External"/><Relationship Id="rId72" Type="http://schemas.openxmlformats.org/officeDocument/2006/relationships/hyperlink" Target="https://www.ontario.ca/page/water-management-policies-guidelines-provincial-water-quality-objectives" TargetMode="External"/><Relationship Id="rId93" Type="http://schemas.openxmlformats.org/officeDocument/2006/relationships/hyperlink" Target="https://www.environnement.gouv.qc.ca/eau/criteres_eau/details.asp?code=S0148" TargetMode="External"/><Relationship Id="rId98" Type="http://schemas.openxmlformats.org/officeDocument/2006/relationships/hyperlink" Target="https://comptox.epa.gov/dashboard/dsstoxdb/results?search=DTXSID40869118" TargetMode="External"/><Relationship Id="rId121" Type="http://schemas.openxmlformats.org/officeDocument/2006/relationships/hyperlink" Target="https://www.environnement.gouv.qc.ca/eau/criteres_eau/details.asp?code=S0155" TargetMode="External"/><Relationship Id="rId142" Type="http://schemas.openxmlformats.org/officeDocument/2006/relationships/hyperlink" Target="https://open.alberta.ca/dataset/5298aadb-f5cc-4160-8620-ad139bb985d8/resource/38ed9bb1-233f-4e28-b344-808670b20dae/download/environmentalqualitysurfacewaters-mar28-2018.pdf;" TargetMode="External"/><Relationship Id="rId163" Type="http://schemas.openxmlformats.org/officeDocument/2006/relationships/hyperlink" Target="https://open.alberta.ca/dataset/5298aadb-f5cc-4160-8620-ad139bb985d8/resource/38ed9bb1-233f-4e28-b344-808" TargetMode="External"/><Relationship Id="rId184" Type="http://schemas.openxmlformats.org/officeDocument/2006/relationships/hyperlink" Target="https://www.environnement.gouv.qc.ca/eau/criteres_eau/details.asp?code=S0128" TargetMode="External"/><Relationship Id="rId189" Type="http://schemas.openxmlformats.org/officeDocument/2006/relationships/hyperlink" Target="https://www.environnement.gouv.qc.ca/eau/criteres_eau/details.asp?code=S0239" TargetMode="External"/><Relationship Id="rId3" Type="http://schemas.openxmlformats.org/officeDocument/2006/relationships/hyperlink" Target="https://comptox.epa.gov/dashboard/dsstoxdb/results?search=DTXSID4058499" TargetMode="External"/><Relationship Id="rId25" Type="http://schemas.openxmlformats.org/officeDocument/2006/relationships/hyperlink" Target="https://comptox.epa.gov/dashboard/dsstoxdb/results?search=DTXSID4022658" TargetMode="External"/><Relationship Id="rId46" Type="http://schemas.openxmlformats.org/officeDocument/2006/relationships/hyperlink" Target="https://www.gov.mb.ca/water/pubs/water/lakes-beaches-rivers/mb_water_quality_stan" TargetMode="External"/><Relationship Id="rId67" Type="http://schemas.openxmlformats.org/officeDocument/2006/relationships/hyperlink" Target="https://comptox.epa.gov/dashboard/dsstoxdb/results?search=DTXSID9020322" TargetMode="External"/><Relationship Id="rId116" Type="http://schemas.openxmlformats.org/officeDocument/2006/relationships/hyperlink" Target="https://www.environnement.gouv.qc.ca/eau/criteres_eau/details.asp?code=S0595" TargetMode="External"/><Relationship Id="rId137" Type="http://schemas.openxmlformats.org/officeDocument/2006/relationships/hyperlink" Target="http://www.saskh2o.ca/pdf/epb356.pdf" TargetMode="External"/><Relationship Id="rId158" Type="http://schemas.openxmlformats.org/officeDocument/2006/relationships/hyperlink" Target="https://comptox.epa.gov/dashboard/dsstoxdb/results?search=DTXSID9020322" TargetMode="External"/><Relationship Id="rId20" Type="http://schemas.openxmlformats.org/officeDocument/2006/relationships/hyperlink" Target="https://comptox.epa.gov/dashboard/dsstoxdb/results?search=DTXSID6023737" TargetMode="External"/><Relationship Id="rId41" Type="http://schemas.openxmlformats.org/officeDocument/2006/relationships/hyperlink" Target="https://www2.gov.bc.ca/assets/gov/environment/air-land-water/water/waterquality/water-quality-guidelines/bc_env_working_water_quality_guidelines.pdf" TargetMode="External"/><Relationship Id="rId62" Type="http://schemas.openxmlformats.org/officeDocument/2006/relationships/hyperlink" Target="https://www.ontario.ca/page/water-management-policies-guidelines-provincial-water-quality-objectives" TargetMode="External"/><Relationship Id="rId83" Type="http://schemas.openxmlformats.org/officeDocument/2006/relationships/hyperlink" Target="https://www.environnement.gouv.qc.ca/eau/criteres_eau/details.asp?code=S0234" TargetMode="External"/><Relationship Id="rId88" Type="http://schemas.openxmlformats.org/officeDocument/2006/relationships/hyperlink" Target="https://www.environnement.gouv.qc.ca/eau/criteres_eau/details.asp?code=S0382" TargetMode="External"/><Relationship Id="rId111" Type="http://schemas.openxmlformats.org/officeDocument/2006/relationships/hyperlink" Target="https://www.environnement.gouv.qc.ca/eau/criteres_eau/details.asp?code=S0417" TargetMode="External"/><Relationship Id="rId132" Type="http://schemas.openxmlformats.org/officeDocument/2006/relationships/hyperlink" Target="https://open.alberta.ca/dataset/5298aadb-f5cc-4160-8620-ad139bb985d8/resource/38ed9bb1-233f-4e28-b344-808670b20dae/download/environmentalqualitysurfacewaters-mar28-2018.pdf" TargetMode="External"/><Relationship Id="rId153" Type="http://schemas.openxmlformats.org/officeDocument/2006/relationships/hyperlink" Target="https://www.gov.mb.ca/water/pubs/water/lakes-beaches-rivers/mb_water_quality_standard_final.pdf" TargetMode="External"/><Relationship Id="rId174" Type="http://schemas.openxmlformats.org/officeDocument/2006/relationships/hyperlink" Target="https://open.alberta.ca/dataset/5298aadb-f5cc-4160-8620-ad139bb985d8/resource/38ed9bb1-233f-4e28-b344-812" TargetMode="External"/><Relationship Id="rId179" Type="http://schemas.openxmlformats.org/officeDocument/2006/relationships/hyperlink" Target="https://www2.gov.bc.ca/assets/gov/environment/air-land-water/water/waterquality/water-quality-guidelines/bc_env_working_water_quality_guidelines.pdf" TargetMode="External"/><Relationship Id="rId190" Type="http://schemas.openxmlformats.org/officeDocument/2006/relationships/hyperlink" Target="https://comptox.epa.gov/dashboard/dsstoxdb/results?search=DTXSID0020442" TargetMode="External"/><Relationship Id="rId15" Type="http://schemas.openxmlformats.org/officeDocument/2006/relationships/hyperlink" Target="https://comptox.epa.gov/dashboard/dsstoxdb/results?search=DTXSID2020636" TargetMode="External"/><Relationship Id="rId36" Type="http://schemas.openxmlformats.org/officeDocument/2006/relationships/hyperlink" Target="https://www2.gov.bc.ca/assets/gov/environment/air-land-water/water/waterquality/water-quality-guidelines/bc_env_working_water_quality_guidelines.pdf" TargetMode="External"/><Relationship Id="rId57" Type="http://schemas.openxmlformats.org/officeDocument/2006/relationships/hyperlink" Target="https://www.ontario.ca/page/water-management-policies-guidelines-provincial-water-quality-objectives" TargetMode="External"/><Relationship Id="rId106" Type="http://schemas.openxmlformats.org/officeDocument/2006/relationships/hyperlink" Target="https://www.environnement.gouv.qc.ca/eau/criteres_eau/details.asp?code=S0622" TargetMode="External"/><Relationship Id="rId127" Type="http://schemas.openxmlformats.org/officeDocument/2006/relationships/hyperlink" Target="http://www.saskh2o.ca/pdf/epb356.pdf" TargetMode="External"/><Relationship Id="rId10" Type="http://schemas.openxmlformats.org/officeDocument/2006/relationships/hyperlink" Target="https://comptox.epa.gov/dashboard/dsstoxdb/results?search=DTXSID1023445" TargetMode="External"/><Relationship Id="rId31" Type="http://schemas.openxmlformats.org/officeDocument/2006/relationships/hyperlink" Target="https://www2.gov.bc.ca/assets/gov/environment/air-land-water/water/waterquality/water-quality-guidelines/bc_env_working_water_quality_guidelines.pdf" TargetMode="External"/><Relationship Id="rId52" Type="http://schemas.openxmlformats.org/officeDocument/2006/relationships/hyperlink" Target="https://www.ontario.ca/page/water-management-policies-guidelines-provincial-water-quality-objectives" TargetMode="External"/><Relationship Id="rId73" Type="http://schemas.openxmlformats.org/officeDocument/2006/relationships/hyperlink" Target="https://www.ontario.ca/page/water-management-policies-guidelines-provincial-water-quality-objectives" TargetMode="External"/><Relationship Id="rId78" Type="http://schemas.openxmlformats.org/officeDocument/2006/relationships/hyperlink" Target="https://www.ontario.ca/page/water-management-policies-guidelines-provincial-water-quality-objectives" TargetMode="External"/><Relationship Id="rId94" Type="http://schemas.openxmlformats.org/officeDocument/2006/relationships/hyperlink" Target="https://www.environnement.gouv.qc.ca/eau/criteres_eau/details.asp?code=S0234" TargetMode="External"/><Relationship Id="rId99" Type="http://schemas.openxmlformats.org/officeDocument/2006/relationships/hyperlink" Target="https://comptox.epa.gov/dashboard/dsstoxdb/results?search=DTXSID6023737" TargetMode="External"/><Relationship Id="rId101" Type="http://schemas.openxmlformats.org/officeDocument/2006/relationships/hyperlink" Target="https://comptox.epa.gov/dashboard/dsstoxdb/results?search=DTXSID2024113" TargetMode="External"/><Relationship Id="rId122" Type="http://schemas.openxmlformats.org/officeDocument/2006/relationships/hyperlink" Target="https://www.environnement.gouv.qc.ca/eau/criteres_eau/details.asp?code=S0935" TargetMode="External"/><Relationship Id="rId143" Type="http://schemas.openxmlformats.org/officeDocument/2006/relationships/hyperlink" Target="https://www.gov.mb.ca/water/pubs/water/lakes-beaches-rivers/mb_water_quality_standard_final.pdf" TargetMode="External"/><Relationship Id="rId148" Type="http://schemas.openxmlformats.org/officeDocument/2006/relationships/hyperlink" Target="https://open.alberta.ca/dataset/5298aadb-f5cc-4160-8620-ad139bb985d8/resource/38ed9bb1-233f-4e28-b344-808670b20dae/download/environmentalqualitysurfacewaters-mar28-2018.pdf" TargetMode="External"/><Relationship Id="rId164" Type="http://schemas.openxmlformats.org/officeDocument/2006/relationships/hyperlink" Target="https://open.alberta.ca/dataset/5298aadb-f5cc-4160-8620-ad139bb985d8/resource/38ed9bb1-233f-4e28-b344-808670b20dae/download/environmentalqualitysurfacewaters-mar28-2018.pdf" TargetMode="External"/><Relationship Id="rId169" Type="http://schemas.openxmlformats.org/officeDocument/2006/relationships/hyperlink" Target="https://open.alberta.ca/dataset/5298aadb-f5cc-4160-8620-ad139bb985d8/resource/38ed9bb1-233f-4e28-b344-808670b20dae/download/environmentalqualitysurfacewaters-mar28-2018.pdf" TargetMode="External"/><Relationship Id="rId185" Type="http://schemas.openxmlformats.org/officeDocument/2006/relationships/hyperlink" Target="https://www.environnement.gouv.qc.ca/eau/criteres_eau/details.asp?code=S0114" TargetMode="External"/><Relationship Id="rId4" Type="http://schemas.openxmlformats.org/officeDocument/2006/relationships/hyperlink" Target="https://comptox.epa.gov/dashboard/dsstoxdb/results?search=DTXSID9037539" TargetMode="External"/><Relationship Id="rId9" Type="http://schemas.openxmlformats.org/officeDocument/2006/relationships/hyperlink" Target="https://comptox.epa.gov/dashboard/dsstoxdb/results?search=DTXSID5037571" TargetMode="External"/><Relationship Id="rId180" Type="http://schemas.openxmlformats.org/officeDocument/2006/relationships/hyperlink" Target="https://www.environnement.gouv.qc.ca/eau/criteres_eau/details.asp?code=S0079" TargetMode="External"/><Relationship Id="rId26" Type="http://schemas.openxmlformats.org/officeDocument/2006/relationships/hyperlink" Target="https://comptox.epa.gov/dashboard/dsstoxdb/results?search=DTXSID8020913" TargetMode="External"/><Relationship Id="rId47" Type="http://schemas.openxmlformats.org/officeDocument/2006/relationships/hyperlink" Target="https://www.gov.mb.ca/water/pubs/water/lakes-beaches-rivers/mb_water_quality_stan" TargetMode="External"/><Relationship Id="rId68" Type="http://schemas.openxmlformats.org/officeDocument/2006/relationships/hyperlink" Target="https://www.ontario.ca/page/water-management-policies-guidelines-provincial-water-quality-objectives" TargetMode="External"/><Relationship Id="rId89" Type="http://schemas.openxmlformats.org/officeDocument/2006/relationships/hyperlink" Target="https://comptox.epa.gov/dashboard/dsstoxdb/results?search=DTXSID2024113" TargetMode="External"/><Relationship Id="rId112" Type="http://schemas.openxmlformats.org/officeDocument/2006/relationships/hyperlink" Target="https://www.environnement.gouv.qc.ca/eau/criteres_eau/details.asp?code=S0443" TargetMode="External"/><Relationship Id="rId133" Type="http://schemas.openxmlformats.org/officeDocument/2006/relationships/hyperlink" Target="https://www2.gov.bc.ca/assets/gov/environment/air-land-water/water/waterquality/water-quality-guidelines/bc_env_working_water_quality_guidelines.pdf" TargetMode="External"/><Relationship Id="rId154" Type="http://schemas.openxmlformats.org/officeDocument/2006/relationships/hyperlink" Target="https://comptox.epa.gov/dashboard/dsstoxdb/results?search=DTXSID2024113" TargetMode="External"/><Relationship Id="rId175" Type="http://schemas.openxmlformats.org/officeDocument/2006/relationships/hyperlink" Target="https://open.alberta.ca/dataset/5298aadb-f5cc-4160-8620-ad139bb985d8/resource/38ed9bb1-233f-4e28-b344-808" TargetMode="External"/><Relationship Id="rId16" Type="http://schemas.openxmlformats.org/officeDocument/2006/relationships/hyperlink" Target="https://comptox.epa.gov/dashboard/dsstoxdb/results?search=DTXSID9024194" TargetMode="External"/><Relationship Id="rId37" Type="http://schemas.openxmlformats.org/officeDocument/2006/relationships/hyperlink" Target="https://www2.gov.bc.ca/assets/gov/environment/air-land-water/water/waterquality/water-quality-guidelines/bc_env_working_water_quality_guidelines.pdf;" TargetMode="External"/><Relationship Id="rId58" Type="http://schemas.openxmlformats.org/officeDocument/2006/relationships/hyperlink" Target="https://www.ontario.ca/page/water-management-policies-guidelines-provincial-water-quality-objectives" TargetMode="External"/><Relationship Id="rId79" Type="http://schemas.openxmlformats.org/officeDocument/2006/relationships/hyperlink" Target="https://www.ontario.ca/page/water-management-policies-guidelines-provincial-water-quality-objectives" TargetMode="External"/><Relationship Id="rId102" Type="http://schemas.openxmlformats.org/officeDocument/2006/relationships/hyperlink" Target="https://www.environnement.gouv.qc.ca/eau/criteres_eau/details.asp?code=S0258" TargetMode="External"/><Relationship Id="rId123" Type="http://schemas.openxmlformats.org/officeDocument/2006/relationships/hyperlink" Target="https://www.environnement.gouv.qc.ca/eau/criteres_eau/details.asp?code=S0935" TargetMode="External"/><Relationship Id="rId144" Type="http://schemas.openxmlformats.org/officeDocument/2006/relationships/hyperlink" Target="https://open.alberta.ca/dataset/5298aadb-f5cc-4160-8620-ad139bb985d8/resource/38ed9bb1-233f-4e28-b344-808670b20dae/download/environmentalqualitysurfacewaters-mar28-2018.pdf" TargetMode="External"/><Relationship Id="rId90" Type="http://schemas.openxmlformats.org/officeDocument/2006/relationships/hyperlink" Target="https://www.environnement.gouv.qc.ca/eau/criteres_eau/details.asp?code=S0258" TargetMode="External"/><Relationship Id="rId165" Type="http://schemas.openxmlformats.org/officeDocument/2006/relationships/hyperlink" Target="https://www.environnement.gouv.qc.ca/eau/criteres_eau/details.asp?code=S0501" TargetMode="External"/><Relationship Id="rId186" Type="http://schemas.openxmlformats.org/officeDocument/2006/relationships/hyperlink" Target="https://www.environnement.gouv.qc.ca/eau/criteres_eau/details.asp?code=S0137" TargetMode="External"/><Relationship Id="rId27" Type="http://schemas.openxmlformats.org/officeDocument/2006/relationships/hyperlink" Target="https://comptox.epa.gov/dashboard/dsstoxdb/results?search=DTXSID0023955" TargetMode="External"/><Relationship Id="rId48" Type="http://schemas.openxmlformats.org/officeDocument/2006/relationships/hyperlink" Target="https://www2.gov.bc.ca/assets/gov/environment/air-land-water/water/waterquality/water-quality-guidelines/bc_env_working_water_quality_guidelines.pdf" TargetMode="External"/><Relationship Id="rId69" Type="http://schemas.openxmlformats.org/officeDocument/2006/relationships/hyperlink" Target="https://www.ontario.ca/page/water-management-policies-guidelines-provincial-water-quality-objectives" TargetMode="External"/><Relationship Id="rId113" Type="http://schemas.openxmlformats.org/officeDocument/2006/relationships/hyperlink" Target="https://www.environnement.gouv.qc.ca/eau/criteres_eau/details.asp?code=S0443" TargetMode="External"/><Relationship Id="rId134" Type="http://schemas.openxmlformats.org/officeDocument/2006/relationships/hyperlink" Target="https://www.ontario.ca/page/water-management-policies-guidelines-provincial-water-quality-objectives" TargetMode="External"/><Relationship Id="rId80" Type="http://schemas.openxmlformats.org/officeDocument/2006/relationships/hyperlink" Target="https://www.ontario.ca/page/water-management-policies-guidelines-provincial-water-quality-objectives" TargetMode="External"/><Relationship Id="rId155" Type="http://schemas.openxmlformats.org/officeDocument/2006/relationships/hyperlink" Target="https://comptox.epa.gov/dashboard/dsstoxdb/results?search=DTXSID2024113" TargetMode="External"/><Relationship Id="rId176" Type="http://schemas.openxmlformats.org/officeDocument/2006/relationships/hyperlink" Target="https://www2.gov.bc.ca/assets/gov/environment/air-land-water/water/waterquality/water-quality-guidelines/bc_env_working_water_quality_guidelines.pdf" TargetMode="External"/><Relationship Id="rId17" Type="http://schemas.openxmlformats.org/officeDocument/2006/relationships/hyperlink" Target="https://comptox.epa.gov/dashboard/dsstoxdb/results?search=DTXSID5040675" TargetMode="External"/><Relationship Id="rId38" Type="http://schemas.openxmlformats.org/officeDocument/2006/relationships/hyperlink" Target="https://www2.gov.bc.ca/assets/gov/environment/air-land-water/water/waterquality/water-quality-guidelines/bc_env_working_water_quality_guidelines.pdf" TargetMode="External"/><Relationship Id="rId59" Type="http://schemas.openxmlformats.org/officeDocument/2006/relationships/hyperlink" Target="https://www.ontario.ca/page/water-management-policies-guidelines-provincial-water-quality-objectives" TargetMode="External"/><Relationship Id="rId103" Type="http://schemas.openxmlformats.org/officeDocument/2006/relationships/hyperlink" Target="https://comptox.epa.gov/dashboard/dsstoxdb/results?search=DTXSID4024195" TargetMode="External"/><Relationship Id="rId124" Type="http://schemas.openxmlformats.org/officeDocument/2006/relationships/hyperlink" Target="https://www.environnement.gouv.qc.ca/eau/criteres_eau/details.asp?code=S0960" TargetMode="External"/><Relationship Id="rId70" Type="http://schemas.openxmlformats.org/officeDocument/2006/relationships/hyperlink" Target="https://www.ontario.ca/page/water-management-policies-guidelines-provincial-water-quality-objectives" TargetMode="External"/><Relationship Id="rId91" Type="http://schemas.openxmlformats.org/officeDocument/2006/relationships/hyperlink" Target="https://www.environnement.gouv.qc.ca/eau/criteres_eau/details.asp?code=S0339" TargetMode="External"/><Relationship Id="rId145" Type="http://schemas.openxmlformats.org/officeDocument/2006/relationships/hyperlink" Target="https://open.alberta.ca/dataset/5298aadb-f5cc-4160-8620-ad139bb985d8/resource/38ed9bb1-233f-4e28-b344-808670b20dae/download/environmentalqualitysurfacewaters-mar28-2018.pdf" TargetMode="External"/><Relationship Id="rId166" Type="http://schemas.openxmlformats.org/officeDocument/2006/relationships/hyperlink" Target="https://open.alberta.ca/dataset/5298aadb-f5cc-4160-8620-ad139bb985d8/resource/38ed9bb1-233f-4e28-b344-808670b20dae/download/environmentalqualitysurfacewaters-mar28-2018.pdf" TargetMode="External"/><Relationship Id="rId187" Type="http://schemas.openxmlformats.org/officeDocument/2006/relationships/hyperlink" Target="https://www.environnement.gouv.qc.ca/eau/criteres_eau/details.asp?code=S0163" TargetMode="External"/><Relationship Id="rId1" Type="http://schemas.openxmlformats.org/officeDocument/2006/relationships/hyperlink" Target="https://comptox.epa.gov/dashboard/dsstoxdb/results?search=DTXSID5037523" TargetMode="External"/><Relationship Id="rId28" Type="http://schemas.openxmlformats.org/officeDocument/2006/relationships/hyperlink" Target="https://comptox.epa.gov/dashboard/dsstoxdb/results?search=DTXSID9020877" TargetMode="External"/><Relationship Id="rId49" Type="http://schemas.openxmlformats.org/officeDocument/2006/relationships/hyperlink" Target="https://www.gov.mb.ca/water/pubs/water/lake" TargetMode="External"/><Relationship Id="rId114" Type="http://schemas.openxmlformats.org/officeDocument/2006/relationships/hyperlink" Target="https://www.environnement.gouv.qc.ca/eau/criteres_eau/details.asp?code=S0379" TargetMode="External"/><Relationship Id="rId60" Type="http://schemas.openxmlformats.org/officeDocument/2006/relationships/hyperlink" Target="https://www.ontario.ca/page/water-management-policies-guidelines-provincial-water-quality-objectives" TargetMode="External"/><Relationship Id="rId81" Type="http://schemas.openxmlformats.org/officeDocument/2006/relationships/hyperlink" Target="https://www.ontario.ca/page/water-management-policies-guidelines-provincial-water-quality-objectives" TargetMode="External"/><Relationship Id="rId135" Type="http://schemas.openxmlformats.org/officeDocument/2006/relationships/hyperlink" Target="https://comptox.epa.gov/dashboard/dsstoxdb/results?search=DTXSID5037571" TargetMode="External"/><Relationship Id="rId156" Type="http://schemas.openxmlformats.org/officeDocument/2006/relationships/hyperlink" Target="https://open.alberta.ca/dataset/5298aadb-f5cc-4160-8620-ad139bb985d8/resource/38ed9bb1-233f-4e28-b344-808670b20dae/download/environmentalqualitysurfacewaters-mar28-2018.pdf" TargetMode="External"/><Relationship Id="rId177" Type="http://schemas.openxmlformats.org/officeDocument/2006/relationships/hyperlink" Target="https://www2.gov.bc.ca/assets/gov/environment/air-land-water/water/waterquality/water-quality-guidelines/bc_env_working_water_quality_guidelines.pdf" TargetMode="External"/></Relationships>
</file>

<file path=xl/worksheets/_rels/sheet17.xml.rels><?xml version="1.0" encoding="UTF-8" standalone="yes"?>
<Relationships xmlns="http://schemas.openxmlformats.org/package/2006/relationships"><Relationship Id="rId8" Type="http://schemas.openxmlformats.org/officeDocument/2006/relationships/hyperlink" Target="https://comptox.epa.gov/dashboard/dsstoxdb/results?search=DTXSID5020819" TargetMode="External"/><Relationship Id="rId13" Type="http://schemas.openxmlformats.org/officeDocument/2006/relationships/hyperlink" Target="https://comptox.epa.gov/dashboard/dsstoxdb/results?search=DTXSID2024113" TargetMode="External"/><Relationship Id="rId18" Type="http://schemas.openxmlformats.org/officeDocument/2006/relationships/hyperlink" Target="https://comptox.epa.gov/dashboard/dsstoxdb/results?search=DTXSID5040675" TargetMode="External"/><Relationship Id="rId26" Type="http://schemas.openxmlformats.org/officeDocument/2006/relationships/hyperlink" Target="https://comptox.epa.gov/dashboard/dsstoxdb/results?search=DTXSID4022658" TargetMode="External"/><Relationship Id="rId3" Type="http://schemas.openxmlformats.org/officeDocument/2006/relationships/hyperlink" Target="https://comptox.epa.gov/dashboard/dsstoxdb/results?search=DTXSID4058499" TargetMode="External"/><Relationship Id="rId21" Type="http://schemas.openxmlformats.org/officeDocument/2006/relationships/hyperlink" Target="https://comptox.epa.gov/dashboard/dsstoxdb/results?search=DTXSID6023737" TargetMode="External"/><Relationship Id="rId7" Type="http://schemas.openxmlformats.org/officeDocument/2006/relationships/hyperlink" Target="https://comptox.epa.gov/dashboard/dsstoxdb/results?search=DTXSID6020147" TargetMode="External"/><Relationship Id="rId12" Type="http://schemas.openxmlformats.org/officeDocument/2006/relationships/hyperlink" Target="https://comptox.epa.gov/dashboard/dsstoxdb/results?search=DTXSID4024195" TargetMode="External"/><Relationship Id="rId17" Type="http://schemas.openxmlformats.org/officeDocument/2006/relationships/hyperlink" Target="https://comptox.epa.gov/dashboard/dsstoxdb/results?search=DTXSID9024194" TargetMode="External"/><Relationship Id="rId25" Type="http://schemas.openxmlformats.org/officeDocument/2006/relationships/hyperlink" Target="https://comptox.epa.gov/dashboard/dsstoxdb/results?search=DTXSID4020878" TargetMode="External"/><Relationship Id="rId2" Type="http://schemas.openxmlformats.org/officeDocument/2006/relationships/hyperlink" Target="https://comptox.epa.gov/dashboard/dsstoxdb/results?search=DTXSID1032482" TargetMode="External"/><Relationship Id="rId16" Type="http://schemas.openxmlformats.org/officeDocument/2006/relationships/hyperlink" Target="https://comptox.epa.gov/dashboard/dsstoxdb/results?search=DTXSID2020636" TargetMode="External"/><Relationship Id="rId20" Type="http://schemas.openxmlformats.org/officeDocument/2006/relationships/hyperlink" Target="https://comptox.epa.gov/dashboard/dsstoxdb/results?search=DTXSID1024465" TargetMode="External"/><Relationship Id="rId29" Type="http://schemas.openxmlformats.org/officeDocument/2006/relationships/hyperlink" Target="https://comptox.epa.gov/dashboard/dsstoxdb/results?search=DTXSID9020877" TargetMode="External"/><Relationship Id="rId1" Type="http://schemas.openxmlformats.org/officeDocument/2006/relationships/hyperlink" Target="https://comptox.epa.gov/dashboard/dsstoxdb/results?search=DTXSID5037523" TargetMode="External"/><Relationship Id="rId6" Type="http://schemas.openxmlformats.org/officeDocument/2006/relationships/hyperlink" Target="https://comptox.epa.gov/dashboard/dsstoxdb/results?search=DTXSID2052736" TargetMode="External"/><Relationship Id="rId11" Type="http://schemas.openxmlformats.org/officeDocument/2006/relationships/hyperlink" Target="https://comptox.epa.gov/dashboard/dsstoxdb/results?search=DTXSID0020442" TargetMode="External"/><Relationship Id="rId24" Type="http://schemas.openxmlformats.org/officeDocument/2006/relationships/hyperlink" Target="https://comptox.epa.gov/dashboard/dsstoxdb/results?search=DTXSID4020161" TargetMode="External"/><Relationship Id="rId5" Type="http://schemas.openxmlformats.org/officeDocument/2006/relationships/hyperlink" Target="https://comptox.epa.gov/dashboard/dsstoxdb/results?search=DTXSID1032640" TargetMode="External"/><Relationship Id="rId15" Type="http://schemas.openxmlformats.org/officeDocument/2006/relationships/hyperlink" Target="https://comptox.epa.gov/dashboard/dsstoxdb/results?search=DTXSID9034868" TargetMode="External"/><Relationship Id="rId23" Type="http://schemas.openxmlformats.org/officeDocument/2006/relationships/hyperlink" Target="https://comptox.epa.gov/dashboard/dsstoxdb/results?search=DTXSID5023114" TargetMode="External"/><Relationship Id="rId28" Type="http://schemas.openxmlformats.org/officeDocument/2006/relationships/hyperlink" Target="https://comptox.epa.gov/dashboard/dsstoxdb/results?search=DTXSID0023955" TargetMode="External"/><Relationship Id="rId10" Type="http://schemas.openxmlformats.org/officeDocument/2006/relationships/hyperlink" Target="https://comptox.epa.gov/dashboard/dsstoxdb/results?search=DTXSID1023445" TargetMode="External"/><Relationship Id="rId19" Type="http://schemas.openxmlformats.org/officeDocument/2006/relationships/hyperlink" Target="https://comptox.epa.gov/dashboard/dsstoxdb/results?search=DTXSID8023975" TargetMode="External"/><Relationship Id="rId4" Type="http://schemas.openxmlformats.org/officeDocument/2006/relationships/hyperlink" Target="https://comptox.epa.gov/dashboard/dsstoxdb/results?search=DTXSID9037539" TargetMode="External"/><Relationship Id="rId9" Type="http://schemas.openxmlformats.org/officeDocument/2006/relationships/hyperlink" Target="https://comptox.epa.gov/dashboard/dsstoxdb/results?search=DTXSID5037571" TargetMode="External"/><Relationship Id="rId14" Type="http://schemas.openxmlformats.org/officeDocument/2006/relationships/hyperlink" Target="https://comptox.epa.gov/dashboard/dsstoxdb/results?search=DTXSID9020322" TargetMode="External"/><Relationship Id="rId22" Type="http://schemas.openxmlformats.org/officeDocument/2006/relationships/hyperlink" Target="https://comptox.epa.gov/dashboard/dsstoxdb/results?search=DTXSID40869118" TargetMode="External"/><Relationship Id="rId27" Type="http://schemas.openxmlformats.org/officeDocument/2006/relationships/hyperlink" Target="https://comptox.epa.gov/dashboard/dsstoxdb/results?search=DTXSID8020913" TargetMode="External"/></Relationships>
</file>

<file path=xl/worksheets/_rels/sheet18.xml.rels><?xml version="1.0" encoding="UTF-8" standalone="yes"?>
<Relationships xmlns="http://schemas.openxmlformats.org/package/2006/relationships"><Relationship Id="rId8" Type="http://schemas.openxmlformats.org/officeDocument/2006/relationships/hyperlink" Target="https://echa.europa.eu/registration-dossier/-/registered-dossier/13353/6/1" TargetMode="External"/><Relationship Id="rId13" Type="http://schemas.openxmlformats.org/officeDocument/2006/relationships/hyperlink" Target="https://echa.europa.eu/registration-dossier/-/registered-dossier/14683/6/1" TargetMode="External"/><Relationship Id="rId18" Type="http://schemas.openxmlformats.org/officeDocument/2006/relationships/hyperlink" Target="https://echa.europa.eu/registration-dossier/-/registered-dossier/24162/6/1" TargetMode="External"/><Relationship Id="rId3" Type="http://schemas.openxmlformats.org/officeDocument/2006/relationships/hyperlink" Target="https://echa.europa.eu/registration-dossier/-/registered-dossier/28288/6/1" TargetMode="External"/><Relationship Id="rId21" Type="http://schemas.openxmlformats.org/officeDocument/2006/relationships/printerSettings" Target="../printerSettings/printerSettings7.bin"/><Relationship Id="rId7" Type="http://schemas.openxmlformats.org/officeDocument/2006/relationships/hyperlink" Target="https://echa.europa.eu/registration-dossier/-/registered-dossier/14821/6/1" TargetMode="External"/><Relationship Id="rId12" Type="http://schemas.openxmlformats.org/officeDocument/2006/relationships/hyperlink" Target="https://echa.europa.eu/registration-dossier/-/registered-dossier/14683/6/1" TargetMode="External"/><Relationship Id="rId17" Type="http://schemas.openxmlformats.org/officeDocument/2006/relationships/hyperlink" Target="https://echa.europa.eu/registration-dossier/-/registered-dossier/15387/6/1" TargetMode="External"/><Relationship Id="rId2" Type="http://schemas.openxmlformats.org/officeDocument/2006/relationships/hyperlink" Target="https://echa.europa.eu/registration-dossier/-/registered-dossier/14234/6/1" TargetMode="External"/><Relationship Id="rId16" Type="http://schemas.openxmlformats.org/officeDocument/2006/relationships/hyperlink" Target="https://echa.europa.eu/registration-dossier/-/registered-dossier/5625/6/1" TargetMode="External"/><Relationship Id="rId20" Type="http://schemas.openxmlformats.org/officeDocument/2006/relationships/hyperlink" Target="https://echa.europa.eu/registration-dossier/-/registered-dossier/13823/6/1" TargetMode="External"/><Relationship Id="rId1" Type="http://schemas.openxmlformats.org/officeDocument/2006/relationships/hyperlink" Target="https://echa.europa.eu/registration-dossier/-/registered-dossier/14234/6/1" TargetMode="External"/><Relationship Id="rId6" Type="http://schemas.openxmlformats.org/officeDocument/2006/relationships/hyperlink" Target="https://echa.europa.eu/registration-dossier/-/registered-dossier/14821/6/1" TargetMode="External"/><Relationship Id="rId11" Type="http://schemas.openxmlformats.org/officeDocument/2006/relationships/hyperlink" Target="https://echa.europa.eu/registration-dossier/-/registered-dossier/23868/6/1" TargetMode="External"/><Relationship Id="rId5" Type="http://schemas.openxmlformats.org/officeDocument/2006/relationships/hyperlink" Target="https://echa.europa.eu/registration-dossier/-/registered-dossier/12675/6/1" TargetMode="External"/><Relationship Id="rId15" Type="http://schemas.openxmlformats.org/officeDocument/2006/relationships/hyperlink" Target="https://echa.europa.eu/registration-dossier/-/registered-dossier/5625/6/1" TargetMode="External"/><Relationship Id="rId10" Type="http://schemas.openxmlformats.org/officeDocument/2006/relationships/hyperlink" Target="https://echa.europa.eu/registration-dossier/-/registered-dossier/1714/6/1" TargetMode="External"/><Relationship Id="rId19" Type="http://schemas.openxmlformats.org/officeDocument/2006/relationships/hyperlink" Target="https://echa.europa.eu/registration-dossier/-/registered-dossier/15074/6/1" TargetMode="External"/><Relationship Id="rId4" Type="http://schemas.openxmlformats.org/officeDocument/2006/relationships/hyperlink" Target="https://echa.europa.eu/registration-dossier/-/registered-dossier/6560/6/1" TargetMode="External"/><Relationship Id="rId9" Type="http://schemas.openxmlformats.org/officeDocument/2006/relationships/hyperlink" Target="https://echa.europa.eu/registration-dossier/-/registered-dossier/5515/6/1" TargetMode="External"/><Relationship Id="rId14" Type="http://schemas.openxmlformats.org/officeDocument/2006/relationships/hyperlink" Target="https://echa.europa.eu/registration-dossier/-/registered-dossier/14948/6/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C642A-E9DD-4260-8731-EDE20A10625D}">
  <dimension ref="A1:K16"/>
  <sheetViews>
    <sheetView topLeftCell="B1" workbookViewId="0">
      <selection activeCell="J13" sqref="J13"/>
    </sheetView>
  </sheetViews>
  <sheetFormatPr defaultRowHeight="14.5" x14ac:dyDescent="0.35"/>
  <cols>
    <col min="1" max="1" width="65.54296875" customWidth="1"/>
    <col min="2" max="2" width="14.1796875" bestFit="1" customWidth="1"/>
    <col min="3" max="3" width="97" bestFit="1" customWidth="1"/>
    <col min="4" max="4" width="12.453125" customWidth="1"/>
    <col min="5" max="5" width="11.81640625" bestFit="1" customWidth="1"/>
    <col min="6" max="6" width="13.81640625" bestFit="1" customWidth="1"/>
    <col min="8" max="8" width="10.7265625" bestFit="1" customWidth="1"/>
    <col min="10" max="10" width="10.453125" bestFit="1" customWidth="1"/>
  </cols>
  <sheetData>
    <row r="1" spans="1:11" x14ac:dyDescent="0.35">
      <c r="A1" s="9" t="s">
        <v>1658</v>
      </c>
      <c r="B1" s="9" t="s">
        <v>1659</v>
      </c>
      <c r="C1" s="9" t="s">
        <v>1660</v>
      </c>
      <c r="D1" s="9" t="s">
        <v>1661</v>
      </c>
      <c r="E1" s="9" t="s">
        <v>1662</v>
      </c>
      <c r="F1" s="9" t="s">
        <v>1715</v>
      </c>
      <c r="G1" s="9" t="s">
        <v>1668</v>
      </c>
      <c r="H1" s="9" t="s">
        <v>2081</v>
      </c>
      <c r="I1" s="9" t="s">
        <v>2080</v>
      </c>
      <c r="J1" s="9" t="s">
        <v>3498</v>
      </c>
      <c r="K1" s="9" t="s">
        <v>3499</v>
      </c>
    </row>
    <row r="2" spans="1:11" s="26" customFormat="1" x14ac:dyDescent="0.35">
      <c r="A2" s="26" t="s">
        <v>1663</v>
      </c>
      <c r="B2" s="26" t="s">
        <v>1664</v>
      </c>
      <c r="C2" s="39" t="s">
        <v>1665</v>
      </c>
      <c r="D2" s="26" t="s">
        <v>1947</v>
      </c>
      <c r="E2" s="26" t="s">
        <v>2019</v>
      </c>
      <c r="F2" s="48">
        <v>44565</v>
      </c>
      <c r="H2" s="48">
        <v>44334</v>
      </c>
      <c r="I2" s="26" t="s">
        <v>1948</v>
      </c>
      <c r="J2" s="48">
        <v>44571</v>
      </c>
      <c r="K2" s="26" t="s">
        <v>1948</v>
      </c>
    </row>
    <row r="3" spans="1:11" s="26" customFormat="1" x14ac:dyDescent="0.35">
      <c r="A3" s="26" t="s">
        <v>1667</v>
      </c>
      <c r="B3" s="26" t="s">
        <v>1666</v>
      </c>
      <c r="C3" s="39" t="s">
        <v>1670</v>
      </c>
      <c r="D3" s="26" t="s">
        <v>1947</v>
      </c>
      <c r="E3" s="26" t="s">
        <v>2019</v>
      </c>
      <c r="F3" s="48">
        <v>44411</v>
      </c>
      <c r="H3" s="48">
        <v>44335</v>
      </c>
      <c r="I3" s="26" t="s">
        <v>1948</v>
      </c>
      <c r="J3" s="48">
        <v>44571</v>
      </c>
      <c r="K3" s="26" t="s">
        <v>1948</v>
      </c>
    </row>
    <row r="4" spans="1:11" s="26" customFormat="1" x14ac:dyDescent="0.35">
      <c r="A4" s="26" t="s">
        <v>1671</v>
      </c>
      <c r="B4" s="26" t="s">
        <v>1672</v>
      </c>
      <c r="C4" s="39" t="s">
        <v>1674</v>
      </c>
      <c r="D4" s="26" t="s">
        <v>1947</v>
      </c>
      <c r="E4" s="26" t="s">
        <v>1948</v>
      </c>
      <c r="F4" s="48">
        <v>44412</v>
      </c>
      <c r="H4" s="48">
        <v>44326</v>
      </c>
      <c r="I4" s="26" t="s">
        <v>1948</v>
      </c>
      <c r="J4" s="48">
        <v>44573</v>
      </c>
      <c r="K4" s="26" t="s">
        <v>1948</v>
      </c>
    </row>
    <row r="5" spans="1:11" s="26" customFormat="1" x14ac:dyDescent="0.35">
      <c r="A5" s="26" t="s">
        <v>1675</v>
      </c>
      <c r="B5" s="26" t="s">
        <v>1676</v>
      </c>
      <c r="C5" s="39" t="s">
        <v>1677</v>
      </c>
      <c r="D5" s="26" t="s">
        <v>1947</v>
      </c>
      <c r="E5" s="26" t="s">
        <v>1948</v>
      </c>
      <c r="F5" s="48">
        <v>44411</v>
      </c>
      <c r="H5" s="48">
        <v>44344</v>
      </c>
      <c r="I5" s="26" t="s">
        <v>1948</v>
      </c>
      <c r="J5" s="48">
        <v>44582</v>
      </c>
      <c r="K5" s="63" t="s">
        <v>1948</v>
      </c>
    </row>
    <row r="6" spans="1:11" s="26" customFormat="1" x14ac:dyDescent="0.35">
      <c r="A6" s="26" t="s">
        <v>1680</v>
      </c>
      <c r="B6" s="26" t="s">
        <v>1681</v>
      </c>
      <c r="C6" s="39" t="s">
        <v>1682</v>
      </c>
      <c r="D6" s="26" t="s">
        <v>1947</v>
      </c>
      <c r="E6" s="26" t="s">
        <v>1948</v>
      </c>
      <c r="F6" s="48">
        <v>44412</v>
      </c>
      <c r="G6" s="26" t="s">
        <v>1683</v>
      </c>
      <c r="H6" s="48">
        <v>44330</v>
      </c>
      <c r="I6" s="26" t="s">
        <v>1948</v>
      </c>
      <c r="J6" s="48">
        <v>44573</v>
      </c>
      <c r="K6" s="26" t="s">
        <v>1948</v>
      </c>
    </row>
    <row r="7" spans="1:11" s="26" customFormat="1" x14ac:dyDescent="0.35">
      <c r="A7" s="26" t="s">
        <v>1686</v>
      </c>
      <c r="B7" s="26" t="s">
        <v>1687</v>
      </c>
      <c r="C7" s="39" t="s">
        <v>1688</v>
      </c>
      <c r="D7" s="26" t="s">
        <v>1947</v>
      </c>
      <c r="E7" s="26" t="s">
        <v>2019</v>
      </c>
      <c r="F7" s="48">
        <v>44412</v>
      </c>
      <c r="G7" s="26" t="s">
        <v>1690</v>
      </c>
      <c r="H7" s="48">
        <v>44347</v>
      </c>
      <c r="I7" s="26" t="s">
        <v>1948</v>
      </c>
      <c r="J7" s="48">
        <v>44573</v>
      </c>
      <c r="K7" s="26" t="s">
        <v>1948</v>
      </c>
    </row>
    <row r="8" spans="1:11" s="26" customFormat="1" x14ac:dyDescent="0.35">
      <c r="A8" s="26" t="s">
        <v>1691</v>
      </c>
      <c r="B8" s="26" t="s">
        <v>1692</v>
      </c>
      <c r="C8" s="39" t="s">
        <v>1693</v>
      </c>
      <c r="D8" s="26" t="s">
        <v>1947</v>
      </c>
      <c r="E8" s="26" t="s">
        <v>2019</v>
      </c>
      <c r="F8" s="48">
        <v>44412</v>
      </c>
      <c r="H8" s="48">
        <v>44348</v>
      </c>
      <c r="I8" s="26" t="s">
        <v>1948</v>
      </c>
      <c r="J8" s="48">
        <v>44573</v>
      </c>
      <c r="K8" s="26" t="s">
        <v>1948</v>
      </c>
    </row>
    <row r="9" spans="1:11" s="26" customFormat="1" x14ac:dyDescent="0.35">
      <c r="A9" s="26" t="s">
        <v>1697</v>
      </c>
      <c r="B9" s="26" t="s">
        <v>1698</v>
      </c>
      <c r="C9" s="39" t="s">
        <v>1699</v>
      </c>
      <c r="D9" s="26" t="s">
        <v>1947</v>
      </c>
      <c r="E9" s="26" t="s">
        <v>2019</v>
      </c>
      <c r="F9" s="48">
        <v>44412</v>
      </c>
      <c r="H9" s="48">
        <v>44348</v>
      </c>
      <c r="I9" s="26" t="s">
        <v>1948</v>
      </c>
      <c r="J9" s="48">
        <v>44580</v>
      </c>
      <c r="K9" s="26" t="s">
        <v>1948</v>
      </c>
    </row>
    <row r="10" spans="1:11" s="26" customFormat="1" x14ac:dyDescent="0.35">
      <c r="A10" s="26" t="s">
        <v>1702</v>
      </c>
      <c r="B10" s="26" t="s">
        <v>1703</v>
      </c>
      <c r="C10" s="39" t="s">
        <v>1704</v>
      </c>
      <c r="D10" s="26" t="s">
        <v>1947</v>
      </c>
      <c r="E10" s="26" t="s">
        <v>2019</v>
      </c>
      <c r="F10" s="48">
        <v>44412</v>
      </c>
      <c r="G10" s="26" t="s">
        <v>1706</v>
      </c>
      <c r="H10" s="48">
        <v>44350</v>
      </c>
      <c r="I10" s="26" t="s">
        <v>1948</v>
      </c>
      <c r="J10" s="48">
        <v>44580</v>
      </c>
      <c r="K10" s="26" t="s">
        <v>1948</v>
      </c>
    </row>
    <row r="11" spans="1:11" s="26" customFormat="1" x14ac:dyDescent="0.35">
      <c r="A11" s="26" t="s">
        <v>1708</v>
      </c>
      <c r="B11" s="26" t="s">
        <v>1709</v>
      </c>
      <c r="C11" s="39" t="s">
        <v>1707</v>
      </c>
      <c r="D11" s="26" t="s">
        <v>1947</v>
      </c>
      <c r="E11" s="26" t="s">
        <v>1948</v>
      </c>
      <c r="F11" s="48">
        <v>44412</v>
      </c>
      <c r="G11" s="26" t="s">
        <v>2082</v>
      </c>
      <c r="H11" s="48" t="s">
        <v>1879</v>
      </c>
      <c r="I11" s="26" t="s">
        <v>1879</v>
      </c>
      <c r="J11" s="26" t="s">
        <v>1879</v>
      </c>
      <c r="K11" s="26" t="s">
        <v>1879</v>
      </c>
    </row>
    <row r="12" spans="1:11" s="26" customFormat="1" x14ac:dyDescent="0.35">
      <c r="A12" s="26" t="s">
        <v>1710</v>
      </c>
      <c r="B12" s="26" t="s">
        <v>1712</v>
      </c>
      <c r="C12" s="39" t="s">
        <v>1711</v>
      </c>
      <c r="D12" s="26" t="s">
        <v>1947</v>
      </c>
      <c r="E12" s="26" t="s">
        <v>1948</v>
      </c>
      <c r="F12" s="48">
        <v>44412</v>
      </c>
      <c r="H12" s="48">
        <v>44344</v>
      </c>
      <c r="I12" s="26" t="s">
        <v>1948</v>
      </c>
      <c r="J12" s="48">
        <v>44573</v>
      </c>
      <c r="K12" s="26" t="s">
        <v>1948</v>
      </c>
    </row>
    <row r="13" spans="1:11" s="26" customFormat="1" x14ac:dyDescent="0.35">
      <c r="A13" s="26" t="s">
        <v>1717</v>
      </c>
      <c r="B13" s="26" t="s">
        <v>3323</v>
      </c>
      <c r="C13" s="39" t="s">
        <v>1718</v>
      </c>
      <c r="D13" s="26" t="s">
        <v>1947</v>
      </c>
      <c r="E13" s="26" t="s">
        <v>1948</v>
      </c>
      <c r="F13" s="48">
        <v>44412</v>
      </c>
      <c r="G13" s="26" t="s">
        <v>3324</v>
      </c>
      <c r="H13" s="48">
        <v>44412</v>
      </c>
      <c r="I13" s="26" t="s">
        <v>1948</v>
      </c>
      <c r="J13" s="48">
        <v>44571</v>
      </c>
      <c r="K13" s="26" t="s">
        <v>1948</v>
      </c>
    </row>
    <row r="14" spans="1:11" s="26" customFormat="1" x14ac:dyDescent="0.35">
      <c r="A14" s="26" t="s">
        <v>1949</v>
      </c>
      <c r="B14" s="26" t="s">
        <v>1950</v>
      </c>
      <c r="C14" s="26" t="s">
        <v>2018</v>
      </c>
      <c r="D14" s="26" t="s">
        <v>1947</v>
      </c>
      <c r="E14" s="26" t="s">
        <v>1948</v>
      </c>
      <c r="F14" s="48">
        <v>44320</v>
      </c>
      <c r="H14" s="48">
        <v>44351</v>
      </c>
      <c r="I14" s="26" t="s">
        <v>1948</v>
      </c>
    </row>
    <row r="15" spans="1:11" s="26" customFormat="1" ht="15.5" customHeight="1" x14ac:dyDescent="0.35">
      <c r="A15" s="26" t="s">
        <v>2565</v>
      </c>
      <c r="B15" s="26" t="s">
        <v>2566</v>
      </c>
      <c r="C15" s="26" t="s">
        <v>2152</v>
      </c>
      <c r="D15" s="26" t="s">
        <v>1947</v>
      </c>
      <c r="E15" s="26" t="s">
        <v>1948</v>
      </c>
      <c r="F15" s="48">
        <v>44565</v>
      </c>
      <c r="H15" s="48">
        <v>44343</v>
      </c>
      <c r="I15" s="26" t="s">
        <v>1948</v>
      </c>
      <c r="J15" s="48">
        <v>44581</v>
      </c>
      <c r="K15" s="26" t="s">
        <v>1948</v>
      </c>
    </row>
    <row r="16" spans="1:11" s="26" customFormat="1" x14ac:dyDescent="0.35">
      <c r="A16" s="26" t="s">
        <v>2100</v>
      </c>
      <c r="B16" s="26" t="s">
        <v>2099</v>
      </c>
      <c r="C16" s="39" t="s">
        <v>2567</v>
      </c>
      <c r="D16" s="26" t="s">
        <v>1947</v>
      </c>
      <c r="E16" s="26" t="s">
        <v>1948</v>
      </c>
      <c r="F16" s="48">
        <v>44565</v>
      </c>
      <c r="H16" s="48">
        <v>44344</v>
      </c>
      <c r="I16" s="26" t="s">
        <v>1948</v>
      </c>
      <c r="J16" s="48">
        <v>44573</v>
      </c>
      <c r="K16" s="26" t="s">
        <v>1948</v>
      </c>
    </row>
  </sheetData>
  <hyperlinks>
    <hyperlink ref="C7" r:id="rId1" xr:uid="{9DA792F6-1196-479A-9523-65BD70204F1B}"/>
    <hyperlink ref="C8" r:id="rId2" xr:uid="{BB2BD8A7-86C2-4133-861F-323FE80C1543}"/>
    <hyperlink ref="C12" r:id="rId3" xr:uid="{BC6AB52A-A786-4ACE-AC4C-19BC07CBBCBF}"/>
    <hyperlink ref="C3" r:id="rId4" location="void" xr:uid="{7713BEC7-11F1-4F5D-8825-382999F56C90}"/>
    <hyperlink ref="C5" r:id="rId5" xr:uid="{4194A5F4-D68E-4DC6-B20A-592D82477F78}"/>
    <hyperlink ref="C4" r:id="rId6" xr:uid="{40E91A23-6026-4E68-8BD8-E68D5DBCB242}"/>
    <hyperlink ref="C11" r:id="rId7" xr:uid="{F5C408AF-7F7D-4D48-B024-03AB81B44E32}"/>
    <hyperlink ref="C9" r:id="rId8" xr:uid="{F970F391-2DE5-42A2-ACF3-4B03BC526AE5}"/>
    <hyperlink ref="C6" r:id="rId9" location="tocId5" xr:uid="{9DD573A3-AD46-468C-8C0B-24BF3DC5DADD}"/>
    <hyperlink ref="C2" r:id="rId10" xr:uid="{EC7599F7-A6EA-4F11-94D5-66CF64907EC2}"/>
    <hyperlink ref="C16" r:id="rId11" xr:uid="{BAF50A6A-0110-427E-AB97-777DF78E6CA7}"/>
    <hyperlink ref="C10" r:id="rId12" xr:uid="{B1051A06-DC3F-4FE4-8746-958ED22C9965}"/>
    <hyperlink ref="C13" r:id="rId13" location="tb3" xr:uid="{66B31C0C-F699-448F-8AD4-789986D0EB06}"/>
  </hyperlinks>
  <pageMargins left="0.7" right="0.7" top="0.75" bottom="0.75" header="0.3" footer="0.3"/>
  <pageSetup paperSize="9" orientation="portrait" horizontalDpi="4294967293" verticalDpi="0" r:id="rId1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8E8762-69C6-4303-A92F-2A2288C0A70E}">
  <dimension ref="B1:M21"/>
  <sheetViews>
    <sheetView workbookViewId="0">
      <selection activeCell="D46" sqref="D46"/>
    </sheetView>
  </sheetViews>
  <sheetFormatPr defaultRowHeight="14.5" x14ac:dyDescent="0.35"/>
  <cols>
    <col min="1" max="1" width="8.81640625" customWidth="1"/>
  </cols>
  <sheetData>
    <row r="1" spans="2:13" ht="15" thickBot="1" x14ac:dyDescent="0.4"/>
    <row r="2" spans="2:13" ht="14.5" customHeight="1" x14ac:dyDescent="0.35">
      <c r="B2" s="64" t="s">
        <v>1716</v>
      </c>
      <c r="C2" s="65"/>
      <c r="D2" s="65"/>
      <c r="E2" s="65"/>
      <c r="F2" s="65"/>
      <c r="G2" s="65"/>
      <c r="H2" s="65"/>
      <c r="I2" s="65"/>
      <c r="J2" s="65"/>
      <c r="K2" s="65"/>
      <c r="L2" s="66"/>
      <c r="M2" s="8"/>
    </row>
    <row r="3" spans="2:13" x14ac:dyDescent="0.35">
      <c r="B3" s="67"/>
      <c r="C3" s="68"/>
      <c r="D3" s="68"/>
      <c r="E3" s="68"/>
      <c r="F3" s="68"/>
      <c r="G3" s="68"/>
      <c r="H3" s="68"/>
      <c r="I3" s="68"/>
      <c r="J3" s="68"/>
      <c r="K3" s="68"/>
      <c r="L3" s="69"/>
      <c r="M3" s="8"/>
    </row>
    <row r="4" spans="2:13" x14ac:dyDescent="0.35">
      <c r="B4" s="67"/>
      <c r="C4" s="68"/>
      <c r="D4" s="68"/>
      <c r="E4" s="68"/>
      <c r="F4" s="68"/>
      <c r="G4" s="68"/>
      <c r="H4" s="68"/>
      <c r="I4" s="68"/>
      <c r="J4" s="68"/>
      <c r="K4" s="68"/>
      <c r="L4" s="69"/>
      <c r="M4" s="8"/>
    </row>
    <row r="5" spans="2:13" x14ac:dyDescent="0.35">
      <c r="B5" s="67"/>
      <c r="C5" s="68"/>
      <c r="D5" s="68"/>
      <c r="E5" s="68"/>
      <c r="F5" s="68"/>
      <c r="G5" s="68"/>
      <c r="H5" s="68"/>
      <c r="I5" s="68"/>
      <c r="J5" s="68"/>
      <c r="K5" s="68"/>
      <c r="L5" s="69"/>
      <c r="M5" s="8"/>
    </row>
    <row r="6" spans="2:13" x14ac:dyDescent="0.35">
      <c r="B6" s="67"/>
      <c r="C6" s="68"/>
      <c r="D6" s="68"/>
      <c r="E6" s="68"/>
      <c r="F6" s="68"/>
      <c r="G6" s="68"/>
      <c r="H6" s="68"/>
      <c r="I6" s="68"/>
      <c r="J6" s="68"/>
      <c r="K6" s="68"/>
      <c r="L6" s="69"/>
      <c r="M6" s="8"/>
    </row>
    <row r="7" spans="2:13" x14ac:dyDescent="0.35">
      <c r="B7" s="67"/>
      <c r="C7" s="68"/>
      <c r="D7" s="68"/>
      <c r="E7" s="68"/>
      <c r="F7" s="68"/>
      <c r="G7" s="68"/>
      <c r="H7" s="68"/>
      <c r="I7" s="68"/>
      <c r="J7" s="68"/>
      <c r="K7" s="68"/>
      <c r="L7" s="69"/>
      <c r="M7" s="8"/>
    </row>
    <row r="8" spans="2:13" x14ac:dyDescent="0.35">
      <c r="B8" s="67"/>
      <c r="C8" s="68"/>
      <c r="D8" s="68"/>
      <c r="E8" s="68"/>
      <c r="F8" s="68"/>
      <c r="G8" s="68"/>
      <c r="H8" s="68"/>
      <c r="I8" s="68"/>
      <c r="J8" s="68"/>
      <c r="K8" s="68"/>
      <c r="L8" s="69"/>
      <c r="M8" s="8"/>
    </row>
    <row r="9" spans="2:13" x14ac:dyDescent="0.35">
      <c r="B9" s="67"/>
      <c r="C9" s="68"/>
      <c r="D9" s="68"/>
      <c r="E9" s="68"/>
      <c r="F9" s="68"/>
      <c r="G9" s="68"/>
      <c r="H9" s="68"/>
      <c r="I9" s="68"/>
      <c r="J9" s="68"/>
      <c r="K9" s="68"/>
      <c r="L9" s="69"/>
      <c r="M9" s="8"/>
    </row>
    <row r="10" spans="2:13" x14ac:dyDescent="0.35">
      <c r="B10" s="67"/>
      <c r="C10" s="68"/>
      <c r="D10" s="68"/>
      <c r="E10" s="68"/>
      <c r="F10" s="68"/>
      <c r="G10" s="68"/>
      <c r="H10" s="68"/>
      <c r="I10" s="68"/>
      <c r="J10" s="68"/>
      <c r="K10" s="68"/>
      <c r="L10" s="69"/>
      <c r="M10" s="8"/>
    </row>
    <row r="11" spans="2:13" x14ac:dyDescent="0.35">
      <c r="B11" s="67"/>
      <c r="C11" s="68"/>
      <c r="D11" s="68"/>
      <c r="E11" s="68"/>
      <c r="F11" s="68"/>
      <c r="G11" s="68"/>
      <c r="H11" s="68"/>
      <c r="I11" s="68"/>
      <c r="J11" s="68"/>
      <c r="K11" s="68"/>
      <c r="L11" s="69"/>
      <c r="M11" s="8"/>
    </row>
    <row r="12" spans="2:13" x14ac:dyDescent="0.35">
      <c r="B12" s="67"/>
      <c r="C12" s="68"/>
      <c r="D12" s="68"/>
      <c r="E12" s="68"/>
      <c r="F12" s="68"/>
      <c r="G12" s="68"/>
      <c r="H12" s="68"/>
      <c r="I12" s="68"/>
      <c r="J12" s="68"/>
      <c r="K12" s="68"/>
      <c r="L12" s="69"/>
      <c r="M12" s="8"/>
    </row>
    <row r="13" spans="2:13" x14ac:dyDescent="0.35">
      <c r="B13" s="67"/>
      <c r="C13" s="68"/>
      <c r="D13" s="68"/>
      <c r="E13" s="68"/>
      <c r="F13" s="68"/>
      <c r="G13" s="68"/>
      <c r="H13" s="68"/>
      <c r="I13" s="68"/>
      <c r="J13" s="68"/>
      <c r="K13" s="68"/>
      <c r="L13" s="69"/>
    </row>
    <row r="14" spans="2:13" x14ac:dyDescent="0.35">
      <c r="B14" s="67"/>
      <c r="C14" s="68"/>
      <c r="D14" s="68"/>
      <c r="E14" s="68"/>
      <c r="F14" s="68"/>
      <c r="G14" s="68"/>
      <c r="H14" s="68"/>
      <c r="I14" s="68"/>
      <c r="J14" s="68"/>
      <c r="K14" s="68"/>
      <c r="L14" s="69"/>
    </row>
    <row r="15" spans="2:13" x14ac:dyDescent="0.35">
      <c r="B15" s="67"/>
      <c r="C15" s="68"/>
      <c r="D15" s="68"/>
      <c r="E15" s="68"/>
      <c r="F15" s="68"/>
      <c r="G15" s="68"/>
      <c r="H15" s="68"/>
      <c r="I15" s="68"/>
      <c r="J15" s="68"/>
      <c r="K15" s="68"/>
      <c r="L15" s="69"/>
    </row>
    <row r="16" spans="2:13" x14ac:dyDescent="0.35">
      <c r="B16" s="67"/>
      <c r="C16" s="68"/>
      <c r="D16" s="68"/>
      <c r="E16" s="68"/>
      <c r="F16" s="68"/>
      <c r="G16" s="68"/>
      <c r="H16" s="68"/>
      <c r="I16" s="68"/>
      <c r="J16" s="68"/>
      <c r="K16" s="68"/>
      <c r="L16" s="69"/>
    </row>
    <row r="17" spans="2:12" x14ac:dyDescent="0.35">
      <c r="B17" s="67"/>
      <c r="C17" s="68"/>
      <c r="D17" s="68"/>
      <c r="E17" s="68"/>
      <c r="F17" s="68"/>
      <c r="G17" s="68"/>
      <c r="H17" s="68"/>
      <c r="I17" s="68"/>
      <c r="J17" s="68"/>
      <c r="K17" s="68"/>
      <c r="L17" s="69"/>
    </row>
    <row r="18" spans="2:12" x14ac:dyDescent="0.35">
      <c r="B18" s="67"/>
      <c r="C18" s="68"/>
      <c r="D18" s="68"/>
      <c r="E18" s="68"/>
      <c r="F18" s="68"/>
      <c r="G18" s="68"/>
      <c r="H18" s="68"/>
      <c r="I18" s="68"/>
      <c r="J18" s="68"/>
      <c r="K18" s="68"/>
      <c r="L18" s="69"/>
    </row>
    <row r="19" spans="2:12" x14ac:dyDescent="0.35">
      <c r="B19" s="67"/>
      <c r="C19" s="68"/>
      <c r="D19" s="68"/>
      <c r="E19" s="68"/>
      <c r="F19" s="68"/>
      <c r="G19" s="68"/>
      <c r="H19" s="68"/>
      <c r="I19" s="68"/>
      <c r="J19" s="68"/>
      <c r="K19" s="68"/>
      <c r="L19" s="69"/>
    </row>
    <row r="20" spans="2:12" x14ac:dyDescent="0.35">
      <c r="B20" s="67"/>
      <c r="C20" s="68"/>
      <c r="D20" s="68"/>
      <c r="E20" s="68"/>
      <c r="F20" s="68"/>
      <c r="G20" s="68"/>
      <c r="H20" s="68"/>
      <c r="I20" s="68"/>
      <c r="J20" s="68"/>
      <c r="K20" s="68"/>
      <c r="L20" s="69"/>
    </row>
    <row r="21" spans="2:12" ht="31.5" customHeight="1" thickBot="1" x14ac:dyDescent="0.4">
      <c r="B21" s="70"/>
      <c r="C21" s="71"/>
      <c r="D21" s="71"/>
      <c r="E21" s="71"/>
      <c r="F21" s="71"/>
      <c r="G21" s="71"/>
      <c r="H21" s="71"/>
      <c r="I21" s="71"/>
      <c r="J21" s="71"/>
      <c r="K21" s="71"/>
      <c r="L21" s="72"/>
    </row>
  </sheetData>
  <mergeCells count="1">
    <mergeCell ref="B2:L2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F9235-8C02-42C2-9D9F-9CF3960CA39A}">
  <dimension ref="A1:K966"/>
  <sheetViews>
    <sheetView workbookViewId="0">
      <pane ySplit="1" topLeftCell="A83" activePane="bottomLeft" state="frozen"/>
      <selection pane="bottomLeft" sqref="A1:B1048576"/>
    </sheetView>
  </sheetViews>
  <sheetFormatPr defaultRowHeight="14.5" x14ac:dyDescent="0.35"/>
  <cols>
    <col min="1" max="1" width="23.08984375" customWidth="1"/>
  </cols>
  <sheetData>
    <row r="1" spans="1:11" s="55" customFormat="1" x14ac:dyDescent="0.35">
      <c r="A1" s="55" t="s">
        <v>2103</v>
      </c>
      <c r="B1" s="55" t="s">
        <v>1650</v>
      </c>
      <c r="C1" s="55" t="s">
        <v>3513</v>
      </c>
      <c r="D1" s="55" t="s">
        <v>1651</v>
      </c>
      <c r="E1" s="55" t="s">
        <v>1652</v>
      </c>
      <c r="F1" s="55" t="s">
        <v>1653</v>
      </c>
      <c r="G1" s="55" t="s">
        <v>1654</v>
      </c>
      <c r="H1" s="55" t="s">
        <v>1655</v>
      </c>
      <c r="I1" s="55" t="s">
        <v>2250</v>
      </c>
      <c r="J1" s="55" t="s">
        <v>1656</v>
      </c>
      <c r="K1" s="55" t="s">
        <v>1657</v>
      </c>
    </row>
    <row r="2" spans="1:11" x14ac:dyDescent="0.35">
      <c r="A2" t="s">
        <v>305</v>
      </c>
      <c r="B2" t="s">
        <v>1130</v>
      </c>
    </row>
    <row r="3" spans="1:11" x14ac:dyDescent="0.35">
      <c r="A3" t="s">
        <v>266</v>
      </c>
      <c r="B3" t="s">
        <v>1092</v>
      </c>
    </row>
    <row r="4" spans="1:11" x14ac:dyDescent="0.35">
      <c r="A4" t="s">
        <v>179</v>
      </c>
      <c r="B4" t="s">
        <v>1008</v>
      </c>
    </row>
    <row r="5" spans="1:11" x14ac:dyDescent="0.35">
      <c r="A5" t="s">
        <v>264</v>
      </c>
      <c r="B5" t="s">
        <v>1090</v>
      </c>
    </row>
    <row r="6" spans="1:11" x14ac:dyDescent="0.35">
      <c r="A6" t="s">
        <v>779</v>
      </c>
      <c r="B6" t="s">
        <v>1602</v>
      </c>
    </row>
    <row r="7" spans="1:11" x14ac:dyDescent="0.35">
      <c r="A7" t="s">
        <v>539</v>
      </c>
      <c r="B7" t="s">
        <v>1363</v>
      </c>
    </row>
    <row r="8" spans="1:11" x14ac:dyDescent="0.35">
      <c r="A8" t="s">
        <v>517</v>
      </c>
      <c r="B8" t="s">
        <v>1341</v>
      </c>
    </row>
    <row r="9" spans="1:11" x14ac:dyDescent="0.35">
      <c r="A9" t="s">
        <v>462</v>
      </c>
      <c r="B9" t="s">
        <v>1286</v>
      </c>
    </row>
    <row r="10" spans="1:11" x14ac:dyDescent="0.35">
      <c r="A10" t="s">
        <v>258</v>
      </c>
      <c r="B10" t="s">
        <v>1084</v>
      </c>
    </row>
    <row r="11" spans="1:11" x14ac:dyDescent="0.35">
      <c r="A11" t="s">
        <v>253</v>
      </c>
      <c r="B11" t="s">
        <v>1079</v>
      </c>
    </row>
    <row r="12" spans="1:11" x14ac:dyDescent="0.35">
      <c r="A12" t="s">
        <v>708</v>
      </c>
      <c r="B12" t="s">
        <v>1532</v>
      </c>
    </row>
    <row r="13" spans="1:11" x14ac:dyDescent="0.35">
      <c r="A13" t="s">
        <v>729</v>
      </c>
      <c r="B13" t="s">
        <v>1553</v>
      </c>
    </row>
    <row r="14" spans="1:11" x14ac:dyDescent="0.35">
      <c r="A14" t="s">
        <v>718</v>
      </c>
      <c r="B14" t="s">
        <v>1542</v>
      </c>
    </row>
    <row r="15" spans="1:11" x14ac:dyDescent="0.35">
      <c r="A15" t="s">
        <v>715</v>
      </c>
      <c r="B15" t="s">
        <v>1539</v>
      </c>
    </row>
    <row r="16" spans="1:11" x14ac:dyDescent="0.35">
      <c r="A16" t="s">
        <v>824</v>
      </c>
      <c r="B16" t="s">
        <v>1646</v>
      </c>
    </row>
    <row r="17" spans="1:2" x14ac:dyDescent="0.35">
      <c r="A17" t="s">
        <v>15</v>
      </c>
      <c r="B17" t="s">
        <v>844</v>
      </c>
    </row>
    <row r="18" spans="1:2" x14ac:dyDescent="0.35">
      <c r="A18" t="s">
        <v>707</v>
      </c>
      <c r="B18" t="s">
        <v>1531</v>
      </c>
    </row>
    <row r="19" spans="1:2" x14ac:dyDescent="0.35">
      <c r="A19" t="s">
        <v>817</v>
      </c>
      <c r="B19" t="s">
        <v>1640</v>
      </c>
    </row>
    <row r="20" spans="1:2" x14ac:dyDescent="0.35">
      <c r="A20" t="s">
        <v>813</v>
      </c>
      <c r="B20" t="s">
        <v>1636</v>
      </c>
    </row>
    <row r="21" spans="1:2" x14ac:dyDescent="0.35">
      <c r="A21" t="s">
        <v>795</v>
      </c>
      <c r="B21" t="s">
        <v>1618</v>
      </c>
    </row>
    <row r="22" spans="1:2" x14ac:dyDescent="0.35">
      <c r="A22" t="s">
        <v>227</v>
      </c>
      <c r="B22" t="s">
        <v>1054</v>
      </c>
    </row>
    <row r="23" spans="1:2" x14ac:dyDescent="0.35">
      <c r="A23" t="s">
        <v>319</v>
      </c>
      <c r="B23" t="s">
        <v>1144</v>
      </c>
    </row>
    <row r="24" spans="1:2" x14ac:dyDescent="0.35">
      <c r="A24" t="s">
        <v>457</v>
      </c>
      <c r="B24" t="s">
        <v>1281</v>
      </c>
    </row>
    <row r="25" spans="1:2" x14ac:dyDescent="0.35">
      <c r="A25" t="s">
        <v>132</v>
      </c>
      <c r="B25" t="s">
        <v>961</v>
      </c>
    </row>
    <row r="26" spans="1:2" x14ac:dyDescent="0.35">
      <c r="A26" t="s">
        <v>310</v>
      </c>
      <c r="B26" t="s">
        <v>1135</v>
      </c>
    </row>
    <row r="27" spans="1:2" x14ac:dyDescent="0.35">
      <c r="A27" t="s">
        <v>723</v>
      </c>
      <c r="B27" t="s">
        <v>1547</v>
      </c>
    </row>
    <row r="28" spans="1:2" x14ac:dyDescent="0.35">
      <c r="A28" t="s">
        <v>800</v>
      </c>
      <c r="B28" t="s">
        <v>1623</v>
      </c>
    </row>
    <row r="29" spans="1:2" x14ac:dyDescent="0.35">
      <c r="A29" t="s">
        <v>822</v>
      </c>
      <c r="B29" t="s">
        <v>1644</v>
      </c>
    </row>
    <row r="30" spans="1:2" x14ac:dyDescent="0.35">
      <c r="A30" t="s">
        <v>633</v>
      </c>
      <c r="B30" t="s">
        <v>1457</v>
      </c>
    </row>
    <row r="31" spans="1:2" x14ac:dyDescent="0.35">
      <c r="A31" t="s">
        <v>428</v>
      </c>
      <c r="B31" t="s">
        <v>1252</v>
      </c>
    </row>
    <row r="32" spans="1:2" x14ac:dyDescent="0.35">
      <c r="A32" t="s">
        <v>186</v>
      </c>
      <c r="B32" t="s">
        <v>1014</v>
      </c>
    </row>
    <row r="33" spans="1:11" x14ac:dyDescent="0.35">
      <c r="A33" t="s">
        <v>807</v>
      </c>
      <c r="B33" t="s">
        <v>1630</v>
      </c>
    </row>
    <row r="34" spans="1:11" x14ac:dyDescent="0.35">
      <c r="A34" t="s">
        <v>279</v>
      </c>
      <c r="B34" t="s">
        <v>1105</v>
      </c>
    </row>
    <row r="35" spans="1:11" x14ac:dyDescent="0.35">
      <c r="A35" t="s">
        <v>753</v>
      </c>
      <c r="B35" t="s">
        <v>1577</v>
      </c>
    </row>
    <row r="36" spans="1:11" x14ac:dyDescent="0.35">
      <c r="A36" t="s">
        <v>610</v>
      </c>
      <c r="B36" t="s">
        <v>1434</v>
      </c>
    </row>
    <row r="37" spans="1:11" x14ac:dyDescent="0.35">
      <c r="A37" t="s">
        <v>3403</v>
      </c>
      <c r="B37" t="s">
        <v>3404</v>
      </c>
    </row>
    <row r="38" spans="1:11" x14ac:dyDescent="0.35">
      <c r="A38" t="s">
        <v>378</v>
      </c>
      <c r="B38" t="s">
        <v>1202</v>
      </c>
    </row>
    <row r="39" spans="1:11" x14ac:dyDescent="0.35">
      <c r="A39" t="s">
        <v>663</v>
      </c>
      <c r="B39" t="s">
        <v>1487</v>
      </c>
    </row>
    <row r="40" spans="1:11" x14ac:dyDescent="0.35">
      <c r="A40" t="s">
        <v>664</v>
      </c>
      <c r="B40" t="s">
        <v>1488</v>
      </c>
    </row>
    <row r="41" spans="1:11" x14ac:dyDescent="0.35">
      <c r="A41" t="s">
        <v>676</v>
      </c>
      <c r="B41" t="s">
        <v>1500</v>
      </c>
    </row>
    <row r="42" spans="1:11" x14ac:dyDescent="0.35">
      <c r="A42" t="s">
        <v>665</v>
      </c>
      <c r="B42" t="s">
        <v>1489</v>
      </c>
    </row>
    <row r="43" spans="1:11" x14ac:dyDescent="0.35">
      <c r="A43" t="s">
        <v>730</v>
      </c>
      <c r="B43" t="s">
        <v>1554</v>
      </c>
    </row>
    <row r="44" spans="1:11" x14ac:dyDescent="0.35">
      <c r="A44" t="s">
        <v>706</v>
      </c>
      <c r="B44" t="s">
        <v>1530</v>
      </c>
    </row>
    <row r="45" spans="1:11" x14ac:dyDescent="0.35">
      <c r="A45" t="s">
        <v>620</v>
      </c>
      <c r="B45" t="s">
        <v>1444</v>
      </c>
    </row>
    <row r="46" spans="1:11" x14ac:dyDescent="0.35">
      <c r="A46" t="s">
        <v>383</v>
      </c>
      <c r="B46" t="s">
        <v>1207</v>
      </c>
      <c r="C46" t="s">
        <v>3514</v>
      </c>
      <c r="D46" t="s">
        <v>3515</v>
      </c>
      <c r="E46" t="s">
        <v>3516</v>
      </c>
      <c r="F46" t="s">
        <v>3517</v>
      </c>
      <c r="G46" t="s">
        <v>3516</v>
      </c>
      <c r="H46" t="s">
        <v>3518</v>
      </c>
      <c r="I46" t="s">
        <v>3516</v>
      </c>
      <c r="J46" t="s">
        <v>3516</v>
      </c>
      <c r="K46" t="s">
        <v>3516</v>
      </c>
    </row>
    <row r="47" spans="1:11" x14ac:dyDescent="0.35">
      <c r="A47" t="s">
        <v>791</v>
      </c>
      <c r="B47" t="s">
        <v>1614</v>
      </c>
    </row>
    <row r="48" spans="1:11" x14ac:dyDescent="0.35">
      <c r="A48" t="s">
        <v>786</v>
      </c>
      <c r="B48" t="s">
        <v>1609</v>
      </c>
    </row>
    <row r="49" spans="1:2" x14ac:dyDescent="0.35">
      <c r="A49" t="s">
        <v>487</v>
      </c>
      <c r="B49" t="s">
        <v>1311</v>
      </c>
    </row>
    <row r="50" spans="1:2" x14ac:dyDescent="0.35">
      <c r="A50" t="s">
        <v>37</v>
      </c>
      <c r="B50" t="s">
        <v>866</v>
      </c>
    </row>
    <row r="51" spans="1:2" x14ac:dyDescent="0.35">
      <c r="A51" t="s">
        <v>789</v>
      </c>
      <c r="B51" t="s">
        <v>1612</v>
      </c>
    </row>
    <row r="52" spans="1:2" x14ac:dyDescent="0.35">
      <c r="A52" t="s">
        <v>640</v>
      </c>
      <c r="B52" t="s">
        <v>1464</v>
      </c>
    </row>
    <row r="53" spans="1:2" x14ac:dyDescent="0.35">
      <c r="A53" t="s">
        <v>717</v>
      </c>
      <c r="B53" t="s">
        <v>1541</v>
      </c>
    </row>
    <row r="54" spans="1:2" x14ac:dyDescent="0.35">
      <c r="A54" t="s">
        <v>447</v>
      </c>
      <c r="B54" t="s">
        <v>1271</v>
      </c>
    </row>
    <row r="55" spans="1:2" x14ac:dyDescent="0.35">
      <c r="A55" t="s">
        <v>481</v>
      </c>
      <c r="B55" t="s">
        <v>1305</v>
      </c>
    </row>
    <row r="56" spans="1:2" x14ac:dyDescent="0.35">
      <c r="A56" t="s">
        <v>149</v>
      </c>
      <c r="B56" t="s">
        <v>978</v>
      </c>
    </row>
    <row r="57" spans="1:2" x14ac:dyDescent="0.35">
      <c r="A57" t="s">
        <v>448</v>
      </c>
      <c r="B57" t="s">
        <v>1272</v>
      </c>
    </row>
    <row r="58" spans="1:2" x14ac:dyDescent="0.35">
      <c r="A58" t="s">
        <v>193</v>
      </c>
      <c r="B58" t="s">
        <v>1021</v>
      </c>
    </row>
    <row r="59" spans="1:2" x14ac:dyDescent="0.35">
      <c r="A59" t="s">
        <v>711</v>
      </c>
      <c r="B59" t="s">
        <v>1535</v>
      </c>
    </row>
    <row r="60" spans="1:2" x14ac:dyDescent="0.35">
      <c r="A60" t="s">
        <v>472</v>
      </c>
      <c r="B60" t="s">
        <v>1296</v>
      </c>
    </row>
    <row r="61" spans="1:2" x14ac:dyDescent="0.35">
      <c r="A61" t="s">
        <v>249</v>
      </c>
      <c r="B61" t="s">
        <v>1075</v>
      </c>
    </row>
    <row r="62" spans="1:2" x14ac:dyDescent="0.35">
      <c r="A62" t="s">
        <v>722</v>
      </c>
      <c r="B62" t="s">
        <v>1546</v>
      </c>
    </row>
    <row r="63" spans="1:2" x14ac:dyDescent="0.35">
      <c r="A63" t="s">
        <v>712</v>
      </c>
      <c r="B63" t="s">
        <v>1536</v>
      </c>
    </row>
    <row r="64" spans="1:2" x14ac:dyDescent="0.35">
      <c r="A64" t="s">
        <v>704</v>
      </c>
      <c r="B64" t="s">
        <v>1528</v>
      </c>
    </row>
    <row r="65" spans="1:11" x14ac:dyDescent="0.35">
      <c r="A65" t="s">
        <v>473</v>
      </c>
      <c r="B65" t="s">
        <v>1297</v>
      </c>
    </row>
    <row r="66" spans="1:11" x14ac:dyDescent="0.35">
      <c r="A66" t="s">
        <v>725</v>
      </c>
      <c r="B66" t="s">
        <v>1549</v>
      </c>
    </row>
    <row r="67" spans="1:11" x14ac:dyDescent="0.35">
      <c r="A67" t="s">
        <v>719</v>
      </c>
      <c r="B67" t="s">
        <v>1543</v>
      </c>
    </row>
    <row r="68" spans="1:11" x14ac:dyDescent="0.35">
      <c r="A68" t="s">
        <v>769</v>
      </c>
      <c r="B68" t="s">
        <v>1593</v>
      </c>
    </row>
    <row r="69" spans="1:11" x14ac:dyDescent="0.35">
      <c r="A69" t="s">
        <v>803</v>
      </c>
      <c r="B69" t="s">
        <v>1626</v>
      </c>
    </row>
    <row r="70" spans="1:11" x14ac:dyDescent="0.35">
      <c r="A70" t="s">
        <v>312</v>
      </c>
      <c r="B70" t="s">
        <v>1137</v>
      </c>
    </row>
    <row r="71" spans="1:11" x14ac:dyDescent="0.35">
      <c r="A71" t="s">
        <v>774</v>
      </c>
      <c r="B71" t="s">
        <v>1598</v>
      </c>
    </row>
    <row r="72" spans="1:11" x14ac:dyDescent="0.35">
      <c r="A72" t="s">
        <v>810</v>
      </c>
      <c r="B72" t="s">
        <v>1633</v>
      </c>
    </row>
    <row r="73" spans="1:11" x14ac:dyDescent="0.35">
      <c r="A73" t="s">
        <v>81</v>
      </c>
      <c r="B73" t="s">
        <v>910</v>
      </c>
    </row>
    <row r="74" spans="1:11" x14ac:dyDescent="0.35">
      <c r="A74" t="s">
        <v>812</v>
      </c>
      <c r="B74" t="s">
        <v>1635</v>
      </c>
    </row>
    <row r="75" spans="1:11" x14ac:dyDescent="0.35">
      <c r="A75" t="s">
        <v>713</v>
      </c>
      <c r="B75" t="s">
        <v>1537</v>
      </c>
    </row>
    <row r="76" spans="1:11" x14ac:dyDescent="0.35">
      <c r="A76" t="s">
        <v>724</v>
      </c>
      <c r="B76" t="s">
        <v>1548</v>
      </c>
    </row>
    <row r="77" spans="1:11" x14ac:dyDescent="0.35">
      <c r="A77" t="s">
        <v>19</v>
      </c>
      <c r="B77" t="s">
        <v>848</v>
      </c>
      <c r="C77" t="s">
        <v>3519</v>
      </c>
      <c r="D77" t="s">
        <v>3516</v>
      </c>
      <c r="E77" t="s">
        <v>3516</v>
      </c>
      <c r="F77" t="s">
        <v>3520</v>
      </c>
      <c r="G77" t="s">
        <v>3516</v>
      </c>
      <c r="H77" t="s">
        <v>3516</v>
      </c>
      <c r="I77" t="s">
        <v>3521</v>
      </c>
      <c r="J77" t="s">
        <v>3516</v>
      </c>
      <c r="K77" t="s">
        <v>3516</v>
      </c>
    </row>
    <row r="78" spans="1:11" x14ac:dyDescent="0.35">
      <c r="A78" t="s">
        <v>809</v>
      </c>
      <c r="B78" t="s">
        <v>1632</v>
      </c>
    </row>
    <row r="79" spans="1:11" x14ac:dyDescent="0.35">
      <c r="A79" t="s">
        <v>216</v>
      </c>
      <c r="B79" t="s">
        <v>1043</v>
      </c>
    </row>
    <row r="80" spans="1:11" x14ac:dyDescent="0.35">
      <c r="A80" t="s">
        <v>814</v>
      </c>
      <c r="B80" t="s">
        <v>1637</v>
      </c>
    </row>
    <row r="81" spans="1:11" x14ac:dyDescent="0.35">
      <c r="A81" t="s">
        <v>185</v>
      </c>
      <c r="B81" t="s">
        <v>1013</v>
      </c>
    </row>
    <row r="82" spans="1:11" x14ac:dyDescent="0.35">
      <c r="A82" t="s">
        <v>772</v>
      </c>
      <c r="B82" t="s">
        <v>1596</v>
      </c>
    </row>
    <row r="83" spans="1:11" x14ac:dyDescent="0.35">
      <c r="A83" t="s">
        <v>455</v>
      </c>
      <c r="B83" t="s">
        <v>1279</v>
      </c>
    </row>
    <row r="84" spans="1:11" x14ac:dyDescent="0.35">
      <c r="A84" t="s">
        <v>420</v>
      </c>
      <c r="B84" t="s">
        <v>1244</v>
      </c>
    </row>
    <row r="85" spans="1:11" x14ac:dyDescent="0.35">
      <c r="A85" t="s">
        <v>28</v>
      </c>
      <c r="B85" t="s">
        <v>857</v>
      </c>
    </row>
    <row r="86" spans="1:11" x14ac:dyDescent="0.35">
      <c r="A86" t="s">
        <v>366</v>
      </c>
      <c r="B86" t="s">
        <v>1190</v>
      </c>
    </row>
    <row r="87" spans="1:11" x14ac:dyDescent="0.35">
      <c r="A87" t="s">
        <v>147</v>
      </c>
      <c r="B87" t="s">
        <v>976</v>
      </c>
    </row>
    <row r="88" spans="1:11" x14ac:dyDescent="0.35">
      <c r="A88" t="s">
        <v>740</v>
      </c>
      <c r="B88" t="s">
        <v>1564</v>
      </c>
    </row>
    <row r="89" spans="1:11" x14ac:dyDescent="0.35">
      <c r="A89" t="s">
        <v>438</v>
      </c>
      <c r="B89" t="s">
        <v>1262</v>
      </c>
      <c r="C89" t="s">
        <v>3516</v>
      </c>
      <c r="D89" t="s">
        <v>3522</v>
      </c>
      <c r="E89" t="s">
        <v>3516</v>
      </c>
      <c r="F89" t="s">
        <v>3523</v>
      </c>
      <c r="G89" t="s">
        <v>3516</v>
      </c>
      <c r="H89" t="s">
        <v>3524</v>
      </c>
      <c r="I89" t="s">
        <v>3516</v>
      </c>
      <c r="J89" t="s">
        <v>3516</v>
      </c>
      <c r="K89" t="s">
        <v>3516</v>
      </c>
    </row>
    <row r="90" spans="1:11" x14ac:dyDescent="0.35">
      <c r="A90" t="s">
        <v>678</v>
      </c>
      <c r="B90" t="s">
        <v>1502</v>
      </c>
    </row>
    <row r="91" spans="1:11" x14ac:dyDescent="0.35">
      <c r="A91" t="s">
        <v>389</v>
      </c>
      <c r="B91" t="s">
        <v>1213</v>
      </c>
      <c r="C91" t="s">
        <v>3516</v>
      </c>
      <c r="D91" t="s">
        <v>3525</v>
      </c>
      <c r="E91" t="s">
        <v>3516</v>
      </c>
      <c r="F91" t="s">
        <v>3526</v>
      </c>
      <c r="G91" t="s">
        <v>3516</v>
      </c>
      <c r="H91" t="s">
        <v>3527</v>
      </c>
      <c r="I91" t="s">
        <v>3516</v>
      </c>
      <c r="J91" t="s">
        <v>3516</v>
      </c>
      <c r="K91" t="s">
        <v>3516</v>
      </c>
    </row>
    <row r="92" spans="1:11" x14ac:dyDescent="0.35">
      <c r="A92" t="s">
        <v>394</v>
      </c>
      <c r="B92" t="s">
        <v>1218</v>
      </c>
      <c r="C92" t="s">
        <v>3514</v>
      </c>
      <c r="D92" t="s">
        <v>3528</v>
      </c>
      <c r="E92" t="s">
        <v>2314</v>
      </c>
      <c r="F92" t="s">
        <v>3529</v>
      </c>
      <c r="G92" t="s">
        <v>2292</v>
      </c>
      <c r="H92" t="s">
        <v>2342</v>
      </c>
      <c r="I92" t="s">
        <v>3516</v>
      </c>
      <c r="J92" t="s">
        <v>3516</v>
      </c>
      <c r="K92" t="s">
        <v>3516</v>
      </c>
    </row>
    <row r="93" spans="1:11" x14ac:dyDescent="0.35">
      <c r="A93" t="s">
        <v>792</v>
      </c>
      <c r="B93" t="s">
        <v>1615</v>
      </c>
    </row>
    <row r="94" spans="1:11" x14ac:dyDescent="0.35">
      <c r="A94" t="s">
        <v>782</v>
      </c>
      <c r="B94" t="s">
        <v>1605</v>
      </c>
    </row>
    <row r="95" spans="1:11" x14ac:dyDescent="0.35">
      <c r="A95" t="s">
        <v>33</v>
      </c>
      <c r="B95" t="s">
        <v>862</v>
      </c>
    </row>
    <row r="96" spans="1:11" x14ac:dyDescent="0.35">
      <c r="A96" t="s">
        <v>406</v>
      </c>
      <c r="B96" t="s">
        <v>1230</v>
      </c>
    </row>
    <row r="97" spans="1:2" x14ac:dyDescent="0.35">
      <c r="A97" t="s">
        <v>529</v>
      </c>
      <c r="B97" t="s">
        <v>1353</v>
      </c>
    </row>
    <row r="98" spans="1:2" x14ac:dyDescent="0.35">
      <c r="A98" t="s">
        <v>657</v>
      </c>
      <c r="B98" t="s">
        <v>1481</v>
      </c>
    </row>
    <row r="99" spans="1:2" x14ac:dyDescent="0.35">
      <c r="A99" t="s">
        <v>595</v>
      </c>
      <c r="B99" t="s">
        <v>1419</v>
      </c>
    </row>
    <row r="100" spans="1:2" x14ac:dyDescent="0.35">
      <c r="A100" t="s">
        <v>705</v>
      </c>
      <c r="B100" t="s">
        <v>1529</v>
      </c>
    </row>
    <row r="101" spans="1:2" x14ac:dyDescent="0.35">
      <c r="A101" t="s">
        <v>649</v>
      </c>
      <c r="B101" t="s">
        <v>1473</v>
      </c>
    </row>
    <row r="102" spans="1:2" x14ac:dyDescent="0.35">
      <c r="A102" t="s">
        <v>418</v>
      </c>
      <c r="B102" t="s">
        <v>1242</v>
      </c>
    </row>
    <row r="103" spans="1:2" x14ac:dyDescent="0.35">
      <c r="A103" t="s">
        <v>230</v>
      </c>
      <c r="B103" t="s">
        <v>1057</v>
      </c>
    </row>
    <row r="104" spans="1:2" x14ac:dyDescent="0.35">
      <c r="A104" t="s">
        <v>508</v>
      </c>
      <c r="B104" t="s">
        <v>1332</v>
      </c>
    </row>
    <row r="105" spans="1:2" x14ac:dyDescent="0.35">
      <c r="A105" t="s">
        <v>168</v>
      </c>
      <c r="B105" t="s">
        <v>997</v>
      </c>
    </row>
    <row r="106" spans="1:2" x14ac:dyDescent="0.35">
      <c r="A106" t="s">
        <v>365</v>
      </c>
      <c r="B106" t="s">
        <v>1189</v>
      </c>
    </row>
    <row r="107" spans="1:2" x14ac:dyDescent="0.35">
      <c r="A107" t="s">
        <v>494</v>
      </c>
      <c r="B107" t="s">
        <v>1318</v>
      </c>
    </row>
    <row r="108" spans="1:2" x14ac:dyDescent="0.35">
      <c r="A108" t="s">
        <v>781</v>
      </c>
      <c r="B108" t="s">
        <v>1604</v>
      </c>
    </row>
    <row r="109" spans="1:2" x14ac:dyDescent="0.35">
      <c r="A109" t="s">
        <v>74</v>
      </c>
      <c r="B109" t="s">
        <v>903</v>
      </c>
    </row>
    <row r="110" spans="1:2" x14ac:dyDescent="0.35">
      <c r="A110" t="s">
        <v>323</v>
      </c>
      <c r="B110" t="s">
        <v>1148</v>
      </c>
    </row>
    <row r="111" spans="1:2" x14ac:dyDescent="0.35">
      <c r="A111" t="s">
        <v>537</v>
      </c>
      <c r="B111" t="s">
        <v>1361</v>
      </c>
    </row>
    <row r="112" spans="1:2" x14ac:dyDescent="0.35">
      <c r="A112" t="s">
        <v>710</v>
      </c>
      <c r="B112" t="s">
        <v>1534</v>
      </c>
    </row>
    <row r="113" spans="1:2" x14ac:dyDescent="0.35">
      <c r="A113" t="s">
        <v>441</v>
      </c>
      <c r="B113" t="s">
        <v>1265</v>
      </c>
    </row>
    <row r="114" spans="1:2" x14ac:dyDescent="0.35">
      <c r="A114" t="s">
        <v>799</v>
      </c>
      <c r="B114" t="s">
        <v>1622</v>
      </c>
    </row>
    <row r="115" spans="1:2" x14ac:dyDescent="0.35">
      <c r="A115" t="s">
        <v>662</v>
      </c>
      <c r="B115" t="s">
        <v>1486</v>
      </c>
    </row>
    <row r="116" spans="1:2" x14ac:dyDescent="0.35">
      <c r="A116" t="s">
        <v>285</v>
      </c>
      <c r="B116" t="s">
        <v>1110</v>
      </c>
    </row>
    <row r="117" spans="1:2" x14ac:dyDescent="0.35">
      <c r="A117" t="s">
        <v>46</v>
      </c>
      <c r="B117" t="s">
        <v>875</v>
      </c>
    </row>
    <row r="118" spans="1:2" x14ac:dyDescent="0.35">
      <c r="A118" t="s">
        <v>650</v>
      </c>
      <c r="B118" t="s">
        <v>1474</v>
      </c>
    </row>
    <row r="119" spans="1:2" x14ac:dyDescent="0.35">
      <c r="A119" t="s">
        <v>3335</v>
      </c>
      <c r="B119" t="s">
        <v>3336</v>
      </c>
    </row>
    <row r="120" spans="1:2" x14ac:dyDescent="0.35">
      <c r="A120" t="s">
        <v>27</v>
      </c>
      <c r="B120" t="s">
        <v>856</v>
      </c>
    </row>
    <row r="121" spans="1:2" x14ac:dyDescent="0.35">
      <c r="A121" t="s">
        <v>199</v>
      </c>
      <c r="B121" t="s">
        <v>1027</v>
      </c>
    </row>
    <row r="122" spans="1:2" x14ac:dyDescent="0.35">
      <c r="A122" t="s">
        <v>679</v>
      </c>
      <c r="B122" t="s">
        <v>1503</v>
      </c>
    </row>
    <row r="123" spans="1:2" x14ac:dyDescent="0.35">
      <c r="A123" t="s">
        <v>680</v>
      </c>
      <c r="B123" t="s">
        <v>1504</v>
      </c>
    </row>
    <row r="124" spans="1:2" x14ac:dyDescent="0.35">
      <c r="A124" t="s">
        <v>681</v>
      </c>
      <c r="B124" t="s">
        <v>1505</v>
      </c>
    </row>
    <row r="125" spans="1:2" x14ac:dyDescent="0.35">
      <c r="A125" t="s">
        <v>387</v>
      </c>
      <c r="B125" t="s">
        <v>1211</v>
      </c>
    </row>
    <row r="126" spans="1:2" x14ac:dyDescent="0.35">
      <c r="A126" t="s">
        <v>3387</v>
      </c>
      <c r="B126" t="s">
        <v>3388</v>
      </c>
    </row>
    <row r="127" spans="1:2" x14ac:dyDescent="0.35">
      <c r="A127" t="s">
        <v>371</v>
      </c>
      <c r="B127" t="s">
        <v>1195</v>
      </c>
    </row>
    <row r="128" spans="1:2" x14ac:dyDescent="0.35">
      <c r="A128" t="s">
        <v>788</v>
      </c>
      <c r="B128" t="s">
        <v>1611</v>
      </c>
    </row>
    <row r="129" spans="1:11" x14ac:dyDescent="0.35">
      <c r="A129" t="s">
        <v>3326</v>
      </c>
      <c r="B129" t="s">
        <v>3327</v>
      </c>
    </row>
    <row r="130" spans="1:11" x14ac:dyDescent="0.35">
      <c r="A130" t="s">
        <v>3405</v>
      </c>
      <c r="B130" t="s">
        <v>3406</v>
      </c>
    </row>
    <row r="131" spans="1:11" x14ac:dyDescent="0.35">
      <c r="A131" t="s">
        <v>482</v>
      </c>
      <c r="B131" t="s">
        <v>1306</v>
      </c>
    </row>
    <row r="132" spans="1:11" x14ac:dyDescent="0.35">
      <c r="A132" t="s">
        <v>172</v>
      </c>
      <c r="B132" t="s">
        <v>1001</v>
      </c>
    </row>
    <row r="133" spans="1:11" x14ac:dyDescent="0.35">
      <c r="A133" t="s">
        <v>226</v>
      </c>
      <c r="B133" t="s">
        <v>1053</v>
      </c>
    </row>
    <row r="134" spans="1:11" x14ac:dyDescent="0.35">
      <c r="A134" t="s">
        <v>498</v>
      </c>
      <c r="B134" t="s">
        <v>1322</v>
      </c>
    </row>
    <row r="135" spans="1:11" x14ac:dyDescent="0.35">
      <c r="A135" t="s">
        <v>667</v>
      </c>
      <c r="B135" t="s">
        <v>1491</v>
      </c>
    </row>
    <row r="136" spans="1:11" x14ac:dyDescent="0.35">
      <c r="A136" t="s">
        <v>445</v>
      </c>
      <c r="B136" t="s">
        <v>1269</v>
      </c>
    </row>
    <row r="137" spans="1:11" x14ac:dyDescent="0.35">
      <c r="A137" t="s">
        <v>41</v>
      </c>
      <c r="B137" t="s">
        <v>870</v>
      </c>
    </row>
    <row r="138" spans="1:11" x14ac:dyDescent="0.35">
      <c r="A138" t="s">
        <v>281</v>
      </c>
      <c r="B138" t="s">
        <v>1107</v>
      </c>
      <c r="C138" t="s">
        <v>3530</v>
      </c>
      <c r="D138" t="s">
        <v>2316</v>
      </c>
      <c r="E138" t="s">
        <v>3516</v>
      </c>
      <c r="F138" t="s">
        <v>2339</v>
      </c>
      <c r="G138" t="s">
        <v>2429</v>
      </c>
      <c r="H138" t="s">
        <v>3531</v>
      </c>
      <c r="I138" t="s">
        <v>3532</v>
      </c>
      <c r="J138" t="s">
        <v>3516</v>
      </c>
      <c r="K138" t="s">
        <v>3516</v>
      </c>
    </row>
    <row r="139" spans="1:11" x14ac:dyDescent="0.35">
      <c r="A139" t="s">
        <v>273</v>
      </c>
      <c r="B139" t="s">
        <v>1099</v>
      </c>
    </row>
    <row r="140" spans="1:11" x14ac:dyDescent="0.35">
      <c r="A140" t="s">
        <v>256</v>
      </c>
      <c r="B140" t="s">
        <v>1082</v>
      </c>
    </row>
    <row r="141" spans="1:11" x14ac:dyDescent="0.35">
      <c r="A141" t="s">
        <v>549</v>
      </c>
      <c r="B141" t="s">
        <v>1373</v>
      </c>
    </row>
    <row r="142" spans="1:11" x14ac:dyDescent="0.35">
      <c r="A142" t="s">
        <v>783</v>
      </c>
      <c r="B142" t="s">
        <v>1606</v>
      </c>
    </row>
    <row r="143" spans="1:11" x14ac:dyDescent="0.35">
      <c r="A143" t="s">
        <v>342</v>
      </c>
      <c r="B143" t="s">
        <v>1166</v>
      </c>
    </row>
    <row r="144" spans="1:11" x14ac:dyDescent="0.35">
      <c r="A144" t="s">
        <v>796</v>
      </c>
      <c r="B144" t="s">
        <v>1619</v>
      </c>
    </row>
    <row r="145" spans="1:11" x14ac:dyDescent="0.35">
      <c r="A145" t="s">
        <v>798</v>
      </c>
      <c r="B145" t="s">
        <v>1621</v>
      </c>
    </row>
    <row r="146" spans="1:11" x14ac:dyDescent="0.35">
      <c r="A146" t="s">
        <v>811</v>
      </c>
      <c r="B146" t="s">
        <v>1634</v>
      </c>
    </row>
    <row r="147" spans="1:11" x14ac:dyDescent="0.35">
      <c r="A147" t="s">
        <v>805</v>
      </c>
      <c r="B147" t="s">
        <v>1628</v>
      </c>
    </row>
    <row r="148" spans="1:11" x14ac:dyDescent="0.35">
      <c r="A148" t="s">
        <v>443</v>
      </c>
      <c r="B148" t="s">
        <v>1267</v>
      </c>
    </row>
    <row r="149" spans="1:11" x14ac:dyDescent="0.35">
      <c r="A149" t="s">
        <v>784</v>
      </c>
      <c r="B149" t="s">
        <v>1607</v>
      </c>
    </row>
    <row r="150" spans="1:11" x14ac:dyDescent="0.35">
      <c r="A150" t="s">
        <v>815</v>
      </c>
      <c r="B150" t="s">
        <v>1638</v>
      </c>
    </row>
    <row r="151" spans="1:11" x14ac:dyDescent="0.35">
      <c r="A151" t="s">
        <v>806</v>
      </c>
      <c r="B151" t="s">
        <v>1629</v>
      </c>
    </row>
    <row r="152" spans="1:11" x14ac:dyDescent="0.35">
      <c r="A152" t="s">
        <v>802</v>
      </c>
      <c r="B152" t="s">
        <v>1625</v>
      </c>
    </row>
    <row r="153" spans="1:11" x14ac:dyDescent="0.35">
      <c r="A153" t="s">
        <v>526</v>
      </c>
      <c r="B153" t="s">
        <v>1350</v>
      </c>
    </row>
    <row r="154" spans="1:11" x14ac:dyDescent="0.35">
      <c r="A154" t="s">
        <v>101</v>
      </c>
      <c r="B154" t="s">
        <v>930</v>
      </c>
    </row>
    <row r="155" spans="1:11" x14ac:dyDescent="0.35">
      <c r="A155" t="s">
        <v>552</v>
      </c>
      <c r="B155" t="s">
        <v>1376</v>
      </c>
    </row>
    <row r="156" spans="1:11" x14ac:dyDescent="0.35">
      <c r="A156" t="s">
        <v>39</v>
      </c>
      <c r="B156" t="s">
        <v>868</v>
      </c>
    </row>
    <row r="157" spans="1:11" x14ac:dyDescent="0.35">
      <c r="A157" t="s">
        <v>75</v>
      </c>
      <c r="B157" t="s">
        <v>904</v>
      </c>
    </row>
    <row r="158" spans="1:11" x14ac:dyDescent="0.35">
      <c r="A158" t="s">
        <v>446</v>
      </c>
      <c r="B158" t="s">
        <v>1270</v>
      </c>
    </row>
    <row r="159" spans="1:11" x14ac:dyDescent="0.35">
      <c r="A159" t="s">
        <v>363</v>
      </c>
      <c r="B159" t="s">
        <v>1187</v>
      </c>
      <c r="C159" t="s">
        <v>3516</v>
      </c>
      <c r="D159" t="s">
        <v>3533</v>
      </c>
      <c r="E159" t="s">
        <v>3534</v>
      </c>
      <c r="F159" t="s">
        <v>3535</v>
      </c>
      <c r="G159" t="s">
        <v>2435</v>
      </c>
      <c r="H159" t="s">
        <v>3500</v>
      </c>
      <c r="I159" t="s">
        <v>3516</v>
      </c>
      <c r="J159" t="s">
        <v>3516</v>
      </c>
      <c r="K159" t="s">
        <v>3516</v>
      </c>
    </row>
    <row r="160" spans="1:11" x14ac:dyDescent="0.35">
      <c r="A160" t="s">
        <v>345</v>
      </c>
      <c r="B160" t="s">
        <v>1169</v>
      </c>
    </row>
    <row r="161" spans="1:11" x14ac:dyDescent="0.35">
      <c r="A161" t="s">
        <v>353</v>
      </c>
      <c r="B161" t="s">
        <v>1177</v>
      </c>
    </row>
    <row r="162" spans="1:11" x14ac:dyDescent="0.35">
      <c r="A162" t="s">
        <v>198</v>
      </c>
      <c r="B162" t="s">
        <v>1026</v>
      </c>
    </row>
    <row r="163" spans="1:11" x14ac:dyDescent="0.35">
      <c r="A163" t="s">
        <v>641</v>
      </c>
      <c r="B163" t="s">
        <v>1465</v>
      </c>
      <c r="C163" t="s">
        <v>3536</v>
      </c>
      <c r="D163" t="s">
        <v>3516</v>
      </c>
      <c r="E163" t="s">
        <v>3516</v>
      </c>
      <c r="F163" t="s">
        <v>3537</v>
      </c>
      <c r="G163" t="s">
        <v>3516</v>
      </c>
      <c r="H163" t="s">
        <v>3516</v>
      </c>
      <c r="I163" t="s">
        <v>3516</v>
      </c>
      <c r="J163" t="s">
        <v>3516</v>
      </c>
      <c r="K163" t="s">
        <v>3516</v>
      </c>
    </row>
    <row r="164" spans="1:11" x14ac:dyDescent="0.35">
      <c r="A164" t="s">
        <v>3365</v>
      </c>
      <c r="B164" t="s">
        <v>3366</v>
      </c>
      <c r="C164" t="s">
        <v>3519</v>
      </c>
      <c r="D164" t="s">
        <v>3500</v>
      </c>
      <c r="E164" t="s">
        <v>3538</v>
      </c>
      <c r="F164" t="s">
        <v>2367</v>
      </c>
      <c r="G164" t="s">
        <v>2307</v>
      </c>
      <c r="H164" t="s">
        <v>3539</v>
      </c>
      <c r="I164" t="s">
        <v>3539</v>
      </c>
      <c r="J164" t="s">
        <v>3516</v>
      </c>
      <c r="K164" t="s">
        <v>3516</v>
      </c>
    </row>
    <row r="165" spans="1:11" x14ac:dyDescent="0.35">
      <c r="A165" t="s">
        <v>204</v>
      </c>
      <c r="B165" t="s">
        <v>1031</v>
      </c>
    </row>
    <row r="166" spans="1:11" x14ac:dyDescent="0.35">
      <c r="A166" t="s">
        <v>339</v>
      </c>
      <c r="B166" t="s">
        <v>1163</v>
      </c>
      <c r="C166" t="s">
        <v>3516</v>
      </c>
      <c r="D166" t="s">
        <v>2303</v>
      </c>
      <c r="E166" t="s">
        <v>3540</v>
      </c>
      <c r="F166" t="s">
        <v>3541</v>
      </c>
      <c r="G166" t="s">
        <v>3542</v>
      </c>
      <c r="H166" t="s">
        <v>3543</v>
      </c>
      <c r="I166" t="s">
        <v>2422</v>
      </c>
      <c r="J166" t="s">
        <v>3516</v>
      </c>
      <c r="K166" t="s">
        <v>3516</v>
      </c>
    </row>
    <row r="167" spans="1:11" x14ac:dyDescent="0.35">
      <c r="A167" t="s">
        <v>475</v>
      </c>
      <c r="B167" t="s">
        <v>1299</v>
      </c>
      <c r="C167" t="s">
        <v>3519</v>
      </c>
      <c r="D167" t="s">
        <v>3501</v>
      </c>
      <c r="E167" t="s">
        <v>3516</v>
      </c>
      <c r="F167" t="s">
        <v>3502</v>
      </c>
      <c r="G167" t="s">
        <v>3516</v>
      </c>
      <c r="H167" t="s">
        <v>3544</v>
      </c>
      <c r="I167" t="s">
        <v>3516</v>
      </c>
      <c r="J167" t="s">
        <v>3516</v>
      </c>
      <c r="K167" t="s">
        <v>3516</v>
      </c>
    </row>
    <row r="168" spans="1:11" x14ac:dyDescent="0.35">
      <c r="A168" t="s">
        <v>464</v>
      </c>
      <c r="B168" t="s">
        <v>1288</v>
      </c>
    </row>
    <row r="169" spans="1:11" x14ac:dyDescent="0.35">
      <c r="A169" t="s">
        <v>182</v>
      </c>
      <c r="B169" t="s">
        <v>1011</v>
      </c>
    </row>
    <row r="170" spans="1:11" x14ac:dyDescent="0.35">
      <c r="A170" t="s">
        <v>6</v>
      </c>
      <c r="B170" t="s">
        <v>835</v>
      </c>
    </row>
    <row r="171" spans="1:11" x14ac:dyDescent="0.35">
      <c r="A171" t="s">
        <v>1</v>
      </c>
      <c r="B171" t="s">
        <v>830</v>
      </c>
    </row>
    <row r="172" spans="1:11" x14ac:dyDescent="0.35">
      <c r="A172" t="s">
        <v>205</v>
      </c>
      <c r="B172" t="s">
        <v>1032</v>
      </c>
    </row>
    <row r="173" spans="1:11" x14ac:dyDescent="0.35">
      <c r="A173" t="s">
        <v>505</v>
      </c>
      <c r="B173" t="s">
        <v>1329</v>
      </c>
      <c r="C173" t="s">
        <v>3519</v>
      </c>
      <c r="D173" t="s">
        <v>3545</v>
      </c>
      <c r="E173" t="s">
        <v>2273</v>
      </c>
      <c r="F173" t="s">
        <v>3546</v>
      </c>
      <c r="G173" t="s">
        <v>2319</v>
      </c>
      <c r="H173" t="s">
        <v>3547</v>
      </c>
      <c r="I173" t="s">
        <v>3548</v>
      </c>
      <c r="J173" t="s">
        <v>3516</v>
      </c>
      <c r="K173" t="s">
        <v>3516</v>
      </c>
    </row>
    <row r="174" spans="1:11" x14ac:dyDescent="0.35">
      <c r="A174" t="s">
        <v>531</v>
      </c>
      <c r="B174" t="s">
        <v>1355</v>
      </c>
    </row>
    <row r="175" spans="1:11" x14ac:dyDescent="0.35">
      <c r="A175" t="s">
        <v>489</v>
      </c>
      <c r="B175" t="s">
        <v>1313</v>
      </c>
    </row>
    <row r="176" spans="1:11" x14ac:dyDescent="0.35">
      <c r="A176" t="s">
        <v>294</v>
      </c>
      <c r="B176" t="s">
        <v>1119</v>
      </c>
    </row>
    <row r="177" spans="1:11" x14ac:dyDescent="0.35">
      <c r="A177" t="s">
        <v>479</v>
      </c>
      <c r="B177" t="s">
        <v>1303</v>
      </c>
    </row>
    <row r="178" spans="1:11" x14ac:dyDescent="0.35">
      <c r="A178" t="s">
        <v>609</v>
      </c>
      <c r="B178" t="s">
        <v>1433</v>
      </c>
      <c r="C178" t="s">
        <v>3530</v>
      </c>
      <c r="D178" t="s">
        <v>2375</v>
      </c>
      <c r="E178" t="s">
        <v>3549</v>
      </c>
      <c r="F178" t="s">
        <v>2267</v>
      </c>
      <c r="G178" t="s">
        <v>2119</v>
      </c>
      <c r="H178" t="s">
        <v>3500</v>
      </c>
      <c r="I178" t="s">
        <v>3503</v>
      </c>
      <c r="J178" t="s">
        <v>3516</v>
      </c>
      <c r="K178" t="s">
        <v>3516</v>
      </c>
    </row>
    <row r="179" spans="1:11" x14ac:dyDescent="0.35">
      <c r="A179" t="s">
        <v>497</v>
      </c>
      <c r="B179" t="s">
        <v>1321</v>
      </c>
      <c r="C179" t="s">
        <v>3530</v>
      </c>
      <c r="D179" t="s">
        <v>3550</v>
      </c>
      <c r="E179" t="s">
        <v>3516</v>
      </c>
      <c r="F179" t="s">
        <v>3551</v>
      </c>
      <c r="G179" t="s">
        <v>3516</v>
      </c>
      <c r="H179" t="s">
        <v>3516</v>
      </c>
      <c r="I179" t="s">
        <v>3516</v>
      </c>
      <c r="J179" t="s">
        <v>3516</v>
      </c>
      <c r="K179" t="s">
        <v>3516</v>
      </c>
    </row>
    <row r="180" spans="1:11" x14ac:dyDescent="0.35">
      <c r="A180" t="s">
        <v>496</v>
      </c>
      <c r="B180" t="s">
        <v>1320</v>
      </c>
      <c r="C180" t="s">
        <v>3530</v>
      </c>
      <c r="D180" t="s">
        <v>3552</v>
      </c>
      <c r="E180" t="s">
        <v>3516</v>
      </c>
      <c r="F180" t="s">
        <v>3553</v>
      </c>
      <c r="G180" t="s">
        <v>3516</v>
      </c>
      <c r="H180" t="s">
        <v>3516</v>
      </c>
      <c r="I180" t="s">
        <v>3516</v>
      </c>
      <c r="J180" t="s">
        <v>3516</v>
      </c>
      <c r="K180" t="s">
        <v>3516</v>
      </c>
    </row>
    <row r="181" spans="1:11" x14ac:dyDescent="0.35">
      <c r="A181" t="s">
        <v>763</v>
      </c>
      <c r="B181" t="s">
        <v>1587</v>
      </c>
    </row>
    <row r="182" spans="1:11" x14ac:dyDescent="0.35">
      <c r="A182" t="s">
        <v>356</v>
      </c>
      <c r="B182" t="s">
        <v>1180</v>
      </c>
    </row>
    <row r="183" spans="1:11" x14ac:dyDescent="0.35">
      <c r="A183" t="s">
        <v>325</v>
      </c>
      <c r="B183" t="s">
        <v>1150</v>
      </c>
    </row>
    <row r="184" spans="1:11" x14ac:dyDescent="0.35">
      <c r="A184" t="s">
        <v>382</v>
      </c>
      <c r="B184" t="s">
        <v>1206</v>
      </c>
    </row>
    <row r="185" spans="1:11" x14ac:dyDescent="0.35">
      <c r="A185" t="s">
        <v>243</v>
      </c>
      <c r="B185" t="s">
        <v>1069</v>
      </c>
    </row>
    <row r="186" spans="1:11" x14ac:dyDescent="0.35">
      <c r="A186" t="s">
        <v>73</v>
      </c>
      <c r="B186" t="s">
        <v>902</v>
      </c>
      <c r="C186" t="s">
        <v>3554</v>
      </c>
      <c r="D186" t="s">
        <v>2495</v>
      </c>
      <c r="E186" t="s">
        <v>3555</v>
      </c>
      <c r="F186" t="s">
        <v>3518</v>
      </c>
      <c r="G186" t="s">
        <v>3556</v>
      </c>
      <c r="H186" t="s">
        <v>3557</v>
      </c>
      <c r="I186" t="s">
        <v>2270</v>
      </c>
      <c r="J186" t="s">
        <v>3516</v>
      </c>
      <c r="K186" t="s">
        <v>3516</v>
      </c>
    </row>
    <row r="187" spans="1:11" x14ac:dyDescent="0.35">
      <c r="A187" t="s">
        <v>397</v>
      </c>
      <c r="B187" t="s">
        <v>1221</v>
      </c>
    </row>
    <row r="188" spans="1:11" x14ac:dyDescent="0.35">
      <c r="A188" t="s">
        <v>3373</v>
      </c>
      <c r="B188" t="s">
        <v>3374</v>
      </c>
      <c r="C188" t="s">
        <v>3519</v>
      </c>
      <c r="D188" t="s">
        <v>3558</v>
      </c>
      <c r="E188" t="s">
        <v>3516</v>
      </c>
      <c r="F188" t="s">
        <v>3559</v>
      </c>
      <c r="G188" t="s">
        <v>3516</v>
      </c>
      <c r="H188" t="s">
        <v>3516</v>
      </c>
      <c r="I188" t="s">
        <v>3516</v>
      </c>
      <c r="J188" t="s">
        <v>3516</v>
      </c>
      <c r="K188" t="s">
        <v>3516</v>
      </c>
    </row>
    <row r="189" spans="1:11" x14ac:dyDescent="0.35">
      <c r="A189" t="s">
        <v>463</v>
      </c>
      <c r="B189" t="s">
        <v>1287</v>
      </c>
    </row>
    <row r="190" spans="1:11" x14ac:dyDescent="0.35">
      <c r="A190" t="s">
        <v>283</v>
      </c>
      <c r="B190" t="s">
        <v>1109</v>
      </c>
    </row>
    <row r="191" spans="1:11" x14ac:dyDescent="0.35">
      <c r="A191" t="s">
        <v>45</v>
      </c>
      <c r="B191" t="s">
        <v>874</v>
      </c>
    </row>
    <row r="192" spans="1:11" x14ac:dyDescent="0.35">
      <c r="A192" t="s">
        <v>224</v>
      </c>
      <c r="B192" t="s">
        <v>1051</v>
      </c>
    </row>
    <row r="193" spans="1:11" x14ac:dyDescent="0.35">
      <c r="A193" t="s">
        <v>370</v>
      </c>
      <c r="B193" t="s">
        <v>1194</v>
      </c>
    </row>
    <row r="194" spans="1:11" x14ac:dyDescent="0.35">
      <c r="A194" t="s">
        <v>682</v>
      </c>
      <c r="B194" t="s">
        <v>1506</v>
      </c>
    </row>
    <row r="195" spans="1:11" x14ac:dyDescent="0.35">
      <c r="A195" t="s">
        <v>666</v>
      </c>
      <c r="B195" t="s">
        <v>1490</v>
      </c>
    </row>
    <row r="196" spans="1:11" x14ac:dyDescent="0.35">
      <c r="A196" t="s">
        <v>683</v>
      </c>
      <c r="B196" t="s">
        <v>1507</v>
      </c>
    </row>
    <row r="197" spans="1:11" x14ac:dyDescent="0.35">
      <c r="A197" t="s">
        <v>684</v>
      </c>
      <c r="B197" t="s">
        <v>1508</v>
      </c>
    </row>
    <row r="198" spans="1:11" x14ac:dyDescent="0.35">
      <c r="A198" t="s">
        <v>598</v>
      </c>
      <c r="B198" t="s">
        <v>1422</v>
      </c>
    </row>
    <row r="199" spans="1:11" x14ac:dyDescent="0.35">
      <c r="A199" t="s">
        <v>821</v>
      </c>
      <c r="B199" t="s">
        <v>1643</v>
      </c>
    </row>
    <row r="200" spans="1:11" x14ac:dyDescent="0.35">
      <c r="A200" t="s">
        <v>61</v>
      </c>
      <c r="B200" t="s">
        <v>890</v>
      </c>
    </row>
    <row r="201" spans="1:11" x14ac:dyDescent="0.35">
      <c r="A201" t="s">
        <v>574</v>
      </c>
      <c r="B201" t="s">
        <v>1398</v>
      </c>
    </row>
    <row r="202" spans="1:11" x14ac:dyDescent="0.35">
      <c r="A202" t="s">
        <v>426</v>
      </c>
      <c r="B202" t="s">
        <v>1250</v>
      </c>
    </row>
    <row r="203" spans="1:11" x14ac:dyDescent="0.35">
      <c r="A203" t="s">
        <v>530</v>
      </c>
      <c r="B203" t="s">
        <v>1354</v>
      </c>
    </row>
    <row r="204" spans="1:11" x14ac:dyDescent="0.35">
      <c r="A204" t="s">
        <v>280</v>
      </c>
      <c r="B204" t="s">
        <v>1106</v>
      </c>
    </row>
    <row r="205" spans="1:11" x14ac:dyDescent="0.35">
      <c r="A205" t="s">
        <v>348</v>
      </c>
      <c r="B205" t="s">
        <v>1172</v>
      </c>
    </row>
    <row r="206" spans="1:11" x14ac:dyDescent="0.35">
      <c r="A206" t="s">
        <v>380</v>
      </c>
      <c r="B206" t="s">
        <v>1204</v>
      </c>
    </row>
    <row r="207" spans="1:11" x14ac:dyDescent="0.35">
      <c r="A207" t="s">
        <v>559</v>
      </c>
      <c r="B207" t="s">
        <v>1383</v>
      </c>
    </row>
    <row r="208" spans="1:11" x14ac:dyDescent="0.35">
      <c r="A208" t="s">
        <v>470</v>
      </c>
      <c r="B208" t="s">
        <v>1294</v>
      </c>
      <c r="C208" t="s">
        <v>3519</v>
      </c>
      <c r="D208" t="s">
        <v>3560</v>
      </c>
      <c r="E208" t="s">
        <v>2147</v>
      </c>
      <c r="F208" t="s">
        <v>3561</v>
      </c>
      <c r="G208" t="s">
        <v>2335</v>
      </c>
      <c r="H208" t="s">
        <v>3504</v>
      </c>
      <c r="I208" t="s">
        <v>3562</v>
      </c>
      <c r="J208" t="s">
        <v>3516</v>
      </c>
      <c r="K208" t="s">
        <v>3516</v>
      </c>
    </row>
    <row r="209" spans="1:11" x14ac:dyDescent="0.35">
      <c r="A209" t="s">
        <v>52</v>
      </c>
      <c r="B209" t="s">
        <v>881</v>
      </c>
      <c r="C209" t="s">
        <v>3519</v>
      </c>
      <c r="D209" t="s">
        <v>2380</v>
      </c>
      <c r="E209" t="s">
        <v>3563</v>
      </c>
      <c r="F209" t="s">
        <v>2394</v>
      </c>
      <c r="G209" t="s">
        <v>2421</v>
      </c>
      <c r="H209" t="s">
        <v>3516</v>
      </c>
      <c r="I209" t="s">
        <v>3516</v>
      </c>
      <c r="J209" t="s">
        <v>3516</v>
      </c>
      <c r="K209" t="s">
        <v>2322</v>
      </c>
    </row>
    <row r="210" spans="1:11" x14ac:dyDescent="0.35">
      <c r="A210" t="s">
        <v>11</v>
      </c>
      <c r="B210" t="s">
        <v>840</v>
      </c>
    </row>
    <row r="211" spans="1:11" x14ac:dyDescent="0.35">
      <c r="A211" t="s">
        <v>67</v>
      </c>
      <c r="B211" t="s">
        <v>896</v>
      </c>
    </row>
    <row r="212" spans="1:11" x14ac:dyDescent="0.35">
      <c r="A212" t="s">
        <v>568</v>
      </c>
      <c r="B212" t="s">
        <v>1392</v>
      </c>
      <c r="C212" t="s">
        <v>3519</v>
      </c>
      <c r="D212" t="s">
        <v>3564</v>
      </c>
      <c r="E212" t="s">
        <v>3565</v>
      </c>
      <c r="F212" t="s">
        <v>3540</v>
      </c>
      <c r="G212" t="s">
        <v>3566</v>
      </c>
      <c r="H212" t="s">
        <v>3567</v>
      </c>
      <c r="I212" t="s">
        <v>2551</v>
      </c>
      <c r="J212" t="s">
        <v>3516</v>
      </c>
      <c r="K212" t="s">
        <v>3516</v>
      </c>
    </row>
    <row r="213" spans="1:11" x14ac:dyDescent="0.35">
      <c r="A213" t="s">
        <v>85</v>
      </c>
      <c r="B213" t="s">
        <v>914</v>
      </c>
    </row>
    <row r="214" spans="1:11" x14ac:dyDescent="0.35">
      <c r="A214" t="s">
        <v>714</v>
      </c>
      <c r="B214" t="s">
        <v>1538</v>
      </c>
    </row>
    <row r="215" spans="1:11" x14ac:dyDescent="0.35">
      <c r="A215" t="s">
        <v>716</v>
      </c>
      <c r="B215" t="s">
        <v>1540</v>
      </c>
    </row>
    <row r="216" spans="1:11" x14ac:dyDescent="0.35">
      <c r="A216" t="s">
        <v>720</v>
      </c>
      <c r="B216" t="s">
        <v>1544</v>
      </c>
    </row>
    <row r="217" spans="1:11" x14ac:dyDescent="0.35">
      <c r="A217" t="s">
        <v>721</v>
      </c>
      <c r="B217" t="s">
        <v>1545</v>
      </c>
    </row>
    <row r="218" spans="1:11" x14ac:dyDescent="0.35">
      <c r="A218" t="s">
        <v>709</v>
      </c>
      <c r="B218" t="s">
        <v>1533</v>
      </c>
    </row>
    <row r="219" spans="1:11" x14ac:dyDescent="0.35">
      <c r="A219" t="s">
        <v>726</v>
      </c>
      <c r="B219" t="s">
        <v>1550</v>
      </c>
    </row>
    <row r="220" spans="1:11" x14ac:dyDescent="0.35">
      <c r="A220" t="s">
        <v>727</v>
      </c>
      <c r="B220" t="s">
        <v>1551</v>
      </c>
    </row>
    <row r="221" spans="1:11" x14ac:dyDescent="0.35">
      <c r="A221" t="s">
        <v>728</v>
      </c>
      <c r="B221" t="s">
        <v>1552</v>
      </c>
    </row>
    <row r="222" spans="1:11" x14ac:dyDescent="0.35">
      <c r="A222" t="s">
        <v>130</v>
      </c>
      <c r="B222" t="s">
        <v>959</v>
      </c>
    </row>
    <row r="223" spans="1:11" x14ac:dyDescent="0.35">
      <c r="A223" t="s">
        <v>407</v>
      </c>
      <c r="B223" t="s">
        <v>1231</v>
      </c>
      <c r="C223" t="s">
        <v>3519</v>
      </c>
      <c r="D223" t="s">
        <v>3568</v>
      </c>
      <c r="E223" t="s">
        <v>3569</v>
      </c>
      <c r="F223" t="s">
        <v>3570</v>
      </c>
      <c r="G223" t="s">
        <v>3571</v>
      </c>
      <c r="H223" t="s">
        <v>3572</v>
      </c>
      <c r="I223" t="s">
        <v>3573</v>
      </c>
      <c r="J223" t="s">
        <v>3516</v>
      </c>
      <c r="K223" t="s">
        <v>3516</v>
      </c>
    </row>
    <row r="224" spans="1:11" x14ac:dyDescent="0.35">
      <c r="A224" t="s">
        <v>233</v>
      </c>
      <c r="B224" t="s">
        <v>1060</v>
      </c>
    </row>
    <row r="225" spans="1:2" x14ac:dyDescent="0.35">
      <c r="A225" t="s">
        <v>703</v>
      </c>
      <c r="B225" t="s">
        <v>1527</v>
      </c>
    </row>
    <row r="226" spans="1:2" x14ac:dyDescent="0.35">
      <c r="A226" t="s">
        <v>286</v>
      </c>
      <c r="B226" t="s">
        <v>1111</v>
      </c>
    </row>
    <row r="227" spans="1:2" x14ac:dyDescent="0.35">
      <c r="A227" t="s">
        <v>451</v>
      </c>
      <c r="B227" t="s">
        <v>1275</v>
      </c>
    </row>
    <row r="228" spans="1:2" x14ac:dyDescent="0.35">
      <c r="A228" t="s">
        <v>790</v>
      </c>
      <c r="B228" t="s">
        <v>1613</v>
      </c>
    </row>
    <row r="229" spans="1:2" x14ac:dyDescent="0.35">
      <c r="A229" t="s">
        <v>794</v>
      </c>
      <c r="B229" t="s">
        <v>1617</v>
      </c>
    </row>
    <row r="230" spans="1:2" x14ac:dyDescent="0.35">
      <c r="A230" t="s">
        <v>467</v>
      </c>
      <c r="B230" t="s">
        <v>1291</v>
      </c>
    </row>
    <row r="231" spans="1:2" x14ac:dyDescent="0.35">
      <c r="A231" t="s">
        <v>469</v>
      </c>
      <c r="B231" t="s">
        <v>1293</v>
      </c>
    </row>
    <row r="232" spans="1:2" x14ac:dyDescent="0.35">
      <c r="A232" t="s">
        <v>449</v>
      </c>
      <c r="B232" t="s">
        <v>1273</v>
      </c>
    </row>
    <row r="233" spans="1:2" x14ac:dyDescent="0.35">
      <c r="A233" t="s">
        <v>414</v>
      </c>
      <c r="B233" t="s">
        <v>1238</v>
      </c>
    </row>
    <row r="234" spans="1:2" x14ac:dyDescent="0.35">
      <c r="A234" t="s">
        <v>827</v>
      </c>
      <c r="B234" t="s">
        <v>1649</v>
      </c>
    </row>
    <row r="235" spans="1:2" x14ac:dyDescent="0.35">
      <c r="A235" t="s">
        <v>804</v>
      </c>
      <c r="B235" t="s">
        <v>1627</v>
      </c>
    </row>
    <row r="236" spans="1:2" x14ac:dyDescent="0.35">
      <c r="A236" t="s">
        <v>451</v>
      </c>
      <c r="B236" t="s">
        <v>1603</v>
      </c>
    </row>
    <row r="237" spans="1:2" x14ac:dyDescent="0.35">
      <c r="A237" t="s">
        <v>603</v>
      </c>
      <c r="B237" t="s">
        <v>1427</v>
      </c>
    </row>
    <row r="238" spans="1:2" x14ac:dyDescent="0.35">
      <c r="A238" t="s">
        <v>14</v>
      </c>
      <c r="B238" t="s">
        <v>843</v>
      </c>
    </row>
    <row r="239" spans="1:2" x14ac:dyDescent="0.35">
      <c r="A239" t="s">
        <v>780</v>
      </c>
      <c r="B239" t="s">
        <v>843</v>
      </c>
    </row>
    <row r="240" spans="1:2" x14ac:dyDescent="0.35">
      <c r="A240" t="s">
        <v>773</v>
      </c>
      <c r="B240" t="s">
        <v>1597</v>
      </c>
    </row>
    <row r="241" spans="1:11" x14ac:dyDescent="0.35">
      <c r="A241" t="s">
        <v>34</v>
      </c>
      <c r="B241" t="s">
        <v>863</v>
      </c>
    </row>
    <row r="242" spans="1:11" x14ac:dyDescent="0.35">
      <c r="A242" t="s">
        <v>55</v>
      </c>
      <c r="B242" t="s">
        <v>884</v>
      </c>
    </row>
    <row r="243" spans="1:11" x14ac:dyDescent="0.35">
      <c r="A243" t="s">
        <v>355</v>
      </c>
      <c r="B243" t="s">
        <v>1179</v>
      </c>
    </row>
    <row r="244" spans="1:11" x14ac:dyDescent="0.35">
      <c r="A244" t="s">
        <v>322</v>
      </c>
      <c r="B244" t="s">
        <v>1147</v>
      </c>
    </row>
    <row r="245" spans="1:11" x14ac:dyDescent="0.35">
      <c r="A245" t="s">
        <v>72</v>
      </c>
      <c r="B245" t="s">
        <v>901</v>
      </c>
    </row>
    <row r="246" spans="1:11" x14ac:dyDescent="0.35">
      <c r="A246" t="s">
        <v>309</v>
      </c>
      <c r="B246" t="s">
        <v>1134</v>
      </c>
    </row>
    <row r="247" spans="1:11" x14ac:dyDescent="0.35">
      <c r="A247" t="s">
        <v>77</v>
      </c>
      <c r="B247" t="s">
        <v>906</v>
      </c>
      <c r="C247" t="s">
        <v>3514</v>
      </c>
      <c r="D247" t="s">
        <v>3574</v>
      </c>
      <c r="E247" t="s">
        <v>2518</v>
      </c>
      <c r="F247" t="s">
        <v>3575</v>
      </c>
      <c r="G247" t="s">
        <v>3576</v>
      </c>
      <c r="H247" t="s">
        <v>3505</v>
      </c>
      <c r="I247" t="s">
        <v>3506</v>
      </c>
      <c r="J247" t="s">
        <v>3516</v>
      </c>
      <c r="K247" t="s">
        <v>3516</v>
      </c>
    </row>
    <row r="248" spans="1:11" x14ac:dyDescent="0.35">
      <c r="A248" t="s">
        <v>32</v>
      </c>
      <c r="B248" t="s">
        <v>861</v>
      </c>
    </row>
    <row r="249" spans="1:11" x14ac:dyDescent="0.35">
      <c r="A249" t="s">
        <v>87</v>
      </c>
      <c r="B249" t="s">
        <v>916</v>
      </c>
    </row>
    <row r="250" spans="1:11" x14ac:dyDescent="0.35">
      <c r="A250" t="s">
        <v>360</v>
      </c>
      <c r="B250" t="s">
        <v>1184</v>
      </c>
      <c r="C250" t="s">
        <v>3516</v>
      </c>
      <c r="D250" t="s">
        <v>3577</v>
      </c>
      <c r="E250" t="s">
        <v>3578</v>
      </c>
      <c r="F250" t="s">
        <v>3579</v>
      </c>
      <c r="G250" t="s">
        <v>3580</v>
      </c>
      <c r="H250" t="s">
        <v>3581</v>
      </c>
      <c r="I250" t="s">
        <v>2453</v>
      </c>
      <c r="J250" t="s">
        <v>3516</v>
      </c>
      <c r="K250" t="s">
        <v>3516</v>
      </c>
    </row>
    <row r="251" spans="1:11" x14ac:dyDescent="0.35">
      <c r="A251" t="s">
        <v>122</v>
      </c>
      <c r="B251" t="s">
        <v>951</v>
      </c>
    </row>
    <row r="252" spans="1:11" x14ac:dyDescent="0.35">
      <c r="A252" t="s">
        <v>492</v>
      </c>
      <c r="B252" t="s">
        <v>1316</v>
      </c>
      <c r="C252" t="s">
        <v>3519</v>
      </c>
      <c r="D252" t="s">
        <v>3582</v>
      </c>
      <c r="E252" t="s">
        <v>3516</v>
      </c>
      <c r="F252" t="s">
        <v>3583</v>
      </c>
      <c r="G252" t="s">
        <v>3516</v>
      </c>
      <c r="H252" t="s">
        <v>3516</v>
      </c>
      <c r="I252" t="s">
        <v>3516</v>
      </c>
      <c r="J252" t="s">
        <v>3516</v>
      </c>
      <c r="K252" t="s">
        <v>3516</v>
      </c>
    </row>
    <row r="253" spans="1:11" x14ac:dyDescent="0.35">
      <c r="A253" t="s">
        <v>386</v>
      </c>
      <c r="B253" t="s">
        <v>1210</v>
      </c>
    </row>
    <row r="254" spans="1:11" x14ac:dyDescent="0.35">
      <c r="A254" t="s">
        <v>336</v>
      </c>
      <c r="B254" t="s">
        <v>1161</v>
      </c>
    </row>
    <row r="255" spans="1:11" x14ac:dyDescent="0.35">
      <c r="A255" t="s">
        <v>337</v>
      </c>
      <c r="B255" t="s">
        <v>1161</v>
      </c>
    </row>
    <row r="256" spans="1:11" x14ac:dyDescent="0.35">
      <c r="A256" t="s">
        <v>754</v>
      </c>
      <c r="B256" t="s">
        <v>1578</v>
      </c>
    </row>
    <row r="257" spans="1:11" x14ac:dyDescent="0.35">
      <c r="A257" t="s">
        <v>584</v>
      </c>
      <c r="B257" t="s">
        <v>1408</v>
      </c>
    </row>
    <row r="258" spans="1:11" x14ac:dyDescent="0.35">
      <c r="A258" t="s">
        <v>104</v>
      </c>
      <c r="B258" t="s">
        <v>933</v>
      </c>
    </row>
    <row r="259" spans="1:11" x14ac:dyDescent="0.35">
      <c r="A259" t="s">
        <v>346</v>
      </c>
      <c r="B259" t="s">
        <v>1170</v>
      </c>
    </row>
    <row r="260" spans="1:11" x14ac:dyDescent="0.35">
      <c r="A260" t="s">
        <v>456</v>
      </c>
      <c r="B260" t="s">
        <v>1280</v>
      </c>
      <c r="C260" t="s">
        <v>3519</v>
      </c>
      <c r="D260" t="s">
        <v>2368</v>
      </c>
      <c r="E260" t="s">
        <v>2471</v>
      </c>
      <c r="F260" t="s">
        <v>3584</v>
      </c>
      <c r="G260" t="s">
        <v>3516</v>
      </c>
      <c r="H260" t="s">
        <v>3516</v>
      </c>
      <c r="I260" t="s">
        <v>2346</v>
      </c>
      <c r="J260" t="s">
        <v>3516</v>
      </c>
      <c r="K260" t="s">
        <v>3516</v>
      </c>
    </row>
    <row r="261" spans="1:11" x14ac:dyDescent="0.35">
      <c r="A261" t="s">
        <v>793</v>
      </c>
      <c r="B261" t="s">
        <v>1616</v>
      </c>
    </row>
    <row r="262" spans="1:11" x14ac:dyDescent="0.35">
      <c r="A262" t="s">
        <v>217</v>
      </c>
      <c r="B262" t="s">
        <v>1044</v>
      </c>
    </row>
    <row r="263" spans="1:11" x14ac:dyDescent="0.35">
      <c r="A263" t="s">
        <v>118</v>
      </c>
      <c r="B263" t="s">
        <v>947</v>
      </c>
    </row>
    <row r="264" spans="1:11" x14ac:dyDescent="0.35">
      <c r="A264" t="s">
        <v>764</v>
      </c>
      <c r="B264" t="s">
        <v>1588</v>
      </c>
      <c r="C264" t="s">
        <v>3554</v>
      </c>
      <c r="D264" t="s">
        <v>3585</v>
      </c>
      <c r="E264" t="s">
        <v>3586</v>
      </c>
      <c r="F264" t="s">
        <v>3587</v>
      </c>
      <c r="G264" t="s">
        <v>3588</v>
      </c>
      <c r="H264" t="s">
        <v>2365</v>
      </c>
      <c r="I264" t="s">
        <v>3507</v>
      </c>
      <c r="J264" t="s">
        <v>3516</v>
      </c>
      <c r="K264" t="s">
        <v>3516</v>
      </c>
    </row>
    <row r="265" spans="1:11" x14ac:dyDescent="0.35">
      <c r="A265" t="s">
        <v>755</v>
      </c>
      <c r="B265" t="s">
        <v>1579</v>
      </c>
    </row>
    <row r="266" spans="1:11" x14ac:dyDescent="0.35">
      <c r="A266" t="s">
        <v>372</v>
      </c>
      <c r="B266" t="s">
        <v>1196</v>
      </c>
    </row>
    <row r="267" spans="1:11" x14ac:dyDescent="0.35">
      <c r="A267" t="s">
        <v>326</v>
      </c>
      <c r="B267" t="s">
        <v>1151</v>
      </c>
    </row>
    <row r="268" spans="1:11" x14ac:dyDescent="0.35">
      <c r="A268" t="s">
        <v>175</v>
      </c>
      <c r="B268" t="s">
        <v>1004</v>
      </c>
      <c r="C268" t="s">
        <v>3519</v>
      </c>
      <c r="D268" t="s">
        <v>2319</v>
      </c>
      <c r="E268" t="s">
        <v>2403</v>
      </c>
      <c r="F268" t="s">
        <v>3589</v>
      </c>
      <c r="G268" t="s">
        <v>2312</v>
      </c>
      <c r="H268" t="s">
        <v>3590</v>
      </c>
      <c r="I268" t="s">
        <v>3516</v>
      </c>
      <c r="J268" t="s">
        <v>2307</v>
      </c>
      <c r="K268" t="s">
        <v>2307</v>
      </c>
    </row>
    <row r="269" spans="1:11" x14ac:dyDescent="0.35">
      <c r="A269" t="s">
        <v>50</v>
      </c>
      <c r="B269" t="s">
        <v>879</v>
      </c>
    </row>
    <row r="270" spans="1:11" x14ac:dyDescent="0.35">
      <c r="A270" t="s">
        <v>636</v>
      </c>
      <c r="B270" t="s">
        <v>1460</v>
      </c>
      <c r="C270" t="s">
        <v>3514</v>
      </c>
      <c r="D270" t="s">
        <v>2488</v>
      </c>
      <c r="E270" t="s">
        <v>3591</v>
      </c>
      <c r="F270" t="s">
        <v>3592</v>
      </c>
      <c r="G270" t="s">
        <v>3593</v>
      </c>
      <c r="H270" t="s">
        <v>3594</v>
      </c>
      <c r="I270" t="s">
        <v>3516</v>
      </c>
      <c r="J270" t="s">
        <v>3516</v>
      </c>
      <c r="K270" t="s">
        <v>3516</v>
      </c>
    </row>
    <row r="271" spans="1:11" x14ac:dyDescent="0.35">
      <c r="A271" t="s">
        <v>510</v>
      </c>
      <c r="B271" t="s">
        <v>1334</v>
      </c>
      <c r="C271" t="s">
        <v>3516</v>
      </c>
      <c r="D271" t="s">
        <v>3566</v>
      </c>
      <c r="E271" t="s">
        <v>3595</v>
      </c>
      <c r="F271" t="s">
        <v>3596</v>
      </c>
      <c r="G271" t="s">
        <v>3597</v>
      </c>
      <c r="H271" t="s">
        <v>3516</v>
      </c>
      <c r="I271" t="s">
        <v>3516</v>
      </c>
      <c r="J271" t="s">
        <v>3516</v>
      </c>
      <c r="K271" t="s">
        <v>3516</v>
      </c>
    </row>
    <row r="272" spans="1:11" x14ac:dyDescent="0.35">
      <c r="A272" t="s">
        <v>157</v>
      </c>
      <c r="B272" t="s">
        <v>986</v>
      </c>
    </row>
    <row r="273" spans="1:11" x14ac:dyDescent="0.35">
      <c r="A273" t="s">
        <v>97</v>
      </c>
      <c r="B273" t="s">
        <v>926</v>
      </c>
    </row>
    <row r="274" spans="1:11" x14ac:dyDescent="0.35">
      <c r="A274" t="s">
        <v>254</v>
      </c>
      <c r="B274" t="s">
        <v>1080</v>
      </c>
    </row>
    <row r="275" spans="1:11" x14ac:dyDescent="0.35">
      <c r="A275" t="s">
        <v>246</v>
      </c>
      <c r="B275" t="s">
        <v>1072</v>
      </c>
    </row>
    <row r="276" spans="1:11" x14ac:dyDescent="0.35">
      <c r="A276" t="s">
        <v>491</v>
      </c>
      <c r="B276" t="s">
        <v>1315</v>
      </c>
    </row>
    <row r="277" spans="1:11" x14ac:dyDescent="0.35">
      <c r="A277" t="s">
        <v>569</v>
      </c>
      <c r="B277" t="s">
        <v>1393</v>
      </c>
    </row>
    <row r="278" spans="1:11" x14ac:dyDescent="0.35">
      <c r="A278" t="s">
        <v>524</v>
      </c>
      <c r="B278" t="s">
        <v>1348</v>
      </c>
    </row>
    <row r="279" spans="1:11" x14ac:dyDescent="0.35">
      <c r="A279" t="s">
        <v>69</v>
      </c>
      <c r="B279" t="s">
        <v>898</v>
      </c>
    </row>
    <row r="280" spans="1:11" x14ac:dyDescent="0.35">
      <c r="A280" t="s">
        <v>658</v>
      </c>
      <c r="B280" t="s">
        <v>1482</v>
      </c>
    </row>
    <row r="281" spans="1:11" x14ac:dyDescent="0.35">
      <c r="A281" t="s">
        <v>229</v>
      </c>
      <c r="B281" t="s">
        <v>1056</v>
      </c>
    </row>
    <row r="282" spans="1:11" x14ac:dyDescent="0.35">
      <c r="A282" t="s">
        <v>36</v>
      </c>
      <c r="B282" t="s">
        <v>865</v>
      </c>
      <c r="C282" t="s">
        <v>3598</v>
      </c>
      <c r="D282" t="s">
        <v>3516</v>
      </c>
      <c r="E282" t="s">
        <v>3516</v>
      </c>
      <c r="F282" t="s">
        <v>3516</v>
      </c>
      <c r="G282" t="s">
        <v>3516</v>
      </c>
      <c r="H282" t="s">
        <v>3599</v>
      </c>
      <c r="I282" t="s">
        <v>3600</v>
      </c>
      <c r="J282" t="s">
        <v>3516</v>
      </c>
      <c r="K282" t="s">
        <v>3516</v>
      </c>
    </row>
    <row r="283" spans="1:11" x14ac:dyDescent="0.35">
      <c r="A283" t="s">
        <v>573</v>
      </c>
      <c r="B283" t="s">
        <v>1397</v>
      </c>
    </row>
    <row r="284" spans="1:11" x14ac:dyDescent="0.35">
      <c r="A284" t="s">
        <v>3337</v>
      </c>
      <c r="B284" t="s">
        <v>1397</v>
      </c>
    </row>
    <row r="285" spans="1:11" x14ac:dyDescent="0.35">
      <c r="A285" t="s">
        <v>775</v>
      </c>
      <c r="B285" t="s">
        <v>1599</v>
      </c>
      <c r="C285" t="s">
        <v>3514</v>
      </c>
      <c r="D285" t="s">
        <v>3601</v>
      </c>
      <c r="E285" t="s">
        <v>3599</v>
      </c>
      <c r="F285" t="s">
        <v>2466</v>
      </c>
      <c r="G285" t="s">
        <v>2456</v>
      </c>
      <c r="H285" t="s">
        <v>2305</v>
      </c>
      <c r="I285" t="s">
        <v>3602</v>
      </c>
      <c r="J285" t="s">
        <v>3516</v>
      </c>
      <c r="K285" t="s">
        <v>3516</v>
      </c>
    </row>
    <row r="286" spans="1:11" x14ac:dyDescent="0.35">
      <c r="A286" t="s">
        <v>210</v>
      </c>
      <c r="B286" t="s">
        <v>1037</v>
      </c>
    </row>
    <row r="287" spans="1:11" x14ac:dyDescent="0.35">
      <c r="A287" t="s">
        <v>566</v>
      </c>
      <c r="B287" t="s">
        <v>1390</v>
      </c>
    </row>
    <row r="288" spans="1:11" x14ac:dyDescent="0.35">
      <c r="A288" t="s">
        <v>22</v>
      </c>
      <c r="B288" t="s">
        <v>851</v>
      </c>
    </row>
    <row r="289" spans="1:11" x14ac:dyDescent="0.35">
      <c r="A289" t="s">
        <v>379</v>
      </c>
      <c r="B289" t="s">
        <v>1203</v>
      </c>
      <c r="C289" t="s">
        <v>3519</v>
      </c>
      <c r="D289" t="s">
        <v>2373</v>
      </c>
      <c r="E289" t="s">
        <v>3603</v>
      </c>
      <c r="F289" t="s">
        <v>2401</v>
      </c>
      <c r="G289" t="s">
        <v>2371</v>
      </c>
      <c r="H289" t="s">
        <v>3553</v>
      </c>
      <c r="I289" t="s">
        <v>3516</v>
      </c>
      <c r="J289" t="s">
        <v>2533</v>
      </c>
      <c r="K289" t="s">
        <v>2532</v>
      </c>
    </row>
    <row r="290" spans="1:11" x14ac:dyDescent="0.35">
      <c r="A290" t="s">
        <v>242</v>
      </c>
      <c r="B290" t="s">
        <v>1068</v>
      </c>
    </row>
    <row r="291" spans="1:11" x14ac:dyDescent="0.35">
      <c r="A291" t="s">
        <v>776</v>
      </c>
      <c r="B291" t="s">
        <v>1600</v>
      </c>
      <c r="C291" t="s">
        <v>3519</v>
      </c>
      <c r="D291" t="s">
        <v>2122</v>
      </c>
      <c r="E291" t="s">
        <v>3516</v>
      </c>
      <c r="F291" t="s">
        <v>3604</v>
      </c>
      <c r="G291" t="s">
        <v>3516</v>
      </c>
      <c r="H291" t="s">
        <v>3516</v>
      </c>
      <c r="I291" t="s">
        <v>3516</v>
      </c>
      <c r="J291" t="s">
        <v>3516</v>
      </c>
      <c r="K291" t="s">
        <v>3516</v>
      </c>
    </row>
    <row r="292" spans="1:11" x14ac:dyDescent="0.35">
      <c r="A292" t="s">
        <v>169</v>
      </c>
      <c r="B292" t="s">
        <v>998</v>
      </c>
      <c r="C292" t="s">
        <v>3554</v>
      </c>
      <c r="D292" t="s">
        <v>3508</v>
      </c>
      <c r="E292" t="s">
        <v>3605</v>
      </c>
      <c r="F292" t="s">
        <v>3509</v>
      </c>
      <c r="G292" t="s">
        <v>3606</v>
      </c>
      <c r="H292" t="s">
        <v>2415</v>
      </c>
      <c r="I292" t="s">
        <v>3607</v>
      </c>
      <c r="J292" t="s">
        <v>3516</v>
      </c>
      <c r="K292" t="s">
        <v>3516</v>
      </c>
    </row>
    <row r="293" spans="1:11" x14ac:dyDescent="0.35">
      <c r="A293" t="s">
        <v>477</v>
      </c>
      <c r="B293" t="s">
        <v>1301</v>
      </c>
      <c r="C293" t="s">
        <v>3519</v>
      </c>
      <c r="D293" t="s">
        <v>3608</v>
      </c>
      <c r="E293" t="s">
        <v>3516</v>
      </c>
      <c r="F293" t="s">
        <v>3609</v>
      </c>
      <c r="G293" t="s">
        <v>3516</v>
      </c>
      <c r="H293" t="s">
        <v>3512</v>
      </c>
      <c r="I293" t="s">
        <v>3512</v>
      </c>
      <c r="J293" t="s">
        <v>3516</v>
      </c>
      <c r="K293" t="s">
        <v>3516</v>
      </c>
    </row>
    <row r="294" spans="1:11" x14ac:dyDescent="0.35">
      <c r="A294" t="s">
        <v>103</v>
      </c>
      <c r="B294" t="s">
        <v>932</v>
      </c>
    </row>
    <row r="295" spans="1:11" x14ac:dyDescent="0.35">
      <c r="A295" t="s">
        <v>42</v>
      </c>
      <c r="B295" t="s">
        <v>871</v>
      </c>
    </row>
    <row r="296" spans="1:11" x14ac:dyDescent="0.35">
      <c r="A296" t="s">
        <v>218</v>
      </c>
      <c r="B296" t="s">
        <v>1045</v>
      </c>
    </row>
    <row r="297" spans="1:11" x14ac:dyDescent="0.35">
      <c r="A297" t="s">
        <v>435</v>
      </c>
      <c r="B297" t="s">
        <v>1259</v>
      </c>
    </row>
    <row r="298" spans="1:11" x14ac:dyDescent="0.35">
      <c r="A298" t="s">
        <v>818</v>
      </c>
      <c r="B298" t="s">
        <v>1641</v>
      </c>
    </row>
    <row r="299" spans="1:11" x14ac:dyDescent="0.35">
      <c r="A299" t="s">
        <v>126</v>
      </c>
      <c r="B299" t="s">
        <v>955</v>
      </c>
    </row>
    <row r="300" spans="1:11" x14ac:dyDescent="0.35">
      <c r="A300" t="s">
        <v>269</v>
      </c>
      <c r="B300" t="s">
        <v>1095</v>
      </c>
    </row>
    <row r="301" spans="1:11" x14ac:dyDescent="0.35">
      <c r="A301" t="s">
        <v>56</v>
      </c>
      <c r="B301" t="s">
        <v>885</v>
      </c>
    </row>
    <row r="302" spans="1:11" x14ac:dyDescent="0.35">
      <c r="A302" t="s">
        <v>277</v>
      </c>
      <c r="B302" t="s">
        <v>1103</v>
      </c>
    </row>
    <row r="303" spans="1:11" x14ac:dyDescent="0.35">
      <c r="A303" t="s">
        <v>276</v>
      </c>
      <c r="B303" t="s">
        <v>1102</v>
      </c>
    </row>
    <row r="304" spans="1:11" x14ac:dyDescent="0.35">
      <c r="A304" t="s">
        <v>202</v>
      </c>
      <c r="B304" t="s">
        <v>1030</v>
      </c>
    </row>
    <row r="305" spans="1:11" x14ac:dyDescent="0.35">
      <c r="A305" t="s">
        <v>685</v>
      </c>
      <c r="B305" t="s">
        <v>1509</v>
      </c>
    </row>
    <row r="306" spans="1:11" x14ac:dyDescent="0.35">
      <c r="A306" t="s">
        <v>686</v>
      </c>
      <c r="B306" t="s">
        <v>1510</v>
      </c>
    </row>
    <row r="307" spans="1:11" x14ac:dyDescent="0.35">
      <c r="A307" t="s">
        <v>480</v>
      </c>
      <c r="B307" t="s">
        <v>1304</v>
      </c>
    </row>
    <row r="308" spans="1:11" x14ac:dyDescent="0.35">
      <c r="A308" t="s">
        <v>429</v>
      </c>
      <c r="B308" t="s">
        <v>1253</v>
      </c>
    </row>
    <row r="309" spans="1:11" x14ac:dyDescent="0.35">
      <c r="A309" t="s">
        <v>44</v>
      </c>
      <c r="B309" t="s">
        <v>873</v>
      </c>
    </row>
    <row r="310" spans="1:11" x14ac:dyDescent="0.35">
      <c r="A310" t="s">
        <v>308</v>
      </c>
      <c r="B310" t="s">
        <v>1133</v>
      </c>
    </row>
    <row r="311" spans="1:11" x14ac:dyDescent="0.35">
      <c r="A311" t="s">
        <v>173</v>
      </c>
      <c r="B311" t="s">
        <v>1002</v>
      </c>
    </row>
    <row r="312" spans="1:11" x14ac:dyDescent="0.35">
      <c r="A312" t="s">
        <v>618</v>
      </c>
      <c r="B312" t="s">
        <v>1442</v>
      </c>
    </row>
    <row r="313" spans="1:11" x14ac:dyDescent="0.35">
      <c r="A313" t="s">
        <v>3361</v>
      </c>
      <c r="B313" t="s">
        <v>3362</v>
      </c>
      <c r="C313" t="s">
        <v>3519</v>
      </c>
      <c r="D313" t="s">
        <v>3510</v>
      </c>
      <c r="E313" t="s">
        <v>3610</v>
      </c>
      <c r="F313" t="s">
        <v>2291</v>
      </c>
      <c r="G313" t="s">
        <v>2401</v>
      </c>
      <c r="H313" t="s">
        <v>3611</v>
      </c>
      <c r="I313" t="s">
        <v>3511</v>
      </c>
      <c r="J313" t="s">
        <v>3516</v>
      </c>
      <c r="K313" t="s">
        <v>3516</v>
      </c>
    </row>
    <row r="314" spans="1:11" x14ac:dyDescent="0.35">
      <c r="A314" t="s">
        <v>416</v>
      </c>
      <c r="B314" t="s">
        <v>1240</v>
      </c>
    </row>
    <row r="315" spans="1:11" x14ac:dyDescent="0.35">
      <c r="A315" t="s">
        <v>756</v>
      </c>
      <c r="B315" t="s">
        <v>1580</v>
      </c>
    </row>
    <row r="316" spans="1:11" x14ac:dyDescent="0.35">
      <c r="A316" t="s">
        <v>219</v>
      </c>
      <c r="B316" t="s">
        <v>1046</v>
      </c>
    </row>
    <row r="317" spans="1:11" x14ac:dyDescent="0.35">
      <c r="A317" t="s">
        <v>687</v>
      </c>
      <c r="B317" t="s">
        <v>1511</v>
      </c>
    </row>
    <row r="318" spans="1:11" x14ac:dyDescent="0.35">
      <c r="A318" t="s">
        <v>113</v>
      </c>
      <c r="B318" t="s">
        <v>942</v>
      </c>
    </row>
    <row r="319" spans="1:11" x14ac:dyDescent="0.35">
      <c r="A319" t="s">
        <v>688</v>
      </c>
      <c r="B319" t="s">
        <v>1512</v>
      </c>
    </row>
    <row r="320" spans="1:11" x14ac:dyDescent="0.35">
      <c r="A320" t="s">
        <v>330</v>
      </c>
      <c r="B320" t="s">
        <v>1155</v>
      </c>
    </row>
    <row r="321" spans="1:2" x14ac:dyDescent="0.35">
      <c r="A321" t="s">
        <v>260</v>
      </c>
      <c r="B321" t="s">
        <v>1086</v>
      </c>
    </row>
    <row r="322" spans="1:2" x14ac:dyDescent="0.35">
      <c r="A322" t="s">
        <v>295</v>
      </c>
      <c r="B322" t="s">
        <v>1120</v>
      </c>
    </row>
    <row r="323" spans="1:2" x14ac:dyDescent="0.35">
      <c r="A323" t="s">
        <v>194</v>
      </c>
      <c r="B323" t="s">
        <v>1022</v>
      </c>
    </row>
    <row r="324" spans="1:2" x14ac:dyDescent="0.35">
      <c r="A324" t="s">
        <v>2</v>
      </c>
      <c r="B324" t="s">
        <v>831</v>
      </c>
    </row>
    <row r="325" spans="1:2" x14ac:dyDescent="0.35">
      <c r="A325" t="s">
        <v>436</v>
      </c>
      <c r="B325" t="s">
        <v>1260</v>
      </c>
    </row>
    <row r="326" spans="1:2" x14ac:dyDescent="0.35">
      <c r="A326" t="s">
        <v>654</v>
      </c>
      <c r="B326" t="s">
        <v>1478</v>
      </c>
    </row>
    <row r="327" spans="1:2" x14ac:dyDescent="0.35">
      <c r="A327" t="s">
        <v>591</v>
      </c>
      <c r="B327" t="s">
        <v>1415</v>
      </c>
    </row>
    <row r="328" spans="1:2" x14ac:dyDescent="0.35">
      <c r="A328" t="s">
        <v>7</v>
      </c>
      <c r="B328" t="s">
        <v>836</v>
      </c>
    </row>
    <row r="329" spans="1:2" x14ac:dyDescent="0.35">
      <c r="A329" t="s">
        <v>290</v>
      </c>
      <c r="B329" t="s">
        <v>1115</v>
      </c>
    </row>
    <row r="330" spans="1:2" x14ac:dyDescent="0.35">
      <c r="A330" t="s">
        <v>152</v>
      </c>
      <c r="B330" t="s">
        <v>981</v>
      </c>
    </row>
    <row r="331" spans="1:2" x14ac:dyDescent="0.35">
      <c r="A331" t="s">
        <v>427</v>
      </c>
      <c r="B331" t="s">
        <v>1251</v>
      </c>
    </row>
    <row r="332" spans="1:2" x14ac:dyDescent="0.35">
      <c r="A332" t="s">
        <v>689</v>
      </c>
      <c r="B332" t="s">
        <v>1513</v>
      </c>
    </row>
    <row r="333" spans="1:2" x14ac:dyDescent="0.35">
      <c r="A333" t="s">
        <v>785</v>
      </c>
      <c r="B333" t="s">
        <v>1608</v>
      </c>
    </row>
    <row r="334" spans="1:2" x14ac:dyDescent="0.35">
      <c r="A334" t="s">
        <v>825</v>
      </c>
      <c r="B334" t="s">
        <v>1647</v>
      </c>
    </row>
    <row r="335" spans="1:2" x14ac:dyDescent="0.35">
      <c r="A335" t="s">
        <v>3338</v>
      </c>
      <c r="B335" t="s">
        <v>3339</v>
      </c>
    </row>
    <row r="336" spans="1:2" x14ac:dyDescent="0.35">
      <c r="A336" t="s">
        <v>3377</v>
      </c>
      <c r="B336" t="s">
        <v>3339</v>
      </c>
    </row>
    <row r="337" spans="1:11" x14ac:dyDescent="0.35">
      <c r="A337" t="s">
        <v>581</v>
      </c>
      <c r="B337" t="s">
        <v>1405</v>
      </c>
    </row>
    <row r="338" spans="1:11" x14ac:dyDescent="0.35">
      <c r="A338" t="s">
        <v>558</v>
      </c>
      <c r="B338" t="s">
        <v>1382</v>
      </c>
      <c r="C338" t="s">
        <v>3536</v>
      </c>
      <c r="D338" t="s">
        <v>3612</v>
      </c>
      <c r="E338" t="s">
        <v>3516</v>
      </c>
      <c r="F338" t="s">
        <v>3612</v>
      </c>
      <c r="G338" t="s">
        <v>3516</v>
      </c>
      <c r="H338" t="s">
        <v>3516</v>
      </c>
      <c r="I338" t="s">
        <v>3516</v>
      </c>
      <c r="J338" t="s">
        <v>3516</v>
      </c>
      <c r="K338" t="s">
        <v>3516</v>
      </c>
    </row>
    <row r="339" spans="1:11" x14ac:dyDescent="0.35">
      <c r="A339" t="s">
        <v>180</v>
      </c>
      <c r="B339" t="s">
        <v>1009</v>
      </c>
    </row>
    <row r="340" spans="1:11" x14ac:dyDescent="0.35">
      <c r="A340" t="s">
        <v>3340</v>
      </c>
      <c r="B340" t="s">
        <v>3341</v>
      </c>
    </row>
    <row r="341" spans="1:11" x14ac:dyDescent="0.35">
      <c r="A341" t="s">
        <v>3378</v>
      </c>
      <c r="B341" t="s">
        <v>3341</v>
      </c>
    </row>
    <row r="342" spans="1:11" x14ac:dyDescent="0.35">
      <c r="A342" t="s">
        <v>656</v>
      </c>
      <c r="B342" t="s">
        <v>1480</v>
      </c>
    </row>
    <row r="343" spans="1:11" x14ac:dyDescent="0.35">
      <c r="A343" t="s">
        <v>354</v>
      </c>
      <c r="B343" t="s">
        <v>1178</v>
      </c>
    </row>
    <row r="344" spans="1:11" x14ac:dyDescent="0.35">
      <c r="A344" t="s">
        <v>734</v>
      </c>
      <c r="B344" t="s">
        <v>1558</v>
      </c>
    </row>
    <row r="345" spans="1:11" x14ac:dyDescent="0.35">
      <c r="A345" t="s">
        <v>579</v>
      </c>
      <c r="B345" t="s">
        <v>1403</v>
      </c>
    </row>
    <row r="346" spans="1:11" x14ac:dyDescent="0.35">
      <c r="A346" t="s">
        <v>306</v>
      </c>
      <c r="B346" t="s">
        <v>1131</v>
      </c>
    </row>
    <row r="347" spans="1:11" x14ac:dyDescent="0.35">
      <c r="A347" t="s">
        <v>177</v>
      </c>
      <c r="B347" t="s">
        <v>1006</v>
      </c>
    </row>
    <row r="348" spans="1:11" x14ac:dyDescent="0.35">
      <c r="A348" t="s">
        <v>630</v>
      </c>
      <c r="B348" t="s">
        <v>1454</v>
      </c>
    </row>
    <row r="349" spans="1:11" x14ac:dyDescent="0.35">
      <c r="A349" t="s">
        <v>417</v>
      </c>
      <c r="B349" t="s">
        <v>1241</v>
      </c>
    </row>
    <row r="350" spans="1:11" x14ac:dyDescent="0.35">
      <c r="A350" t="s">
        <v>48</v>
      </c>
      <c r="B350" t="s">
        <v>877</v>
      </c>
    </row>
    <row r="351" spans="1:11" x14ac:dyDescent="0.35">
      <c r="A351" t="s">
        <v>625</v>
      </c>
      <c r="B351" t="s">
        <v>1449</v>
      </c>
    </row>
    <row r="352" spans="1:11" x14ac:dyDescent="0.35">
      <c r="A352" t="s">
        <v>292</v>
      </c>
      <c r="B352" t="s">
        <v>1117</v>
      </c>
    </row>
    <row r="353" spans="1:11" x14ac:dyDescent="0.35">
      <c r="A353" t="s">
        <v>583</v>
      </c>
      <c r="B353" t="s">
        <v>1407</v>
      </c>
    </row>
    <row r="354" spans="1:11" x14ac:dyDescent="0.35">
      <c r="A354" t="s">
        <v>606</v>
      </c>
      <c r="B354" t="s">
        <v>1430</v>
      </c>
    </row>
    <row r="355" spans="1:11" x14ac:dyDescent="0.35">
      <c r="A355" t="s">
        <v>301</v>
      </c>
      <c r="B355" t="s">
        <v>1126</v>
      </c>
    </row>
    <row r="356" spans="1:11" x14ac:dyDescent="0.35">
      <c r="A356" t="s">
        <v>349</v>
      </c>
      <c r="B356" t="s">
        <v>1173</v>
      </c>
      <c r="C356" t="s">
        <v>3519</v>
      </c>
      <c r="D356" t="s">
        <v>2453</v>
      </c>
      <c r="E356" t="s">
        <v>3613</v>
      </c>
      <c r="F356" t="s">
        <v>3614</v>
      </c>
      <c r="G356" t="s">
        <v>2406</v>
      </c>
      <c r="H356" t="s">
        <v>3615</v>
      </c>
      <c r="I356" t="s">
        <v>3516</v>
      </c>
      <c r="J356" t="s">
        <v>2406</v>
      </c>
      <c r="K356" t="s">
        <v>2406</v>
      </c>
    </row>
    <row r="357" spans="1:11" x14ac:dyDescent="0.35">
      <c r="A357" t="s">
        <v>9</v>
      </c>
      <c r="B357" t="s">
        <v>838</v>
      </c>
    </row>
    <row r="358" spans="1:11" x14ac:dyDescent="0.35">
      <c r="A358" t="s">
        <v>255</v>
      </c>
      <c r="B358" t="s">
        <v>1081</v>
      </c>
    </row>
    <row r="359" spans="1:11" x14ac:dyDescent="0.35">
      <c r="A359" t="s">
        <v>787</v>
      </c>
      <c r="B359" t="s">
        <v>1610</v>
      </c>
    </row>
    <row r="360" spans="1:11" x14ac:dyDescent="0.35">
      <c r="A360" t="s">
        <v>826</v>
      </c>
      <c r="B360" t="s">
        <v>1648</v>
      </c>
    </row>
    <row r="361" spans="1:11" x14ac:dyDescent="0.35">
      <c r="A361" t="s">
        <v>565</v>
      </c>
      <c r="B361" t="s">
        <v>1389</v>
      </c>
    </row>
    <row r="362" spans="1:11" x14ac:dyDescent="0.35">
      <c r="A362" t="s">
        <v>468</v>
      </c>
      <c r="B362" t="s">
        <v>1292</v>
      </c>
      <c r="C362" t="s">
        <v>3519</v>
      </c>
      <c r="D362" t="s">
        <v>3518</v>
      </c>
      <c r="E362" t="s">
        <v>3516</v>
      </c>
      <c r="F362" t="s">
        <v>3500</v>
      </c>
      <c r="G362" t="s">
        <v>3516</v>
      </c>
      <c r="H362" t="s">
        <v>3616</v>
      </c>
      <c r="I362" t="s">
        <v>3617</v>
      </c>
      <c r="J362" t="s">
        <v>3516</v>
      </c>
      <c r="K362" t="s">
        <v>3516</v>
      </c>
    </row>
    <row r="363" spans="1:11" x14ac:dyDescent="0.35">
      <c r="A363" t="s">
        <v>287</v>
      </c>
      <c r="B363" t="s">
        <v>1112</v>
      </c>
    </row>
    <row r="364" spans="1:11" x14ac:dyDescent="0.35">
      <c r="A364" t="s">
        <v>596</v>
      </c>
      <c r="B364" t="s">
        <v>1420</v>
      </c>
    </row>
    <row r="365" spans="1:11" x14ac:dyDescent="0.35">
      <c r="A365" t="s">
        <v>777</v>
      </c>
      <c r="B365" t="s">
        <v>1601</v>
      </c>
      <c r="C365" t="s">
        <v>3519</v>
      </c>
      <c r="D365" t="s">
        <v>2022</v>
      </c>
      <c r="E365" t="s">
        <v>3516</v>
      </c>
      <c r="F365" t="s">
        <v>3618</v>
      </c>
      <c r="G365" t="s">
        <v>3619</v>
      </c>
      <c r="H365" t="s">
        <v>3620</v>
      </c>
      <c r="I365" t="s">
        <v>3605</v>
      </c>
      <c r="J365" t="s">
        <v>3516</v>
      </c>
      <c r="K365" t="s">
        <v>3516</v>
      </c>
    </row>
    <row r="366" spans="1:11" x14ac:dyDescent="0.35">
      <c r="A366" t="s">
        <v>176</v>
      </c>
      <c r="B366" t="s">
        <v>1005</v>
      </c>
      <c r="C366" t="s">
        <v>3514</v>
      </c>
      <c r="D366" t="s">
        <v>2415</v>
      </c>
      <c r="E366" t="s">
        <v>3621</v>
      </c>
      <c r="F366" t="s">
        <v>3622</v>
      </c>
      <c r="G366" t="s">
        <v>3623</v>
      </c>
      <c r="H366" t="s">
        <v>3518</v>
      </c>
      <c r="I366" t="s">
        <v>3624</v>
      </c>
      <c r="J366" t="s">
        <v>3516</v>
      </c>
      <c r="K366" t="s">
        <v>3516</v>
      </c>
    </row>
    <row r="367" spans="1:11" x14ac:dyDescent="0.35">
      <c r="A367" t="s">
        <v>516</v>
      </c>
      <c r="B367" t="s">
        <v>1340</v>
      </c>
    </row>
    <row r="368" spans="1:11" x14ac:dyDescent="0.35">
      <c r="A368" t="s">
        <v>534</v>
      </c>
      <c r="B368" t="s">
        <v>1358</v>
      </c>
      <c r="C368" t="s">
        <v>3536</v>
      </c>
      <c r="D368" t="s">
        <v>3625</v>
      </c>
      <c r="E368" t="s">
        <v>3626</v>
      </c>
      <c r="F368" t="s">
        <v>2327</v>
      </c>
      <c r="G368" t="s">
        <v>3627</v>
      </c>
      <c r="H368" t="s">
        <v>3628</v>
      </c>
      <c r="I368" t="s">
        <v>3629</v>
      </c>
      <c r="J368" t="s">
        <v>3516</v>
      </c>
      <c r="K368" t="s">
        <v>3516</v>
      </c>
    </row>
    <row r="369" spans="1:11" x14ac:dyDescent="0.35">
      <c r="A369" t="s">
        <v>190</v>
      </c>
      <c r="B369" t="s">
        <v>1018</v>
      </c>
    </row>
    <row r="370" spans="1:11" x14ac:dyDescent="0.35">
      <c r="A370" t="s">
        <v>60</v>
      </c>
      <c r="B370" t="s">
        <v>889</v>
      </c>
    </row>
    <row r="371" spans="1:11" x14ac:dyDescent="0.35">
      <c r="A371" t="s">
        <v>675</v>
      </c>
      <c r="B371" t="s">
        <v>1499</v>
      </c>
    </row>
    <row r="372" spans="1:11" x14ac:dyDescent="0.35">
      <c r="A372" t="s">
        <v>333</v>
      </c>
      <c r="B372" t="s">
        <v>1158</v>
      </c>
      <c r="C372" t="s">
        <v>3516</v>
      </c>
      <c r="D372" t="s">
        <v>3630</v>
      </c>
      <c r="E372" t="s">
        <v>2292</v>
      </c>
      <c r="F372" t="s">
        <v>3631</v>
      </c>
      <c r="G372" t="s">
        <v>3632</v>
      </c>
      <c r="H372" t="s">
        <v>2330</v>
      </c>
      <c r="I372" t="s">
        <v>2303</v>
      </c>
      <c r="J372" t="s">
        <v>3516</v>
      </c>
      <c r="K372" t="s">
        <v>3516</v>
      </c>
    </row>
    <row r="373" spans="1:11" x14ac:dyDescent="0.35">
      <c r="A373" t="s">
        <v>628</v>
      </c>
      <c r="B373" t="s">
        <v>1452</v>
      </c>
    </row>
    <row r="374" spans="1:11" x14ac:dyDescent="0.35">
      <c r="A374" t="s">
        <v>690</v>
      </c>
      <c r="B374" t="s">
        <v>1514</v>
      </c>
    </row>
    <row r="375" spans="1:11" x14ac:dyDescent="0.35">
      <c r="A375" t="s">
        <v>3328</v>
      </c>
      <c r="B375" t="s">
        <v>3329</v>
      </c>
    </row>
    <row r="376" spans="1:11" x14ac:dyDescent="0.35">
      <c r="A376" t="s">
        <v>234</v>
      </c>
      <c r="B376" t="s">
        <v>1061</v>
      </c>
    </row>
    <row r="377" spans="1:11" x14ac:dyDescent="0.35">
      <c r="A377" t="s">
        <v>49</v>
      </c>
      <c r="B377" t="s">
        <v>878</v>
      </c>
      <c r="C377" t="s">
        <v>3519</v>
      </c>
      <c r="D377" t="s">
        <v>3633</v>
      </c>
      <c r="E377" t="s">
        <v>2318</v>
      </c>
      <c r="F377" t="s">
        <v>3634</v>
      </c>
      <c r="G377" t="s">
        <v>3635</v>
      </c>
      <c r="H377" t="s">
        <v>2279</v>
      </c>
      <c r="I377" t="s">
        <v>3636</v>
      </c>
      <c r="J377" t="s">
        <v>3516</v>
      </c>
      <c r="K377" t="s">
        <v>3516</v>
      </c>
    </row>
    <row r="378" spans="1:11" x14ac:dyDescent="0.35">
      <c r="A378" t="s">
        <v>3381</v>
      </c>
      <c r="B378" t="s">
        <v>3382</v>
      </c>
    </row>
    <row r="379" spans="1:11" x14ac:dyDescent="0.35">
      <c r="A379" t="s">
        <v>3342</v>
      </c>
      <c r="B379" t="s">
        <v>3343</v>
      </c>
    </row>
    <row r="380" spans="1:11" x14ac:dyDescent="0.35">
      <c r="A380" t="s">
        <v>3383</v>
      </c>
      <c r="B380" t="s">
        <v>3384</v>
      </c>
    </row>
    <row r="381" spans="1:11" x14ac:dyDescent="0.35">
      <c r="A381" t="s">
        <v>1879</v>
      </c>
      <c r="B381" t="s">
        <v>3344</v>
      </c>
      <c r="C381" t="s">
        <v>3514</v>
      </c>
      <c r="D381" t="s">
        <v>3516</v>
      </c>
      <c r="E381" t="s">
        <v>3516</v>
      </c>
      <c r="F381" t="s">
        <v>3637</v>
      </c>
      <c r="G381" t="s">
        <v>3516</v>
      </c>
      <c r="H381" t="s">
        <v>3516</v>
      </c>
      <c r="I381" t="s">
        <v>3516</v>
      </c>
      <c r="J381" t="s">
        <v>3516</v>
      </c>
      <c r="K381" t="s">
        <v>3516</v>
      </c>
    </row>
    <row r="382" spans="1:11" x14ac:dyDescent="0.35">
      <c r="A382" t="s">
        <v>1879</v>
      </c>
      <c r="B382" t="s">
        <v>3344</v>
      </c>
      <c r="C382" t="s">
        <v>3514</v>
      </c>
      <c r="D382" t="s">
        <v>3516</v>
      </c>
      <c r="E382" t="s">
        <v>3516</v>
      </c>
      <c r="F382" t="s">
        <v>3638</v>
      </c>
      <c r="G382" t="s">
        <v>3516</v>
      </c>
      <c r="H382" t="s">
        <v>3516</v>
      </c>
      <c r="I382" t="s">
        <v>3516</v>
      </c>
      <c r="J382" t="s">
        <v>3516</v>
      </c>
      <c r="K382" t="s">
        <v>3516</v>
      </c>
    </row>
    <row r="383" spans="1:11" x14ac:dyDescent="0.35">
      <c r="A383" t="s">
        <v>1879</v>
      </c>
      <c r="B383" t="s">
        <v>3344</v>
      </c>
      <c r="C383" t="s">
        <v>3514</v>
      </c>
      <c r="D383" t="s">
        <v>3516</v>
      </c>
      <c r="E383" t="s">
        <v>3516</v>
      </c>
      <c r="F383" t="s">
        <v>3639</v>
      </c>
      <c r="G383" t="s">
        <v>3516</v>
      </c>
      <c r="H383" t="s">
        <v>3516</v>
      </c>
      <c r="I383" t="s">
        <v>3516</v>
      </c>
      <c r="J383" t="s">
        <v>3516</v>
      </c>
      <c r="K383" t="s">
        <v>3516</v>
      </c>
    </row>
    <row r="384" spans="1:11" x14ac:dyDescent="0.35">
      <c r="A384" t="s">
        <v>1879</v>
      </c>
      <c r="B384" t="s">
        <v>3344</v>
      </c>
      <c r="C384" t="s">
        <v>3514</v>
      </c>
      <c r="D384" t="s">
        <v>3516</v>
      </c>
      <c r="E384" t="s">
        <v>3516</v>
      </c>
      <c r="F384" t="s">
        <v>2316</v>
      </c>
      <c r="G384" t="s">
        <v>3516</v>
      </c>
      <c r="H384" t="s">
        <v>3516</v>
      </c>
      <c r="I384" t="s">
        <v>3516</v>
      </c>
      <c r="J384" t="s">
        <v>3516</v>
      </c>
      <c r="K384" t="s">
        <v>3516</v>
      </c>
    </row>
    <row r="385" spans="1:11" x14ac:dyDescent="0.35">
      <c r="A385" t="s">
        <v>1879</v>
      </c>
      <c r="B385" t="s">
        <v>3344</v>
      </c>
      <c r="C385" t="s">
        <v>3514</v>
      </c>
      <c r="D385" t="s">
        <v>3516</v>
      </c>
      <c r="E385" t="s">
        <v>3516</v>
      </c>
      <c r="F385" t="s">
        <v>3640</v>
      </c>
      <c r="G385" t="s">
        <v>3516</v>
      </c>
      <c r="H385" t="s">
        <v>3516</v>
      </c>
      <c r="I385" t="s">
        <v>3516</v>
      </c>
      <c r="J385" t="s">
        <v>3516</v>
      </c>
      <c r="K385" t="s">
        <v>3516</v>
      </c>
    </row>
    <row r="386" spans="1:11" x14ac:dyDescent="0.35">
      <c r="A386" t="s">
        <v>1879</v>
      </c>
      <c r="B386" t="s">
        <v>3344</v>
      </c>
      <c r="C386" t="s">
        <v>3514</v>
      </c>
      <c r="D386" t="s">
        <v>3516</v>
      </c>
      <c r="E386" t="s">
        <v>3516</v>
      </c>
      <c r="F386" t="s">
        <v>3641</v>
      </c>
      <c r="G386" t="s">
        <v>3516</v>
      </c>
      <c r="H386" t="s">
        <v>3516</v>
      </c>
      <c r="I386" t="s">
        <v>3516</v>
      </c>
      <c r="J386" t="s">
        <v>3516</v>
      </c>
      <c r="K386" t="s">
        <v>3516</v>
      </c>
    </row>
    <row r="387" spans="1:11" x14ac:dyDescent="0.35">
      <c r="A387" t="s">
        <v>1879</v>
      </c>
      <c r="B387" t="s">
        <v>3344</v>
      </c>
      <c r="C387" t="s">
        <v>3514</v>
      </c>
      <c r="D387" t="s">
        <v>3516</v>
      </c>
      <c r="E387" t="s">
        <v>3516</v>
      </c>
      <c r="F387" t="s">
        <v>3642</v>
      </c>
      <c r="G387" t="s">
        <v>3516</v>
      </c>
      <c r="H387" t="s">
        <v>3516</v>
      </c>
      <c r="I387" t="s">
        <v>3516</v>
      </c>
      <c r="J387" t="s">
        <v>3516</v>
      </c>
      <c r="K387" t="s">
        <v>3516</v>
      </c>
    </row>
    <row r="388" spans="1:11" x14ac:dyDescent="0.35">
      <c r="A388" t="s">
        <v>1879</v>
      </c>
      <c r="B388" t="s">
        <v>3344</v>
      </c>
      <c r="C388" t="s">
        <v>3514</v>
      </c>
      <c r="D388" t="s">
        <v>3516</v>
      </c>
      <c r="E388" t="s">
        <v>3516</v>
      </c>
      <c r="F388" t="s">
        <v>3643</v>
      </c>
      <c r="G388" t="s">
        <v>3516</v>
      </c>
      <c r="H388" t="s">
        <v>3516</v>
      </c>
      <c r="I388" t="s">
        <v>3516</v>
      </c>
      <c r="J388" t="s">
        <v>3516</v>
      </c>
      <c r="K388" t="s">
        <v>3516</v>
      </c>
    </row>
    <row r="389" spans="1:11" x14ac:dyDescent="0.35">
      <c r="A389" t="s">
        <v>1879</v>
      </c>
      <c r="B389" t="s">
        <v>3344</v>
      </c>
      <c r="C389" t="s">
        <v>3514</v>
      </c>
      <c r="D389" t="s">
        <v>3516</v>
      </c>
      <c r="E389" t="s">
        <v>3516</v>
      </c>
      <c r="F389" t="s">
        <v>3516</v>
      </c>
      <c r="G389" t="s">
        <v>3516</v>
      </c>
      <c r="H389" t="s">
        <v>3644</v>
      </c>
      <c r="I389" t="s">
        <v>3516</v>
      </c>
      <c r="J389" t="s">
        <v>3516</v>
      </c>
      <c r="K389" t="s">
        <v>3516</v>
      </c>
    </row>
    <row r="390" spans="1:11" x14ac:dyDescent="0.35">
      <c r="A390" t="s">
        <v>1879</v>
      </c>
      <c r="B390" t="s">
        <v>3344</v>
      </c>
      <c r="C390" t="s">
        <v>3514</v>
      </c>
      <c r="D390" t="s">
        <v>3516</v>
      </c>
      <c r="E390" t="s">
        <v>3516</v>
      </c>
      <c r="F390" t="s">
        <v>3516</v>
      </c>
      <c r="G390" t="s">
        <v>3516</v>
      </c>
      <c r="H390" t="s">
        <v>3645</v>
      </c>
      <c r="I390" t="s">
        <v>3516</v>
      </c>
      <c r="J390" t="s">
        <v>3516</v>
      </c>
      <c r="K390" t="s">
        <v>3516</v>
      </c>
    </row>
    <row r="391" spans="1:11" x14ac:dyDescent="0.35">
      <c r="A391" t="s">
        <v>1879</v>
      </c>
      <c r="B391" t="s">
        <v>3344</v>
      </c>
      <c r="C391" t="s">
        <v>3514</v>
      </c>
      <c r="D391" t="s">
        <v>3516</v>
      </c>
      <c r="E391" t="s">
        <v>3516</v>
      </c>
      <c r="F391" t="s">
        <v>3646</v>
      </c>
      <c r="G391" t="s">
        <v>3516</v>
      </c>
      <c r="H391" t="s">
        <v>3516</v>
      </c>
      <c r="I391" t="s">
        <v>3516</v>
      </c>
      <c r="J391" t="s">
        <v>3516</v>
      </c>
      <c r="K391" t="s">
        <v>3516</v>
      </c>
    </row>
    <row r="392" spans="1:11" x14ac:dyDescent="0.35">
      <c r="A392" t="s">
        <v>1879</v>
      </c>
      <c r="B392" t="s">
        <v>3344</v>
      </c>
      <c r="C392" t="s">
        <v>3514</v>
      </c>
      <c r="D392" t="s">
        <v>3516</v>
      </c>
      <c r="E392" t="s">
        <v>3516</v>
      </c>
      <c r="F392" t="s">
        <v>3647</v>
      </c>
      <c r="G392" t="s">
        <v>3516</v>
      </c>
      <c r="H392" t="s">
        <v>3516</v>
      </c>
      <c r="I392" t="s">
        <v>3516</v>
      </c>
      <c r="J392" t="s">
        <v>3516</v>
      </c>
      <c r="K392" t="s">
        <v>3516</v>
      </c>
    </row>
    <row r="393" spans="1:11" x14ac:dyDescent="0.35">
      <c r="A393" t="s">
        <v>1879</v>
      </c>
      <c r="B393" t="s">
        <v>3344</v>
      </c>
      <c r="C393" t="s">
        <v>3514</v>
      </c>
      <c r="D393" t="s">
        <v>3516</v>
      </c>
      <c r="E393" t="s">
        <v>3516</v>
      </c>
      <c r="F393" t="s">
        <v>3648</v>
      </c>
      <c r="G393" t="s">
        <v>3516</v>
      </c>
      <c r="H393" t="s">
        <v>3649</v>
      </c>
      <c r="I393" t="s">
        <v>3516</v>
      </c>
      <c r="J393" t="s">
        <v>3516</v>
      </c>
      <c r="K393" t="s">
        <v>3516</v>
      </c>
    </row>
    <row r="394" spans="1:11" x14ac:dyDescent="0.35">
      <c r="A394" t="s">
        <v>1879</v>
      </c>
      <c r="B394" t="s">
        <v>3344</v>
      </c>
      <c r="C394" t="s">
        <v>3514</v>
      </c>
      <c r="D394" t="s">
        <v>3516</v>
      </c>
      <c r="E394" t="s">
        <v>3516</v>
      </c>
      <c r="F394" t="s">
        <v>3650</v>
      </c>
      <c r="G394" t="s">
        <v>3516</v>
      </c>
      <c r="H394" t="s">
        <v>3516</v>
      </c>
      <c r="I394" t="s">
        <v>3516</v>
      </c>
      <c r="J394" t="s">
        <v>3516</v>
      </c>
      <c r="K394" t="s">
        <v>3516</v>
      </c>
    </row>
    <row r="395" spans="1:11" x14ac:dyDescent="0.35">
      <c r="A395" t="s">
        <v>1879</v>
      </c>
      <c r="B395" t="s">
        <v>3344</v>
      </c>
      <c r="C395" t="s">
        <v>3514</v>
      </c>
      <c r="D395" t="s">
        <v>3516</v>
      </c>
      <c r="E395" t="s">
        <v>3516</v>
      </c>
      <c r="F395" t="s">
        <v>3651</v>
      </c>
      <c r="G395" t="s">
        <v>3516</v>
      </c>
      <c r="H395" t="s">
        <v>3516</v>
      </c>
      <c r="I395" t="s">
        <v>3516</v>
      </c>
      <c r="J395" t="s">
        <v>3516</v>
      </c>
      <c r="K395" t="s">
        <v>3516</v>
      </c>
    </row>
    <row r="396" spans="1:11" x14ac:dyDescent="0.35">
      <c r="A396" t="s">
        <v>1879</v>
      </c>
      <c r="B396" t="s">
        <v>3344</v>
      </c>
      <c r="C396" t="s">
        <v>3514</v>
      </c>
      <c r="D396" t="s">
        <v>3652</v>
      </c>
      <c r="E396" t="s">
        <v>3516</v>
      </c>
      <c r="F396" t="s">
        <v>3653</v>
      </c>
      <c r="G396" t="s">
        <v>3516</v>
      </c>
      <c r="H396" t="s">
        <v>3516</v>
      </c>
      <c r="I396" t="s">
        <v>3516</v>
      </c>
      <c r="J396" t="s">
        <v>3516</v>
      </c>
      <c r="K396" t="s">
        <v>3516</v>
      </c>
    </row>
    <row r="397" spans="1:11" x14ac:dyDescent="0.35">
      <c r="A397" t="s">
        <v>1879</v>
      </c>
      <c r="B397" t="s">
        <v>3344</v>
      </c>
      <c r="C397" t="s">
        <v>3514</v>
      </c>
      <c r="D397" t="s">
        <v>3516</v>
      </c>
      <c r="E397" t="s">
        <v>3516</v>
      </c>
      <c r="F397" t="s">
        <v>3625</v>
      </c>
      <c r="G397" t="s">
        <v>3516</v>
      </c>
      <c r="H397" t="s">
        <v>3516</v>
      </c>
      <c r="I397" t="s">
        <v>3516</v>
      </c>
      <c r="J397" t="s">
        <v>3516</v>
      </c>
      <c r="K397" t="s">
        <v>3516</v>
      </c>
    </row>
    <row r="398" spans="1:11" x14ac:dyDescent="0.35">
      <c r="A398" t="s">
        <v>1879</v>
      </c>
      <c r="B398" t="s">
        <v>3344</v>
      </c>
      <c r="C398" t="s">
        <v>3514</v>
      </c>
      <c r="D398" t="s">
        <v>3516</v>
      </c>
      <c r="E398" t="s">
        <v>3516</v>
      </c>
      <c r="F398" t="s">
        <v>3654</v>
      </c>
      <c r="G398" t="s">
        <v>3516</v>
      </c>
      <c r="H398" t="s">
        <v>3516</v>
      </c>
      <c r="I398" t="s">
        <v>3516</v>
      </c>
      <c r="J398" t="s">
        <v>3516</v>
      </c>
      <c r="K398" t="s">
        <v>3516</v>
      </c>
    </row>
    <row r="399" spans="1:11" x14ac:dyDescent="0.35">
      <c r="A399" t="s">
        <v>1879</v>
      </c>
      <c r="B399" t="s">
        <v>3344</v>
      </c>
      <c r="C399" t="s">
        <v>3514</v>
      </c>
      <c r="D399" t="s">
        <v>3516</v>
      </c>
      <c r="E399" t="s">
        <v>3516</v>
      </c>
      <c r="F399" t="s">
        <v>3655</v>
      </c>
      <c r="G399" t="s">
        <v>3516</v>
      </c>
      <c r="H399" t="s">
        <v>3516</v>
      </c>
      <c r="I399" t="s">
        <v>3516</v>
      </c>
      <c r="J399" t="s">
        <v>3516</v>
      </c>
      <c r="K399" t="s">
        <v>3516</v>
      </c>
    </row>
    <row r="400" spans="1:11" x14ac:dyDescent="0.35">
      <c r="A400" t="s">
        <v>1879</v>
      </c>
      <c r="B400" t="s">
        <v>3344</v>
      </c>
      <c r="C400" t="s">
        <v>3514</v>
      </c>
      <c r="D400" t="s">
        <v>3516</v>
      </c>
      <c r="E400" t="s">
        <v>3516</v>
      </c>
      <c r="F400" t="s">
        <v>3656</v>
      </c>
      <c r="G400" t="s">
        <v>3516</v>
      </c>
      <c r="H400" t="s">
        <v>3516</v>
      </c>
      <c r="I400" t="s">
        <v>3516</v>
      </c>
      <c r="J400" t="s">
        <v>3516</v>
      </c>
      <c r="K400" t="s">
        <v>3516</v>
      </c>
    </row>
    <row r="401" spans="1:11" x14ac:dyDescent="0.35">
      <c r="A401" t="s">
        <v>1879</v>
      </c>
      <c r="B401" t="s">
        <v>3344</v>
      </c>
      <c r="C401" t="s">
        <v>3514</v>
      </c>
      <c r="D401" t="s">
        <v>3516</v>
      </c>
      <c r="E401" t="s">
        <v>3516</v>
      </c>
      <c r="F401" t="s">
        <v>3657</v>
      </c>
      <c r="G401" t="s">
        <v>3516</v>
      </c>
      <c r="H401" t="s">
        <v>3516</v>
      </c>
      <c r="I401" t="s">
        <v>3516</v>
      </c>
      <c r="J401" t="s">
        <v>3516</v>
      </c>
      <c r="K401" t="s">
        <v>3516</v>
      </c>
    </row>
    <row r="402" spans="1:11" x14ac:dyDescent="0.35">
      <c r="A402" t="s">
        <v>1879</v>
      </c>
      <c r="B402" t="s">
        <v>3344</v>
      </c>
      <c r="C402" t="s">
        <v>3514</v>
      </c>
      <c r="D402" t="s">
        <v>3658</v>
      </c>
      <c r="E402" t="s">
        <v>3659</v>
      </c>
      <c r="F402" t="s">
        <v>3660</v>
      </c>
      <c r="G402" t="s">
        <v>3661</v>
      </c>
      <c r="H402" t="s">
        <v>3662</v>
      </c>
      <c r="I402" t="s">
        <v>3516</v>
      </c>
      <c r="J402" t="s">
        <v>3516</v>
      </c>
      <c r="K402" t="s">
        <v>3516</v>
      </c>
    </row>
    <row r="403" spans="1:11" x14ac:dyDescent="0.35">
      <c r="A403" t="s">
        <v>1879</v>
      </c>
      <c r="B403" t="s">
        <v>3344</v>
      </c>
      <c r="C403" t="s">
        <v>3514</v>
      </c>
      <c r="D403" t="s">
        <v>3663</v>
      </c>
      <c r="E403" t="s">
        <v>3516</v>
      </c>
      <c r="F403" t="s">
        <v>3664</v>
      </c>
      <c r="G403" t="s">
        <v>3665</v>
      </c>
      <c r="H403" t="s">
        <v>3666</v>
      </c>
      <c r="I403" t="s">
        <v>3667</v>
      </c>
      <c r="J403" t="s">
        <v>3516</v>
      </c>
      <c r="K403" t="s">
        <v>3516</v>
      </c>
    </row>
    <row r="404" spans="1:11" x14ac:dyDescent="0.35">
      <c r="A404" t="s">
        <v>1879</v>
      </c>
      <c r="B404" t="s">
        <v>3344</v>
      </c>
      <c r="C404" t="s">
        <v>3514</v>
      </c>
      <c r="D404" t="s">
        <v>3668</v>
      </c>
      <c r="E404" t="s">
        <v>3516</v>
      </c>
      <c r="F404" t="s">
        <v>3516</v>
      </c>
      <c r="G404" t="s">
        <v>2324</v>
      </c>
      <c r="H404" t="s">
        <v>3669</v>
      </c>
      <c r="I404" t="s">
        <v>3516</v>
      </c>
      <c r="J404" t="s">
        <v>3516</v>
      </c>
      <c r="K404" t="s">
        <v>3516</v>
      </c>
    </row>
    <row r="405" spans="1:11" x14ac:dyDescent="0.35">
      <c r="A405" t="s">
        <v>1879</v>
      </c>
      <c r="B405" t="s">
        <v>3344</v>
      </c>
      <c r="C405" t="s">
        <v>3514</v>
      </c>
      <c r="D405" t="s">
        <v>3670</v>
      </c>
      <c r="E405" t="s">
        <v>2262</v>
      </c>
      <c r="F405" t="s">
        <v>3671</v>
      </c>
      <c r="G405" t="s">
        <v>2340</v>
      </c>
      <c r="H405" t="s">
        <v>2365</v>
      </c>
      <c r="I405" t="s">
        <v>3648</v>
      </c>
      <c r="J405" t="s">
        <v>3516</v>
      </c>
      <c r="K405" t="s">
        <v>3516</v>
      </c>
    </row>
    <row r="406" spans="1:11" x14ac:dyDescent="0.35">
      <c r="A406" t="s">
        <v>1879</v>
      </c>
      <c r="B406" t="s">
        <v>3344</v>
      </c>
      <c r="C406" t="s">
        <v>3514</v>
      </c>
      <c r="D406" t="s">
        <v>3516</v>
      </c>
      <c r="E406" t="s">
        <v>3516</v>
      </c>
      <c r="F406" t="s">
        <v>2276</v>
      </c>
      <c r="G406" t="s">
        <v>3516</v>
      </c>
      <c r="H406" t="s">
        <v>3516</v>
      </c>
      <c r="I406" t="s">
        <v>3516</v>
      </c>
      <c r="J406" t="s">
        <v>3516</v>
      </c>
      <c r="K406" t="s">
        <v>3516</v>
      </c>
    </row>
    <row r="407" spans="1:11" x14ac:dyDescent="0.35">
      <c r="A407" t="s">
        <v>1879</v>
      </c>
      <c r="B407" t="s">
        <v>3344</v>
      </c>
      <c r="C407" t="s">
        <v>3514</v>
      </c>
      <c r="D407" t="s">
        <v>2291</v>
      </c>
      <c r="E407" t="s">
        <v>3516</v>
      </c>
      <c r="F407" t="s">
        <v>2114</v>
      </c>
      <c r="G407" t="s">
        <v>3516</v>
      </c>
      <c r="H407" t="s">
        <v>3516</v>
      </c>
      <c r="I407" t="s">
        <v>3516</v>
      </c>
      <c r="J407" t="s">
        <v>3516</v>
      </c>
      <c r="K407" t="s">
        <v>3516</v>
      </c>
    </row>
    <row r="408" spans="1:11" x14ac:dyDescent="0.35">
      <c r="A408" t="s">
        <v>1879</v>
      </c>
      <c r="B408" t="s">
        <v>3344</v>
      </c>
      <c r="C408" t="s">
        <v>3514</v>
      </c>
      <c r="D408" t="s">
        <v>3516</v>
      </c>
      <c r="E408" t="s">
        <v>3516</v>
      </c>
      <c r="F408" t="s">
        <v>3672</v>
      </c>
      <c r="G408" t="s">
        <v>3516</v>
      </c>
      <c r="H408" t="s">
        <v>3516</v>
      </c>
      <c r="I408" t="s">
        <v>3516</v>
      </c>
      <c r="J408" t="s">
        <v>3516</v>
      </c>
      <c r="K408" t="s">
        <v>3516</v>
      </c>
    </row>
    <row r="409" spans="1:11" x14ac:dyDescent="0.35">
      <c r="A409" t="s">
        <v>1879</v>
      </c>
      <c r="B409" t="s">
        <v>3344</v>
      </c>
      <c r="C409" t="s">
        <v>3514</v>
      </c>
      <c r="D409" t="s">
        <v>3673</v>
      </c>
      <c r="E409" t="s">
        <v>3674</v>
      </c>
      <c r="F409" t="s">
        <v>3675</v>
      </c>
      <c r="G409" t="s">
        <v>3676</v>
      </c>
      <c r="H409" t="s">
        <v>3677</v>
      </c>
      <c r="I409" t="s">
        <v>2265</v>
      </c>
      <c r="J409" t="s">
        <v>3516</v>
      </c>
      <c r="K409" t="s">
        <v>3516</v>
      </c>
    </row>
    <row r="410" spans="1:11" x14ac:dyDescent="0.35">
      <c r="A410" t="s">
        <v>1879</v>
      </c>
      <c r="B410" t="s">
        <v>3344</v>
      </c>
      <c r="C410" t="s">
        <v>3514</v>
      </c>
      <c r="D410" t="s">
        <v>3678</v>
      </c>
      <c r="E410" t="s">
        <v>3516</v>
      </c>
      <c r="F410" t="s">
        <v>3679</v>
      </c>
      <c r="G410" t="s">
        <v>3516</v>
      </c>
      <c r="H410" t="s">
        <v>3680</v>
      </c>
      <c r="I410" t="s">
        <v>3681</v>
      </c>
      <c r="J410" t="s">
        <v>3516</v>
      </c>
      <c r="K410" t="s">
        <v>3516</v>
      </c>
    </row>
    <row r="411" spans="1:11" x14ac:dyDescent="0.35">
      <c r="A411" t="s">
        <v>1879</v>
      </c>
      <c r="B411" t="s">
        <v>3344</v>
      </c>
      <c r="C411" t="s">
        <v>3514</v>
      </c>
      <c r="D411" t="s">
        <v>3516</v>
      </c>
      <c r="E411" t="s">
        <v>3516</v>
      </c>
      <c r="F411" t="s">
        <v>3682</v>
      </c>
      <c r="G411" t="s">
        <v>3516</v>
      </c>
      <c r="H411" t="s">
        <v>3516</v>
      </c>
      <c r="I411" t="s">
        <v>3516</v>
      </c>
      <c r="J411" t="s">
        <v>3516</v>
      </c>
      <c r="K411" t="s">
        <v>3516</v>
      </c>
    </row>
    <row r="412" spans="1:11" x14ac:dyDescent="0.35">
      <c r="A412" t="s">
        <v>1879</v>
      </c>
      <c r="B412" t="s">
        <v>3344</v>
      </c>
      <c r="C412" t="s">
        <v>3514</v>
      </c>
      <c r="D412" t="s">
        <v>3516</v>
      </c>
      <c r="E412" t="s">
        <v>3516</v>
      </c>
      <c r="F412" t="s">
        <v>3683</v>
      </c>
      <c r="G412" t="s">
        <v>3516</v>
      </c>
      <c r="H412" t="s">
        <v>3516</v>
      </c>
      <c r="I412" t="s">
        <v>3516</v>
      </c>
      <c r="J412" t="s">
        <v>3516</v>
      </c>
      <c r="K412" t="s">
        <v>3516</v>
      </c>
    </row>
    <row r="413" spans="1:11" x14ac:dyDescent="0.35">
      <c r="A413" t="s">
        <v>1879</v>
      </c>
      <c r="B413" t="s">
        <v>3344</v>
      </c>
      <c r="C413" t="s">
        <v>3514</v>
      </c>
      <c r="D413" t="s">
        <v>3516</v>
      </c>
      <c r="E413" t="s">
        <v>3516</v>
      </c>
      <c r="F413" t="s">
        <v>3684</v>
      </c>
      <c r="G413" t="s">
        <v>3516</v>
      </c>
      <c r="H413" t="s">
        <v>3516</v>
      </c>
      <c r="I413" t="s">
        <v>3516</v>
      </c>
      <c r="J413" t="s">
        <v>3516</v>
      </c>
      <c r="K413" t="s">
        <v>3516</v>
      </c>
    </row>
    <row r="414" spans="1:11" x14ac:dyDescent="0.35">
      <c r="A414" t="s">
        <v>1879</v>
      </c>
      <c r="B414" t="s">
        <v>3344</v>
      </c>
      <c r="C414" t="s">
        <v>3514</v>
      </c>
      <c r="D414" t="s">
        <v>3516</v>
      </c>
      <c r="E414" t="s">
        <v>3516</v>
      </c>
      <c r="F414" t="s">
        <v>3648</v>
      </c>
      <c r="G414" t="s">
        <v>3516</v>
      </c>
      <c r="H414" t="s">
        <v>3516</v>
      </c>
      <c r="I414" t="s">
        <v>3516</v>
      </c>
      <c r="J414" t="s">
        <v>3516</v>
      </c>
      <c r="K414" t="s">
        <v>3516</v>
      </c>
    </row>
    <row r="415" spans="1:11" x14ac:dyDescent="0.35">
      <c r="A415" t="s">
        <v>1879</v>
      </c>
      <c r="B415" t="s">
        <v>3344</v>
      </c>
      <c r="C415" t="s">
        <v>3514</v>
      </c>
      <c r="D415" t="s">
        <v>3516</v>
      </c>
      <c r="E415" t="s">
        <v>3516</v>
      </c>
      <c r="F415" t="s">
        <v>3685</v>
      </c>
      <c r="G415" t="s">
        <v>3516</v>
      </c>
      <c r="H415" t="s">
        <v>3516</v>
      </c>
      <c r="I415" t="s">
        <v>3516</v>
      </c>
      <c r="J415" t="s">
        <v>3516</v>
      </c>
      <c r="K415" t="s">
        <v>3516</v>
      </c>
    </row>
    <row r="416" spans="1:11" x14ac:dyDescent="0.35">
      <c r="A416" t="s">
        <v>1879</v>
      </c>
      <c r="B416" t="s">
        <v>3344</v>
      </c>
      <c r="C416" t="s">
        <v>3514</v>
      </c>
      <c r="D416" t="s">
        <v>3516</v>
      </c>
      <c r="E416" t="s">
        <v>3516</v>
      </c>
      <c r="F416" t="s">
        <v>3686</v>
      </c>
      <c r="G416" t="s">
        <v>3516</v>
      </c>
      <c r="H416" t="s">
        <v>3516</v>
      </c>
      <c r="I416" t="s">
        <v>3516</v>
      </c>
      <c r="J416" t="s">
        <v>3516</v>
      </c>
      <c r="K416" t="s">
        <v>3516</v>
      </c>
    </row>
    <row r="417" spans="1:11" x14ac:dyDescent="0.35">
      <c r="A417" t="s">
        <v>1879</v>
      </c>
      <c r="B417" t="s">
        <v>3344</v>
      </c>
      <c r="C417" t="s">
        <v>3514</v>
      </c>
      <c r="D417" t="s">
        <v>3516</v>
      </c>
      <c r="E417" t="s">
        <v>3516</v>
      </c>
      <c r="F417" t="s">
        <v>3687</v>
      </c>
      <c r="G417" t="s">
        <v>3516</v>
      </c>
      <c r="H417" t="s">
        <v>3516</v>
      </c>
      <c r="I417" t="s">
        <v>3516</v>
      </c>
      <c r="J417" t="s">
        <v>3516</v>
      </c>
      <c r="K417" t="s">
        <v>3516</v>
      </c>
    </row>
    <row r="418" spans="1:11" x14ac:dyDescent="0.35">
      <c r="A418" t="s">
        <v>1879</v>
      </c>
      <c r="B418" t="s">
        <v>3344</v>
      </c>
      <c r="C418" t="s">
        <v>3514</v>
      </c>
      <c r="D418" t="s">
        <v>3516</v>
      </c>
      <c r="E418" t="s">
        <v>3516</v>
      </c>
      <c r="F418" t="s">
        <v>3688</v>
      </c>
      <c r="G418" t="s">
        <v>3516</v>
      </c>
      <c r="H418" t="s">
        <v>3516</v>
      </c>
      <c r="I418" t="s">
        <v>3516</v>
      </c>
      <c r="J418" t="s">
        <v>3516</v>
      </c>
      <c r="K418" t="s">
        <v>3516</v>
      </c>
    </row>
    <row r="419" spans="1:11" x14ac:dyDescent="0.35">
      <c r="A419" t="s">
        <v>1879</v>
      </c>
      <c r="B419" t="s">
        <v>3344</v>
      </c>
      <c r="C419" t="s">
        <v>3514</v>
      </c>
      <c r="D419" t="s">
        <v>3516</v>
      </c>
      <c r="E419" t="s">
        <v>3516</v>
      </c>
      <c r="F419" t="s">
        <v>3652</v>
      </c>
      <c r="G419" t="s">
        <v>3516</v>
      </c>
      <c r="H419" t="s">
        <v>3516</v>
      </c>
      <c r="I419" t="s">
        <v>3516</v>
      </c>
      <c r="J419" t="s">
        <v>3516</v>
      </c>
      <c r="K419" t="s">
        <v>3516</v>
      </c>
    </row>
    <row r="420" spans="1:11" x14ac:dyDescent="0.35">
      <c r="A420" t="s">
        <v>1879</v>
      </c>
      <c r="B420" t="s">
        <v>3344</v>
      </c>
      <c r="C420" t="s">
        <v>3514</v>
      </c>
      <c r="D420" t="s">
        <v>3689</v>
      </c>
      <c r="E420" t="s">
        <v>3516</v>
      </c>
      <c r="F420" t="s">
        <v>3690</v>
      </c>
      <c r="G420" t="s">
        <v>3516</v>
      </c>
      <c r="H420" t="s">
        <v>3691</v>
      </c>
      <c r="I420" t="s">
        <v>3692</v>
      </c>
      <c r="J420" t="s">
        <v>3516</v>
      </c>
      <c r="K420" t="s">
        <v>3516</v>
      </c>
    </row>
    <row r="421" spans="1:11" x14ac:dyDescent="0.35">
      <c r="A421" t="s">
        <v>1879</v>
      </c>
      <c r="B421" t="s">
        <v>3344</v>
      </c>
      <c r="C421" t="s">
        <v>3514</v>
      </c>
      <c r="D421" t="s">
        <v>3516</v>
      </c>
      <c r="E421" t="s">
        <v>3516</v>
      </c>
      <c r="F421" t="s">
        <v>3693</v>
      </c>
      <c r="G421" t="s">
        <v>3516</v>
      </c>
      <c r="H421" t="s">
        <v>3694</v>
      </c>
      <c r="I421" t="s">
        <v>3695</v>
      </c>
      <c r="J421" t="s">
        <v>3516</v>
      </c>
      <c r="K421" t="s">
        <v>3516</v>
      </c>
    </row>
    <row r="422" spans="1:11" x14ac:dyDescent="0.35">
      <c r="A422" t="s">
        <v>1879</v>
      </c>
      <c r="B422" t="s">
        <v>3344</v>
      </c>
      <c r="C422" t="s">
        <v>3514</v>
      </c>
      <c r="D422" t="s">
        <v>3516</v>
      </c>
      <c r="E422" t="s">
        <v>3516</v>
      </c>
      <c r="F422" t="s">
        <v>3696</v>
      </c>
      <c r="G422" t="s">
        <v>3516</v>
      </c>
      <c r="H422" t="s">
        <v>3697</v>
      </c>
      <c r="I422" t="s">
        <v>3698</v>
      </c>
      <c r="J422" t="s">
        <v>3516</v>
      </c>
      <c r="K422" t="s">
        <v>3516</v>
      </c>
    </row>
    <row r="423" spans="1:11" x14ac:dyDescent="0.35">
      <c r="A423" t="s">
        <v>452</v>
      </c>
      <c r="B423" t="s">
        <v>1276</v>
      </c>
    </row>
    <row r="424" spans="1:11" x14ac:dyDescent="0.35">
      <c r="A424" t="s">
        <v>191</v>
      </c>
      <c r="B424" t="s">
        <v>1019</v>
      </c>
      <c r="C424" t="s">
        <v>3519</v>
      </c>
      <c r="D424" t="s">
        <v>3699</v>
      </c>
      <c r="E424" t="s">
        <v>3700</v>
      </c>
      <c r="F424" t="s">
        <v>3551</v>
      </c>
      <c r="G424" t="s">
        <v>2312</v>
      </c>
      <c r="H424" t="s">
        <v>3606</v>
      </c>
      <c r="I424" t="s">
        <v>3701</v>
      </c>
      <c r="J424" t="s">
        <v>3516</v>
      </c>
      <c r="K424" t="s">
        <v>3516</v>
      </c>
    </row>
    <row r="425" spans="1:11" x14ac:dyDescent="0.35">
      <c r="A425" t="s">
        <v>154</v>
      </c>
      <c r="B425" t="s">
        <v>983</v>
      </c>
    </row>
    <row r="426" spans="1:11" x14ac:dyDescent="0.35">
      <c r="A426" t="s">
        <v>3367</v>
      </c>
      <c r="B426" t="s">
        <v>3368</v>
      </c>
      <c r="C426" t="s">
        <v>3519</v>
      </c>
      <c r="D426" t="s">
        <v>3702</v>
      </c>
      <c r="E426" t="s">
        <v>3703</v>
      </c>
      <c r="F426" t="s">
        <v>3704</v>
      </c>
      <c r="G426" t="s">
        <v>3705</v>
      </c>
      <c r="H426" t="s">
        <v>3706</v>
      </c>
      <c r="I426" t="s">
        <v>3707</v>
      </c>
      <c r="J426" t="s">
        <v>3516</v>
      </c>
      <c r="K426" t="s">
        <v>3516</v>
      </c>
    </row>
    <row r="427" spans="1:11" x14ac:dyDescent="0.35">
      <c r="A427" t="s">
        <v>213</v>
      </c>
      <c r="B427" t="s">
        <v>1040</v>
      </c>
    </row>
    <row r="428" spans="1:11" x14ac:dyDescent="0.35">
      <c r="A428" t="s">
        <v>522</v>
      </c>
      <c r="B428" t="s">
        <v>1346</v>
      </c>
    </row>
    <row r="429" spans="1:11" x14ac:dyDescent="0.35">
      <c r="A429" t="s">
        <v>374</v>
      </c>
      <c r="B429" t="s">
        <v>1198</v>
      </c>
      <c r="C429" t="s">
        <v>3519</v>
      </c>
      <c r="D429" t="s">
        <v>3708</v>
      </c>
      <c r="E429" t="s">
        <v>2111</v>
      </c>
      <c r="F429" t="s">
        <v>3709</v>
      </c>
      <c r="G429" t="s">
        <v>2322</v>
      </c>
      <c r="H429" t="s">
        <v>3516</v>
      </c>
      <c r="I429" t="s">
        <v>3516</v>
      </c>
      <c r="J429" t="s">
        <v>3516</v>
      </c>
      <c r="K429" t="s">
        <v>3516</v>
      </c>
    </row>
    <row r="430" spans="1:11" x14ac:dyDescent="0.35">
      <c r="A430" t="s">
        <v>409</v>
      </c>
      <c r="B430" t="s">
        <v>1233</v>
      </c>
    </row>
    <row r="431" spans="1:11" x14ac:dyDescent="0.35">
      <c r="A431" t="s">
        <v>352</v>
      </c>
      <c r="B431" t="s">
        <v>1176</v>
      </c>
      <c r="C431" t="s">
        <v>3514</v>
      </c>
      <c r="D431" t="s">
        <v>3590</v>
      </c>
      <c r="E431" t="s">
        <v>3710</v>
      </c>
      <c r="F431" t="s">
        <v>3711</v>
      </c>
      <c r="G431" t="s">
        <v>3712</v>
      </c>
      <c r="H431" t="s">
        <v>3713</v>
      </c>
      <c r="I431" t="s">
        <v>3714</v>
      </c>
      <c r="J431" t="s">
        <v>3516</v>
      </c>
      <c r="K431" t="s">
        <v>3516</v>
      </c>
    </row>
    <row r="432" spans="1:11" x14ac:dyDescent="0.35">
      <c r="A432" t="s">
        <v>201</v>
      </c>
      <c r="B432" t="s">
        <v>1029</v>
      </c>
      <c r="C432" t="s">
        <v>3715</v>
      </c>
      <c r="D432" t="s">
        <v>3716</v>
      </c>
      <c r="E432" t="s">
        <v>3516</v>
      </c>
      <c r="F432" t="s">
        <v>3717</v>
      </c>
      <c r="G432" t="s">
        <v>3516</v>
      </c>
      <c r="H432" t="s">
        <v>3718</v>
      </c>
      <c r="I432" t="s">
        <v>3719</v>
      </c>
      <c r="J432" t="s">
        <v>3516</v>
      </c>
      <c r="K432" t="s">
        <v>3516</v>
      </c>
    </row>
    <row r="433" spans="1:11" x14ac:dyDescent="0.35">
      <c r="A433" t="s">
        <v>40</v>
      </c>
      <c r="B433" t="s">
        <v>869</v>
      </c>
    </row>
    <row r="434" spans="1:11" x14ac:dyDescent="0.35">
      <c r="A434" t="s">
        <v>419</v>
      </c>
      <c r="B434" t="s">
        <v>1243</v>
      </c>
    </row>
    <row r="435" spans="1:11" x14ac:dyDescent="0.35">
      <c r="A435" t="s">
        <v>735</v>
      </c>
      <c r="B435" t="s">
        <v>1559</v>
      </c>
    </row>
    <row r="436" spans="1:11" x14ac:dyDescent="0.35">
      <c r="A436" t="s">
        <v>608</v>
      </c>
      <c r="B436" t="s">
        <v>1432</v>
      </c>
    </row>
    <row r="437" spans="1:11" x14ac:dyDescent="0.35">
      <c r="A437" t="s">
        <v>553</v>
      </c>
      <c r="B437" t="s">
        <v>1377</v>
      </c>
    </row>
    <row r="438" spans="1:11" x14ac:dyDescent="0.35">
      <c r="A438" t="s">
        <v>511</v>
      </c>
      <c r="B438" t="s">
        <v>1335</v>
      </c>
    </row>
    <row r="439" spans="1:11" x14ac:dyDescent="0.35">
      <c r="A439" t="s">
        <v>133</v>
      </c>
      <c r="B439" t="s">
        <v>962</v>
      </c>
    </row>
    <row r="440" spans="1:11" x14ac:dyDescent="0.35">
      <c r="A440" t="s">
        <v>120</v>
      </c>
      <c r="B440" t="s">
        <v>949</v>
      </c>
    </row>
    <row r="441" spans="1:11" x14ac:dyDescent="0.35">
      <c r="A441" t="s">
        <v>117</v>
      </c>
      <c r="B441" t="s">
        <v>946</v>
      </c>
    </row>
    <row r="442" spans="1:11" x14ac:dyDescent="0.35">
      <c r="A442" t="s">
        <v>12</v>
      </c>
      <c r="B442" t="s">
        <v>841</v>
      </c>
    </row>
    <row r="443" spans="1:11" x14ac:dyDescent="0.35">
      <c r="A443" t="s">
        <v>350</v>
      </c>
      <c r="B443" t="s">
        <v>1174</v>
      </c>
    </row>
    <row r="444" spans="1:11" x14ac:dyDescent="0.35">
      <c r="A444" t="s">
        <v>643</v>
      </c>
      <c r="B444" t="s">
        <v>1467</v>
      </c>
      <c r="C444" t="s">
        <v>3519</v>
      </c>
      <c r="D444" t="s">
        <v>2424</v>
      </c>
      <c r="E444" t="s">
        <v>3516</v>
      </c>
      <c r="F444" t="s">
        <v>2435</v>
      </c>
      <c r="G444" t="s">
        <v>3516</v>
      </c>
      <c r="H444" t="s">
        <v>3516</v>
      </c>
      <c r="I444" t="s">
        <v>3516</v>
      </c>
      <c r="J444" t="s">
        <v>3516</v>
      </c>
      <c r="K444" t="s">
        <v>3516</v>
      </c>
    </row>
    <row r="445" spans="1:11" x14ac:dyDescent="0.35">
      <c r="A445" t="s">
        <v>142</v>
      </c>
      <c r="B445" t="s">
        <v>971</v>
      </c>
    </row>
    <row r="446" spans="1:11" x14ac:dyDescent="0.35">
      <c r="A446" t="s">
        <v>765</v>
      </c>
      <c r="B446" t="s">
        <v>1589</v>
      </c>
    </row>
    <row r="447" spans="1:11" x14ac:dyDescent="0.35">
      <c r="A447" t="s">
        <v>691</v>
      </c>
      <c r="B447" t="s">
        <v>1515</v>
      </c>
    </row>
    <row r="448" spans="1:11" x14ac:dyDescent="0.35">
      <c r="A448" t="s">
        <v>668</v>
      </c>
      <c r="B448" t="s">
        <v>1492</v>
      </c>
    </row>
    <row r="449" spans="1:11" x14ac:dyDescent="0.35">
      <c r="A449" t="s">
        <v>119</v>
      </c>
      <c r="B449" t="s">
        <v>948</v>
      </c>
      <c r="C449" t="s">
        <v>3530</v>
      </c>
      <c r="D449" t="s">
        <v>3720</v>
      </c>
      <c r="E449" t="s">
        <v>2264</v>
      </c>
      <c r="F449" t="s">
        <v>3721</v>
      </c>
      <c r="G449" t="s">
        <v>2377</v>
      </c>
      <c r="H449" t="s">
        <v>2491</v>
      </c>
      <c r="I449" t="s">
        <v>3722</v>
      </c>
      <c r="J449" t="s">
        <v>3516</v>
      </c>
      <c r="K449" t="s">
        <v>3516</v>
      </c>
    </row>
    <row r="450" spans="1:11" x14ac:dyDescent="0.35">
      <c r="A450" t="s">
        <v>669</v>
      </c>
      <c r="B450" t="s">
        <v>1493</v>
      </c>
    </row>
    <row r="451" spans="1:11" x14ac:dyDescent="0.35">
      <c r="A451" t="s">
        <v>677</v>
      </c>
      <c r="B451" t="s">
        <v>1501</v>
      </c>
    </row>
    <row r="452" spans="1:11" x14ac:dyDescent="0.35">
      <c r="A452" t="s">
        <v>617</v>
      </c>
      <c r="B452" t="s">
        <v>1441</v>
      </c>
    </row>
    <row r="453" spans="1:11" x14ac:dyDescent="0.35">
      <c r="A453" t="s">
        <v>434</v>
      </c>
      <c r="B453" t="s">
        <v>1258</v>
      </c>
    </row>
    <row r="454" spans="1:11" x14ac:dyDescent="0.35">
      <c r="A454" t="s">
        <v>670</v>
      </c>
      <c r="B454" t="s">
        <v>1494</v>
      </c>
    </row>
    <row r="455" spans="1:11" x14ac:dyDescent="0.35">
      <c r="A455" t="s">
        <v>671</v>
      </c>
      <c r="B455" t="s">
        <v>1495</v>
      </c>
    </row>
    <row r="456" spans="1:11" x14ac:dyDescent="0.35">
      <c r="A456" t="s">
        <v>215</v>
      </c>
      <c r="B456" t="s">
        <v>1042</v>
      </c>
    </row>
    <row r="457" spans="1:11" x14ac:dyDescent="0.35">
      <c r="A457" t="s">
        <v>547</v>
      </c>
      <c r="B457" t="s">
        <v>1371</v>
      </c>
    </row>
    <row r="458" spans="1:11" x14ac:dyDescent="0.35">
      <c r="A458" t="s">
        <v>567</v>
      </c>
      <c r="B458" t="s">
        <v>1391</v>
      </c>
      <c r="C458" t="s">
        <v>3519</v>
      </c>
      <c r="D458" t="s">
        <v>2435</v>
      </c>
      <c r="E458" t="s">
        <v>3723</v>
      </c>
      <c r="F458" t="s">
        <v>3724</v>
      </c>
      <c r="G458" t="s">
        <v>3725</v>
      </c>
      <c r="H458" t="s">
        <v>3726</v>
      </c>
      <c r="I458" t="s">
        <v>3516</v>
      </c>
      <c r="J458" t="s">
        <v>3516</v>
      </c>
      <c r="K458" t="s">
        <v>3516</v>
      </c>
    </row>
    <row r="459" spans="1:11" x14ac:dyDescent="0.35">
      <c r="A459" t="s">
        <v>484</v>
      </c>
      <c r="B459" t="s">
        <v>1308</v>
      </c>
    </row>
    <row r="460" spans="1:11" x14ac:dyDescent="0.35">
      <c r="A460" t="s">
        <v>771</v>
      </c>
      <c r="B460" t="s">
        <v>1595</v>
      </c>
    </row>
    <row r="461" spans="1:11" x14ac:dyDescent="0.35">
      <c r="A461" t="s">
        <v>311</v>
      </c>
      <c r="B461" t="s">
        <v>1136</v>
      </c>
    </row>
    <row r="462" spans="1:11" x14ac:dyDescent="0.35">
      <c r="A462" t="s">
        <v>692</v>
      </c>
      <c r="B462" t="s">
        <v>1516</v>
      </c>
    </row>
    <row r="463" spans="1:11" x14ac:dyDescent="0.35">
      <c r="A463" t="s">
        <v>513</v>
      </c>
      <c r="B463" t="s">
        <v>1337</v>
      </c>
      <c r="C463" t="s">
        <v>3536</v>
      </c>
      <c r="D463" t="s">
        <v>3727</v>
      </c>
      <c r="E463" t="s">
        <v>2316</v>
      </c>
      <c r="F463" t="s">
        <v>3728</v>
      </c>
      <c r="G463" t="s">
        <v>3714</v>
      </c>
      <c r="H463" t="s">
        <v>3729</v>
      </c>
      <c r="I463" t="s">
        <v>3730</v>
      </c>
      <c r="J463" t="s">
        <v>3516</v>
      </c>
      <c r="K463" t="s">
        <v>3516</v>
      </c>
    </row>
    <row r="464" spans="1:11" x14ac:dyDescent="0.35">
      <c r="A464" t="s">
        <v>501</v>
      </c>
      <c r="B464" t="s">
        <v>1325</v>
      </c>
    </row>
    <row r="465" spans="1:11" x14ac:dyDescent="0.35">
      <c r="A465" t="s">
        <v>645</v>
      </c>
      <c r="B465" t="s">
        <v>1469</v>
      </c>
    </row>
    <row r="466" spans="1:11" x14ac:dyDescent="0.35">
      <c r="A466" t="s">
        <v>109</v>
      </c>
      <c r="B466" t="s">
        <v>938</v>
      </c>
    </row>
    <row r="467" spans="1:11" x14ac:dyDescent="0.35">
      <c r="A467" t="s">
        <v>430</v>
      </c>
      <c r="B467" t="s">
        <v>1254</v>
      </c>
      <c r="C467" t="s">
        <v>3516</v>
      </c>
      <c r="D467" t="s">
        <v>3731</v>
      </c>
      <c r="E467" t="s">
        <v>3732</v>
      </c>
      <c r="F467" t="s">
        <v>2393</v>
      </c>
      <c r="G467" t="s">
        <v>3733</v>
      </c>
      <c r="H467" t="s">
        <v>3516</v>
      </c>
      <c r="I467" t="s">
        <v>3516</v>
      </c>
      <c r="J467" t="s">
        <v>3516</v>
      </c>
      <c r="K467" t="s">
        <v>3516</v>
      </c>
    </row>
    <row r="468" spans="1:11" x14ac:dyDescent="0.35">
      <c r="A468" t="s">
        <v>357</v>
      </c>
      <c r="B468" t="s">
        <v>1181</v>
      </c>
    </row>
    <row r="469" spans="1:11" x14ac:dyDescent="0.35">
      <c r="A469" t="s">
        <v>358</v>
      </c>
      <c r="B469" t="s">
        <v>1182</v>
      </c>
    </row>
    <row r="470" spans="1:11" x14ac:dyDescent="0.35">
      <c r="A470" t="s">
        <v>562</v>
      </c>
      <c r="B470" t="s">
        <v>1386</v>
      </c>
      <c r="C470" t="s">
        <v>3516</v>
      </c>
      <c r="D470" t="s">
        <v>3589</v>
      </c>
      <c r="E470" t="s">
        <v>3734</v>
      </c>
      <c r="F470" t="s">
        <v>3735</v>
      </c>
      <c r="G470" t="s">
        <v>2286</v>
      </c>
      <c r="H470" t="s">
        <v>3516</v>
      </c>
      <c r="I470" t="s">
        <v>3516</v>
      </c>
      <c r="J470" t="s">
        <v>3516</v>
      </c>
      <c r="K470" t="s">
        <v>3516</v>
      </c>
    </row>
    <row r="471" spans="1:11" x14ac:dyDescent="0.35">
      <c r="A471" t="s">
        <v>3408</v>
      </c>
      <c r="B471" t="s">
        <v>3416</v>
      </c>
      <c r="C471" t="s">
        <v>3519</v>
      </c>
      <c r="D471" t="s">
        <v>3736</v>
      </c>
      <c r="E471" t="s">
        <v>3737</v>
      </c>
      <c r="F471" t="s">
        <v>3738</v>
      </c>
      <c r="G471" t="s">
        <v>3739</v>
      </c>
      <c r="H471" t="s">
        <v>2345</v>
      </c>
      <c r="I471" t="s">
        <v>3516</v>
      </c>
      <c r="J471" t="s">
        <v>3516</v>
      </c>
      <c r="K471" t="s">
        <v>3516</v>
      </c>
    </row>
    <row r="472" spans="1:11" x14ac:dyDescent="0.35">
      <c r="A472" t="s">
        <v>293</v>
      </c>
      <c r="B472" t="s">
        <v>1118</v>
      </c>
    </row>
    <row r="473" spans="1:11" x14ac:dyDescent="0.35">
      <c r="A473" t="s">
        <v>376</v>
      </c>
      <c r="B473" t="s">
        <v>1200</v>
      </c>
    </row>
    <row r="474" spans="1:11" x14ac:dyDescent="0.35">
      <c r="A474" t="s">
        <v>302</v>
      </c>
      <c r="B474" t="s">
        <v>1127</v>
      </c>
    </row>
    <row r="475" spans="1:11" x14ac:dyDescent="0.35">
      <c r="A475" t="s">
        <v>156</v>
      </c>
      <c r="B475" t="s">
        <v>985</v>
      </c>
    </row>
    <row r="476" spans="1:11" x14ac:dyDescent="0.35">
      <c r="A476" t="s">
        <v>70</v>
      </c>
      <c r="B476" t="s">
        <v>899</v>
      </c>
    </row>
    <row r="477" spans="1:11" x14ac:dyDescent="0.35">
      <c r="A477" t="s">
        <v>3</v>
      </c>
      <c r="B477" t="s">
        <v>832</v>
      </c>
    </row>
    <row r="478" spans="1:11" x14ac:dyDescent="0.35">
      <c r="A478" t="s">
        <v>599</v>
      </c>
      <c r="B478" t="s">
        <v>1423</v>
      </c>
    </row>
    <row r="479" spans="1:11" x14ac:dyDescent="0.35">
      <c r="A479" t="s">
        <v>453</v>
      </c>
      <c r="B479" t="s">
        <v>1277</v>
      </c>
    </row>
    <row r="480" spans="1:11" x14ac:dyDescent="0.35">
      <c r="A480" t="s">
        <v>601</v>
      </c>
      <c r="B480" t="s">
        <v>1425</v>
      </c>
    </row>
    <row r="481" spans="1:11" x14ac:dyDescent="0.35">
      <c r="A481" t="s">
        <v>600</v>
      </c>
      <c r="B481" t="s">
        <v>1424</v>
      </c>
    </row>
    <row r="482" spans="1:11" x14ac:dyDescent="0.35">
      <c r="A482" t="s">
        <v>454</v>
      </c>
      <c r="B482" t="s">
        <v>1278</v>
      </c>
    </row>
    <row r="483" spans="1:11" x14ac:dyDescent="0.35">
      <c r="A483" t="s">
        <v>251</v>
      </c>
      <c r="B483" t="s">
        <v>1077</v>
      </c>
    </row>
    <row r="484" spans="1:11" x14ac:dyDescent="0.35">
      <c r="A484" t="s">
        <v>131</v>
      </c>
      <c r="B484" t="s">
        <v>960</v>
      </c>
    </row>
    <row r="485" spans="1:11" x14ac:dyDescent="0.35">
      <c r="A485" t="s">
        <v>392</v>
      </c>
      <c r="B485" t="s">
        <v>1216</v>
      </c>
      <c r="C485" t="s">
        <v>3519</v>
      </c>
      <c r="D485" t="s">
        <v>3740</v>
      </c>
      <c r="E485" t="s">
        <v>3741</v>
      </c>
      <c r="F485" t="s">
        <v>3742</v>
      </c>
      <c r="G485" t="s">
        <v>3743</v>
      </c>
      <c r="H485" t="s">
        <v>3744</v>
      </c>
      <c r="I485" t="s">
        <v>3745</v>
      </c>
      <c r="J485" t="s">
        <v>3516</v>
      </c>
      <c r="K485" t="s">
        <v>3516</v>
      </c>
    </row>
    <row r="486" spans="1:11" x14ac:dyDescent="0.35">
      <c r="A486" t="s">
        <v>54</v>
      </c>
      <c r="B486" t="s">
        <v>883</v>
      </c>
    </row>
    <row r="487" spans="1:11" x14ac:dyDescent="0.35">
      <c r="A487" t="s">
        <v>693</v>
      </c>
      <c r="B487" t="s">
        <v>1517</v>
      </c>
    </row>
    <row r="488" spans="1:11" x14ac:dyDescent="0.35">
      <c r="A488" t="s">
        <v>0</v>
      </c>
      <c r="B488" t="s">
        <v>829</v>
      </c>
      <c r="C488" t="s">
        <v>3554</v>
      </c>
      <c r="D488" t="s">
        <v>3746</v>
      </c>
      <c r="E488" t="s">
        <v>3747</v>
      </c>
      <c r="F488" t="s">
        <v>3748</v>
      </c>
      <c r="G488" t="s">
        <v>3749</v>
      </c>
      <c r="H488" t="s">
        <v>3750</v>
      </c>
      <c r="I488" t="s">
        <v>3593</v>
      </c>
      <c r="J488" t="s">
        <v>3516</v>
      </c>
      <c r="K488" t="s">
        <v>3516</v>
      </c>
    </row>
    <row r="489" spans="1:11" x14ac:dyDescent="0.35">
      <c r="A489" t="s">
        <v>320</v>
      </c>
      <c r="B489" t="s">
        <v>1145</v>
      </c>
    </row>
    <row r="490" spans="1:11" x14ac:dyDescent="0.35">
      <c r="A490" t="s">
        <v>437</v>
      </c>
      <c r="B490" t="s">
        <v>1261</v>
      </c>
      <c r="C490" t="s">
        <v>3514</v>
      </c>
      <c r="D490" t="s">
        <v>3751</v>
      </c>
      <c r="E490" t="s">
        <v>3553</v>
      </c>
      <c r="F490" t="s">
        <v>2319</v>
      </c>
      <c r="G490" t="s">
        <v>2337</v>
      </c>
      <c r="H490" t="s">
        <v>2326</v>
      </c>
      <c r="I490" t="s">
        <v>2265</v>
      </c>
      <c r="J490" t="s">
        <v>3516</v>
      </c>
      <c r="K490" t="s">
        <v>3516</v>
      </c>
    </row>
    <row r="491" spans="1:11" x14ac:dyDescent="0.35">
      <c r="A491" t="s">
        <v>450</v>
      </c>
      <c r="B491" t="s">
        <v>1274</v>
      </c>
    </row>
    <row r="492" spans="1:11" x14ac:dyDescent="0.35">
      <c r="A492" t="s">
        <v>347</v>
      </c>
      <c r="B492" t="s">
        <v>1171</v>
      </c>
    </row>
    <row r="493" spans="1:11" x14ac:dyDescent="0.35">
      <c r="A493" t="s">
        <v>801</v>
      </c>
      <c r="B493" t="s">
        <v>1624</v>
      </c>
    </row>
    <row r="494" spans="1:11" x14ac:dyDescent="0.35">
      <c r="A494" t="s">
        <v>51</v>
      </c>
      <c r="B494" t="s">
        <v>880</v>
      </c>
    </row>
    <row r="495" spans="1:11" x14ac:dyDescent="0.35">
      <c r="A495" t="s">
        <v>247</v>
      </c>
      <c r="B495" t="s">
        <v>1073</v>
      </c>
    </row>
    <row r="496" spans="1:11" x14ac:dyDescent="0.35">
      <c r="A496" t="s">
        <v>274</v>
      </c>
      <c r="B496" t="s">
        <v>1100</v>
      </c>
    </row>
    <row r="497" spans="1:11" x14ac:dyDescent="0.35">
      <c r="A497" t="s">
        <v>564</v>
      </c>
      <c r="B497" t="s">
        <v>1388</v>
      </c>
    </row>
    <row r="498" spans="1:11" x14ac:dyDescent="0.35">
      <c r="A498" t="s">
        <v>86</v>
      </c>
      <c r="B498" t="s">
        <v>915</v>
      </c>
    </row>
    <row r="499" spans="1:11" x14ac:dyDescent="0.35">
      <c r="A499" t="s">
        <v>767</v>
      </c>
      <c r="B499" t="s">
        <v>1591</v>
      </c>
      <c r="C499" t="s">
        <v>3514</v>
      </c>
      <c r="D499" t="s">
        <v>3752</v>
      </c>
      <c r="E499" t="s">
        <v>3753</v>
      </c>
      <c r="F499" t="s">
        <v>3754</v>
      </c>
      <c r="G499" t="s">
        <v>3755</v>
      </c>
      <c r="H499" t="s">
        <v>3756</v>
      </c>
      <c r="I499" t="s">
        <v>3757</v>
      </c>
      <c r="J499" t="s">
        <v>3516</v>
      </c>
      <c r="K499" t="s">
        <v>3516</v>
      </c>
    </row>
    <row r="500" spans="1:11" x14ac:dyDescent="0.35">
      <c r="A500" t="s">
        <v>24</v>
      </c>
      <c r="B500" t="s">
        <v>853</v>
      </c>
    </row>
    <row r="501" spans="1:11" x14ac:dyDescent="0.35">
      <c r="A501" t="s">
        <v>248</v>
      </c>
      <c r="B501" t="s">
        <v>1074</v>
      </c>
    </row>
    <row r="502" spans="1:11" x14ac:dyDescent="0.35">
      <c r="A502" t="s">
        <v>21</v>
      </c>
      <c r="B502" t="s">
        <v>850</v>
      </c>
    </row>
    <row r="503" spans="1:11" x14ac:dyDescent="0.35">
      <c r="A503" t="s">
        <v>250</v>
      </c>
      <c r="B503" t="s">
        <v>1076</v>
      </c>
    </row>
    <row r="504" spans="1:11" x14ac:dyDescent="0.35">
      <c r="A504" t="s">
        <v>197</v>
      </c>
      <c r="B504" t="s">
        <v>1025</v>
      </c>
    </row>
    <row r="505" spans="1:11" x14ac:dyDescent="0.35">
      <c r="A505" t="s">
        <v>404</v>
      </c>
      <c r="B505" t="s">
        <v>1228</v>
      </c>
    </row>
    <row r="506" spans="1:11" x14ac:dyDescent="0.35">
      <c r="A506" t="s">
        <v>442</v>
      </c>
      <c r="B506" t="s">
        <v>1266</v>
      </c>
    </row>
    <row r="507" spans="1:11" x14ac:dyDescent="0.35">
      <c r="A507" t="s">
        <v>26</v>
      </c>
      <c r="B507" t="s">
        <v>855</v>
      </c>
    </row>
    <row r="508" spans="1:11" x14ac:dyDescent="0.35">
      <c r="A508" t="s">
        <v>381</v>
      </c>
      <c r="B508" t="s">
        <v>1205</v>
      </c>
    </row>
    <row r="509" spans="1:11" x14ac:dyDescent="0.35">
      <c r="A509" t="s">
        <v>648</v>
      </c>
      <c r="B509" t="s">
        <v>1472</v>
      </c>
    </row>
    <row r="510" spans="1:11" x14ac:dyDescent="0.35">
      <c r="A510" t="s">
        <v>3371</v>
      </c>
      <c r="B510" t="s">
        <v>3372</v>
      </c>
      <c r="C510" t="s">
        <v>3519</v>
      </c>
      <c r="D510" t="s">
        <v>3758</v>
      </c>
      <c r="E510" t="s">
        <v>3759</v>
      </c>
      <c r="F510" t="s">
        <v>3760</v>
      </c>
      <c r="G510" t="s">
        <v>3761</v>
      </c>
      <c r="H510" t="s">
        <v>3762</v>
      </c>
      <c r="I510" t="s">
        <v>3763</v>
      </c>
      <c r="J510" t="s">
        <v>3516</v>
      </c>
      <c r="K510" t="s">
        <v>3516</v>
      </c>
    </row>
    <row r="511" spans="1:11" x14ac:dyDescent="0.35">
      <c r="A511" t="s">
        <v>582</v>
      </c>
      <c r="B511" t="s">
        <v>1406</v>
      </c>
    </row>
    <row r="512" spans="1:11" x14ac:dyDescent="0.35">
      <c r="A512" t="s">
        <v>31</v>
      </c>
      <c r="B512" t="s">
        <v>860</v>
      </c>
    </row>
    <row r="513" spans="1:11" x14ac:dyDescent="0.35">
      <c r="A513" t="s">
        <v>532</v>
      </c>
      <c r="B513" t="s">
        <v>1356</v>
      </c>
    </row>
    <row r="514" spans="1:11" x14ac:dyDescent="0.35">
      <c r="A514" t="s">
        <v>655</v>
      </c>
      <c r="B514" t="s">
        <v>1479</v>
      </c>
      <c r="C514" t="s">
        <v>3598</v>
      </c>
      <c r="D514" t="s">
        <v>3516</v>
      </c>
      <c r="E514" t="s">
        <v>3516</v>
      </c>
      <c r="F514" t="s">
        <v>3516</v>
      </c>
      <c r="G514" t="s">
        <v>3516</v>
      </c>
      <c r="H514" t="s">
        <v>3764</v>
      </c>
      <c r="I514" t="s">
        <v>3765</v>
      </c>
      <c r="J514" t="s">
        <v>3516</v>
      </c>
      <c r="K514" t="s">
        <v>3516</v>
      </c>
    </row>
    <row r="515" spans="1:11" x14ac:dyDescent="0.35">
      <c r="A515" t="s">
        <v>115</v>
      </c>
      <c r="B515" t="s">
        <v>944</v>
      </c>
    </row>
    <row r="516" spans="1:11" x14ac:dyDescent="0.35">
      <c r="A516" t="s">
        <v>647</v>
      </c>
      <c r="B516" t="s">
        <v>1471</v>
      </c>
    </row>
    <row r="517" spans="1:11" x14ac:dyDescent="0.35">
      <c r="A517" t="s">
        <v>605</v>
      </c>
      <c r="B517" t="s">
        <v>1429</v>
      </c>
    </row>
    <row r="518" spans="1:11" x14ac:dyDescent="0.35">
      <c r="A518" t="s">
        <v>271</v>
      </c>
      <c r="B518" t="s">
        <v>1097</v>
      </c>
      <c r="C518" t="s">
        <v>3530</v>
      </c>
      <c r="D518" t="s">
        <v>3766</v>
      </c>
      <c r="E518" t="s">
        <v>3767</v>
      </c>
      <c r="F518" t="s">
        <v>3768</v>
      </c>
      <c r="G518" t="s">
        <v>3606</v>
      </c>
      <c r="H518" t="s">
        <v>2122</v>
      </c>
      <c r="I518" t="s">
        <v>3769</v>
      </c>
      <c r="J518" t="s">
        <v>3516</v>
      </c>
      <c r="K518" t="s">
        <v>3516</v>
      </c>
    </row>
    <row r="519" spans="1:11" x14ac:dyDescent="0.35">
      <c r="A519" t="s">
        <v>137</v>
      </c>
      <c r="B519" t="s">
        <v>966</v>
      </c>
    </row>
    <row r="520" spans="1:11" x14ac:dyDescent="0.35">
      <c r="A520" t="s">
        <v>232</v>
      </c>
      <c r="B520" t="s">
        <v>1059</v>
      </c>
    </row>
    <row r="521" spans="1:11" x14ac:dyDescent="0.35">
      <c r="A521" t="s">
        <v>135</v>
      </c>
      <c r="B521" t="s">
        <v>964</v>
      </c>
    </row>
    <row r="522" spans="1:11" x14ac:dyDescent="0.35">
      <c r="A522" t="s">
        <v>368</v>
      </c>
      <c r="B522" t="s">
        <v>1192</v>
      </c>
    </row>
    <row r="523" spans="1:11" x14ac:dyDescent="0.35">
      <c r="A523" t="s">
        <v>136</v>
      </c>
      <c r="B523" t="s">
        <v>965</v>
      </c>
    </row>
    <row r="524" spans="1:11" x14ac:dyDescent="0.35">
      <c r="A524" t="s">
        <v>3357</v>
      </c>
      <c r="B524" t="s">
        <v>3358</v>
      </c>
    </row>
    <row r="525" spans="1:11" x14ac:dyDescent="0.35">
      <c r="A525" t="s">
        <v>3399</v>
      </c>
      <c r="B525" t="s">
        <v>3400</v>
      </c>
    </row>
    <row r="526" spans="1:11" x14ac:dyDescent="0.35">
      <c r="A526" t="s">
        <v>808</v>
      </c>
      <c r="B526" t="s">
        <v>1631</v>
      </c>
    </row>
    <row r="527" spans="1:11" x14ac:dyDescent="0.35">
      <c r="A527" t="s">
        <v>211</v>
      </c>
      <c r="B527" t="s">
        <v>1038</v>
      </c>
    </row>
    <row r="528" spans="1:11" x14ac:dyDescent="0.35">
      <c r="A528" t="s">
        <v>585</v>
      </c>
      <c r="B528" t="s">
        <v>1409</v>
      </c>
    </row>
    <row r="529" spans="1:11" x14ac:dyDescent="0.35">
      <c r="A529" t="s">
        <v>289</v>
      </c>
      <c r="B529" t="s">
        <v>1114</v>
      </c>
    </row>
    <row r="530" spans="1:11" x14ac:dyDescent="0.35">
      <c r="A530" t="s">
        <v>555</v>
      </c>
      <c r="B530" t="s">
        <v>1379</v>
      </c>
    </row>
    <row r="531" spans="1:11" x14ac:dyDescent="0.35">
      <c r="A531" t="s">
        <v>331</v>
      </c>
      <c r="B531" t="s">
        <v>1156</v>
      </c>
    </row>
    <row r="532" spans="1:11" x14ac:dyDescent="0.35">
      <c r="A532" t="s">
        <v>3385</v>
      </c>
      <c r="B532" t="s">
        <v>3386</v>
      </c>
    </row>
    <row r="533" spans="1:11" x14ac:dyDescent="0.35">
      <c r="A533" t="s">
        <v>231</v>
      </c>
      <c r="B533" t="s">
        <v>1058</v>
      </c>
    </row>
    <row r="534" spans="1:11" x14ac:dyDescent="0.35">
      <c r="A534" t="s">
        <v>3389</v>
      </c>
      <c r="B534" t="s">
        <v>3390</v>
      </c>
    </row>
    <row r="535" spans="1:11" x14ac:dyDescent="0.35">
      <c r="A535" t="s">
        <v>3391</v>
      </c>
      <c r="B535" t="s">
        <v>3392</v>
      </c>
    </row>
    <row r="536" spans="1:11" x14ac:dyDescent="0.35">
      <c r="A536" t="s">
        <v>399</v>
      </c>
      <c r="B536" t="s">
        <v>1223</v>
      </c>
    </row>
    <row r="537" spans="1:11" x14ac:dyDescent="0.35">
      <c r="A537" t="s">
        <v>148</v>
      </c>
      <c r="B537" t="s">
        <v>977</v>
      </c>
    </row>
    <row r="538" spans="1:11" x14ac:dyDescent="0.35">
      <c r="A538" t="s">
        <v>509</v>
      </c>
      <c r="B538" t="s">
        <v>1333</v>
      </c>
    </row>
    <row r="539" spans="1:11" x14ac:dyDescent="0.35">
      <c r="A539" t="s">
        <v>615</v>
      </c>
      <c r="B539" t="s">
        <v>1439</v>
      </c>
      <c r="C539" t="s">
        <v>3536</v>
      </c>
      <c r="D539" t="s">
        <v>3770</v>
      </c>
      <c r="E539" t="s">
        <v>3516</v>
      </c>
      <c r="F539" t="s">
        <v>3771</v>
      </c>
      <c r="G539" t="s">
        <v>3516</v>
      </c>
      <c r="H539" t="s">
        <v>3772</v>
      </c>
      <c r="I539" t="s">
        <v>3773</v>
      </c>
      <c r="J539" t="s">
        <v>3516</v>
      </c>
      <c r="K539" t="s">
        <v>3516</v>
      </c>
    </row>
    <row r="540" spans="1:11" x14ac:dyDescent="0.35">
      <c r="A540" t="s">
        <v>80</v>
      </c>
      <c r="B540" t="s">
        <v>909</v>
      </c>
      <c r="C540" t="s">
        <v>3536</v>
      </c>
      <c r="D540" t="s">
        <v>3774</v>
      </c>
      <c r="E540" t="s">
        <v>3516</v>
      </c>
      <c r="F540" t="s">
        <v>3774</v>
      </c>
      <c r="G540" t="s">
        <v>3516</v>
      </c>
      <c r="H540" t="s">
        <v>3516</v>
      </c>
      <c r="I540" t="s">
        <v>3516</v>
      </c>
      <c r="J540" t="s">
        <v>3516</v>
      </c>
      <c r="K540" t="s">
        <v>3516</v>
      </c>
    </row>
    <row r="541" spans="1:11" x14ac:dyDescent="0.35">
      <c r="A541" t="s">
        <v>79</v>
      </c>
      <c r="B541" t="s">
        <v>908</v>
      </c>
      <c r="C541" t="s">
        <v>3519</v>
      </c>
      <c r="D541" t="s">
        <v>3775</v>
      </c>
      <c r="E541" t="s">
        <v>3776</v>
      </c>
      <c r="F541" t="s">
        <v>3777</v>
      </c>
      <c r="G541" t="s">
        <v>3778</v>
      </c>
      <c r="H541" t="s">
        <v>3779</v>
      </c>
      <c r="I541" t="s">
        <v>3780</v>
      </c>
      <c r="J541" t="s">
        <v>3516</v>
      </c>
      <c r="K541" t="s">
        <v>3516</v>
      </c>
    </row>
    <row r="542" spans="1:11" x14ac:dyDescent="0.35">
      <c r="A542" t="s">
        <v>544</v>
      </c>
      <c r="B542" t="s">
        <v>1368</v>
      </c>
      <c r="C542" t="s">
        <v>3715</v>
      </c>
      <c r="D542" t="s">
        <v>3781</v>
      </c>
      <c r="E542" t="s">
        <v>3782</v>
      </c>
      <c r="F542" t="s">
        <v>3783</v>
      </c>
      <c r="G542" t="s">
        <v>2322</v>
      </c>
      <c r="H542" t="s">
        <v>3516</v>
      </c>
      <c r="I542" t="s">
        <v>3516</v>
      </c>
      <c r="J542" t="s">
        <v>3516</v>
      </c>
      <c r="K542" t="s">
        <v>3516</v>
      </c>
    </row>
    <row r="543" spans="1:11" x14ac:dyDescent="0.35">
      <c r="A543" t="s">
        <v>405</v>
      </c>
      <c r="B543" t="s">
        <v>1229</v>
      </c>
    </row>
    <row r="544" spans="1:11" x14ac:dyDescent="0.35">
      <c r="A544" t="s">
        <v>395</v>
      </c>
      <c r="B544" t="s">
        <v>1219</v>
      </c>
    </row>
    <row r="545" spans="1:11" x14ac:dyDescent="0.35">
      <c r="A545" t="s">
        <v>466</v>
      </c>
      <c r="B545" t="s">
        <v>1290</v>
      </c>
    </row>
    <row r="546" spans="1:11" x14ac:dyDescent="0.35">
      <c r="A546" t="s">
        <v>597</v>
      </c>
      <c r="B546" t="s">
        <v>1421</v>
      </c>
    </row>
    <row r="547" spans="1:11" x14ac:dyDescent="0.35">
      <c r="A547" t="s">
        <v>486</v>
      </c>
      <c r="B547" t="s">
        <v>1310</v>
      </c>
      <c r="C547" t="s">
        <v>3554</v>
      </c>
      <c r="D547" t="s">
        <v>3784</v>
      </c>
      <c r="E547" t="s">
        <v>2435</v>
      </c>
      <c r="F547" t="s">
        <v>2471</v>
      </c>
      <c r="G547" t="s">
        <v>3785</v>
      </c>
      <c r="H547" t="s">
        <v>3786</v>
      </c>
      <c r="I547" t="s">
        <v>3787</v>
      </c>
      <c r="J547" t="s">
        <v>3516</v>
      </c>
      <c r="K547" t="s">
        <v>3516</v>
      </c>
    </row>
    <row r="548" spans="1:11" x14ac:dyDescent="0.35">
      <c r="A548" t="s">
        <v>161</v>
      </c>
      <c r="B548" t="s">
        <v>990</v>
      </c>
    </row>
    <row r="549" spans="1:11" x14ac:dyDescent="0.35">
      <c r="A549" t="s">
        <v>196</v>
      </c>
      <c r="B549" t="s">
        <v>1024</v>
      </c>
    </row>
    <row r="550" spans="1:11" x14ac:dyDescent="0.35">
      <c r="A550" t="s">
        <v>739</v>
      </c>
      <c r="B550" t="s">
        <v>1563</v>
      </c>
    </row>
    <row r="551" spans="1:11" x14ac:dyDescent="0.35">
      <c r="A551" t="s">
        <v>543</v>
      </c>
      <c r="B551" t="s">
        <v>1367</v>
      </c>
    </row>
    <row r="552" spans="1:11" x14ac:dyDescent="0.35">
      <c r="A552" t="s">
        <v>588</v>
      </c>
      <c r="B552" t="s">
        <v>1412</v>
      </c>
    </row>
    <row r="553" spans="1:11" x14ac:dyDescent="0.35">
      <c r="A553" t="s">
        <v>94</v>
      </c>
      <c r="B553" t="s">
        <v>923</v>
      </c>
    </row>
    <row r="554" spans="1:11" x14ac:dyDescent="0.35">
      <c r="A554" t="s">
        <v>602</v>
      </c>
      <c r="B554" t="s">
        <v>1426</v>
      </c>
    </row>
    <row r="555" spans="1:11" x14ac:dyDescent="0.35">
      <c r="A555" t="s">
        <v>536</v>
      </c>
      <c r="B555" t="s">
        <v>1360</v>
      </c>
      <c r="C555" t="s">
        <v>3514</v>
      </c>
      <c r="D555" t="s">
        <v>3788</v>
      </c>
      <c r="E555" t="s">
        <v>2341</v>
      </c>
      <c r="F555" t="s">
        <v>3789</v>
      </c>
      <c r="G555" t="s">
        <v>3790</v>
      </c>
      <c r="H555" t="s">
        <v>2319</v>
      </c>
      <c r="I555" t="s">
        <v>3791</v>
      </c>
      <c r="J555" t="s">
        <v>3516</v>
      </c>
      <c r="K555" t="s">
        <v>3516</v>
      </c>
    </row>
    <row r="556" spans="1:11" x14ac:dyDescent="0.35">
      <c r="A556" t="s">
        <v>153</v>
      </c>
      <c r="B556" t="s">
        <v>982</v>
      </c>
    </row>
    <row r="557" spans="1:11" x14ac:dyDescent="0.35">
      <c r="A557" t="s">
        <v>166</v>
      </c>
      <c r="B557" t="s">
        <v>995</v>
      </c>
    </row>
    <row r="558" spans="1:11" x14ac:dyDescent="0.35">
      <c r="A558" t="s">
        <v>433</v>
      </c>
      <c r="B558" t="s">
        <v>1257</v>
      </c>
    </row>
    <row r="559" spans="1:11" x14ac:dyDescent="0.35">
      <c r="A559" t="s">
        <v>125</v>
      </c>
      <c r="B559" t="s">
        <v>954</v>
      </c>
    </row>
    <row r="560" spans="1:11" x14ac:dyDescent="0.35">
      <c r="A560" t="s">
        <v>528</v>
      </c>
      <c r="B560" t="s">
        <v>1352</v>
      </c>
      <c r="C560" t="s">
        <v>3530</v>
      </c>
      <c r="D560" t="s">
        <v>3792</v>
      </c>
      <c r="E560" t="s">
        <v>2271</v>
      </c>
      <c r="F560" t="s">
        <v>3793</v>
      </c>
      <c r="G560" t="s">
        <v>3592</v>
      </c>
      <c r="H560" t="s">
        <v>3794</v>
      </c>
      <c r="I560" t="s">
        <v>3795</v>
      </c>
      <c r="J560" t="s">
        <v>3516</v>
      </c>
      <c r="K560" t="s">
        <v>3516</v>
      </c>
    </row>
    <row r="561" spans="1:11" x14ac:dyDescent="0.35">
      <c r="A561" t="s">
        <v>102</v>
      </c>
      <c r="B561" t="s">
        <v>931</v>
      </c>
      <c r="C561" t="s">
        <v>3536</v>
      </c>
      <c r="D561" t="s">
        <v>2300</v>
      </c>
      <c r="E561" t="s">
        <v>2266</v>
      </c>
      <c r="F561" t="s">
        <v>3796</v>
      </c>
      <c r="G561" t="s">
        <v>3516</v>
      </c>
      <c r="H561" t="s">
        <v>3563</v>
      </c>
      <c r="I561" t="s">
        <v>2342</v>
      </c>
      <c r="J561" t="s">
        <v>3516</v>
      </c>
      <c r="K561" t="s">
        <v>3516</v>
      </c>
    </row>
    <row r="562" spans="1:11" x14ac:dyDescent="0.35">
      <c r="A562" t="s">
        <v>557</v>
      </c>
      <c r="B562" t="s">
        <v>1381</v>
      </c>
    </row>
    <row r="563" spans="1:11" x14ac:dyDescent="0.35">
      <c r="A563" t="s">
        <v>65</v>
      </c>
      <c r="B563" t="s">
        <v>894</v>
      </c>
    </row>
    <row r="564" spans="1:11" x14ac:dyDescent="0.35">
      <c r="A564" t="s">
        <v>563</v>
      </c>
      <c r="B564" t="s">
        <v>1387</v>
      </c>
    </row>
    <row r="565" spans="1:11" x14ac:dyDescent="0.35">
      <c r="A565" t="s">
        <v>644</v>
      </c>
      <c r="B565" t="s">
        <v>1468</v>
      </c>
    </row>
    <row r="566" spans="1:11" x14ac:dyDescent="0.35">
      <c r="A566" t="s">
        <v>652</v>
      </c>
      <c r="B566" t="s">
        <v>1476</v>
      </c>
    </row>
    <row r="567" spans="1:11" x14ac:dyDescent="0.35">
      <c r="A567" t="s">
        <v>268</v>
      </c>
      <c r="B567" t="s">
        <v>1094</v>
      </c>
    </row>
    <row r="568" spans="1:11" x14ac:dyDescent="0.35">
      <c r="A568" t="s">
        <v>546</v>
      </c>
      <c r="B568" t="s">
        <v>1370</v>
      </c>
    </row>
    <row r="569" spans="1:11" x14ac:dyDescent="0.35">
      <c r="A569" t="s">
        <v>58</v>
      </c>
      <c r="B569" t="s">
        <v>887</v>
      </c>
    </row>
    <row r="570" spans="1:11" x14ac:dyDescent="0.35">
      <c r="A570" t="s">
        <v>512</v>
      </c>
      <c r="B570" t="s">
        <v>1336</v>
      </c>
    </row>
    <row r="571" spans="1:11" x14ac:dyDescent="0.35">
      <c r="A571" t="s">
        <v>212</v>
      </c>
      <c r="B571" t="s">
        <v>1039</v>
      </c>
      <c r="C571" t="s">
        <v>3519</v>
      </c>
      <c r="D571" t="s">
        <v>3589</v>
      </c>
      <c r="E571" t="s">
        <v>3797</v>
      </c>
      <c r="F571" t="s">
        <v>2312</v>
      </c>
      <c r="G571" t="s">
        <v>2275</v>
      </c>
      <c r="H571" t="s">
        <v>3516</v>
      </c>
      <c r="I571" t="s">
        <v>3516</v>
      </c>
      <c r="J571" t="s">
        <v>2393</v>
      </c>
      <c r="K571" t="s">
        <v>3516</v>
      </c>
    </row>
    <row r="572" spans="1:11" x14ac:dyDescent="0.35">
      <c r="A572" t="s">
        <v>351</v>
      </c>
      <c r="B572" t="s">
        <v>1175</v>
      </c>
      <c r="C572" t="s">
        <v>3516</v>
      </c>
      <c r="D572" t="s">
        <v>2503</v>
      </c>
      <c r="E572" t="s">
        <v>3798</v>
      </c>
      <c r="F572" t="s">
        <v>2335</v>
      </c>
      <c r="G572" t="s">
        <v>2379</v>
      </c>
      <c r="H572" t="s">
        <v>3799</v>
      </c>
      <c r="I572" t="s">
        <v>2387</v>
      </c>
      <c r="J572" t="s">
        <v>3516</v>
      </c>
      <c r="K572" t="s">
        <v>3516</v>
      </c>
    </row>
    <row r="573" spans="1:11" x14ac:dyDescent="0.35">
      <c r="A573" t="s">
        <v>114</v>
      </c>
      <c r="B573" t="s">
        <v>943</v>
      </c>
    </row>
    <row r="574" spans="1:11" x14ac:dyDescent="0.35">
      <c r="A574" t="s">
        <v>736</v>
      </c>
      <c r="B574" t="s">
        <v>1560</v>
      </c>
    </row>
    <row r="575" spans="1:11" x14ac:dyDescent="0.35">
      <c r="A575" t="s">
        <v>259</v>
      </c>
      <c r="B575" t="s">
        <v>1085</v>
      </c>
    </row>
    <row r="576" spans="1:11" x14ac:dyDescent="0.35">
      <c r="A576" t="s">
        <v>89</v>
      </c>
      <c r="B576" t="s">
        <v>918</v>
      </c>
    </row>
    <row r="577" spans="1:11" x14ac:dyDescent="0.35">
      <c r="A577" t="s">
        <v>63</v>
      </c>
      <c r="B577" t="s">
        <v>892</v>
      </c>
    </row>
    <row r="578" spans="1:11" x14ac:dyDescent="0.35">
      <c r="A578" t="s">
        <v>614</v>
      </c>
      <c r="B578" t="s">
        <v>1438</v>
      </c>
    </row>
    <row r="579" spans="1:11" x14ac:dyDescent="0.35">
      <c r="A579" t="s">
        <v>121</v>
      </c>
      <c r="B579" t="s">
        <v>950</v>
      </c>
    </row>
    <row r="580" spans="1:11" x14ac:dyDescent="0.35">
      <c r="A580" t="s">
        <v>123</v>
      </c>
      <c r="B580" t="s">
        <v>952</v>
      </c>
    </row>
    <row r="581" spans="1:11" x14ac:dyDescent="0.35">
      <c r="A581" t="s">
        <v>500</v>
      </c>
      <c r="B581" t="s">
        <v>1324</v>
      </c>
    </row>
    <row r="582" spans="1:11" x14ac:dyDescent="0.35">
      <c r="A582" t="s">
        <v>593</v>
      </c>
      <c r="B582" t="s">
        <v>1417</v>
      </c>
      <c r="C582" t="s">
        <v>3519</v>
      </c>
      <c r="D582" t="s">
        <v>3800</v>
      </c>
      <c r="E582" t="s">
        <v>3801</v>
      </c>
      <c r="F582" t="s">
        <v>3802</v>
      </c>
      <c r="G582" t="s">
        <v>2437</v>
      </c>
      <c r="H582" t="s">
        <v>3803</v>
      </c>
      <c r="I582" t="s">
        <v>3804</v>
      </c>
      <c r="J582" t="s">
        <v>3516</v>
      </c>
      <c r="K582" t="s">
        <v>2350</v>
      </c>
    </row>
    <row r="583" spans="1:11" x14ac:dyDescent="0.35">
      <c r="A583" t="s">
        <v>20</v>
      </c>
      <c r="B583" t="s">
        <v>849</v>
      </c>
      <c r="C583" t="s">
        <v>3715</v>
      </c>
      <c r="D583" t="s">
        <v>3516</v>
      </c>
      <c r="E583" t="s">
        <v>3516</v>
      </c>
      <c r="F583" t="s">
        <v>3516</v>
      </c>
      <c r="G583" t="s">
        <v>3516</v>
      </c>
      <c r="H583" t="s">
        <v>3532</v>
      </c>
      <c r="I583" t="s">
        <v>2340</v>
      </c>
      <c r="J583" t="s">
        <v>3516</v>
      </c>
      <c r="K583" t="s">
        <v>3516</v>
      </c>
    </row>
    <row r="584" spans="1:11" x14ac:dyDescent="0.35">
      <c r="A584" t="s">
        <v>171</v>
      </c>
      <c r="B584" t="s">
        <v>1000</v>
      </c>
    </row>
    <row r="585" spans="1:11" x14ac:dyDescent="0.35">
      <c r="A585" t="s">
        <v>25</v>
      </c>
      <c r="B585" t="s">
        <v>854</v>
      </c>
    </row>
    <row r="586" spans="1:11" x14ac:dyDescent="0.35">
      <c r="A586" t="s">
        <v>778</v>
      </c>
      <c r="B586" t="s">
        <v>854</v>
      </c>
    </row>
    <row r="587" spans="1:11" x14ac:dyDescent="0.35">
      <c r="A587" t="s">
        <v>183</v>
      </c>
      <c r="B587" t="s">
        <v>1012</v>
      </c>
    </row>
    <row r="588" spans="1:11" x14ac:dyDescent="0.35">
      <c r="A588" t="s">
        <v>143</v>
      </c>
      <c r="B588" t="s">
        <v>972</v>
      </c>
    </row>
    <row r="589" spans="1:11" x14ac:dyDescent="0.35">
      <c r="A589" t="s">
        <v>694</v>
      </c>
      <c r="B589" t="s">
        <v>1518</v>
      </c>
    </row>
    <row r="590" spans="1:11" x14ac:dyDescent="0.35">
      <c r="A590" t="s">
        <v>458</v>
      </c>
      <c r="B590" t="s">
        <v>1282</v>
      </c>
    </row>
    <row r="591" spans="1:11" x14ac:dyDescent="0.35">
      <c r="A591" t="s">
        <v>225</v>
      </c>
      <c r="B591" t="s">
        <v>1052</v>
      </c>
    </row>
    <row r="592" spans="1:11" x14ac:dyDescent="0.35">
      <c r="A592" t="s">
        <v>222</v>
      </c>
      <c r="B592" t="s">
        <v>1049</v>
      </c>
    </row>
    <row r="593" spans="1:11" x14ac:dyDescent="0.35">
      <c r="A593" t="s">
        <v>672</v>
      </c>
      <c r="B593" t="s">
        <v>1496</v>
      </c>
    </row>
    <row r="594" spans="1:11" x14ac:dyDescent="0.35">
      <c r="A594" t="s">
        <v>220</v>
      </c>
      <c r="B594" t="s">
        <v>1047</v>
      </c>
      <c r="C594" t="s">
        <v>3530</v>
      </c>
      <c r="D594" t="s">
        <v>3805</v>
      </c>
      <c r="E594" t="s">
        <v>3806</v>
      </c>
      <c r="F594" t="s">
        <v>3518</v>
      </c>
      <c r="G594" t="s">
        <v>3807</v>
      </c>
      <c r="H594" t="s">
        <v>3516</v>
      </c>
      <c r="I594" t="s">
        <v>3808</v>
      </c>
      <c r="J594" t="s">
        <v>3516</v>
      </c>
      <c r="K594" t="s">
        <v>3516</v>
      </c>
    </row>
    <row r="595" spans="1:11" x14ac:dyDescent="0.35">
      <c r="A595" t="s">
        <v>282</v>
      </c>
      <c r="B595" t="s">
        <v>1108</v>
      </c>
    </row>
    <row r="596" spans="1:11" x14ac:dyDescent="0.35">
      <c r="A596" t="s">
        <v>495</v>
      </c>
      <c r="B596" t="s">
        <v>1319</v>
      </c>
    </row>
    <row r="597" spans="1:11" x14ac:dyDescent="0.35">
      <c r="A597" t="s">
        <v>586</v>
      </c>
      <c r="B597" t="s">
        <v>1410</v>
      </c>
      <c r="C597" t="s">
        <v>3514</v>
      </c>
      <c r="D597" t="s">
        <v>3809</v>
      </c>
      <c r="E597" t="s">
        <v>3797</v>
      </c>
      <c r="F597" t="s">
        <v>3810</v>
      </c>
      <c r="G597" t="s">
        <v>3811</v>
      </c>
      <c r="H597" t="s">
        <v>2295</v>
      </c>
      <c r="I597" t="s">
        <v>3724</v>
      </c>
      <c r="J597" t="s">
        <v>3516</v>
      </c>
      <c r="K597" t="s">
        <v>3516</v>
      </c>
    </row>
    <row r="598" spans="1:11" x14ac:dyDescent="0.35">
      <c r="A598" t="s">
        <v>163</v>
      </c>
      <c r="B598" t="s">
        <v>992</v>
      </c>
    </row>
    <row r="599" spans="1:11" x14ac:dyDescent="0.35">
      <c r="A599" t="s">
        <v>105</v>
      </c>
      <c r="B599" t="s">
        <v>934</v>
      </c>
    </row>
    <row r="600" spans="1:11" x14ac:dyDescent="0.35">
      <c r="A600" t="s">
        <v>627</v>
      </c>
      <c r="B600" t="s">
        <v>1451</v>
      </c>
    </row>
    <row r="601" spans="1:11" x14ac:dyDescent="0.35">
      <c r="A601" t="s">
        <v>646</v>
      </c>
      <c r="B601" t="s">
        <v>1470</v>
      </c>
      <c r="C601" t="s">
        <v>3519</v>
      </c>
      <c r="D601" t="s">
        <v>3520</v>
      </c>
      <c r="E601" t="s">
        <v>3812</v>
      </c>
      <c r="F601" t="s">
        <v>2270</v>
      </c>
      <c r="G601" t="s">
        <v>2439</v>
      </c>
      <c r="H601" t="s">
        <v>3500</v>
      </c>
      <c r="I601" t="s">
        <v>3516</v>
      </c>
      <c r="J601" t="s">
        <v>3516</v>
      </c>
      <c r="K601" t="s">
        <v>3516</v>
      </c>
    </row>
    <row r="602" spans="1:11" x14ac:dyDescent="0.35">
      <c r="A602" t="s">
        <v>244</v>
      </c>
      <c r="B602" t="s">
        <v>1070</v>
      </c>
    </row>
    <row r="603" spans="1:11" x14ac:dyDescent="0.35">
      <c r="A603" t="s">
        <v>653</v>
      </c>
      <c r="B603" t="s">
        <v>1477</v>
      </c>
    </row>
    <row r="604" spans="1:11" x14ac:dyDescent="0.35">
      <c r="A604" t="s">
        <v>16</v>
      </c>
      <c r="B604" t="s">
        <v>845</v>
      </c>
      <c r="C604" t="s">
        <v>3516</v>
      </c>
      <c r="D604" t="s">
        <v>2493</v>
      </c>
      <c r="E604" t="s">
        <v>2327</v>
      </c>
      <c r="F604" t="s">
        <v>2361</v>
      </c>
      <c r="G604" t="s">
        <v>3813</v>
      </c>
      <c r="H604" t="s">
        <v>3516</v>
      </c>
      <c r="I604" t="s">
        <v>3516</v>
      </c>
      <c r="J604" t="s">
        <v>3516</v>
      </c>
      <c r="K604" t="s">
        <v>3516</v>
      </c>
    </row>
    <row r="605" spans="1:11" x14ac:dyDescent="0.35">
      <c r="A605" t="s">
        <v>3412</v>
      </c>
      <c r="B605" t="s">
        <v>3417</v>
      </c>
      <c r="C605" t="s">
        <v>3519</v>
      </c>
      <c r="D605" t="s">
        <v>3529</v>
      </c>
      <c r="E605" t="s">
        <v>2415</v>
      </c>
      <c r="F605" t="s">
        <v>3814</v>
      </c>
      <c r="G605" t="s">
        <v>3516</v>
      </c>
      <c r="H605" t="s">
        <v>3516</v>
      </c>
      <c r="I605" t="s">
        <v>3516</v>
      </c>
      <c r="J605" t="s">
        <v>3516</v>
      </c>
      <c r="K605" t="s">
        <v>3516</v>
      </c>
    </row>
    <row r="606" spans="1:11" x14ac:dyDescent="0.35">
      <c r="A606" t="s">
        <v>257</v>
      </c>
      <c r="B606" t="s">
        <v>1083</v>
      </c>
    </row>
    <row r="607" spans="1:11" x14ac:dyDescent="0.35">
      <c r="A607" t="s">
        <v>493</v>
      </c>
      <c r="B607" t="s">
        <v>1317</v>
      </c>
      <c r="C607" t="s">
        <v>3815</v>
      </c>
      <c r="D607" t="s">
        <v>3816</v>
      </c>
      <c r="E607" t="s">
        <v>3817</v>
      </c>
      <c r="F607" t="s">
        <v>3818</v>
      </c>
      <c r="G607" t="s">
        <v>2456</v>
      </c>
      <c r="H607" t="s">
        <v>3516</v>
      </c>
      <c r="I607" t="s">
        <v>3516</v>
      </c>
      <c r="J607" t="s">
        <v>3516</v>
      </c>
      <c r="K607" t="s">
        <v>3516</v>
      </c>
    </row>
    <row r="608" spans="1:11" x14ac:dyDescent="0.35">
      <c r="A608" t="s">
        <v>207</v>
      </c>
      <c r="B608" t="s">
        <v>1034</v>
      </c>
    </row>
    <row r="609" spans="1:11" x14ac:dyDescent="0.35">
      <c r="A609" t="s">
        <v>140</v>
      </c>
      <c r="B609" t="s">
        <v>969</v>
      </c>
      <c r="C609" t="s">
        <v>3519</v>
      </c>
      <c r="D609" t="s">
        <v>3819</v>
      </c>
      <c r="E609" t="s">
        <v>3516</v>
      </c>
      <c r="F609" t="s">
        <v>2311</v>
      </c>
      <c r="G609" t="s">
        <v>3516</v>
      </c>
      <c r="H609" t="s">
        <v>3516</v>
      </c>
      <c r="I609" t="s">
        <v>3516</v>
      </c>
      <c r="J609" t="s">
        <v>3516</v>
      </c>
      <c r="K609" t="s">
        <v>3516</v>
      </c>
    </row>
    <row r="610" spans="1:11" x14ac:dyDescent="0.35">
      <c r="A610" t="s">
        <v>502</v>
      </c>
      <c r="B610" t="s">
        <v>1326</v>
      </c>
      <c r="C610" t="s">
        <v>3530</v>
      </c>
      <c r="D610" t="s">
        <v>3820</v>
      </c>
      <c r="E610" t="s">
        <v>3821</v>
      </c>
      <c r="F610" t="s">
        <v>3822</v>
      </c>
      <c r="G610" t="s">
        <v>3593</v>
      </c>
      <c r="H610" t="s">
        <v>3823</v>
      </c>
      <c r="I610" t="s">
        <v>3516</v>
      </c>
      <c r="J610" t="s">
        <v>3516</v>
      </c>
      <c r="K610" t="s">
        <v>3516</v>
      </c>
    </row>
    <row r="611" spans="1:11" x14ac:dyDescent="0.35">
      <c r="A611" t="s">
        <v>556</v>
      </c>
      <c r="B611" t="s">
        <v>1380</v>
      </c>
    </row>
    <row r="612" spans="1:11" x14ac:dyDescent="0.35">
      <c r="A612" t="s">
        <v>3345</v>
      </c>
      <c r="B612" t="s">
        <v>3346</v>
      </c>
      <c r="C612" t="s">
        <v>3516</v>
      </c>
      <c r="D612" t="s">
        <v>3824</v>
      </c>
      <c r="E612" t="s">
        <v>3825</v>
      </c>
      <c r="F612" t="s">
        <v>3826</v>
      </c>
      <c r="G612" t="s">
        <v>2421</v>
      </c>
      <c r="H612" t="s">
        <v>3608</v>
      </c>
      <c r="I612" t="s">
        <v>3577</v>
      </c>
      <c r="J612" t="s">
        <v>3516</v>
      </c>
      <c r="K612" t="s">
        <v>3516</v>
      </c>
    </row>
    <row r="613" spans="1:11" x14ac:dyDescent="0.35">
      <c r="A613" t="s">
        <v>604</v>
      </c>
      <c r="B613" t="s">
        <v>1428</v>
      </c>
    </row>
    <row r="614" spans="1:11" x14ac:dyDescent="0.35">
      <c r="A614" t="s">
        <v>299</v>
      </c>
      <c r="B614" t="s">
        <v>1124</v>
      </c>
    </row>
    <row r="615" spans="1:11" x14ac:dyDescent="0.35">
      <c r="A615" t="s">
        <v>17</v>
      </c>
      <c r="B615" t="s">
        <v>846</v>
      </c>
      <c r="C615" t="s">
        <v>3516</v>
      </c>
      <c r="D615" t="s">
        <v>3516</v>
      </c>
      <c r="E615" t="s">
        <v>3516</v>
      </c>
      <c r="F615" t="s">
        <v>3827</v>
      </c>
      <c r="G615" t="s">
        <v>2119</v>
      </c>
      <c r="H615" t="s">
        <v>3516</v>
      </c>
      <c r="I615" t="s">
        <v>3516</v>
      </c>
      <c r="J615" t="s">
        <v>3516</v>
      </c>
      <c r="K615" t="s">
        <v>3516</v>
      </c>
    </row>
    <row r="616" spans="1:11" x14ac:dyDescent="0.35">
      <c r="A616" t="s">
        <v>619</v>
      </c>
      <c r="B616" t="s">
        <v>1443</v>
      </c>
    </row>
    <row r="617" spans="1:11" x14ac:dyDescent="0.35">
      <c r="A617" t="s">
        <v>757</v>
      </c>
      <c r="B617" t="s">
        <v>1581</v>
      </c>
    </row>
    <row r="618" spans="1:11" x14ac:dyDescent="0.35">
      <c r="A618" t="s">
        <v>631</v>
      </c>
      <c r="B618" t="s">
        <v>1455</v>
      </c>
    </row>
    <row r="619" spans="1:11" x14ac:dyDescent="0.35">
      <c r="A619" t="s">
        <v>272</v>
      </c>
      <c r="B619" t="s">
        <v>1098</v>
      </c>
      <c r="C619" t="s">
        <v>3519</v>
      </c>
      <c r="D619" t="s">
        <v>3828</v>
      </c>
      <c r="E619" t="s">
        <v>2326</v>
      </c>
      <c r="F619" t="s">
        <v>3535</v>
      </c>
      <c r="G619" t="s">
        <v>2119</v>
      </c>
      <c r="H619" t="s">
        <v>3773</v>
      </c>
      <c r="I619" t="s">
        <v>3829</v>
      </c>
      <c r="J619" t="s">
        <v>3516</v>
      </c>
      <c r="K619" t="s">
        <v>3516</v>
      </c>
    </row>
    <row r="620" spans="1:11" x14ac:dyDescent="0.35">
      <c r="A620" t="s">
        <v>490</v>
      </c>
      <c r="B620" t="s">
        <v>1314</v>
      </c>
      <c r="C620" t="s">
        <v>3536</v>
      </c>
      <c r="D620" t="s">
        <v>3804</v>
      </c>
      <c r="E620" t="s">
        <v>3516</v>
      </c>
      <c r="F620" t="s">
        <v>3830</v>
      </c>
      <c r="G620" t="s">
        <v>3516</v>
      </c>
      <c r="H620" t="s">
        <v>3831</v>
      </c>
      <c r="I620" t="s">
        <v>3832</v>
      </c>
      <c r="J620" t="s">
        <v>3516</v>
      </c>
      <c r="K620" t="s">
        <v>3516</v>
      </c>
    </row>
    <row r="621" spans="1:11" x14ac:dyDescent="0.35">
      <c r="A621" t="s">
        <v>518</v>
      </c>
      <c r="B621" t="s">
        <v>1342</v>
      </c>
      <c r="C621" t="s">
        <v>3536</v>
      </c>
      <c r="D621" t="s">
        <v>3833</v>
      </c>
      <c r="E621" t="s">
        <v>3516</v>
      </c>
      <c r="F621" t="s">
        <v>3834</v>
      </c>
      <c r="G621" t="s">
        <v>3516</v>
      </c>
      <c r="H621" t="s">
        <v>3835</v>
      </c>
      <c r="I621" t="s">
        <v>3836</v>
      </c>
      <c r="J621" t="s">
        <v>3516</v>
      </c>
      <c r="K621" t="s">
        <v>3516</v>
      </c>
    </row>
    <row r="622" spans="1:11" x14ac:dyDescent="0.35">
      <c r="A622" t="s">
        <v>270</v>
      </c>
      <c r="B622" t="s">
        <v>1096</v>
      </c>
    </row>
    <row r="623" spans="1:11" x14ac:dyDescent="0.35">
      <c r="A623" t="s">
        <v>444</v>
      </c>
      <c r="B623" t="s">
        <v>1268</v>
      </c>
      <c r="C623" t="s">
        <v>3519</v>
      </c>
      <c r="D623" t="s">
        <v>3552</v>
      </c>
      <c r="E623" t="s">
        <v>3837</v>
      </c>
      <c r="F623" t="s">
        <v>3838</v>
      </c>
      <c r="G623" t="s">
        <v>3839</v>
      </c>
      <c r="H623" t="s">
        <v>3780</v>
      </c>
      <c r="I623" t="s">
        <v>3540</v>
      </c>
      <c r="J623" t="s">
        <v>3516</v>
      </c>
      <c r="K623" t="s">
        <v>3516</v>
      </c>
    </row>
    <row r="624" spans="1:11" x14ac:dyDescent="0.35">
      <c r="A624" t="s">
        <v>335</v>
      </c>
      <c r="B624" t="s">
        <v>1160</v>
      </c>
    </row>
    <row r="625" spans="1:11" x14ac:dyDescent="0.35">
      <c r="A625" t="s">
        <v>265</v>
      </c>
      <c r="B625" t="s">
        <v>1091</v>
      </c>
    </row>
    <row r="626" spans="1:11" x14ac:dyDescent="0.35">
      <c r="A626" t="s">
        <v>695</v>
      </c>
      <c r="B626" t="s">
        <v>1519</v>
      </c>
    </row>
    <row r="627" spans="1:11" x14ac:dyDescent="0.35">
      <c r="A627" t="s">
        <v>129</v>
      </c>
      <c r="B627" t="s">
        <v>958</v>
      </c>
    </row>
    <row r="628" spans="1:11" x14ac:dyDescent="0.35">
      <c r="A628" t="s">
        <v>425</v>
      </c>
      <c r="B628" t="s">
        <v>1249</v>
      </c>
    </row>
    <row r="629" spans="1:11" x14ac:dyDescent="0.35">
      <c r="A629" t="s">
        <v>696</v>
      </c>
      <c r="B629" t="s">
        <v>1520</v>
      </c>
    </row>
    <row r="630" spans="1:11" x14ac:dyDescent="0.35">
      <c r="A630" t="s">
        <v>415</v>
      </c>
      <c r="B630" t="s">
        <v>1239</v>
      </c>
    </row>
    <row r="631" spans="1:11" x14ac:dyDescent="0.35">
      <c r="A631" t="s">
        <v>57</v>
      </c>
      <c r="B631" t="s">
        <v>886</v>
      </c>
    </row>
    <row r="632" spans="1:11" x14ac:dyDescent="0.35">
      <c r="A632" t="s">
        <v>432</v>
      </c>
      <c r="B632" t="s">
        <v>1256</v>
      </c>
      <c r="C632" t="s">
        <v>3516</v>
      </c>
      <c r="D632" t="s">
        <v>2368</v>
      </c>
      <c r="E632" t="s">
        <v>3840</v>
      </c>
      <c r="F632" t="s">
        <v>2340</v>
      </c>
      <c r="G632" t="s">
        <v>3841</v>
      </c>
      <c r="H632" t="s">
        <v>2265</v>
      </c>
      <c r="I632" t="s">
        <v>3669</v>
      </c>
      <c r="J632" t="s">
        <v>3516</v>
      </c>
      <c r="K632" t="s">
        <v>3516</v>
      </c>
    </row>
    <row r="633" spans="1:11" x14ac:dyDescent="0.35">
      <c r="A633" t="s">
        <v>639</v>
      </c>
      <c r="B633" t="s">
        <v>1463</v>
      </c>
    </row>
    <row r="634" spans="1:11" x14ac:dyDescent="0.35">
      <c r="A634" t="s">
        <v>506</v>
      </c>
      <c r="B634" t="s">
        <v>1330</v>
      </c>
    </row>
    <row r="635" spans="1:11" x14ac:dyDescent="0.35">
      <c r="A635" t="s">
        <v>228</v>
      </c>
      <c r="B635" t="s">
        <v>1055</v>
      </c>
    </row>
    <row r="636" spans="1:11" x14ac:dyDescent="0.35">
      <c r="A636" t="s">
        <v>697</v>
      </c>
      <c r="B636" t="s">
        <v>1521</v>
      </c>
    </row>
    <row r="637" spans="1:11" x14ac:dyDescent="0.35">
      <c r="A637" t="s">
        <v>71</v>
      </c>
      <c r="B637" t="s">
        <v>900</v>
      </c>
    </row>
    <row r="638" spans="1:11" x14ac:dyDescent="0.35">
      <c r="A638" t="s">
        <v>82</v>
      </c>
      <c r="B638" t="s">
        <v>911</v>
      </c>
    </row>
    <row r="639" spans="1:11" x14ac:dyDescent="0.35">
      <c r="A639" t="s">
        <v>43</v>
      </c>
      <c r="B639" t="s">
        <v>872</v>
      </c>
      <c r="C639" t="s">
        <v>3516</v>
      </c>
      <c r="D639" t="s">
        <v>3807</v>
      </c>
      <c r="E639" t="s">
        <v>2329</v>
      </c>
      <c r="F639" t="s">
        <v>3584</v>
      </c>
      <c r="G639" t="s">
        <v>3516</v>
      </c>
      <c r="H639" t="s">
        <v>2454</v>
      </c>
      <c r="I639" t="s">
        <v>3516</v>
      </c>
      <c r="J639" t="s">
        <v>3516</v>
      </c>
      <c r="K639" t="s">
        <v>3516</v>
      </c>
    </row>
    <row r="640" spans="1:11" x14ac:dyDescent="0.35">
      <c r="A640" t="s">
        <v>412</v>
      </c>
      <c r="B640" t="s">
        <v>1236</v>
      </c>
    </row>
    <row r="641" spans="1:11" x14ac:dyDescent="0.35">
      <c r="A641" t="s">
        <v>478</v>
      </c>
      <c r="B641" t="s">
        <v>1302</v>
      </c>
    </row>
    <row r="642" spans="1:11" x14ac:dyDescent="0.35">
      <c r="A642" t="s">
        <v>570</v>
      </c>
      <c r="B642" t="s">
        <v>1394</v>
      </c>
    </row>
    <row r="643" spans="1:11" x14ac:dyDescent="0.35">
      <c r="A643" t="s">
        <v>332</v>
      </c>
      <c r="B643" t="s">
        <v>1157</v>
      </c>
    </row>
    <row r="644" spans="1:11" x14ac:dyDescent="0.35">
      <c r="A644" t="s">
        <v>554</v>
      </c>
      <c r="B644" t="s">
        <v>1378</v>
      </c>
    </row>
    <row r="645" spans="1:11" x14ac:dyDescent="0.35">
      <c r="A645" t="s">
        <v>440</v>
      </c>
      <c r="B645" t="s">
        <v>1264</v>
      </c>
    </row>
    <row r="646" spans="1:11" x14ac:dyDescent="0.35">
      <c r="A646" t="s">
        <v>307</v>
      </c>
      <c r="B646" t="s">
        <v>1132</v>
      </c>
    </row>
    <row r="647" spans="1:11" x14ac:dyDescent="0.35">
      <c r="A647" t="s">
        <v>369</v>
      </c>
      <c r="B647" t="s">
        <v>1193</v>
      </c>
      <c r="C647" t="s">
        <v>3514</v>
      </c>
      <c r="D647" t="s">
        <v>3737</v>
      </c>
      <c r="E647" t="s">
        <v>2422</v>
      </c>
      <c r="F647" t="s">
        <v>3842</v>
      </c>
      <c r="G647" t="s">
        <v>2322</v>
      </c>
      <c r="H647" t="s">
        <v>3723</v>
      </c>
      <c r="I647" t="s">
        <v>3843</v>
      </c>
      <c r="J647" t="s">
        <v>3516</v>
      </c>
      <c r="K647" t="s">
        <v>3516</v>
      </c>
    </row>
    <row r="648" spans="1:11" x14ac:dyDescent="0.35">
      <c r="A648" t="s">
        <v>35</v>
      </c>
      <c r="B648" t="s">
        <v>864</v>
      </c>
    </row>
    <row r="649" spans="1:11" x14ac:dyDescent="0.35">
      <c r="A649" t="s">
        <v>820</v>
      </c>
      <c r="B649" t="s">
        <v>1642</v>
      </c>
    </row>
    <row r="650" spans="1:11" x14ac:dyDescent="0.35">
      <c r="A650" t="s">
        <v>797</v>
      </c>
      <c r="B650" t="s">
        <v>1620</v>
      </c>
    </row>
    <row r="651" spans="1:11" x14ac:dyDescent="0.35">
      <c r="A651" t="s">
        <v>431</v>
      </c>
      <c r="B651" t="s">
        <v>1255</v>
      </c>
    </row>
    <row r="652" spans="1:11" x14ac:dyDescent="0.35">
      <c r="A652" t="s">
        <v>329</v>
      </c>
      <c r="B652" t="s">
        <v>1154</v>
      </c>
    </row>
    <row r="653" spans="1:11" x14ac:dyDescent="0.35">
      <c r="A653" t="s">
        <v>324</v>
      </c>
      <c r="B653" t="s">
        <v>1149</v>
      </c>
    </row>
    <row r="654" spans="1:11" x14ac:dyDescent="0.35">
      <c r="A654" t="s">
        <v>187</v>
      </c>
      <c r="B654" t="s">
        <v>1015</v>
      </c>
    </row>
    <row r="655" spans="1:11" x14ac:dyDescent="0.35">
      <c r="A655" t="s">
        <v>53</v>
      </c>
      <c r="B655" t="s">
        <v>882</v>
      </c>
    </row>
    <row r="656" spans="1:11" x14ac:dyDescent="0.35">
      <c r="A656" t="s">
        <v>766</v>
      </c>
      <c r="B656" t="s">
        <v>1590</v>
      </c>
      <c r="C656" t="s">
        <v>3519</v>
      </c>
      <c r="D656" t="s">
        <v>2286</v>
      </c>
      <c r="E656" t="s">
        <v>2313</v>
      </c>
      <c r="F656" t="s">
        <v>2326</v>
      </c>
      <c r="G656" t="s">
        <v>3723</v>
      </c>
      <c r="H656" t="s">
        <v>2278</v>
      </c>
      <c r="I656" t="s">
        <v>3844</v>
      </c>
      <c r="J656" t="s">
        <v>3516</v>
      </c>
      <c r="K656" t="s">
        <v>3516</v>
      </c>
    </row>
    <row r="657" spans="1:11" x14ac:dyDescent="0.35">
      <c r="A657" t="s">
        <v>575</v>
      </c>
      <c r="B657" t="s">
        <v>1399</v>
      </c>
    </row>
    <row r="658" spans="1:11" x14ac:dyDescent="0.35">
      <c r="A658" t="s">
        <v>623</v>
      </c>
      <c r="B658" t="s">
        <v>1447</v>
      </c>
      <c r="C658" t="s">
        <v>3519</v>
      </c>
      <c r="D658" t="s">
        <v>3777</v>
      </c>
      <c r="E658" t="s">
        <v>3516</v>
      </c>
      <c r="F658" t="s">
        <v>3777</v>
      </c>
      <c r="G658" t="s">
        <v>3832</v>
      </c>
      <c r="H658" t="s">
        <v>3516</v>
      </c>
      <c r="I658" t="s">
        <v>3516</v>
      </c>
      <c r="J658" t="s">
        <v>3516</v>
      </c>
      <c r="K658" t="s">
        <v>3516</v>
      </c>
    </row>
    <row r="659" spans="1:11" x14ac:dyDescent="0.35">
      <c r="A659" t="s">
        <v>252</v>
      </c>
      <c r="B659" t="s">
        <v>1078</v>
      </c>
    </row>
    <row r="660" spans="1:11" x14ac:dyDescent="0.35">
      <c r="A660" t="s">
        <v>300</v>
      </c>
      <c r="B660" t="s">
        <v>1125</v>
      </c>
    </row>
    <row r="661" spans="1:11" x14ac:dyDescent="0.35">
      <c r="A661" t="s">
        <v>267</v>
      </c>
      <c r="B661" t="s">
        <v>1093</v>
      </c>
    </row>
    <row r="662" spans="1:11" x14ac:dyDescent="0.35">
      <c r="A662" t="s">
        <v>162</v>
      </c>
      <c r="B662" t="s">
        <v>991</v>
      </c>
    </row>
    <row r="663" spans="1:11" x14ac:dyDescent="0.35">
      <c r="A663" t="s">
        <v>523</v>
      </c>
      <c r="B663" t="s">
        <v>1347</v>
      </c>
    </row>
    <row r="664" spans="1:11" x14ac:dyDescent="0.35">
      <c r="A664" t="s">
        <v>318</v>
      </c>
      <c r="B664" t="s">
        <v>1143</v>
      </c>
    </row>
    <row r="665" spans="1:11" x14ac:dyDescent="0.35">
      <c r="A665" t="s">
        <v>106</v>
      </c>
      <c r="B665" t="s">
        <v>935</v>
      </c>
    </row>
    <row r="666" spans="1:11" x14ac:dyDescent="0.35">
      <c r="A666" t="s">
        <v>150</v>
      </c>
      <c r="B666" t="s">
        <v>979</v>
      </c>
    </row>
    <row r="667" spans="1:11" x14ac:dyDescent="0.35">
      <c r="A667" t="s">
        <v>504</v>
      </c>
      <c r="B667" t="s">
        <v>1328</v>
      </c>
    </row>
    <row r="668" spans="1:11" x14ac:dyDescent="0.35">
      <c r="A668" t="s">
        <v>698</v>
      </c>
      <c r="B668" t="s">
        <v>1522</v>
      </c>
    </row>
    <row r="669" spans="1:11" x14ac:dyDescent="0.35">
      <c r="A669" t="s">
        <v>68</v>
      </c>
      <c r="B669" t="s">
        <v>897</v>
      </c>
    </row>
    <row r="670" spans="1:11" x14ac:dyDescent="0.35">
      <c r="A670" t="s">
        <v>237</v>
      </c>
      <c r="B670" t="s">
        <v>897</v>
      </c>
    </row>
    <row r="671" spans="1:11" x14ac:dyDescent="0.35">
      <c r="A671" t="s">
        <v>390</v>
      </c>
      <c r="B671" t="s">
        <v>1214</v>
      </c>
      <c r="C671" t="s">
        <v>3516</v>
      </c>
      <c r="D671" t="s">
        <v>3845</v>
      </c>
      <c r="E671" t="s">
        <v>3846</v>
      </c>
      <c r="F671" t="s">
        <v>3847</v>
      </c>
      <c r="G671" t="s">
        <v>2328</v>
      </c>
      <c r="H671" t="s">
        <v>2540</v>
      </c>
      <c r="I671" t="s">
        <v>3848</v>
      </c>
      <c r="J671" t="s">
        <v>3516</v>
      </c>
      <c r="K671" t="s">
        <v>3516</v>
      </c>
    </row>
    <row r="672" spans="1:11" x14ac:dyDescent="0.35">
      <c r="A672" t="s">
        <v>334</v>
      </c>
      <c r="B672" t="s">
        <v>1159</v>
      </c>
    </row>
    <row r="673" spans="1:11" x14ac:dyDescent="0.35">
      <c r="A673" t="s">
        <v>344</v>
      </c>
      <c r="B673" t="s">
        <v>1168</v>
      </c>
    </row>
    <row r="674" spans="1:11" x14ac:dyDescent="0.35">
      <c r="A674" t="s">
        <v>223</v>
      </c>
      <c r="B674" t="s">
        <v>1050</v>
      </c>
    </row>
    <row r="675" spans="1:11" x14ac:dyDescent="0.35">
      <c r="A675" t="s">
        <v>155</v>
      </c>
      <c r="B675" t="s">
        <v>984</v>
      </c>
    </row>
    <row r="676" spans="1:11" x14ac:dyDescent="0.35">
      <c r="A676" t="s">
        <v>607</v>
      </c>
      <c r="B676" t="s">
        <v>1431</v>
      </c>
      <c r="C676" t="s">
        <v>3514</v>
      </c>
      <c r="D676" t="s">
        <v>3849</v>
      </c>
      <c r="E676" t="s">
        <v>2428</v>
      </c>
      <c r="F676" t="s">
        <v>3574</v>
      </c>
      <c r="G676" t="s">
        <v>2325</v>
      </c>
      <c r="H676" t="s">
        <v>3605</v>
      </c>
      <c r="I676" t="s">
        <v>3850</v>
      </c>
      <c r="J676" t="s">
        <v>3516</v>
      </c>
      <c r="K676" t="s">
        <v>3516</v>
      </c>
    </row>
    <row r="677" spans="1:11" x14ac:dyDescent="0.35">
      <c r="A677" t="s">
        <v>236</v>
      </c>
      <c r="B677" t="s">
        <v>1063</v>
      </c>
    </row>
    <row r="678" spans="1:11" x14ac:dyDescent="0.35">
      <c r="A678" t="s">
        <v>410</v>
      </c>
      <c r="B678" t="s">
        <v>1234</v>
      </c>
    </row>
    <row r="679" spans="1:11" x14ac:dyDescent="0.35">
      <c r="A679" t="s">
        <v>411</v>
      </c>
      <c r="B679" t="s">
        <v>1235</v>
      </c>
    </row>
    <row r="680" spans="1:11" x14ac:dyDescent="0.35">
      <c r="A680" t="s">
        <v>340</v>
      </c>
      <c r="B680" t="s">
        <v>1164</v>
      </c>
    </row>
    <row r="681" spans="1:11" x14ac:dyDescent="0.35">
      <c r="A681" t="s">
        <v>93</v>
      </c>
      <c r="B681" t="s">
        <v>922</v>
      </c>
    </row>
    <row r="682" spans="1:11" x14ac:dyDescent="0.35">
      <c r="A682" t="s">
        <v>30</v>
      </c>
      <c r="B682" t="s">
        <v>859</v>
      </c>
    </row>
    <row r="683" spans="1:11" x14ac:dyDescent="0.35">
      <c r="A683" t="s">
        <v>107</v>
      </c>
      <c r="B683" t="s">
        <v>936</v>
      </c>
    </row>
    <row r="684" spans="1:11" x14ac:dyDescent="0.35">
      <c r="A684" t="s">
        <v>108</v>
      </c>
      <c r="B684" t="s">
        <v>937</v>
      </c>
    </row>
    <row r="685" spans="1:11" x14ac:dyDescent="0.35">
      <c r="A685" t="s">
        <v>362</v>
      </c>
      <c r="B685" t="s">
        <v>1186</v>
      </c>
    </row>
    <row r="686" spans="1:11" x14ac:dyDescent="0.35">
      <c r="A686" t="s">
        <v>699</v>
      </c>
      <c r="B686" t="s">
        <v>1523</v>
      </c>
    </row>
    <row r="687" spans="1:11" x14ac:dyDescent="0.35">
      <c r="A687" t="s">
        <v>128</v>
      </c>
      <c r="B687" t="s">
        <v>957</v>
      </c>
    </row>
    <row r="688" spans="1:11" x14ac:dyDescent="0.35">
      <c r="A688" t="s">
        <v>3332</v>
      </c>
      <c r="B688" t="s">
        <v>3333</v>
      </c>
    </row>
    <row r="689" spans="1:11" x14ac:dyDescent="0.35">
      <c r="A689" t="s">
        <v>626</v>
      </c>
      <c r="B689" t="s">
        <v>1450</v>
      </c>
    </row>
    <row r="690" spans="1:11" x14ac:dyDescent="0.35">
      <c r="A690" t="s">
        <v>700</v>
      </c>
      <c r="B690" t="s">
        <v>1524</v>
      </c>
    </row>
    <row r="691" spans="1:11" x14ac:dyDescent="0.35">
      <c r="A691" t="s">
        <v>66</v>
      </c>
      <c r="B691" t="s">
        <v>895</v>
      </c>
    </row>
    <row r="692" spans="1:11" x14ac:dyDescent="0.35">
      <c r="A692" t="s">
        <v>439</v>
      </c>
      <c r="B692" t="s">
        <v>1263</v>
      </c>
      <c r="C692" t="s">
        <v>3519</v>
      </c>
      <c r="D692" t="s">
        <v>3771</v>
      </c>
      <c r="E692" t="s">
        <v>3851</v>
      </c>
      <c r="F692" t="s">
        <v>3852</v>
      </c>
      <c r="G692" t="s">
        <v>3853</v>
      </c>
      <c r="H692" t="s">
        <v>2341</v>
      </c>
      <c r="I692" t="s">
        <v>2311</v>
      </c>
      <c r="J692" t="s">
        <v>3516</v>
      </c>
      <c r="K692" t="s">
        <v>3516</v>
      </c>
    </row>
    <row r="693" spans="1:11" x14ac:dyDescent="0.35">
      <c r="A693" t="s">
        <v>471</v>
      </c>
      <c r="B693" t="s">
        <v>1295</v>
      </c>
      <c r="C693" t="s">
        <v>3519</v>
      </c>
      <c r="D693" t="s">
        <v>3854</v>
      </c>
      <c r="E693" t="s">
        <v>2265</v>
      </c>
      <c r="F693" t="s">
        <v>3855</v>
      </c>
      <c r="G693" t="s">
        <v>3856</v>
      </c>
      <c r="H693" t="s">
        <v>3857</v>
      </c>
      <c r="I693" t="s">
        <v>2270</v>
      </c>
      <c r="J693" t="s">
        <v>3516</v>
      </c>
      <c r="K693" t="s">
        <v>3516</v>
      </c>
    </row>
    <row r="694" spans="1:11" x14ac:dyDescent="0.35">
      <c r="A694" t="s">
        <v>461</v>
      </c>
      <c r="B694" t="s">
        <v>1285</v>
      </c>
    </row>
    <row r="695" spans="1:11" x14ac:dyDescent="0.35">
      <c r="A695" t="s">
        <v>474</v>
      </c>
      <c r="B695" t="s">
        <v>1298</v>
      </c>
    </row>
    <row r="696" spans="1:11" x14ac:dyDescent="0.35">
      <c r="A696" t="s">
        <v>422</v>
      </c>
      <c r="B696" t="s">
        <v>1246</v>
      </c>
      <c r="C696" t="s">
        <v>3519</v>
      </c>
      <c r="D696" t="s">
        <v>3838</v>
      </c>
      <c r="E696" t="s">
        <v>2418</v>
      </c>
      <c r="F696" t="s">
        <v>3529</v>
      </c>
      <c r="G696" t="s">
        <v>2466</v>
      </c>
      <c r="H696" t="s">
        <v>2318</v>
      </c>
      <c r="I696" t="s">
        <v>3858</v>
      </c>
      <c r="J696" t="s">
        <v>3516</v>
      </c>
      <c r="K696" t="s">
        <v>3516</v>
      </c>
    </row>
    <row r="697" spans="1:11" x14ac:dyDescent="0.35">
      <c r="A697" t="s">
        <v>364</v>
      </c>
      <c r="B697" t="s">
        <v>1188</v>
      </c>
    </row>
    <row r="698" spans="1:11" x14ac:dyDescent="0.35">
      <c r="A698" t="s">
        <v>192</v>
      </c>
      <c r="B698" t="s">
        <v>1020</v>
      </c>
    </row>
    <row r="699" spans="1:11" x14ac:dyDescent="0.35">
      <c r="A699" t="s">
        <v>385</v>
      </c>
      <c r="B699" t="s">
        <v>1209</v>
      </c>
    </row>
    <row r="700" spans="1:11" x14ac:dyDescent="0.35">
      <c r="A700" t="s">
        <v>701</v>
      </c>
      <c r="B700" t="s">
        <v>1525</v>
      </c>
    </row>
    <row r="701" spans="1:11" x14ac:dyDescent="0.35">
      <c r="A701" t="s">
        <v>391</v>
      </c>
      <c r="B701" t="s">
        <v>1215</v>
      </c>
    </row>
    <row r="702" spans="1:11" x14ac:dyDescent="0.35">
      <c r="A702" t="s">
        <v>116</v>
      </c>
      <c r="B702" t="s">
        <v>945</v>
      </c>
    </row>
    <row r="703" spans="1:11" x14ac:dyDescent="0.35">
      <c r="A703" t="s">
        <v>408</v>
      </c>
      <c r="B703" t="s">
        <v>1232</v>
      </c>
    </row>
    <row r="704" spans="1:11" x14ac:dyDescent="0.35">
      <c r="A704" t="s">
        <v>304</v>
      </c>
      <c r="B704" t="s">
        <v>1129</v>
      </c>
      <c r="C704" t="s">
        <v>3519</v>
      </c>
      <c r="D704" t="s">
        <v>2292</v>
      </c>
      <c r="E704" t="s">
        <v>2430</v>
      </c>
      <c r="F704" t="s">
        <v>3855</v>
      </c>
      <c r="G704" t="s">
        <v>2270</v>
      </c>
      <c r="H704" t="s">
        <v>3859</v>
      </c>
      <c r="I704" t="s">
        <v>3860</v>
      </c>
      <c r="J704" t="s">
        <v>3516</v>
      </c>
      <c r="K704" t="s">
        <v>3516</v>
      </c>
    </row>
    <row r="705" spans="1:11" x14ac:dyDescent="0.35">
      <c r="A705" t="s">
        <v>576</v>
      </c>
      <c r="B705" t="s">
        <v>1400</v>
      </c>
    </row>
    <row r="706" spans="1:11" x14ac:dyDescent="0.35">
      <c r="A706" t="s">
        <v>702</v>
      </c>
      <c r="B706" t="s">
        <v>1526</v>
      </c>
      <c r="C706" t="s">
        <v>3815</v>
      </c>
      <c r="D706" t="s">
        <v>3861</v>
      </c>
      <c r="E706" t="s">
        <v>3862</v>
      </c>
      <c r="F706" t="s">
        <v>3863</v>
      </c>
      <c r="G706" t="s">
        <v>3609</v>
      </c>
      <c r="H706" t="s">
        <v>3864</v>
      </c>
      <c r="I706" t="s">
        <v>3865</v>
      </c>
      <c r="J706" t="s">
        <v>3516</v>
      </c>
      <c r="K706" t="s">
        <v>3516</v>
      </c>
    </row>
    <row r="707" spans="1:11" x14ac:dyDescent="0.35">
      <c r="A707" t="s">
        <v>139</v>
      </c>
      <c r="B707" t="s">
        <v>968</v>
      </c>
    </row>
    <row r="708" spans="1:11" x14ac:dyDescent="0.35">
      <c r="A708" t="s">
        <v>138</v>
      </c>
      <c r="B708" t="s">
        <v>967</v>
      </c>
    </row>
    <row r="709" spans="1:11" x14ac:dyDescent="0.35">
      <c r="A709" t="s">
        <v>361</v>
      </c>
      <c r="B709" t="s">
        <v>1185</v>
      </c>
    </row>
    <row r="710" spans="1:11" x14ac:dyDescent="0.35">
      <c r="A710" t="s">
        <v>3375</v>
      </c>
      <c r="B710" t="s">
        <v>3376</v>
      </c>
    </row>
    <row r="711" spans="1:11" x14ac:dyDescent="0.35">
      <c r="A711" t="s">
        <v>181</v>
      </c>
      <c r="B711" t="s">
        <v>1010</v>
      </c>
    </row>
    <row r="712" spans="1:11" x14ac:dyDescent="0.35">
      <c r="A712" t="s">
        <v>634</v>
      </c>
      <c r="B712" t="s">
        <v>1458</v>
      </c>
    </row>
    <row r="713" spans="1:11" x14ac:dyDescent="0.35">
      <c r="A713" t="s">
        <v>315</v>
      </c>
      <c r="B713" t="s">
        <v>1140</v>
      </c>
    </row>
    <row r="714" spans="1:11" x14ac:dyDescent="0.35">
      <c r="A714" t="s">
        <v>314</v>
      </c>
      <c r="B714" t="s">
        <v>1139</v>
      </c>
      <c r="C714" t="s">
        <v>3530</v>
      </c>
      <c r="D714" t="s">
        <v>3866</v>
      </c>
      <c r="E714" t="s">
        <v>2327</v>
      </c>
      <c r="F714" t="s">
        <v>3553</v>
      </c>
      <c r="G714" t="s">
        <v>3867</v>
      </c>
      <c r="H714" t="s">
        <v>3621</v>
      </c>
      <c r="I714" t="s">
        <v>3868</v>
      </c>
      <c r="J714" t="s">
        <v>3516</v>
      </c>
      <c r="K714" t="s">
        <v>3516</v>
      </c>
    </row>
    <row r="715" spans="1:11" x14ac:dyDescent="0.35">
      <c r="A715" t="s">
        <v>758</v>
      </c>
      <c r="B715" t="s">
        <v>1582</v>
      </c>
    </row>
    <row r="716" spans="1:11" x14ac:dyDescent="0.35">
      <c r="A716" t="s">
        <v>759</v>
      </c>
      <c r="B716" t="s">
        <v>1583</v>
      </c>
    </row>
    <row r="717" spans="1:11" x14ac:dyDescent="0.35">
      <c r="A717" t="s">
        <v>731</v>
      </c>
      <c r="B717" t="s">
        <v>1555</v>
      </c>
    </row>
    <row r="718" spans="1:11" x14ac:dyDescent="0.35">
      <c r="A718" t="s">
        <v>262</v>
      </c>
      <c r="B718" t="s">
        <v>1088</v>
      </c>
      <c r="C718" t="s">
        <v>3516</v>
      </c>
      <c r="D718" t="s">
        <v>2485</v>
      </c>
      <c r="E718" t="s">
        <v>3516</v>
      </c>
      <c r="F718" t="s">
        <v>2435</v>
      </c>
      <c r="G718" t="s">
        <v>3516</v>
      </c>
      <c r="H718" t="s">
        <v>3516</v>
      </c>
      <c r="I718" t="s">
        <v>3516</v>
      </c>
      <c r="J718" t="s">
        <v>3516</v>
      </c>
      <c r="K718" t="s">
        <v>3516</v>
      </c>
    </row>
    <row r="719" spans="1:11" x14ac:dyDescent="0.35">
      <c r="A719" t="s">
        <v>768</v>
      </c>
      <c r="B719" t="s">
        <v>1592</v>
      </c>
      <c r="C719" t="s">
        <v>3516</v>
      </c>
      <c r="D719" t="s">
        <v>2415</v>
      </c>
      <c r="E719" t="s">
        <v>2270</v>
      </c>
      <c r="F719" t="s">
        <v>3869</v>
      </c>
      <c r="G719" t="s">
        <v>2438</v>
      </c>
      <c r="H719" t="s">
        <v>3516</v>
      </c>
      <c r="I719" t="s">
        <v>3516</v>
      </c>
      <c r="J719" t="s">
        <v>3516</v>
      </c>
      <c r="K719" t="s">
        <v>3516</v>
      </c>
    </row>
    <row r="720" spans="1:11" x14ac:dyDescent="0.35">
      <c r="A720" t="s">
        <v>47</v>
      </c>
      <c r="B720" t="s">
        <v>876</v>
      </c>
      <c r="C720" t="s">
        <v>3516</v>
      </c>
      <c r="D720" t="s">
        <v>3870</v>
      </c>
      <c r="E720" t="s">
        <v>3516</v>
      </c>
      <c r="F720" t="s">
        <v>2278</v>
      </c>
      <c r="G720" t="s">
        <v>3516</v>
      </c>
      <c r="H720" t="s">
        <v>3516</v>
      </c>
      <c r="I720" t="s">
        <v>3516</v>
      </c>
      <c r="J720" t="s">
        <v>3516</v>
      </c>
      <c r="K720" t="s">
        <v>3516</v>
      </c>
    </row>
    <row r="721" spans="1:11" x14ac:dyDescent="0.35">
      <c r="A721" t="s">
        <v>111</v>
      </c>
      <c r="B721" t="s">
        <v>940</v>
      </c>
    </row>
    <row r="722" spans="1:11" x14ac:dyDescent="0.35">
      <c r="A722" t="s">
        <v>742</v>
      </c>
      <c r="B722" t="s">
        <v>1566</v>
      </c>
    </row>
    <row r="723" spans="1:11" x14ac:dyDescent="0.35">
      <c r="A723" t="s">
        <v>743</v>
      </c>
      <c r="B723" t="s">
        <v>1567</v>
      </c>
    </row>
    <row r="724" spans="1:11" x14ac:dyDescent="0.35">
      <c r="A724" t="s">
        <v>744</v>
      </c>
      <c r="B724" t="s">
        <v>1568</v>
      </c>
    </row>
    <row r="725" spans="1:11" x14ac:dyDescent="0.35">
      <c r="A725" t="s">
        <v>745</v>
      </c>
      <c r="B725" t="s">
        <v>1569</v>
      </c>
    </row>
    <row r="726" spans="1:11" x14ac:dyDescent="0.35">
      <c r="A726" t="s">
        <v>746</v>
      </c>
      <c r="B726" t="s">
        <v>1570</v>
      </c>
    </row>
    <row r="727" spans="1:11" x14ac:dyDescent="0.35">
      <c r="A727" t="s">
        <v>747</v>
      </c>
      <c r="B727" t="s">
        <v>1571</v>
      </c>
    </row>
    <row r="728" spans="1:11" x14ac:dyDescent="0.35">
      <c r="A728" t="s">
        <v>748</v>
      </c>
      <c r="B728" t="s">
        <v>1572</v>
      </c>
    </row>
    <row r="729" spans="1:11" x14ac:dyDescent="0.35">
      <c r="A729" t="s">
        <v>749</v>
      </c>
      <c r="B729" t="s">
        <v>1573</v>
      </c>
    </row>
    <row r="730" spans="1:11" x14ac:dyDescent="0.35">
      <c r="A730" t="s">
        <v>750</v>
      </c>
      <c r="B730" t="s">
        <v>1574</v>
      </c>
    </row>
    <row r="731" spans="1:11" x14ac:dyDescent="0.35">
      <c r="A731" t="s">
        <v>751</v>
      </c>
      <c r="B731" t="s">
        <v>1575</v>
      </c>
    </row>
    <row r="732" spans="1:11" x14ac:dyDescent="0.35">
      <c r="A732" t="s">
        <v>741</v>
      </c>
      <c r="B732" t="s">
        <v>1565</v>
      </c>
    </row>
    <row r="733" spans="1:11" x14ac:dyDescent="0.35">
      <c r="A733" t="s">
        <v>752</v>
      </c>
      <c r="B733" t="s">
        <v>1576</v>
      </c>
    </row>
    <row r="734" spans="1:11" x14ac:dyDescent="0.35">
      <c r="A734" t="s">
        <v>76</v>
      </c>
      <c r="B734" t="s">
        <v>905</v>
      </c>
    </row>
    <row r="735" spans="1:11" x14ac:dyDescent="0.35">
      <c r="A735" t="s">
        <v>3359</v>
      </c>
      <c r="B735" t="s">
        <v>3360</v>
      </c>
      <c r="C735" t="s">
        <v>3514</v>
      </c>
      <c r="D735" t="s">
        <v>3871</v>
      </c>
      <c r="E735" t="s">
        <v>3872</v>
      </c>
      <c r="F735" t="s">
        <v>3873</v>
      </c>
      <c r="G735" t="s">
        <v>3874</v>
      </c>
      <c r="H735" t="s">
        <v>3875</v>
      </c>
      <c r="I735" t="s">
        <v>3876</v>
      </c>
      <c r="J735" t="s">
        <v>3516</v>
      </c>
      <c r="K735" t="s">
        <v>3516</v>
      </c>
    </row>
    <row r="736" spans="1:11" x14ac:dyDescent="0.35">
      <c r="A736" t="s">
        <v>459</v>
      </c>
      <c r="B736" t="s">
        <v>1283</v>
      </c>
    </row>
    <row r="737" spans="1:11" x14ac:dyDescent="0.35">
      <c r="A737" t="s">
        <v>514</v>
      </c>
      <c r="B737" t="s">
        <v>1338</v>
      </c>
    </row>
    <row r="738" spans="1:11" x14ac:dyDescent="0.35">
      <c r="A738" t="s">
        <v>59</v>
      </c>
      <c r="B738" t="s">
        <v>888</v>
      </c>
    </row>
    <row r="739" spans="1:11" x14ac:dyDescent="0.35">
      <c r="A739" t="s">
        <v>823</v>
      </c>
      <c r="B739" t="s">
        <v>1645</v>
      </c>
    </row>
    <row r="740" spans="1:11" x14ac:dyDescent="0.35">
      <c r="A740" t="s">
        <v>189</v>
      </c>
      <c r="B740" t="s">
        <v>1017</v>
      </c>
    </row>
    <row r="741" spans="1:11" x14ac:dyDescent="0.35">
      <c r="A741" t="s">
        <v>18</v>
      </c>
      <c r="B741" t="s">
        <v>847</v>
      </c>
    </row>
    <row r="742" spans="1:11" x14ac:dyDescent="0.35">
      <c r="A742" t="s">
        <v>174</v>
      </c>
      <c r="B742" t="s">
        <v>1003</v>
      </c>
    </row>
    <row r="743" spans="1:11" x14ac:dyDescent="0.35">
      <c r="A743" t="s">
        <v>291</v>
      </c>
      <c r="B743" t="s">
        <v>1116</v>
      </c>
    </row>
    <row r="744" spans="1:11" x14ac:dyDescent="0.35">
      <c r="A744" t="s">
        <v>629</v>
      </c>
      <c r="B744" t="s">
        <v>1453</v>
      </c>
    </row>
    <row r="745" spans="1:11" x14ac:dyDescent="0.35">
      <c r="A745" t="s">
        <v>483</v>
      </c>
      <c r="B745" t="s">
        <v>1307</v>
      </c>
    </row>
    <row r="746" spans="1:11" x14ac:dyDescent="0.35">
      <c r="A746" t="s">
        <v>375</v>
      </c>
      <c r="B746" t="s">
        <v>1199</v>
      </c>
      <c r="C746" t="s">
        <v>3514</v>
      </c>
      <c r="D746" t="s">
        <v>3877</v>
      </c>
      <c r="E746" t="s">
        <v>3878</v>
      </c>
      <c r="F746" t="s">
        <v>2434</v>
      </c>
      <c r="G746" t="s">
        <v>3879</v>
      </c>
      <c r="H746" t="s">
        <v>2345</v>
      </c>
      <c r="I746" t="s">
        <v>3782</v>
      </c>
      <c r="J746" t="s">
        <v>3516</v>
      </c>
      <c r="K746" t="s">
        <v>3516</v>
      </c>
    </row>
    <row r="747" spans="1:11" x14ac:dyDescent="0.35">
      <c r="A747" t="s">
        <v>398</v>
      </c>
      <c r="B747" t="s">
        <v>1222</v>
      </c>
    </row>
    <row r="748" spans="1:11" x14ac:dyDescent="0.35">
      <c r="A748" t="s">
        <v>401</v>
      </c>
      <c r="B748" t="s">
        <v>1225</v>
      </c>
    </row>
    <row r="749" spans="1:11" x14ac:dyDescent="0.35">
      <c r="A749" t="s">
        <v>402</v>
      </c>
      <c r="B749" t="s">
        <v>1226</v>
      </c>
    </row>
    <row r="750" spans="1:11" x14ac:dyDescent="0.35">
      <c r="A750" t="s">
        <v>403</v>
      </c>
      <c r="B750" t="s">
        <v>1227</v>
      </c>
    </row>
    <row r="751" spans="1:11" x14ac:dyDescent="0.35">
      <c r="A751" t="s">
        <v>400</v>
      </c>
      <c r="B751" t="s">
        <v>1224</v>
      </c>
    </row>
    <row r="752" spans="1:11" x14ac:dyDescent="0.35">
      <c r="A752" t="s">
        <v>373</v>
      </c>
      <c r="B752" t="s">
        <v>1197</v>
      </c>
    </row>
    <row r="753" spans="1:11" x14ac:dyDescent="0.35">
      <c r="A753" t="s">
        <v>3347</v>
      </c>
      <c r="B753" t="s">
        <v>3348</v>
      </c>
    </row>
    <row r="754" spans="1:11" x14ac:dyDescent="0.35">
      <c r="A754" t="s">
        <v>3393</v>
      </c>
      <c r="B754" t="s">
        <v>3348</v>
      </c>
    </row>
    <row r="755" spans="1:11" x14ac:dyDescent="0.35">
      <c r="A755" t="s">
        <v>278</v>
      </c>
      <c r="B755" t="s">
        <v>1104</v>
      </c>
      <c r="C755" t="s">
        <v>3519</v>
      </c>
      <c r="D755" t="s">
        <v>3880</v>
      </c>
      <c r="E755" t="s">
        <v>2264</v>
      </c>
      <c r="F755" t="s">
        <v>3881</v>
      </c>
      <c r="G755" t="s">
        <v>2326</v>
      </c>
      <c r="H755" t="s">
        <v>3516</v>
      </c>
      <c r="I755" t="s">
        <v>3516</v>
      </c>
      <c r="J755" t="s">
        <v>3516</v>
      </c>
      <c r="K755" t="s">
        <v>3516</v>
      </c>
    </row>
    <row r="756" spans="1:11" x14ac:dyDescent="0.35">
      <c r="A756" t="s">
        <v>3413</v>
      </c>
      <c r="B756" t="s">
        <v>3418</v>
      </c>
      <c r="C756" t="s">
        <v>3516</v>
      </c>
      <c r="D756" t="s">
        <v>3882</v>
      </c>
      <c r="E756" t="s">
        <v>3516</v>
      </c>
      <c r="F756" t="s">
        <v>3883</v>
      </c>
      <c r="G756" t="s">
        <v>3516</v>
      </c>
      <c r="H756" t="s">
        <v>3516</v>
      </c>
      <c r="I756" t="s">
        <v>3516</v>
      </c>
      <c r="J756" t="s">
        <v>3516</v>
      </c>
      <c r="K756" t="s">
        <v>3516</v>
      </c>
    </row>
    <row r="757" spans="1:11" x14ac:dyDescent="0.35">
      <c r="A757" t="s">
        <v>3407</v>
      </c>
      <c r="B757" t="s">
        <v>3415</v>
      </c>
      <c r="C757" t="s">
        <v>3598</v>
      </c>
      <c r="D757" t="s">
        <v>2330</v>
      </c>
      <c r="E757" t="s">
        <v>3516</v>
      </c>
      <c r="F757" t="s">
        <v>3884</v>
      </c>
      <c r="G757" t="s">
        <v>3516</v>
      </c>
      <c r="H757" t="s">
        <v>3516</v>
      </c>
      <c r="I757" t="s">
        <v>3516</v>
      </c>
      <c r="J757" t="s">
        <v>3516</v>
      </c>
      <c r="K757" t="s">
        <v>3516</v>
      </c>
    </row>
    <row r="758" spans="1:11" x14ac:dyDescent="0.35">
      <c r="A758" t="s">
        <v>327</v>
      </c>
      <c r="B758" t="s">
        <v>1152</v>
      </c>
    </row>
    <row r="759" spans="1:11" x14ac:dyDescent="0.35">
      <c r="A759" t="s">
        <v>521</v>
      </c>
      <c r="B759" t="s">
        <v>1345</v>
      </c>
    </row>
    <row r="760" spans="1:11" x14ac:dyDescent="0.35">
      <c r="A760" t="s">
        <v>561</v>
      </c>
      <c r="B760" t="s">
        <v>1385</v>
      </c>
    </row>
    <row r="761" spans="1:11" x14ac:dyDescent="0.35">
      <c r="A761" t="s">
        <v>338</v>
      </c>
      <c r="B761" t="s">
        <v>1162</v>
      </c>
    </row>
    <row r="762" spans="1:11" x14ac:dyDescent="0.35">
      <c r="A762" t="s">
        <v>83</v>
      </c>
      <c r="B762" t="s">
        <v>912</v>
      </c>
    </row>
    <row r="763" spans="1:11" x14ac:dyDescent="0.35">
      <c r="A763" t="s">
        <v>288</v>
      </c>
      <c r="B763" t="s">
        <v>1113</v>
      </c>
    </row>
    <row r="764" spans="1:11" x14ac:dyDescent="0.35">
      <c r="A764" t="s">
        <v>261</v>
      </c>
      <c r="B764" t="s">
        <v>1087</v>
      </c>
    </row>
    <row r="765" spans="1:11" x14ac:dyDescent="0.35">
      <c r="A765" t="s">
        <v>520</v>
      </c>
      <c r="B765" t="s">
        <v>1344</v>
      </c>
    </row>
    <row r="766" spans="1:11" x14ac:dyDescent="0.35">
      <c r="A766" t="s">
        <v>659</v>
      </c>
      <c r="B766" t="s">
        <v>1483</v>
      </c>
    </row>
    <row r="767" spans="1:11" x14ac:dyDescent="0.35">
      <c r="A767" t="s">
        <v>221</v>
      </c>
      <c r="B767" t="s">
        <v>1048</v>
      </c>
    </row>
    <row r="768" spans="1:11" x14ac:dyDescent="0.35">
      <c r="A768" t="s">
        <v>313</v>
      </c>
      <c r="B768" t="s">
        <v>1138</v>
      </c>
      <c r="C768" t="s">
        <v>3516</v>
      </c>
      <c r="D768" t="s">
        <v>3885</v>
      </c>
      <c r="E768" t="s">
        <v>2114</v>
      </c>
      <c r="F768" t="s">
        <v>3886</v>
      </c>
      <c r="G768" t="s">
        <v>2276</v>
      </c>
      <c r="H768" t="s">
        <v>3516</v>
      </c>
      <c r="I768" t="s">
        <v>3516</v>
      </c>
      <c r="J768" t="s">
        <v>3516</v>
      </c>
      <c r="K768" t="s">
        <v>3516</v>
      </c>
    </row>
    <row r="769" spans="1:11" x14ac:dyDescent="0.35">
      <c r="A769" t="s">
        <v>673</v>
      </c>
      <c r="B769" t="s">
        <v>1497</v>
      </c>
    </row>
    <row r="770" spans="1:11" x14ac:dyDescent="0.35">
      <c r="A770" t="s">
        <v>160</v>
      </c>
      <c r="B770" t="s">
        <v>989</v>
      </c>
    </row>
    <row r="771" spans="1:11" x14ac:dyDescent="0.35">
      <c r="A771" t="s">
        <v>188</v>
      </c>
      <c r="B771" t="s">
        <v>1016</v>
      </c>
    </row>
    <row r="772" spans="1:11" x14ac:dyDescent="0.35">
      <c r="A772" t="s">
        <v>503</v>
      </c>
      <c r="B772" t="s">
        <v>1327</v>
      </c>
      <c r="C772" t="s">
        <v>3554</v>
      </c>
      <c r="D772" t="s">
        <v>3634</v>
      </c>
      <c r="E772" t="s">
        <v>3887</v>
      </c>
      <c r="F772" t="s">
        <v>3888</v>
      </c>
      <c r="G772" t="s">
        <v>3889</v>
      </c>
      <c r="H772" t="s">
        <v>2455</v>
      </c>
      <c r="I772" t="s">
        <v>3516</v>
      </c>
      <c r="J772" t="s">
        <v>3516</v>
      </c>
      <c r="K772" t="s">
        <v>3516</v>
      </c>
    </row>
    <row r="773" spans="1:11" x14ac:dyDescent="0.35">
      <c r="A773" t="s">
        <v>134</v>
      </c>
      <c r="B773" t="s">
        <v>963</v>
      </c>
      <c r="C773" t="s">
        <v>3554</v>
      </c>
      <c r="D773" t="s">
        <v>3890</v>
      </c>
      <c r="E773" t="s">
        <v>3891</v>
      </c>
      <c r="F773" t="s">
        <v>3892</v>
      </c>
      <c r="G773" t="s">
        <v>2328</v>
      </c>
      <c r="H773" t="s">
        <v>3893</v>
      </c>
      <c r="I773" t="s">
        <v>3894</v>
      </c>
      <c r="J773" t="s">
        <v>3516</v>
      </c>
      <c r="K773" t="s">
        <v>3516</v>
      </c>
    </row>
    <row r="774" spans="1:11" x14ac:dyDescent="0.35">
      <c r="A774" t="s">
        <v>145</v>
      </c>
      <c r="B774" t="s">
        <v>974</v>
      </c>
      <c r="C774" t="s">
        <v>3519</v>
      </c>
      <c r="D774" t="s">
        <v>3679</v>
      </c>
      <c r="E774" t="s">
        <v>3895</v>
      </c>
      <c r="F774" t="s">
        <v>3670</v>
      </c>
      <c r="G774" t="s">
        <v>3896</v>
      </c>
      <c r="H774" t="s">
        <v>2286</v>
      </c>
      <c r="I774" t="s">
        <v>2319</v>
      </c>
      <c r="J774" t="s">
        <v>3516</v>
      </c>
      <c r="K774" t="s">
        <v>3516</v>
      </c>
    </row>
    <row r="775" spans="1:11" x14ac:dyDescent="0.35">
      <c r="A775" t="s">
        <v>423</v>
      </c>
      <c r="B775" t="s">
        <v>1247</v>
      </c>
      <c r="C775" t="s">
        <v>3514</v>
      </c>
      <c r="D775" t="s">
        <v>3724</v>
      </c>
      <c r="E775" t="s">
        <v>2286</v>
      </c>
      <c r="F775" t="s">
        <v>2122</v>
      </c>
      <c r="G775" t="s">
        <v>3601</v>
      </c>
      <c r="H775" t="s">
        <v>3897</v>
      </c>
      <c r="I775" t="s">
        <v>3785</v>
      </c>
      <c r="J775" t="s">
        <v>3516</v>
      </c>
      <c r="K775" t="s">
        <v>3516</v>
      </c>
    </row>
    <row r="776" spans="1:11" x14ac:dyDescent="0.35">
      <c r="A776" t="s">
        <v>541</v>
      </c>
      <c r="B776" t="s">
        <v>1365</v>
      </c>
      <c r="C776" t="s">
        <v>3554</v>
      </c>
      <c r="D776" t="s">
        <v>3898</v>
      </c>
      <c r="E776" t="s">
        <v>3588</v>
      </c>
      <c r="F776" t="s">
        <v>3899</v>
      </c>
      <c r="G776" t="s">
        <v>3900</v>
      </c>
      <c r="H776" t="s">
        <v>3901</v>
      </c>
      <c r="I776" t="s">
        <v>2292</v>
      </c>
      <c r="J776" t="s">
        <v>3516</v>
      </c>
      <c r="K776" t="s">
        <v>3516</v>
      </c>
    </row>
    <row r="777" spans="1:11" x14ac:dyDescent="0.35">
      <c r="A777" t="s">
        <v>195</v>
      </c>
      <c r="B777" t="s">
        <v>1023</v>
      </c>
      <c r="C777" t="s">
        <v>3514</v>
      </c>
      <c r="D777" t="s">
        <v>3902</v>
      </c>
      <c r="E777" t="s">
        <v>2316</v>
      </c>
      <c r="F777" t="s">
        <v>3903</v>
      </c>
      <c r="G777" t="s">
        <v>2343</v>
      </c>
      <c r="H777" t="s">
        <v>3829</v>
      </c>
      <c r="I777" t="s">
        <v>3904</v>
      </c>
      <c r="J777" t="s">
        <v>3516</v>
      </c>
      <c r="K777" t="s">
        <v>3516</v>
      </c>
    </row>
    <row r="778" spans="1:11" x14ac:dyDescent="0.35">
      <c r="A778" t="s">
        <v>660</v>
      </c>
      <c r="B778" t="s">
        <v>1484</v>
      </c>
    </row>
    <row r="779" spans="1:11" x14ac:dyDescent="0.35">
      <c r="A779" t="s">
        <v>616</v>
      </c>
      <c r="B779" t="s">
        <v>1440</v>
      </c>
      <c r="C779" t="s">
        <v>3516</v>
      </c>
      <c r="D779" t="s">
        <v>3905</v>
      </c>
      <c r="E779" t="s">
        <v>3516</v>
      </c>
      <c r="F779" t="s">
        <v>3906</v>
      </c>
      <c r="G779" t="s">
        <v>3516</v>
      </c>
      <c r="H779" t="s">
        <v>3516</v>
      </c>
      <c r="I779" t="s">
        <v>3516</v>
      </c>
      <c r="J779" t="s">
        <v>3516</v>
      </c>
      <c r="K779" t="s">
        <v>3516</v>
      </c>
    </row>
    <row r="780" spans="1:11" x14ac:dyDescent="0.35">
      <c r="A780" t="s">
        <v>298</v>
      </c>
      <c r="B780" t="s">
        <v>1123</v>
      </c>
    </row>
    <row r="781" spans="1:11" x14ac:dyDescent="0.35">
      <c r="A781" t="s">
        <v>263</v>
      </c>
      <c r="B781" t="s">
        <v>1089</v>
      </c>
    </row>
    <row r="782" spans="1:11" x14ac:dyDescent="0.35">
      <c r="A782" t="s">
        <v>359</v>
      </c>
      <c r="B782" t="s">
        <v>1183</v>
      </c>
    </row>
    <row r="783" spans="1:11" x14ac:dyDescent="0.35">
      <c r="A783" t="s">
        <v>413</v>
      </c>
      <c r="B783" t="s">
        <v>1237</v>
      </c>
      <c r="C783" t="s">
        <v>3519</v>
      </c>
      <c r="D783" t="s">
        <v>3907</v>
      </c>
      <c r="E783" t="s">
        <v>3908</v>
      </c>
      <c r="F783" t="s">
        <v>3909</v>
      </c>
      <c r="G783" t="s">
        <v>3910</v>
      </c>
      <c r="H783" t="s">
        <v>3911</v>
      </c>
      <c r="I783" t="s">
        <v>3912</v>
      </c>
      <c r="J783" t="s">
        <v>3516</v>
      </c>
      <c r="K783" t="s">
        <v>3516</v>
      </c>
    </row>
    <row r="784" spans="1:11" x14ac:dyDescent="0.35">
      <c r="A784" t="s">
        <v>23</v>
      </c>
      <c r="B784" t="s">
        <v>852</v>
      </c>
      <c r="C784" t="s">
        <v>3598</v>
      </c>
      <c r="D784" t="s">
        <v>3516</v>
      </c>
      <c r="E784" t="s">
        <v>3516</v>
      </c>
      <c r="F784" t="s">
        <v>3516</v>
      </c>
      <c r="G784" t="s">
        <v>3516</v>
      </c>
      <c r="H784" t="s">
        <v>3913</v>
      </c>
      <c r="I784" t="s">
        <v>3914</v>
      </c>
      <c r="J784" t="s">
        <v>3516</v>
      </c>
      <c r="K784" t="s">
        <v>3516</v>
      </c>
    </row>
    <row r="785" spans="1:11" x14ac:dyDescent="0.35">
      <c r="A785" t="s">
        <v>3330</v>
      </c>
      <c r="B785" t="s">
        <v>3331</v>
      </c>
    </row>
    <row r="786" spans="1:11" x14ac:dyDescent="0.35">
      <c r="A786" t="s">
        <v>485</v>
      </c>
      <c r="B786" t="s">
        <v>1309</v>
      </c>
      <c r="C786" t="s">
        <v>3536</v>
      </c>
      <c r="D786" t="s">
        <v>3593</v>
      </c>
      <c r="E786" t="s">
        <v>3915</v>
      </c>
      <c r="F786" t="s">
        <v>3916</v>
      </c>
      <c r="G786" t="s">
        <v>2129</v>
      </c>
      <c r="H786" t="s">
        <v>2361</v>
      </c>
      <c r="I786" t="s">
        <v>3917</v>
      </c>
      <c r="J786" t="s">
        <v>3516</v>
      </c>
      <c r="K786" t="s">
        <v>3516</v>
      </c>
    </row>
    <row r="787" spans="1:11" x14ac:dyDescent="0.35">
      <c r="A787" t="s">
        <v>577</v>
      </c>
      <c r="B787" t="s">
        <v>1401</v>
      </c>
    </row>
    <row r="788" spans="1:11" x14ac:dyDescent="0.35">
      <c r="A788" t="s">
        <v>8</v>
      </c>
      <c r="B788" t="s">
        <v>837</v>
      </c>
      <c r="C788" t="s">
        <v>3519</v>
      </c>
      <c r="D788" t="s">
        <v>3918</v>
      </c>
      <c r="E788" t="s">
        <v>3739</v>
      </c>
      <c r="F788" t="s">
        <v>3919</v>
      </c>
      <c r="G788" t="s">
        <v>3920</v>
      </c>
      <c r="H788" t="s">
        <v>3921</v>
      </c>
      <c r="I788" t="s">
        <v>3922</v>
      </c>
      <c r="J788" t="s">
        <v>3516</v>
      </c>
      <c r="K788" t="s">
        <v>3516</v>
      </c>
    </row>
    <row r="789" spans="1:11" x14ac:dyDescent="0.35">
      <c r="A789" t="s">
        <v>13</v>
      </c>
      <c r="B789" t="s">
        <v>842</v>
      </c>
      <c r="C789" t="s">
        <v>3519</v>
      </c>
      <c r="D789" t="s">
        <v>3923</v>
      </c>
      <c r="E789" t="s">
        <v>3924</v>
      </c>
      <c r="F789" t="s">
        <v>2330</v>
      </c>
      <c r="G789" t="s">
        <v>2523</v>
      </c>
      <c r="H789" t="s">
        <v>2429</v>
      </c>
      <c r="I789" t="s">
        <v>3925</v>
      </c>
      <c r="J789" t="s">
        <v>3516</v>
      </c>
      <c r="K789" t="s">
        <v>3516</v>
      </c>
    </row>
    <row r="790" spans="1:11" x14ac:dyDescent="0.35">
      <c r="A790" t="s">
        <v>144</v>
      </c>
      <c r="B790" t="s">
        <v>973</v>
      </c>
    </row>
    <row r="791" spans="1:11" x14ac:dyDescent="0.35">
      <c r="A791" t="s">
        <v>624</v>
      </c>
      <c r="B791" t="s">
        <v>1448</v>
      </c>
    </row>
    <row r="792" spans="1:11" x14ac:dyDescent="0.35">
      <c r="A792" t="s">
        <v>571</v>
      </c>
      <c r="B792" t="s">
        <v>1395</v>
      </c>
    </row>
    <row r="793" spans="1:11" x14ac:dyDescent="0.35">
      <c r="A793" t="s">
        <v>38</v>
      </c>
      <c r="B793" t="s">
        <v>867</v>
      </c>
    </row>
    <row r="794" spans="1:11" x14ac:dyDescent="0.35">
      <c r="A794" t="s">
        <v>3334</v>
      </c>
      <c r="B794" t="s">
        <v>867</v>
      </c>
    </row>
    <row r="795" spans="1:11" x14ac:dyDescent="0.35">
      <c r="A795" t="s">
        <v>4</v>
      </c>
      <c r="B795" t="s">
        <v>833</v>
      </c>
    </row>
    <row r="796" spans="1:11" x14ac:dyDescent="0.35">
      <c r="A796" t="s">
        <v>64</v>
      </c>
      <c r="B796" t="s">
        <v>893</v>
      </c>
    </row>
    <row r="797" spans="1:11" x14ac:dyDescent="0.35">
      <c r="A797" t="s">
        <v>159</v>
      </c>
      <c r="B797" t="s">
        <v>988</v>
      </c>
    </row>
    <row r="798" spans="1:11" x14ac:dyDescent="0.35">
      <c r="A798" t="s">
        <v>635</v>
      </c>
      <c r="B798" t="s">
        <v>1459</v>
      </c>
    </row>
    <row r="799" spans="1:11" x14ac:dyDescent="0.35">
      <c r="A799" t="s">
        <v>384</v>
      </c>
      <c r="B799" t="s">
        <v>1208</v>
      </c>
    </row>
    <row r="800" spans="1:11" x14ac:dyDescent="0.35">
      <c r="A800" t="s">
        <v>527</v>
      </c>
      <c r="B800" t="s">
        <v>1351</v>
      </c>
    </row>
    <row r="801" spans="1:11" x14ac:dyDescent="0.35">
      <c r="A801" t="s">
        <v>84</v>
      </c>
      <c r="B801" t="s">
        <v>913</v>
      </c>
    </row>
    <row r="802" spans="1:11" x14ac:dyDescent="0.35">
      <c r="A802" t="s">
        <v>165</v>
      </c>
      <c r="B802" t="s">
        <v>994</v>
      </c>
    </row>
    <row r="803" spans="1:11" x14ac:dyDescent="0.35">
      <c r="A803" t="s">
        <v>146</v>
      </c>
      <c r="B803" t="s">
        <v>975</v>
      </c>
    </row>
    <row r="804" spans="1:11" x14ac:dyDescent="0.35">
      <c r="A804" t="s">
        <v>737</v>
      </c>
      <c r="B804" t="s">
        <v>1561</v>
      </c>
    </row>
    <row r="805" spans="1:11" x14ac:dyDescent="0.35">
      <c r="A805" t="s">
        <v>3349</v>
      </c>
      <c r="B805" t="s">
        <v>3350</v>
      </c>
    </row>
    <row r="806" spans="1:11" x14ac:dyDescent="0.35">
      <c r="A806" t="s">
        <v>3394</v>
      </c>
      <c r="B806" t="s">
        <v>3395</v>
      </c>
    </row>
    <row r="807" spans="1:11" x14ac:dyDescent="0.35">
      <c r="A807" t="s">
        <v>112</v>
      </c>
      <c r="B807" t="s">
        <v>941</v>
      </c>
    </row>
    <row r="808" spans="1:11" x14ac:dyDescent="0.35">
      <c r="A808" t="s">
        <v>90</v>
      </c>
      <c r="B808" t="s">
        <v>919</v>
      </c>
    </row>
    <row r="809" spans="1:11" x14ac:dyDescent="0.35">
      <c r="A809" t="s">
        <v>91</v>
      </c>
      <c r="B809" t="s">
        <v>920</v>
      </c>
    </row>
    <row r="810" spans="1:11" x14ac:dyDescent="0.35">
      <c r="A810" t="s">
        <v>167</v>
      </c>
      <c r="B810" t="s">
        <v>996</v>
      </c>
    </row>
    <row r="811" spans="1:11" x14ac:dyDescent="0.35">
      <c r="A811" t="s">
        <v>158</v>
      </c>
      <c r="B811" t="s">
        <v>987</v>
      </c>
    </row>
    <row r="812" spans="1:11" x14ac:dyDescent="0.35">
      <c r="A812" t="s">
        <v>460</v>
      </c>
      <c r="B812" t="s">
        <v>1284</v>
      </c>
      <c r="C812" t="s">
        <v>3519</v>
      </c>
      <c r="D812" t="s">
        <v>3845</v>
      </c>
      <c r="E812" t="s">
        <v>2316</v>
      </c>
      <c r="F812" t="s">
        <v>3926</v>
      </c>
      <c r="G812" t="s">
        <v>2403</v>
      </c>
      <c r="H812" t="s">
        <v>2265</v>
      </c>
      <c r="I812" t="s">
        <v>3829</v>
      </c>
      <c r="J812" t="s">
        <v>3516</v>
      </c>
      <c r="K812" t="s">
        <v>3516</v>
      </c>
    </row>
    <row r="813" spans="1:11" x14ac:dyDescent="0.35">
      <c r="A813" t="s">
        <v>540</v>
      </c>
      <c r="B813" t="s">
        <v>1364</v>
      </c>
    </row>
    <row r="814" spans="1:11" x14ac:dyDescent="0.35">
      <c r="A814" t="s">
        <v>590</v>
      </c>
      <c r="B814" t="s">
        <v>1414</v>
      </c>
      <c r="C814" t="s">
        <v>3519</v>
      </c>
      <c r="D814" t="s">
        <v>3927</v>
      </c>
      <c r="E814" t="s">
        <v>2335</v>
      </c>
      <c r="F814" t="s">
        <v>2418</v>
      </c>
      <c r="G814" t="s">
        <v>2264</v>
      </c>
      <c r="H814" t="s">
        <v>2403</v>
      </c>
      <c r="I814" t="s">
        <v>3928</v>
      </c>
      <c r="J814" t="s">
        <v>3516</v>
      </c>
      <c r="K814" t="s">
        <v>3516</v>
      </c>
    </row>
    <row r="815" spans="1:11" x14ac:dyDescent="0.35">
      <c r="A815" t="s">
        <v>88</v>
      </c>
      <c r="B815" t="s">
        <v>917</v>
      </c>
    </row>
    <row r="816" spans="1:11" x14ac:dyDescent="0.35">
      <c r="A816" t="s">
        <v>594</v>
      </c>
      <c r="B816" t="s">
        <v>1418</v>
      </c>
    </row>
    <row r="817" spans="1:11" x14ac:dyDescent="0.35">
      <c r="A817" t="s">
        <v>296</v>
      </c>
      <c r="B817" t="s">
        <v>1121</v>
      </c>
    </row>
    <row r="818" spans="1:11" x14ac:dyDescent="0.35">
      <c r="A818" t="s">
        <v>164</v>
      </c>
      <c r="B818" t="s">
        <v>993</v>
      </c>
    </row>
    <row r="819" spans="1:11" x14ac:dyDescent="0.35">
      <c r="A819" t="s">
        <v>297</v>
      </c>
      <c r="B819" t="s">
        <v>1122</v>
      </c>
    </row>
    <row r="820" spans="1:11" x14ac:dyDescent="0.35">
      <c r="A820" t="s">
        <v>465</v>
      </c>
      <c r="B820" t="s">
        <v>1289</v>
      </c>
    </row>
    <row r="821" spans="1:11" x14ac:dyDescent="0.35">
      <c r="A821" t="s">
        <v>241</v>
      </c>
      <c r="B821" t="s">
        <v>1067</v>
      </c>
    </row>
    <row r="822" spans="1:11" x14ac:dyDescent="0.35">
      <c r="A822" t="s">
        <v>738</v>
      </c>
      <c r="B822" t="s">
        <v>1562</v>
      </c>
    </row>
    <row r="823" spans="1:11" x14ac:dyDescent="0.35">
      <c r="A823" t="s">
        <v>592</v>
      </c>
      <c r="B823" t="s">
        <v>1416</v>
      </c>
    </row>
    <row r="824" spans="1:11" x14ac:dyDescent="0.35">
      <c r="A824" t="s">
        <v>760</v>
      </c>
      <c r="B824" t="s">
        <v>1584</v>
      </c>
    </row>
    <row r="825" spans="1:11" x14ac:dyDescent="0.35">
      <c r="A825" t="s">
        <v>525</v>
      </c>
      <c r="B825" t="s">
        <v>1349</v>
      </c>
    </row>
    <row r="826" spans="1:11" x14ac:dyDescent="0.35">
      <c r="A826" t="s">
        <v>141</v>
      </c>
      <c r="B826" t="s">
        <v>970</v>
      </c>
    </row>
    <row r="827" spans="1:11" x14ac:dyDescent="0.35">
      <c r="A827" t="s">
        <v>589</v>
      </c>
      <c r="B827" t="s">
        <v>1413</v>
      </c>
      <c r="C827" t="s">
        <v>3536</v>
      </c>
      <c r="D827" t="s">
        <v>3929</v>
      </c>
      <c r="E827" t="s">
        <v>3810</v>
      </c>
      <c r="F827" t="s">
        <v>3930</v>
      </c>
      <c r="G827" t="s">
        <v>2330</v>
      </c>
      <c r="H827" t="s">
        <v>3811</v>
      </c>
      <c r="I827" t="s">
        <v>3931</v>
      </c>
      <c r="J827" t="s">
        <v>3516</v>
      </c>
      <c r="K827" t="s">
        <v>3516</v>
      </c>
    </row>
    <row r="828" spans="1:11" x14ac:dyDescent="0.35">
      <c r="A828" t="s">
        <v>124</v>
      </c>
      <c r="B828" t="s">
        <v>953</v>
      </c>
      <c r="C828" t="s">
        <v>3554</v>
      </c>
      <c r="D828" t="s">
        <v>3932</v>
      </c>
      <c r="E828" t="s">
        <v>3516</v>
      </c>
      <c r="F828" t="s">
        <v>3664</v>
      </c>
      <c r="G828" t="s">
        <v>3776</v>
      </c>
      <c r="H828" t="s">
        <v>3924</v>
      </c>
      <c r="I828" t="s">
        <v>3933</v>
      </c>
      <c r="J828" t="s">
        <v>3516</v>
      </c>
      <c r="K828" t="s">
        <v>3516</v>
      </c>
    </row>
    <row r="829" spans="1:11" x14ac:dyDescent="0.35">
      <c r="A829" t="s">
        <v>533</v>
      </c>
      <c r="B829" t="s">
        <v>1357</v>
      </c>
      <c r="C829" t="s">
        <v>3519</v>
      </c>
      <c r="D829" t="s">
        <v>3934</v>
      </c>
      <c r="E829" t="s">
        <v>3619</v>
      </c>
      <c r="F829" t="s">
        <v>3935</v>
      </c>
      <c r="G829" t="s">
        <v>3936</v>
      </c>
      <c r="H829" t="s">
        <v>3755</v>
      </c>
      <c r="I829" t="s">
        <v>2119</v>
      </c>
      <c r="J829" t="s">
        <v>3516</v>
      </c>
      <c r="K829" t="s">
        <v>3516</v>
      </c>
    </row>
    <row r="830" spans="1:11" x14ac:dyDescent="0.35">
      <c r="A830" t="s">
        <v>3396</v>
      </c>
      <c r="B830" t="s">
        <v>3397</v>
      </c>
    </row>
    <row r="831" spans="1:11" x14ac:dyDescent="0.35">
      <c r="A831" t="s">
        <v>321</v>
      </c>
      <c r="B831" t="s">
        <v>1146</v>
      </c>
    </row>
    <row r="832" spans="1:11" x14ac:dyDescent="0.35">
      <c r="A832" t="s">
        <v>642</v>
      </c>
      <c r="B832" t="s">
        <v>1466</v>
      </c>
    </row>
    <row r="833" spans="1:11" x14ac:dyDescent="0.35">
      <c r="A833" t="s">
        <v>488</v>
      </c>
      <c r="B833" t="s">
        <v>1312</v>
      </c>
    </row>
    <row r="834" spans="1:11" x14ac:dyDescent="0.35">
      <c r="A834" t="s">
        <v>770</v>
      </c>
      <c r="B834" t="s">
        <v>1594</v>
      </c>
    </row>
    <row r="835" spans="1:11" x14ac:dyDescent="0.35">
      <c r="A835" t="s">
        <v>638</v>
      </c>
      <c r="B835" t="s">
        <v>1462</v>
      </c>
    </row>
    <row r="836" spans="1:11" x14ac:dyDescent="0.35">
      <c r="A836" t="s">
        <v>632</v>
      </c>
      <c r="B836" t="s">
        <v>1456</v>
      </c>
      <c r="C836" t="s">
        <v>3519</v>
      </c>
      <c r="D836" t="s">
        <v>3937</v>
      </c>
      <c r="E836" t="s">
        <v>2291</v>
      </c>
      <c r="F836" t="s">
        <v>3854</v>
      </c>
      <c r="G836" t="s">
        <v>2318</v>
      </c>
      <c r="H836" t="s">
        <v>3938</v>
      </c>
      <c r="I836" t="s">
        <v>3939</v>
      </c>
      <c r="J836" t="s">
        <v>3516</v>
      </c>
      <c r="K836" t="s">
        <v>3516</v>
      </c>
    </row>
    <row r="837" spans="1:11" x14ac:dyDescent="0.35">
      <c r="A837" t="s">
        <v>621</v>
      </c>
      <c r="B837" t="s">
        <v>1445</v>
      </c>
      <c r="C837" t="s">
        <v>3519</v>
      </c>
      <c r="D837" t="s">
        <v>2503</v>
      </c>
      <c r="E837" t="s">
        <v>3940</v>
      </c>
      <c r="F837" t="s">
        <v>3828</v>
      </c>
      <c r="G837" t="s">
        <v>3941</v>
      </c>
      <c r="H837" t="s">
        <v>3942</v>
      </c>
      <c r="I837" t="s">
        <v>3943</v>
      </c>
      <c r="J837" t="s">
        <v>3516</v>
      </c>
      <c r="K837" t="s">
        <v>3516</v>
      </c>
    </row>
    <row r="838" spans="1:11" x14ac:dyDescent="0.35">
      <c r="A838" t="s">
        <v>10</v>
      </c>
      <c r="B838" t="s">
        <v>839</v>
      </c>
      <c r="C838" t="s">
        <v>3516</v>
      </c>
      <c r="D838" t="s">
        <v>3944</v>
      </c>
      <c r="E838" t="s">
        <v>3540</v>
      </c>
      <c r="F838" t="s">
        <v>3945</v>
      </c>
      <c r="G838" t="s">
        <v>2505</v>
      </c>
      <c r="H838" t="s">
        <v>3532</v>
      </c>
      <c r="I838" t="s">
        <v>3946</v>
      </c>
      <c r="J838" t="s">
        <v>3516</v>
      </c>
      <c r="K838" t="s">
        <v>3516</v>
      </c>
    </row>
    <row r="839" spans="1:11" x14ac:dyDescent="0.35">
      <c r="A839" t="s">
        <v>3351</v>
      </c>
      <c r="B839" t="s">
        <v>3352</v>
      </c>
    </row>
    <row r="840" spans="1:11" x14ac:dyDescent="0.35">
      <c r="A840" t="s">
        <v>3398</v>
      </c>
      <c r="B840" t="s">
        <v>3352</v>
      </c>
    </row>
    <row r="841" spans="1:11" x14ac:dyDescent="0.35">
      <c r="A841" t="s">
        <v>341</v>
      </c>
      <c r="B841" t="s">
        <v>1165</v>
      </c>
      <c r="C841" t="s">
        <v>3536</v>
      </c>
      <c r="D841" t="s">
        <v>3947</v>
      </c>
      <c r="E841" t="s">
        <v>3948</v>
      </c>
      <c r="F841" t="s">
        <v>3949</v>
      </c>
      <c r="G841" t="s">
        <v>3950</v>
      </c>
      <c r="H841" t="s">
        <v>2415</v>
      </c>
      <c r="I841" t="s">
        <v>3540</v>
      </c>
      <c r="J841" t="s">
        <v>3516</v>
      </c>
      <c r="K841" t="s">
        <v>3516</v>
      </c>
    </row>
    <row r="842" spans="1:11" x14ac:dyDescent="0.35">
      <c r="A842" t="s">
        <v>3379</v>
      </c>
      <c r="B842" t="s">
        <v>3380</v>
      </c>
    </row>
    <row r="843" spans="1:11" x14ac:dyDescent="0.35">
      <c r="A843" t="s">
        <v>3401</v>
      </c>
      <c r="B843" t="s">
        <v>3402</v>
      </c>
    </row>
    <row r="844" spans="1:11" x14ac:dyDescent="0.35">
      <c r="A844" t="s">
        <v>3353</v>
      </c>
      <c r="B844" t="s">
        <v>3354</v>
      </c>
    </row>
    <row r="845" spans="1:11" x14ac:dyDescent="0.35">
      <c r="A845" t="s">
        <v>3355</v>
      </c>
      <c r="B845" t="s">
        <v>3356</v>
      </c>
    </row>
    <row r="846" spans="1:11" x14ac:dyDescent="0.35">
      <c r="A846" t="s">
        <v>92</v>
      </c>
      <c r="B846" t="s">
        <v>921</v>
      </c>
      <c r="C846" t="s">
        <v>3951</v>
      </c>
      <c r="D846" t="s">
        <v>2325</v>
      </c>
      <c r="E846" t="s">
        <v>2518</v>
      </c>
      <c r="F846" t="s">
        <v>2530</v>
      </c>
      <c r="G846" t="s">
        <v>3952</v>
      </c>
      <c r="H846" t="s">
        <v>3516</v>
      </c>
      <c r="I846" t="s">
        <v>3516</v>
      </c>
      <c r="J846" t="s">
        <v>3516</v>
      </c>
      <c r="K846" t="s">
        <v>3516</v>
      </c>
    </row>
    <row r="847" spans="1:11" x14ac:dyDescent="0.35">
      <c r="A847" t="s">
        <v>62</v>
      </c>
      <c r="B847" t="s">
        <v>891</v>
      </c>
    </row>
    <row r="848" spans="1:11" x14ac:dyDescent="0.35">
      <c r="A848" t="s">
        <v>732</v>
      </c>
      <c r="B848" t="s">
        <v>1556</v>
      </c>
    </row>
    <row r="849" spans="1:11" x14ac:dyDescent="0.35">
      <c r="A849" t="s">
        <v>208</v>
      </c>
      <c r="B849" t="s">
        <v>1035</v>
      </c>
      <c r="C849" t="s">
        <v>3516</v>
      </c>
      <c r="D849" t="s">
        <v>3953</v>
      </c>
      <c r="E849" t="s">
        <v>3807</v>
      </c>
      <c r="F849" t="s">
        <v>3954</v>
      </c>
      <c r="G849" t="s">
        <v>2415</v>
      </c>
      <c r="H849" t="s">
        <v>2291</v>
      </c>
      <c r="I849" t="s">
        <v>3553</v>
      </c>
      <c r="J849" t="s">
        <v>3516</v>
      </c>
      <c r="K849" t="s">
        <v>3516</v>
      </c>
    </row>
    <row r="850" spans="1:11" x14ac:dyDescent="0.35">
      <c r="A850" t="s">
        <v>572</v>
      </c>
      <c r="B850" t="s">
        <v>1396</v>
      </c>
      <c r="C850" t="s">
        <v>3715</v>
      </c>
      <c r="D850" t="s">
        <v>3783</v>
      </c>
      <c r="E850" t="s">
        <v>2350</v>
      </c>
      <c r="F850" t="s">
        <v>3604</v>
      </c>
      <c r="G850" t="s">
        <v>2325</v>
      </c>
      <c r="H850" t="s">
        <v>3955</v>
      </c>
      <c r="I850" t="s">
        <v>3956</v>
      </c>
      <c r="J850" t="s">
        <v>3516</v>
      </c>
      <c r="K850" t="s">
        <v>3516</v>
      </c>
    </row>
    <row r="851" spans="1:11" x14ac:dyDescent="0.35">
      <c r="A851" t="s">
        <v>239</v>
      </c>
      <c r="B851" t="s">
        <v>1065</v>
      </c>
    </row>
    <row r="852" spans="1:11" x14ac:dyDescent="0.35">
      <c r="A852" t="s">
        <v>240</v>
      </c>
      <c r="B852" t="s">
        <v>1066</v>
      </c>
    </row>
    <row r="853" spans="1:11" x14ac:dyDescent="0.35">
      <c r="A853" t="s">
        <v>238</v>
      </c>
      <c r="B853" t="s">
        <v>1064</v>
      </c>
    </row>
    <row r="854" spans="1:11" x14ac:dyDescent="0.35">
      <c r="A854" t="s">
        <v>637</v>
      </c>
      <c r="B854" t="s">
        <v>1461</v>
      </c>
    </row>
    <row r="855" spans="1:11" x14ac:dyDescent="0.35">
      <c r="A855" t="s">
        <v>206</v>
      </c>
      <c r="B855" t="s">
        <v>1033</v>
      </c>
      <c r="C855" t="s">
        <v>3519</v>
      </c>
      <c r="D855" t="s">
        <v>2495</v>
      </c>
      <c r="E855" t="s">
        <v>3516</v>
      </c>
      <c r="F855" t="s">
        <v>3887</v>
      </c>
      <c r="G855" t="s">
        <v>3516</v>
      </c>
      <c r="H855" t="s">
        <v>3516</v>
      </c>
      <c r="I855" t="s">
        <v>3516</v>
      </c>
      <c r="J855" t="s">
        <v>3516</v>
      </c>
      <c r="K855" t="s">
        <v>3516</v>
      </c>
    </row>
    <row r="856" spans="1:11" x14ac:dyDescent="0.35">
      <c r="A856" t="s">
        <v>674</v>
      </c>
      <c r="B856" t="s">
        <v>1498</v>
      </c>
    </row>
    <row r="857" spans="1:11" x14ac:dyDescent="0.35">
      <c r="A857" t="s">
        <v>578</v>
      </c>
      <c r="B857" t="s">
        <v>1402</v>
      </c>
    </row>
    <row r="858" spans="1:11" x14ac:dyDescent="0.35">
      <c r="A858" t="s">
        <v>622</v>
      </c>
      <c r="B858" t="s">
        <v>1446</v>
      </c>
    </row>
    <row r="859" spans="1:11" x14ac:dyDescent="0.35">
      <c r="A859" t="s">
        <v>214</v>
      </c>
      <c r="B859" t="s">
        <v>1041</v>
      </c>
    </row>
    <row r="860" spans="1:11" x14ac:dyDescent="0.35">
      <c r="A860" t="s">
        <v>519</v>
      </c>
      <c r="B860" t="s">
        <v>1343</v>
      </c>
      <c r="C860" t="s">
        <v>3815</v>
      </c>
      <c r="D860" t="s">
        <v>2262</v>
      </c>
      <c r="E860" t="s">
        <v>2319</v>
      </c>
      <c r="F860" t="s">
        <v>3957</v>
      </c>
      <c r="G860" t="s">
        <v>3958</v>
      </c>
      <c r="H860" t="s">
        <v>3959</v>
      </c>
      <c r="I860" t="s">
        <v>3960</v>
      </c>
      <c r="J860" t="s">
        <v>3516</v>
      </c>
      <c r="K860" t="s">
        <v>3516</v>
      </c>
    </row>
    <row r="861" spans="1:11" x14ac:dyDescent="0.35">
      <c r="A861" t="s">
        <v>3369</v>
      </c>
      <c r="B861" t="s">
        <v>3370</v>
      </c>
      <c r="C861" t="s">
        <v>3519</v>
      </c>
      <c r="D861" t="s">
        <v>3961</v>
      </c>
      <c r="E861" t="s">
        <v>3962</v>
      </c>
      <c r="F861" t="s">
        <v>3963</v>
      </c>
      <c r="G861" t="s">
        <v>3964</v>
      </c>
      <c r="H861" t="s">
        <v>3965</v>
      </c>
      <c r="I861" t="s">
        <v>3836</v>
      </c>
      <c r="J861" t="s">
        <v>3516</v>
      </c>
      <c r="K861" t="s">
        <v>3516</v>
      </c>
    </row>
    <row r="862" spans="1:11" x14ac:dyDescent="0.35">
      <c r="A862" t="s">
        <v>3363</v>
      </c>
      <c r="B862" t="s">
        <v>3364</v>
      </c>
      <c r="C862" t="s">
        <v>3715</v>
      </c>
      <c r="D862" t="s">
        <v>3966</v>
      </c>
      <c r="E862" t="s">
        <v>3606</v>
      </c>
      <c r="F862" t="s">
        <v>3967</v>
      </c>
      <c r="G862" t="s">
        <v>3968</v>
      </c>
      <c r="H862" t="s">
        <v>3969</v>
      </c>
      <c r="I862" t="s">
        <v>3970</v>
      </c>
      <c r="J862" t="s">
        <v>3516</v>
      </c>
      <c r="K862" t="s">
        <v>3516</v>
      </c>
    </row>
    <row r="863" spans="1:11" x14ac:dyDescent="0.35">
      <c r="A863" t="s">
        <v>515</v>
      </c>
      <c r="B863" t="s">
        <v>1339</v>
      </c>
    </row>
    <row r="864" spans="1:11" x14ac:dyDescent="0.35">
      <c r="A864" t="s">
        <v>388</v>
      </c>
      <c r="B864" t="s">
        <v>1212</v>
      </c>
      <c r="C864" t="s">
        <v>3536</v>
      </c>
      <c r="D864" t="s">
        <v>2262</v>
      </c>
      <c r="E864" t="s">
        <v>3516</v>
      </c>
      <c r="F864" t="s">
        <v>2415</v>
      </c>
      <c r="G864" t="s">
        <v>2119</v>
      </c>
      <c r="H864" t="s">
        <v>2339</v>
      </c>
      <c r="I864" t="s">
        <v>3846</v>
      </c>
      <c r="J864" t="s">
        <v>3516</v>
      </c>
      <c r="K864" t="s">
        <v>3516</v>
      </c>
    </row>
    <row r="865" spans="1:2" x14ac:dyDescent="0.35">
      <c r="A865" t="s">
        <v>110</v>
      </c>
      <c r="B865" t="s">
        <v>939</v>
      </c>
    </row>
    <row r="866" spans="1:2" x14ac:dyDescent="0.35">
      <c r="A866" t="s">
        <v>661</v>
      </c>
      <c r="B866" t="s">
        <v>1485</v>
      </c>
    </row>
    <row r="867" spans="1:2" x14ac:dyDescent="0.35">
      <c r="A867" t="s">
        <v>476</v>
      </c>
      <c r="B867" t="s">
        <v>1300</v>
      </c>
    </row>
    <row r="868" spans="1:2" x14ac:dyDescent="0.35">
      <c r="A868" t="s">
        <v>613</v>
      </c>
      <c r="B868" t="s">
        <v>1437</v>
      </c>
    </row>
    <row r="869" spans="1:2" x14ac:dyDescent="0.35">
      <c r="A869" t="s">
        <v>170</v>
      </c>
      <c r="B869" t="s">
        <v>999</v>
      </c>
    </row>
    <row r="870" spans="1:2" x14ac:dyDescent="0.35">
      <c r="A870" t="s">
        <v>548</v>
      </c>
      <c r="B870" t="s">
        <v>1372</v>
      </c>
    </row>
    <row r="871" spans="1:2" x14ac:dyDescent="0.35">
      <c r="A871" t="s">
        <v>396</v>
      </c>
      <c r="B871" t="s">
        <v>1220</v>
      </c>
    </row>
    <row r="872" spans="1:2" x14ac:dyDescent="0.35">
      <c r="A872" t="s">
        <v>377</v>
      </c>
      <c r="B872" t="s">
        <v>1201</v>
      </c>
    </row>
    <row r="873" spans="1:2" x14ac:dyDescent="0.35">
      <c r="A873" t="s">
        <v>5</v>
      </c>
      <c r="B873" t="s">
        <v>834</v>
      </c>
    </row>
    <row r="874" spans="1:2" x14ac:dyDescent="0.35">
      <c r="A874" t="s">
        <v>235</v>
      </c>
      <c r="B874" t="s">
        <v>1062</v>
      </c>
    </row>
    <row r="875" spans="1:2" x14ac:dyDescent="0.35">
      <c r="A875" t="s">
        <v>393</v>
      </c>
      <c r="B875" t="s">
        <v>1217</v>
      </c>
    </row>
    <row r="876" spans="1:2" x14ac:dyDescent="0.35">
      <c r="A876" t="s">
        <v>328</v>
      </c>
      <c r="B876" t="s">
        <v>1153</v>
      </c>
    </row>
    <row r="877" spans="1:2" x14ac:dyDescent="0.35">
      <c r="A877" t="s">
        <v>209</v>
      </c>
      <c r="B877" t="s">
        <v>1036</v>
      </c>
    </row>
    <row r="878" spans="1:2" x14ac:dyDescent="0.35">
      <c r="A878" t="s">
        <v>275</v>
      </c>
      <c r="B878" t="s">
        <v>1101</v>
      </c>
    </row>
    <row r="879" spans="1:2" x14ac:dyDescent="0.35">
      <c r="A879" t="s">
        <v>316</v>
      </c>
      <c r="B879" t="s">
        <v>1141</v>
      </c>
    </row>
    <row r="880" spans="1:2" x14ac:dyDescent="0.35">
      <c r="A880" t="s">
        <v>178</v>
      </c>
      <c r="B880" t="s">
        <v>1007</v>
      </c>
    </row>
    <row r="881" spans="1:11" x14ac:dyDescent="0.35">
      <c r="A881" t="s">
        <v>151</v>
      </c>
      <c r="B881" t="s">
        <v>980</v>
      </c>
    </row>
    <row r="882" spans="1:11" x14ac:dyDescent="0.35">
      <c r="A882" t="s">
        <v>761</v>
      </c>
      <c r="B882" t="s">
        <v>1585</v>
      </c>
    </row>
    <row r="883" spans="1:11" x14ac:dyDescent="0.35">
      <c r="A883" t="s">
        <v>424</v>
      </c>
      <c r="B883" t="s">
        <v>1248</v>
      </c>
      <c r="C883" t="s">
        <v>3536</v>
      </c>
      <c r="D883" t="s">
        <v>3910</v>
      </c>
      <c r="E883" t="s">
        <v>2337</v>
      </c>
      <c r="F883" t="s">
        <v>3971</v>
      </c>
      <c r="G883" t="s">
        <v>2279</v>
      </c>
      <c r="H883" t="s">
        <v>3829</v>
      </c>
      <c r="I883" t="s">
        <v>3903</v>
      </c>
      <c r="J883" t="s">
        <v>3516</v>
      </c>
      <c r="K883" t="s">
        <v>3516</v>
      </c>
    </row>
    <row r="884" spans="1:11" x14ac:dyDescent="0.35">
      <c r="A884" t="s">
        <v>317</v>
      </c>
      <c r="B884" t="s">
        <v>1142</v>
      </c>
    </row>
    <row r="885" spans="1:11" x14ac:dyDescent="0.35">
      <c r="A885" t="s">
        <v>96</v>
      </c>
      <c r="B885" t="s">
        <v>925</v>
      </c>
      <c r="C885" t="s">
        <v>3519</v>
      </c>
      <c r="D885" t="s">
        <v>3972</v>
      </c>
      <c r="E885" t="s">
        <v>3764</v>
      </c>
      <c r="F885" t="s">
        <v>3973</v>
      </c>
      <c r="G885" t="s">
        <v>3974</v>
      </c>
      <c r="H885" t="s">
        <v>3975</v>
      </c>
      <c r="I885" t="s">
        <v>2374</v>
      </c>
      <c r="J885" t="s">
        <v>3516</v>
      </c>
      <c r="K885" t="s">
        <v>3516</v>
      </c>
    </row>
    <row r="886" spans="1:11" x14ac:dyDescent="0.35">
      <c r="A886" t="s">
        <v>580</v>
      </c>
      <c r="B886" t="s">
        <v>1404</v>
      </c>
    </row>
    <row r="887" spans="1:11" x14ac:dyDescent="0.35">
      <c r="A887" t="s">
        <v>560</v>
      </c>
      <c r="B887" t="s">
        <v>1384</v>
      </c>
    </row>
    <row r="888" spans="1:11" x14ac:dyDescent="0.35">
      <c r="A888" t="s">
        <v>651</v>
      </c>
      <c r="B888" t="s">
        <v>1475</v>
      </c>
    </row>
    <row r="889" spans="1:11" x14ac:dyDescent="0.35">
      <c r="A889" t="s">
        <v>245</v>
      </c>
      <c r="B889" t="s">
        <v>1071</v>
      </c>
      <c r="C889" t="s">
        <v>3536</v>
      </c>
      <c r="D889" t="s">
        <v>3976</v>
      </c>
      <c r="E889" t="s">
        <v>3516</v>
      </c>
      <c r="F889" t="s">
        <v>3977</v>
      </c>
      <c r="G889" t="s">
        <v>3516</v>
      </c>
      <c r="H889" t="s">
        <v>3954</v>
      </c>
      <c r="I889" t="s">
        <v>3516</v>
      </c>
      <c r="J889" t="s">
        <v>3516</v>
      </c>
      <c r="K889" t="s">
        <v>3516</v>
      </c>
    </row>
    <row r="890" spans="1:11" x14ac:dyDescent="0.35">
      <c r="A890" t="s">
        <v>343</v>
      </c>
      <c r="B890" t="s">
        <v>1167</v>
      </c>
    </row>
    <row r="891" spans="1:11" x14ac:dyDescent="0.35">
      <c r="A891" t="s">
        <v>100</v>
      </c>
      <c r="B891" t="s">
        <v>929</v>
      </c>
    </row>
    <row r="892" spans="1:11" x14ac:dyDescent="0.35">
      <c r="A892" t="s">
        <v>99</v>
      </c>
      <c r="B892" t="s">
        <v>928</v>
      </c>
    </row>
    <row r="893" spans="1:11" x14ac:dyDescent="0.35">
      <c r="A893" t="s">
        <v>535</v>
      </c>
      <c r="B893" t="s">
        <v>1359</v>
      </c>
      <c r="C893" t="s">
        <v>3554</v>
      </c>
      <c r="D893" t="s">
        <v>3978</v>
      </c>
      <c r="E893" t="s">
        <v>3924</v>
      </c>
      <c r="F893" t="s">
        <v>3979</v>
      </c>
      <c r="G893" t="s">
        <v>3980</v>
      </c>
      <c r="H893" t="s">
        <v>3981</v>
      </c>
      <c r="I893" t="s">
        <v>3982</v>
      </c>
      <c r="J893" t="s">
        <v>3516</v>
      </c>
      <c r="K893" t="s">
        <v>3516</v>
      </c>
    </row>
    <row r="894" spans="1:11" x14ac:dyDescent="0.35">
      <c r="A894" t="s">
        <v>507</v>
      </c>
      <c r="B894" t="s">
        <v>1331</v>
      </c>
      <c r="C894" t="s">
        <v>3519</v>
      </c>
      <c r="D894" t="s">
        <v>3983</v>
      </c>
      <c r="E894" t="s">
        <v>2424</v>
      </c>
      <c r="F894" t="s">
        <v>3984</v>
      </c>
      <c r="G894" t="s">
        <v>2287</v>
      </c>
      <c r="H894" t="s">
        <v>3985</v>
      </c>
      <c r="I894" t="s">
        <v>3986</v>
      </c>
      <c r="J894" t="s">
        <v>3516</v>
      </c>
      <c r="K894" t="s">
        <v>3516</v>
      </c>
    </row>
    <row r="895" spans="1:11" x14ac:dyDescent="0.35">
      <c r="A895" t="s">
        <v>127</v>
      </c>
      <c r="B895" t="s">
        <v>956</v>
      </c>
    </row>
    <row r="896" spans="1:11" x14ac:dyDescent="0.35">
      <c r="A896" t="s">
        <v>816</v>
      </c>
      <c r="B896" t="s">
        <v>1639</v>
      </c>
    </row>
    <row r="897" spans="1:2" x14ac:dyDescent="0.35">
      <c r="A897" t="s">
        <v>612</v>
      </c>
      <c r="B897" t="s">
        <v>1436</v>
      </c>
    </row>
    <row r="898" spans="1:2" x14ac:dyDescent="0.35">
      <c r="A898" t="s">
        <v>550</v>
      </c>
      <c r="B898" t="s">
        <v>1374</v>
      </c>
    </row>
    <row r="899" spans="1:2" x14ac:dyDescent="0.35">
      <c r="A899" t="s">
        <v>95</v>
      </c>
      <c r="B899" t="s">
        <v>924</v>
      </c>
    </row>
    <row r="900" spans="1:2" x14ac:dyDescent="0.35">
      <c r="A900" t="s">
        <v>611</v>
      </c>
      <c r="B900" t="s">
        <v>1435</v>
      </c>
    </row>
    <row r="901" spans="1:2" x14ac:dyDescent="0.35">
      <c r="A901" t="s">
        <v>551</v>
      </c>
      <c r="B901" t="s">
        <v>1375</v>
      </c>
    </row>
    <row r="902" spans="1:2" x14ac:dyDescent="0.35">
      <c r="A902" t="s">
        <v>98</v>
      </c>
      <c r="B902" t="s">
        <v>927</v>
      </c>
    </row>
    <row r="903" spans="1:2" x14ac:dyDescent="0.35">
      <c r="A903" t="s">
        <v>421</v>
      </c>
      <c r="B903" t="s">
        <v>1245</v>
      </c>
    </row>
    <row r="904" spans="1:2" x14ac:dyDescent="0.35">
      <c r="A904" t="s">
        <v>762</v>
      </c>
      <c r="B904" t="s">
        <v>1586</v>
      </c>
    </row>
    <row r="905" spans="1:2" x14ac:dyDescent="0.35">
      <c r="A905" t="s">
        <v>200</v>
      </c>
      <c r="B905" t="s">
        <v>1028</v>
      </c>
    </row>
    <row r="906" spans="1:2" x14ac:dyDescent="0.35">
      <c r="A906" t="s">
        <v>367</v>
      </c>
      <c r="B906" t="s">
        <v>1191</v>
      </c>
    </row>
    <row r="907" spans="1:2" x14ac:dyDescent="0.35">
      <c r="A907" t="s">
        <v>587</v>
      </c>
      <c r="B907" t="s">
        <v>1411</v>
      </c>
    </row>
    <row r="908" spans="1:2" x14ac:dyDescent="0.35">
      <c r="A908" t="s">
        <v>545</v>
      </c>
      <c r="B908" t="s">
        <v>1369</v>
      </c>
    </row>
    <row r="909" spans="1:2" x14ac:dyDescent="0.35">
      <c r="A909" t="s">
        <v>538</v>
      </c>
      <c r="B909" t="s">
        <v>1362</v>
      </c>
    </row>
    <row r="910" spans="1:2" x14ac:dyDescent="0.35">
      <c r="A910" t="s">
        <v>29</v>
      </c>
      <c r="B910" t="s">
        <v>858</v>
      </c>
    </row>
    <row r="911" spans="1:2" x14ac:dyDescent="0.35">
      <c r="A911" t="s">
        <v>499</v>
      </c>
      <c r="B911" t="s">
        <v>1323</v>
      </c>
    </row>
    <row r="912" spans="1:2" x14ac:dyDescent="0.35">
      <c r="A912" t="s">
        <v>733</v>
      </c>
      <c r="B912" t="s">
        <v>1557</v>
      </c>
    </row>
    <row r="913" spans="1:2" x14ac:dyDescent="0.35">
      <c r="A913" t="s">
        <v>78</v>
      </c>
      <c r="B913" t="s">
        <v>907</v>
      </c>
    </row>
    <row r="914" spans="1:2" x14ac:dyDescent="0.35">
      <c r="A914" t="s">
        <v>542</v>
      </c>
      <c r="B914" t="s">
        <v>1366</v>
      </c>
    </row>
    <row r="915" spans="1:2" x14ac:dyDescent="0.35">
      <c r="A915" t="s">
        <v>303</v>
      </c>
      <c r="B915" t="s">
        <v>1128</v>
      </c>
    </row>
    <row r="916" spans="1:2" x14ac:dyDescent="0.35">
      <c r="A916" t="s">
        <v>184</v>
      </c>
    </row>
    <row r="917" spans="1:2" x14ac:dyDescent="0.35">
      <c r="A917" t="s">
        <v>203</v>
      </c>
    </row>
    <row r="918" spans="1:2" x14ac:dyDescent="0.35">
      <c r="A918" t="s">
        <v>284</v>
      </c>
    </row>
    <row r="919" spans="1:2" x14ac:dyDescent="0.35">
      <c r="A919" t="s">
        <v>819</v>
      </c>
    </row>
    <row r="920" spans="1:2" x14ac:dyDescent="0.35">
      <c r="A920" t="s">
        <v>3325</v>
      </c>
    </row>
    <row r="921" spans="1:2" x14ac:dyDescent="0.35">
      <c r="A921" t="s">
        <v>3409</v>
      </c>
    </row>
    <row r="922" spans="1:2" x14ac:dyDescent="0.35">
      <c r="A922" t="s">
        <v>3410</v>
      </c>
    </row>
    <row r="923" spans="1:2" x14ac:dyDescent="0.35">
      <c r="A923" t="s">
        <v>3411</v>
      </c>
    </row>
    <row r="924" spans="1:2" x14ac:dyDescent="0.35">
      <c r="A924" t="s">
        <v>3414</v>
      </c>
    </row>
    <row r="925" spans="1:2" x14ac:dyDescent="0.35">
      <c r="A925" t="s">
        <v>383</v>
      </c>
      <c r="B925" t="s">
        <v>1207</v>
      </c>
    </row>
    <row r="926" spans="1:2" x14ac:dyDescent="0.35">
      <c r="A926" t="s">
        <v>19</v>
      </c>
      <c r="B926" t="s">
        <v>848</v>
      </c>
    </row>
    <row r="927" spans="1:2" x14ac:dyDescent="0.35">
      <c r="A927" t="s">
        <v>438</v>
      </c>
      <c r="B927" t="s">
        <v>1262</v>
      </c>
    </row>
    <row r="928" spans="1:2" x14ac:dyDescent="0.35">
      <c r="A928" t="s">
        <v>389</v>
      </c>
      <c r="B928" t="s">
        <v>1213</v>
      </c>
    </row>
    <row r="929" spans="1:11" x14ac:dyDescent="0.35">
      <c r="A929" t="s">
        <v>394</v>
      </c>
      <c r="B929" t="s">
        <v>1218</v>
      </c>
    </row>
    <row r="930" spans="1:11" x14ac:dyDescent="0.35">
      <c r="A930" t="s">
        <v>281</v>
      </c>
      <c r="B930" t="s">
        <v>1107</v>
      </c>
    </row>
    <row r="931" spans="1:11" x14ac:dyDescent="0.35">
      <c r="A931" t="s">
        <v>475</v>
      </c>
      <c r="B931" t="s">
        <v>1299</v>
      </c>
    </row>
    <row r="932" spans="1:11" x14ac:dyDescent="0.35">
      <c r="A932" t="s">
        <v>497</v>
      </c>
      <c r="B932" t="s">
        <v>1321</v>
      </c>
    </row>
    <row r="933" spans="1:11" x14ac:dyDescent="0.35">
      <c r="A933" t="s">
        <v>496</v>
      </c>
      <c r="B933" t="s">
        <v>1320</v>
      </c>
    </row>
    <row r="934" spans="1:11" x14ac:dyDescent="0.35">
      <c r="A934" t="s">
        <v>3373</v>
      </c>
      <c r="B934" t="s">
        <v>3374</v>
      </c>
    </row>
    <row r="935" spans="1:11" x14ac:dyDescent="0.35">
      <c r="A935" t="s">
        <v>348</v>
      </c>
      <c r="B935" t="s">
        <v>1172</v>
      </c>
      <c r="C935" t="s">
        <v>3530</v>
      </c>
      <c r="D935" t="s">
        <v>3987</v>
      </c>
      <c r="E935" t="s">
        <v>3988</v>
      </c>
      <c r="F935" t="s">
        <v>3989</v>
      </c>
      <c r="G935" t="s">
        <v>3990</v>
      </c>
      <c r="H935" t="s">
        <v>2343</v>
      </c>
      <c r="I935" t="s">
        <v>3553</v>
      </c>
      <c r="J935" t="s">
        <v>3516</v>
      </c>
      <c r="K935" t="s">
        <v>3516</v>
      </c>
    </row>
    <row r="936" spans="1:11" x14ac:dyDescent="0.35">
      <c r="A936" t="s">
        <v>52</v>
      </c>
      <c r="B936" t="s">
        <v>881</v>
      </c>
    </row>
    <row r="937" spans="1:11" x14ac:dyDescent="0.35">
      <c r="A937" t="s">
        <v>407</v>
      </c>
      <c r="B937" t="s">
        <v>1231</v>
      </c>
    </row>
    <row r="938" spans="1:11" x14ac:dyDescent="0.35">
      <c r="A938" t="s">
        <v>492</v>
      </c>
      <c r="B938" t="s">
        <v>1316</v>
      </c>
    </row>
    <row r="939" spans="1:11" x14ac:dyDescent="0.35">
      <c r="A939" t="s">
        <v>636</v>
      </c>
      <c r="B939" t="s">
        <v>1460</v>
      </c>
    </row>
    <row r="940" spans="1:11" x14ac:dyDescent="0.35">
      <c r="A940" t="s">
        <v>477</v>
      </c>
      <c r="B940" t="s">
        <v>1301</v>
      </c>
    </row>
    <row r="941" spans="1:11" x14ac:dyDescent="0.35">
      <c r="A941" t="s">
        <v>558</v>
      </c>
      <c r="B941" t="s">
        <v>1382</v>
      </c>
    </row>
    <row r="942" spans="1:11" x14ac:dyDescent="0.35">
      <c r="A942" t="s">
        <v>468</v>
      </c>
      <c r="B942" t="s">
        <v>1292</v>
      </c>
    </row>
    <row r="943" spans="1:11" x14ac:dyDescent="0.35">
      <c r="A943" t="s">
        <v>777</v>
      </c>
      <c r="B943" t="s">
        <v>1601</v>
      </c>
    </row>
    <row r="944" spans="1:11" x14ac:dyDescent="0.35">
      <c r="A944" t="s">
        <v>176</v>
      </c>
      <c r="B944" t="s">
        <v>1005</v>
      </c>
    </row>
    <row r="945" spans="1:11" x14ac:dyDescent="0.35">
      <c r="A945" t="s">
        <v>1879</v>
      </c>
      <c r="B945" t="s">
        <v>3344</v>
      </c>
    </row>
    <row r="946" spans="1:11" x14ac:dyDescent="0.35">
      <c r="A946" t="s">
        <v>409</v>
      </c>
      <c r="B946" t="s">
        <v>1233</v>
      </c>
      <c r="C946" t="s">
        <v>3519</v>
      </c>
      <c r="D946" t="s">
        <v>2429</v>
      </c>
      <c r="E946" t="s">
        <v>3516</v>
      </c>
      <c r="F946" t="s">
        <v>3967</v>
      </c>
      <c r="G946" t="s">
        <v>2546</v>
      </c>
      <c r="H946" t="s">
        <v>3516</v>
      </c>
      <c r="I946" t="s">
        <v>3516</v>
      </c>
      <c r="J946" t="s">
        <v>3516</v>
      </c>
      <c r="K946" t="s">
        <v>3516</v>
      </c>
    </row>
    <row r="947" spans="1:11" x14ac:dyDescent="0.35">
      <c r="A947" t="s">
        <v>201</v>
      </c>
      <c r="B947" t="s">
        <v>1029</v>
      </c>
    </row>
    <row r="948" spans="1:11" x14ac:dyDescent="0.35">
      <c r="A948" t="s">
        <v>119</v>
      </c>
      <c r="B948" t="s">
        <v>948</v>
      </c>
    </row>
    <row r="949" spans="1:11" x14ac:dyDescent="0.35">
      <c r="A949" t="s">
        <v>562</v>
      </c>
      <c r="B949" t="s">
        <v>1386</v>
      </c>
    </row>
    <row r="950" spans="1:11" x14ac:dyDescent="0.35">
      <c r="A950" t="s">
        <v>599</v>
      </c>
      <c r="B950" t="s">
        <v>1423</v>
      </c>
      <c r="C950" t="s">
        <v>3514</v>
      </c>
      <c r="D950" t="s">
        <v>3991</v>
      </c>
      <c r="E950" t="s">
        <v>3992</v>
      </c>
      <c r="F950" t="s">
        <v>3993</v>
      </c>
      <c r="G950" t="s">
        <v>2505</v>
      </c>
      <c r="H950" t="s">
        <v>3994</v>
      </c>
      <c r="I950" t="s">
        <v>3995</v>
      </c>
      <c r="J950" t="s">
        <v>3516</v>
      </c>
      <c r="K950" t="s">
        <v>3516</v>
      </c>
    </row>
    <row r="951" spans="1:11" x14ac:dyDescent="0.35">
      <c r="A951" t="s">
        <v>79</v>
      </c>
      <c r="B951" t="s">
        <v>908</v>
      </c>
    </row>
    <row r="952" spans="1:11" x14ac:dyDescent="0.35">
      <c r="A952" t="s">
        <v>212</v>
      </c>
      <c r="B952" t="s">
        <v>1039</v>
      </c>
    </row>
    <row r="953" spans="1:11" x14ac:dyDescent="0.35">
      <c r="A953" t="s">
        <v>20</v>
      </c>
      <c r="B953" t="s">
        <v>849</v>
      </c>
    </row>
    <row r="954" spans="1:11" x14ac:dyDescent="0.35">
      <c r="A954" t="s">
        <v>17</v>
      </c>
      <c r="B954" t="s">
        <v>846</v>
      </c>
    </row>
    <row r="955" spans="1:11" x14ac:dyDescent="0.35">
      <c r="A955" t="s">
        <v>490</v>
      </c>
      <c r="B955" t="s">
        <v>1314</v>
      </c>
    </row>
    <row r="956" spans="1:11" x14ac:dyDescent="0.35">
      <c r="A956" t="s">
        <v>518</v>
      </c>
      <c r="B956" t="s">
        <v>1342</v>
      </c>
    </row>
    <row r="957" spans="1:11" x14ac:dyDescent="0.35">
      <c r="A957" t="s">
        <v>766</v>
      </c>
      <c r="B957" t="s">
        <v>1590</v>
      </c>
    </row>
    <row r="958" spans="1:11" x14ac:dyDescent="0.35">
      <c r="A958" t="s">
        <v>262</v>
      </c>
      <c r="B958" t="s">
        <v>1088</v>
      </c>
    </row>
    <row r="959" spans="1:11" x14ac:dyDescent="0.35">
      <c r="A959" t="s">
        <v>768</v>
      </c>
      <c r="B959" t="s">
        <v>1592</v>
      </c>
    </row>
    <row r="960" spans="1:11" x14ac:dyDescent="0.35">
      <c r="A960" t="s">
        <v>47</v>
      </c>
      <c r="B960" t="s">
        <v>876</v>
      </c>
    </row>
    <row r="961" spans="1:11" x14ac:dyDescent="0.35">
      <c r="A961" t="s">
        <v>278</v>
      </c>
      <c r="B961" t="s">
        <v>1104</v>
      </c>
    </row>
    <row r="962" spans="1:11" x14ac:dyDescent="0.35">
      <c r="A962" t="s">
        <v>10</v>
      </c>
      <c r="B962" t="s">
        <v>839</v>
      </c>
    </row>
    <row r="963" spans="1:11" x14ac:dyDescent="0.35">
      <c r="A963" t="s">
        <v>206</v>
      </c>
      <c r="B963" t="s">
        <v>1033</v>
      </c>
    </row>
    <row r="964" spans="1:11" x14ac:dyDescent="0.35">
      <c r="A964" t="s">
        <v>622</v>
      </c>
      <c r="B964" t="s">
        <v>1446</v>
      </c>
      <c r="C964" t="s">
        <v>3514</v>
      </c>
      <c r="D964" t="s">
        <v>3996</v>
      </c>
      <c r="E964" t="s">
        <v>2341</v>
      </c>
      <c r="F964" t="s">
        <v>3997</v>
      </c>
      <c r="G964" t="s">
        <v>2303</v>
      </c>
      <c r="H964" t="s">
        <v>3998</v>
      </c>
      <c r="I964" t="s">
        <v>3755</v>
      </c>
      <c r="J964" t="s">
        <v>3516</v>
      </c>
      <c r="K964" t="s">
        <v>3516</v>
      </c>
    </row>
    <row r="965" spans="1:11" x14ac:dyDescent="0.35">
      <c r="A965" t="s">
        <v>424</v>
      </c>
      <c r="B965" t="s">
        <v>1248</v>
      </c>
    </row>
    <row r="966" spans="1:11" x14ac:dyDescent="0.35">
      <c r="A966" t="s">
        <v>245</v>
      </c>
      <c r="B966" t="s">
        <v>1071</v>
      </c>
    </row>
  </sheetData>
  <pageMargins left="0.7" right="0.7" top="0.75" bottom="0.75" header="0.3" footer="0.3"/>
  <pageSetup paperSize="9" orientation="portrait" horizontalDpi="4294967293"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DB9F8-6D4E-473E-9B72-49D8C1368477}">
  <dimension ref="A1:M912"/>
  <sheetViews>
    <sheetView workbookViewId="0">
      <pane ySplit="1" topLeftCell="A2" activePane="bottomLeft" state="frozen"/>
      <selection pane="bottomLeft" activeCell="D915" sqref="D915"/>
    </sheetView>
  </sheetViews>
  <sheetFormatPr defaultRowHeight="14.5" x14ac:dyDescent="0.35"/>
  <cols>
    <col min="1" max="1" width="12.54296875" customWidth="1"/>
    <col min="2" max="2" width="21.7265625" customWidth="1"/>
    <col min="3" max="3" width="35" customWidth="1"/>
    <col min="4" max="4" width="35.81640625" bestFit="1" customWidth="1"/>
    <col min="5" max="6" width="35.81640625" customWidth="1"/>
    <col min="7" max="7" width="14.1796875" bestFit="1" customWidth="1"/>
  </cols>
  <sheetData>
    <row r="1" spans="1:7" s="12" customFormat="1" x14ac:dyDescent="0.35">
      <c r="A1" s="11" t="s">
        <v>2103</v>
      </c>
      <c r="B1" s="11" t="s">
        <v>1650</v>
      </c>
      <c r="C1" s="11" t="s">
        <v>1678</v>
      </c>
      <c r="D1" s="11" t="s">
        <v>1679</v>
      </c>
      <c r="E1" s="11" t="s">
        <v>3479</v>
      </c>
      <c r="F1" s="11" t="s">
        <v>4081</v>
      </c>
      <c r="G1" s="11" t="s">
        <v>4082</v>
      </c>
    </row>
    <row r="2" spans="1:7" x14ac:dyDescent="0.35">
      <c r="A2" t="s">
        <v>305</v>
      </c>
      <c r="B2" s="7" t="s">
        <v>1130</v>
      </c>
      <c r="F2" s="57">
        <v>44573</v>
      </c>
    </row>
    <row r="3" spans="1:7" x14ac:dyDescent="0.35">
      <c r="A3" t="s">
        <v>266</v>
      </c>
      <c r="B3" s="7" t="s">
        <v>1092</v>
      </c>
      <c r="F3" s="57">
        <v>44573</v>
      </c>
    </row>
    <row r="4" spans="1:7" x14ac:dyDescent="0.35">
      <c r="A4" t="s">
        <v>179</v>
      </c>
      <c r="B4" s="7" t="s">
        <v>1008</v>
      </c>
      <c r="F4" s="57">
        <v>44573</v>
      </c>
    </row>
    <row r="5" spans="1:7" x14ac:dyDescent="0.35">
      <c r="A5" t="s">
        <v>264</v>
      </c>
      <c r="B5" s="7" t="s">
        <v>1090</v>
      </c>
      <c r="F5" s="57">
        <v>44573</v>
      </c>
    </row>
    <row r="6" spans="1:7" x14ac:dyDescent="0.35">
      <c r="A6" s="4" t="s">
        <v>779</v>
      </c>
      <c r="B6" s="7" t="s">
        <v>1602</v>
      </c>
      <c r="F6" s="57">
        <v>44573</v>
      </c>
    </row>
    <row r="7" spans="1:7" x14ac:dyDescent="0.35">
      <c r="A7" t="s">
        <v>539</v>
      </c>
      <c r="B7" s="7" t="s">
        <v>1363</v>
      </c>
      <c r="F7" s="57">
        <v>44573</v>
      </c>
    </row>
    <row r="8" spans="1:7" x14ac:dyDescent="0.35">
      <c r="A8" t="s">
        <v>517</v>
      </c>
      <c r="B8" s="7" t="s">
        <v>1341</v>
      </c>
      <c r="F8" s="57">
        <v>44573</v>
      </c>
    </row>
    <row r="9" spans="1:7" x14ac:dyDescent="0.35">
      <c r="A9" t="s">
        <v>462</v>
      </c>
      <c r="B9" s="7" t="s">
        <v>1286</v>
      </c>
      <c r="F9" s="57">
        <v>44573</v>
      </c>
    </row>
    <row r="10" spans="1:7" x14ac:dyDescent="0.35">
      <c r="A10" t="s">
        <v>258</v>
      </c>
      <c r="B10" s="7" t="s">
        <v>1084</v>
      </c>
      <c r="F10" s="57">
        <v>44573</v>
      </c>
    </row>
    <row r="11" spans="1:7" x14ac:dyDescent="0.35">
      <c r="A11" t="s">
        <v>253</v>
      </c>
      <c r="B11" s="7" t="s">
        <v>1079</v>
      </c>
      <c r="F11" s="57">
        <v>44573</v>
      </c>
    </row>
    <row r="12" spans="1:7" x14ac:dyDescent="0.35">
      <c r="A12" t="s">
        <v>708</v>
      </c>
      <c r="B12" s="7" t="s">
        <v>1532</v>
      </c>
      <c r="F12" s="57">
        <v>44573</v>
      </c>
    </row>
    <row r="13" spans="1:7" x14ac:dyDescent="0.35">
      <c r="A13" t="s">
        <v>729</v>
      </c>
      <c r="B13" s="7" t="s">
        <v>1553</v>
      </c>
      <c r="F13" s="57">
        <v>44573</v>
      </c>
    </row>
    <row r="14" spans="1:7" x14ac:dyDescent="0.35">
      <c r="A14" t="s">
        <v>718</v>
      </c>
      <c r="B14" s="7" t="s">
        <v>1542</v>
      </c>
      <c r="F14" s="57">
        <v>44573</v>
      </c>
    </row>
    <row r="15" spans="1:7" x14ac:dyDescent="0.35">
      <c r="A15" t="s">
        <v>715</v>
      </c>
      <c r="B15" s="7" t="s">
        <v>1539</v>
      </c>
      <c r="F15" s="57">
        <v>44573</v>
      </c>
    </row>
    <row r="16" spans="1:7" x14ac:dyDescent="0.35">
      <c r="A16" t="s">
        <v>824</v>
      </c>
      <c r="B16" s="7" t="s">
        <v>1646</v>
      </c>
      <c r="F16" s="57">
        <v>44573</v>
      </c>
    </row>
    <row r="17" spans="1:7" x14ac:dyDescent="0.35">
      <c r="A17" t="s">
        <v>15</v>
      </c>
      <c r="B17" s="7" t="s">
        <v>844</v>
      </c>
      <c r="F17" s="57">
        <v>44573</v>
      </c>
    </row>
    <row r="18" spans="1:7" x14ac:dyDescent="0.35">
      <c r="A18" t="s">
        <v>707</v>
      </c>
      <c r="B18" s="7" t="s">
        <v>1531</v>
      </c>
      <c r="F18" s="57">
        <v>44573</v>
      </c>
    </row>
    <row r="19" spans="1:7" x14ac:dyDescent="0.35">
      <c r="A19" s="6" t="s">
        <v>817</v>
      </c>
      <c r="B19" t="s">
        <v>1640</v>
      </c>
      <c r="F19" s="57">
        <v>44573</v>
      </c>
    </row>
    <row r="20" spans="1:7" x14ac:dyDescent="0.35">
      <c r="A20" t="s">
        <v>813</v>
      </c>
      <c r="B20" s="7" t="s">
        <v>1636</v>
      </c>
      <c r="F20" s="57">
        <v>44573</v>
      </c>
    </row>
    <row r="21" spans="1:7" x14ac:dyDescent="0.35">
      <c r="A21" t="s">
        <v>795</v>
      </c>
      <c r="B21" s="7" t="s">
        <v>1618</v>
      </c>
      <c r="F21" s="57">
        <v>44573</v>
      </c>
    </row>
    <row r="22" spans="1:7" x14ac:dyDescent="0.35">
      <c r="A22" t="s">
        <v>227</v>
      </c>
      <c r="B22" s="7" t="s">
        <v>1054</v>
      </c>
      <c r="F22" s="57">
        <v>44573</v>
      </c>
    </row>
    <row r="23" spans="1:7" x14ac:dyDescent="0.35">
      <c r="A23" t="s">
        <v>319</v>
      </c>
      <c r="B23" s="7" t="s">
        <v>1144</v>
      </c>
      <c r="F23" s="57">
        <v>44573</v>
      </c>
    </row>
    <row r="24" spans="1:7" x14ac:dyDescent="0.35">
      <c r="A24" t="s">
        <v>457</v>
      </c>
      <c r="B24" s="7" t="s">
        <v>1281</v>
      </c>
      <c r="F24" s="57">
        <v>44573</v>
      </c>
    </row>
    <row r="25" spans="1:7" x14ac:dyDescent="0.35">
      <c r="A25" t="s">
        <v>132</v>
      </c>
      <c r="B25" s="7" t="s">
        <v>961</v>
      </c>
      <c r="F25" s="57">
        <v>44573</v>
      </c>
    </row>
    <row r="26" spans="1:7" x14ac:dyDescent="0.35">
      <c r="A26" t="s">
        <v>310</v>
      </c>
      <c r="B26" s="7" t="s">
        <v>1135</v>
      </c>
      <c r="F26" s="57">
        <v>44573</v>
      </c>
    </row>
    <row r="27" spans="1:7" x14ac:dyDescent="0.35">
      <c r="A27" t="s">
        <v>723</v>
      </c>
      <c r="B27" s="7" t="s">
        <v>1547</v>
      </c>
      <c r="F27" s="57">
        <v>44573</v>
      </c>
    </row>
    <row r="28" spans="1:7" x14ac:dyDescent="0.35">
      <c r="A28" t="s">
        <v>800</v>
      </c>
      <c r="B28" s="7" t="s">
        <v>1623</v>
      </c>
      <c r="F28" s="57">
        <v>44573</v>
      </c>
    </row>
    <row r="29" spans="1:7" x14ac:dyDescent="0.35">
      <c r="A29" t="s">
        <v>822</v>
      </c>
      <c r="B29" s="7" t="s">
        <v>1644</v>
      </c>
      <c r="F29" s="57">
        <v>44573</v>
      </c>
    </row>
    <row r="30" spans="1:7" x14ac:dyDescent="0.35">
      <c r="A30" t="s">
        <v>633</v>
      </c>
      <c r="B30" s="7" t="s">
        <v>1457</v>
      </c>
      <c r="D30" t="s">
        <v>2375</v>
      </c>
      <c r="E30" t="s">
        <v>4106</v>
      </c>
      <c r="F30" s="57">
        <v>44573</v>
      </c>
      <c r="G30" t="s">
        <v>4083</v>
      </c>
    </row>
    <row r="31" spans="1:7" x14ac:dyDescent="0.35">
      <c r="A31" t="s">
        <v>428</v>
      </c>
      <c r="B31" s="7" t="s">
        <v>1252</v>
      </c>
      <c r="F31" s="57">
        <v>44573</v>
      </c>
    </row>
    <row r="32" spans="1:7" x14ac:dyDescent="0.35">
      <c r="A32" t="s">
        <v>186</v>
      </c>
      <c r="B32" s="7" t="s">
        <v>1014</v>
      </c>
      <c r="F32" s="57">
        <v>44573</v>
      </c>
    </row>
    <row r="33" spans="1:6" x14ac:dyDescent="0.35">
      <c r="A33" t="s">
        <v>807</v>
      </c>
      <c r="B33" s="7" t="s">
        <v>1630</v>
      </c>
      <c r="F33" s="57">
        <v>44573</v>
      </c>
    </row>
    <row r="34" spans="1:6" x14ac:dyDescent="0.35">
      <c r="A34" t="s">
        <v>279</v>
      </c>
      <c r="B34" s="7" t="s">
        <v>1105</v>
      </c>
      <c r="F34" s="57">
        <v>44573</v>
      </c>
    </row>
    <row r="35" spans="1:6" x14ac:dyDescent="0.35">
      <c r="A35" t="s">
        <v>753</v>
      </c>
      <c r="B35" s="7" t="s">
        <v>1577</v>
      </c>
      <c r="F35" s="57">
        <v>44573</v>
      </c>
    </row>
    <row r="36" spans="1:6" x14ac:dyDescent="0.35">
      <c r="A36" t="s">
        <v>610</v>
      </c>
      <c r="B36" s="7" t="s">
        <v>1434</v>
      </c>
      <c r="F36" s="57">
        <v>44573</v>
      </c>
    </row>
    <row r="37" spans="1:6" x14ac:dyDescent="0.35">
      <c r="A37" t="s">
        <v>378</v>
      </c>
      <c r="B37" s="7" t="s">
        <v>1202</v>
      </c>
      <c r="F37" s="57">
        <v>44573</v>
      </c>
    </row>
    <row r="38" spans="1:6" x14ac:dyDescent="0.35">
      <c r="A38" t="s">
        <v>663</v>
      </c>
      <c r="B38" s="7" t="s">
        <v>1487</v>
      </c>
      <c r="F38" s="57">
        <v>44573</v>
      </c>
    </row>
    <row r="39" spans="1:6" x14ac:dyDescent="0.35">
      <c r="A39" t="s">
        <v>664</v>
      </c>
      <c r="B39" s="7" t="s">
        <v>1488</v>
      </c>
      <c r="F39" s="57">
        <v>44573</v>
      </c>
    </row>
    <row r="40" spans="1:6" x14ac:dyDescent="0.35">
      <c r="A40" t="s">
        <v>676</v>
      </c>
      <c r="B40" s="7" t="s">
        <v>1500</v>
      </c>
      <c r="F40" s="57">
        <v>44573</v>
      </c>
    </row>
    <row r="41" spans="1:6" x14ac:dyDescent="0.35">
      <c r="A41" t="s">
        <v>665</v>
      </c>
      <c r="B41" s="7" t="s">
        <v>1489</v>
      </c>
      <c r="F41" s="57">
        <v>44573</v>
      </c>
    </row>
    <row r="42" spans="1:6" x14ac:dyDescent="0.35">
      <c r="A42" t="s">
        <v>730</v>
      </c>
      <c r="B42" s="7" t="s">
        <v>1554</v>
      </c>
      <c r="F42" s="57">
        <v>44573</v>
      </c>
    </row>
    <row r="43" spans="1:6" x14ac:dyDescent="0.35">
      <c r="A43" t="s">
        <v>706</v>
      </c>
      <c r="B43" s="7" t="s">
        <v>1530</v>
      </c>
      <c r="F43" s="57">
        <v>44573</v>
      </c>
    </row>
    <row r="44" spans="1:6" x14ac:dyDescent="0.35">
      <c r="A44" t="s">
        <v>620</v>
      </c>
      <c r="B44" s="7" t="s">
        <v>1444</v>
      </c>
      <c r="F44" s="57">
        <v>44573</v>
      </c>
    </row>
    <row r="45" spans="1:6" x14ac:dyDescent="0.35">
      <c r="A45" t="s">
        <v>383</v>
      </c>
      <c r="B45" s="7" t="s">
        <v>1207</v>
      </c>
      <c r="F45" s="57">
        <v>44573</v>
      </c>
    </row>
    <row r="46" spans="1:6" x14ac:dyDescent="0.35">
      <c r="A46" t="s">
        <v>791</v>
      </c>
      <c r="B46" s="7" t="s">
        <v>1614</v>
      </c>
      <c r="F46" s="57">
        <v>44573</v>
      </c>
    </row>
    <row r="47" spans="1:6" x14ac:dyDescent="0.35">
      <c r="A47" t="s">
        <v>786</v>
      </c>
      <c r="B47" s="7" t="s">
        <v>1609</v>
      </c>
      <c r="F47" s="57">
        <v>44573</v>
      </c>
    </row>
    <row r="48" spans="1:6" x14ac:dyDescent="0.35">
      <c r="A48" t="s">
        <v>487</v>
      </c>
      <c r="B48" s="7" t="s">
        <v>1311</v>
      </c>
      <c r="F48" s="57">
        <v>44573</v>
      </c>
    </row>
    <row r="49" spans="1:6" x14ac:dyDescent="0.35">
      <c r="A49" t="s">
        <v>37</v>
      </c>
      <c r="B49" s="7" t="s">
        <v>866</v>
      </c>
      <c r="F49" s="57">
        <v>44573</v>
      </c>
    </row>
    <row r="50" spans="1:6" x14ac:dyDescent="0.35">
      <c r="A50" t="s">
        <v>789</v>
      </c>
      <c r="B50" s="7" t="s">
        <v>1612</v>
      </c>
      <c r="F50" s="57">
        <v>44573</v>
      </c>
    </row>
    <row r="51" spans="1:6" x14ac:dyDescent="0.35">
      <c r="A51" t="s">
        <v>640</v>
      </c>
      <c r="B51" s="7" t="s">
        <v>1464</v>
      </c>
      <c r="F51" s="57">
        <v>44573</v>
      </c>
    </row>
    <row r="52" spans="1:6" x14ac:dyDescent="0.35">
      <c r="A52" t="s">
        <v>717</v>
      </c>
      <c r="B52" s="7" t="s">
        <v>1541</v>
      </c>
      <c r="F52" s="57">
        <v>44573</v>
      </c>
    </row>
    <row r="53" spans="1:6" x14ac:dyDescent="0.35">
      <c r="A53" t="s">
        <v>447</v>
      </c>
      <c r="B53" s="7" t="s">
        <v>1271</v>
      </c>
      <c r="F53" s="57">
        <v>44573</v>
      </c>
    </row>
    <row r="54" spans="1:6" x14ac:dyDescent="0.35">
      <c r="A54" t="s">
        <v>481</v>
      </c>
      <c r="B54" s="7" t="s">
        <v>1305</v>
      </c>
      <c r="F54" s="57">
        <v>44573</v>
      </c>
    </row>
    <row r="55" spans="1:6" x14ac:dyDescent="0.35">
      <c r="A55" t="s">
        <v>149</v>
      </c>
      <c r="B55" s="7" t="s">
        <v>978</v>
      </c>
      <c r="F55" s="57">
        <v>44573</v>
      </c>
    </row>
    <row r="56" spans="1:6" x14ac:dyDescent="0.35">
      <c r="A56" t="s">
        <v>448</v>
      </c>
      <c r="B56" s="7" t="s">
        <v>1272</v>
      </c>
      <c r="F56" s="57">
        <v>44573</v>
      </c>
    </row>
    <row r="57" spans="1:6" x14ac:dyDescent="0.35">
      <c r="A57" t="s">
        <v>193</v>
      </c>
      <c r="B57" s="7" t="s">
        <v>1021</v>
      </c>
      <c r="F57" s="57">
        <v>44573</v>
      </c>
    </row>
    <row r="58" spans="1:6" x14ac:dyDescent="0.35">
      <c r="A58" t="s">
        <v>711</v>
      </c>
      <c r="B58" s="7" t="s">
        <v>1535</v>
      </c>
      <c r="F58" s="57">
        <v>44573</v>
      </c>
    </row>
    <row r="59" spans="1:6" x14ac:dyDescent="0.35">
      <c r="A59" t="s">
        <v>472</v>
      </c>
      <c r="B59" s="7" t="s">
        <v>1296</v>
      </c>
      <c r="F59" s="57">
        <v>44573</v>
      </c>
    </row>
    <row r="60" spans="1:6" x14ac:dyDescent="0.35">
      <c r="A60" t="s">
        <v>249</v>
      </c>
      <c r="B60" s="7" t="s">
        <v>1075</v>
      </c>
      <c r="F60" s="57">
        <v>44573</v>
      </c>
    </row>
    <row r="61" spans="1:6" x14ac:dyDescent="0.35">
      <c r="A61" t="s">
        <v>722</v>
      </c>
      <c r="B61" s="7" t="s">
        <v>1546</v>
      </c>
      <c r="F61" s="57">
        <v>44573</v>
      </c>
    </row>
    <row r="62" spans="1:6" x14ac:dyDescent="0.35">
      <c r="A62" t="s">
        <v>712</v>
      </c>
      <c r="B62" s="7" t="s">
        <v>1536</v>
      </c>
      <c r="F62" s="57">
        <v>44573</v>
      </c>
    </row>
    <row r="63" spans="1:6" x14ac:dyDescent="0.35">
      <c r="A63" t="s">
        <v>704</v>
      </c>
      <c r="B63" s="7" t="s">
        <v>1528</v>
      </c>
      <c r="F63" s="57">
        <v>44573</v>
      </c>
    </row>
    <row r="64" spans="1:6" x14ac:dyDescent="0.35">
      <c r="A64" t="s">
        <v>473</v>
      </c>
      <c r="B64" s="7" t="s">
        <v>1297</v>
      </c>
      <c r="F64" s="57">
        <v>44573</v>
      </c>
    </row>
    <row r="65" spans="1:6" x14ac:dyDescent="0.35">
      <c r="A65" t="s">
        <v>725</v>
      </c>
      <c r="B65" s="7" t="s">
        <v>1549</v>
      </c>
      <c r="F65" s="57">
        <v>44573</v>
      </c>
    </row>
    <row r="66" spans="1:6" x14ac:dyDescent="0.35">
      <c r="A66" t="s">
        <v>719</v>
      </c>
      <c r="B66" s="7" t="s">
        <v>1543</v>
      </c>
      <c r="F66" s="57">
        <v>44573</v>
      </c>
    </row>
    <row r="67" spans="1:6" x14ac:dyDescent="0.35">
      <c r="A67" t="s">
        <v>769</v>
      </c>
      <c r="B67" s="7" t="s">
        <v>1593</v>
      </c>
      <c r="F67" s="57">
        <v>44573</v>
      </c>
    </row>
    <row r="68" spans="1:6" x14ac:dyDescent="0.35">
      <c r="A68" t="s">
        <v>803</v>
      </c>
      <c r="B68" s="7" t="s">
        <v>1626</v>
      </c>
      <c r="F68" s="57">
        <v>44573</v>
      </c>
    </row>
    <row r="69" spans="1:6" x14ac:dyDescent="0.35">
      <c r="A69" t="s">
        <v>312</v>
      </c>
      <c r="B69" s="7" t="s">
        <v>1137</v>
      </c>
      <c r="F69" s="57">
        <v>44573</v>
      </c>
    </row>
    <row r="70" spans="1:6" x14ac:dyDescent="0.35">
      <c r="A70" t="s">
        <v>774</v>
      </c>
      <c r="B70" s="7" t="s">
        <v>1598</v>
      </c>
      <c r="F70" s="57">
        <v>44573</v>
      </c>
    </row>
    <row r="71" spans="1:6" x14ac:dyDescent="0.35">
      <c r="A71" t="s">
        <v>810</v>
      </c>
      <c r="B71" s="7" t="s">
        <v>1633</v>
      </c>
      <c r="F71" s="57">
        <v>44573</v>
      </c>
    </row>
    <row r="72" spans="1:6" x14ac:dyDescent="0.35">
      <c r="A72" t="s">
        <v>81</v>
      </c>
      <c r="B72" s="7" t="s">
        <v>910</v>
      </c>
      <c r="F72" s="57">
        <v>44573</v>
      </c>
    </row>
    <row r="73" spans="1:6" x14ac:dyDescent="0.35">
      <c r="A73" s="6" t="s">
        <v>812</v>
      </c>
      <c r="B73" s="7" t="s">
        <v>1635</v>
      </c>
      <c r="F73" s="57">
        <v>44573</v>
      </c>
    </row>
    <row r="74" spans="1:6" x14ac:dyDescent="0.35">
      <c r="A74" t="s">
        <v>713</v>
      </c>
      <c r="B74" s="7" t="s">
        <v>1537</v>
      </c>
      <c r="F74" s="57">
        <v>44573</v>
      </c>
    </row>
    <row r="75" spans="1:6" x14ac:dyDescent="0.35">
      <c r="A75" t="s">
        <v>724</v>
      </c>
      <c r="B75" s="7" t="s">
        <v>1548</v>
      </c>
      <c r="F75" s="57">
        <v>44573</v>
      </c>
    </row>
    <row r="76" spans="1:6" x14ac:dyDescent="0.35">
      <c r="A76" t="s">
        <v>19</v>
      </c>
      <c r="B76" s="7" t="s">
        <v>848</v>
      </c>
      <c r="F76" s="57">
        <v>44573</v>
      </c>
    </row>
    <row r="77" spans="1:6" x14ac:dyDescent="0.35">
      <c r="A77" t="s">
        <v>809</v>
      </c>
      <c r="B77" s="7" t="s">
        <v>1632</v>
      </c>
      <c r="F77" s="57">
        <v>44573</v>
      </c>
    </row>
    <row r="78" spans="1:6" x14ac:dyDescent="0.35">
      <c r="A78" t="s">
        <v>216</v>
      </c>
      <c r="B78" s="7" t="s">
        <v>1043</v>
      </c>
      <c r="F78" s="57">
        <v>44573</v>
      </c>
    </row>
    <row r="79" spans="1:6" x14ac:dyDescent="0.35">
      <c r="A79" t="s">
        <v>814</v>
      </c>
      <c r="B79" s="7" t="s">
        <v>1637</v>
      </c>
      <c r="F79" s="57">
        <v>44573</v>
      </c>
    </row>
    <row r="80" spans="1:6" x14ac:dyDescent="0.35">
      <c r="A80" t="s">
        <v>185</v>
      </c>
      <c r="B80" s="7" t="s">
        <v>1013</v>
      </c>
      <c r="F80" s="57">
        <v>44573</v>
      </c>
    </row>
    <row r="81" spans="1:7" x14ac:dyDescent="0.35">
      <c r="A81" t="s">
        <v>772</v>
      </c>
      <c r="B81" s="7" t="s">
        <v>1596</v>
      </c>
      <c r="F81" s="57">
        <v>44573</v>
      </c>
    </row>
    <row r="82" spans="1:7" x14ac:dyDescent="0.35">
      <c r="A82" t="s">
        <v>455</v>
      </c>
      <c r="B82" s="7" t="s">
        <v>1279</v>
      </c>
      <c r="F82" s="57">
        <v>44573</v>
      </c>
    </row>
    <row r="83" spans="1:7" x14ac:dyDescent="0.35">
      <c r="A83" t="s">
        <v>420</v>
      </c>
      <c r="B83" s="7" t="s">
        <v>1244</v>
      </c>
      <c r="F83" s="57">
        <v>44573</v>
      </c>
    </row>
    <row r="84" spans="1:7" x14ac:dyDescent="0.35">
      <c r="A84" t="s">
        <v>28</v>
      </c>
      <c r="B84" s="7" t="s">
        <v>857</v>
      </c>
      <c r="F84" s="57">
        <v>44573</v>
      </c>
    </row>
    <row r="85" spans="1:7" x14ac:dyDescent="0.35">
      <c r="A85" t="s">
        <v>366</v>
      </c>
      <c r="B85" s="7" t="s">
        <v>1190</v>
      </c>
      <c r="F85" s="57">
        <v>44573</v>
      </c>
    </row>
    <row r="86" spans="1:7" x14ac:dyDescent="0.35">
      <c r="A86" t="s">
        <v>147</v>
      </c>
      <c r="B86" s="7" t="s">
        <v>976</v>
      </c>
      <c r="F86" s="57">
        <v>44573</v>
      </c>
    </row>
    <row r="87" spans="1:7" x14ac:dyDescent="0.35">
      <c r="A87" t="s">
        <v>740</v>
      </c>
      <c r="B87" s="7" t="s">
        <v>1564</v>
      </c>
      <c r="F87" s="57">
        <v>44573</v>
      </c>
    </row>
    <row r="88" spans="1:7" x14ac:dyDescent="0.35">
      <c r="A88" t="s">
        <v>438</v>
      </c>
      <c r="B88" s="7" t="s">
        <v>1262</v>
      </c>
      <c r="F88" s="57">
        <v>44573</v>
      </c>
    </row>
    <row r="89" spans="1:7" x14ac:dyDescent="0.35">
      <c r="A89" t="s">
        <v>678</v>
      </c>
      <c r="B89" s="7" t="s">
        <v>1502</v>
      </c>
      <c r="F89" s="57">
        <v>44573</v>
      </c>
    </row>
    <row r="90" spans="1:7" x14ac:dyDescent="0.35">
      <c r="A90" t="s">
        <v>389</v>
      </c>
      <c r="B90" s="7" t="s">
        <v>1213</v>
      </c>
      <c r="F90" s="57">
        <v>44573</v>
      </c>
    </row>
    <row r="91" spans="1:7" x14ac:dyDescent="0.35">
      <c r="A91" t="s">
        <v>394</v>
      </c>
      <c r="B91" s="7" t="s">
        <v>1218</v>
      </c>
      <c r="F91" s="57">
        <v>44573</v>
      </c>
    </row>
    <row r="92" spans="1:7" x14ac:dyDescent="0.35">
      <c r="A92" s="6" t="s">
        <v>792</v>
      </c>
      <c r="B92" s="7" t="s">
        <v>1615</v>
      </c>
      <c r="F92" s="57">
        <v>44573</v>
      </c>
    </row>
    <row r="93" spans="1:7" x14ac:dyDescent="0.35">
      <c r="A93" s="5" t="s">
        <v>782</v>
      </c>
      <c r="B93" s="7" t="s">
        <v>1605</v>
      </c>
      <c r="F93" s="57">
        <v>44573</v>
      </c>
    </row>
    <row r="94" spans="1:7" x14ac:dyDescent="0.35">
      <c r="A94" t="s">
        <v>33</v>
      </c>
      <c r="B94" s="7" t="s">
        <v>862</v>
      </c>
      <c r="F94" s="57">
        <v>44573</v>
      </c>
      <c r="G94" t="s">
        <v>4084</v>
      </c>
    </row>
    <row r="95" spans="1:7" x14ac:dyDescent="0.35">
      <c r="A95" t="s">
        <v>406</v>
      </c>
      <c r="B95" s="7" t="s">
        <v>1230</v>
      </c>
      <c r="F95" s="57">
        <v>44573</v>
      </c>
    </row>
    <row r="96" spans="1:7" x14ac:dyDescent="0.35">
      <c r="A96" t="s">
        <v>529</v>
      </c>
      <c r="B96" s="7" t="s">
        <v>1353</v>
      </c>
      <c r="F96" s="57">
        <v>44573</v>
      </c>
    </row>
    <row r="97" spans="1:6" x14ac:dyDescent="0.35">
      <c r="A97" t="s">
        <v>657</v>
      </c>
      <c r="B97" s="7" t="s">
        <v>1481</v>
      </c>
      <c r="F97" s="57">
        <v>44573</v>
      </c>
    </row>
    <row r="98" spans="1:6" x14ac:dyDescent="0.35">
      <c r="A98" t="s">
        <v>595</v>
      </c>
      <c r="B98" s="7" t="s">
        <v>1419</v>
      </c>
      <c r="F98" s="57">
        <v>44573</v>
      </c>
    </row>
    <row r="99" spans="1:6" x14ac:dyDescent="0.35">
      <c r="A99" t="s">
        <v>705</v>
      </c>
      <c r="B99" s="7" t="s">
        <v>1529</v>
      </c>
      <c r="F99" s="57">
        <v>44573</v>
      </c>
    </row>
    <row r="100" spans="1:6" x14ac:dyDescent="0.35">
      <c r="A100" t="s">
        <v>649</v>
      </c>
      <c r="B100" s="7" t="s">
        <v>1473</v>
      </c>
      <c r="F100" s="57">
        <v>44573</v>
      </c>
    </row>
    <row r="101" spans="1:6" x14ac:dyDescent="0.35">
      <c r="A101" t="s">
        <v>418</v>
      </c>
      <c r="B101" s="7" t="s">
        <v>1242</v>
      </c>
      <c r="F101" s="57">
        <v>44573</v>
      </c>
    </row>
    <row r="102" spans="1:6" x14ac:dyDescent="0.35">
      <c r="A102" t="s">
        <v>230</v>
      </c>
      <c r="B102" s="7" t="s">
        <v>1057</v>
      </c>
      <c r="F102" s="57">
        <v>44573</v>
      </c>
    </row>
    <row r="103" spans="1:6" x14ac:dyDescent="0.35">
      <c r="A103" t="s">
        <v>508</v>
      </c>
      <c r="B103" s="7" t="s">
        <v>1332</v>
      </c>
      <c r="F103" s="57">
        <v>44573</v>
      </c>
    </row>
    <row r="104" spans="1:6" x14ac:dyDescent="0.35">
      <c r="A104" t="s">
        <v>168</v>
      </c>
      <c r="B104" s="7" t="s">
        <v>997</v>
      </c>
      <c r="F104" s="57">
        <v>44573</v>
      </c>
    </row>
    <row r="105" spans="1:6" x14ac:dyDescent="0.35">
      <c r="A105" t="s">
        <v>365</v>
      </c>
      <c r="B105" s="7" t="s">
        <v>1189</v>
      </c>
      <c r="F105" s="57">
        <v>44573</v>
      </c>
    </row>
    <row r="106" spans="1:6" x14ac:dyDescent="0.35">
      <c r="A106" t="s">
        <v>494</v>
      </c>
      <c r="B106" s="7" t="s">
        <v>1318</v>
      </c>
      <c r="F106" s="57">
        <v>44573</v>
      </c>
    </row>
    <row r="107" spans="1:6" x14ac:dyDescent="0.35">
      <c r="A107" t="s">
        <v>781</v>
      </c>
      <c r="B107" s="7" t="s">
        <v>1604</v>
      </c>
      <c r="F107" s="57">
        <v>44573</v>
      </c>
    </row>
    <row r="108" spans="1:6" x14ac:dyDescent="0.35">
      <c r="A108" t="s">
        <v>74</v>
      </c>
      <c r="B108" s="7" t="s">
        <v>903</v>
      </c>
      <c r="F108" s="57">
        <v>44573</v>
      </c>
    </row>
    <row r="109" spans="1:6" x14ac:dyDescent="0.35">
      <c r="A109" t="s">
        <v>323</v>
      </c>
      <c r="B109" s="7" t="s">
        <v>1148</v>
      </c>
      <c r="F109" s="57">
        <v>44573</v>
      </c>
    </row>
    <row r="110" spans="1:6" x14ac:dyDescent="0.35">
      <c r="A110" t="s">
        <v>537</v>
      </c>
      <c r="B110" s="7" t="s">
        <v>1361</v>
      </c>
      <c r="F110" s="57">
        <v>44573</v>
      </c>
    </row>
    <row r="111" spans="1:6" x14ac:dyDescent="0.35">
      <c r="A111" t="s">
        <v>710</v>
      </c>
      <c r="B111" s="7" t="s">
        <v>1534</v>
      </c>
      <c r="F111" s="57">
        <v>44573</v>
      </c>
    </row>
    <row r="112" spans="1:6" x14ac:dyDescent="0.35">
      <c r="A112" t="s">
        <v>441</v>
      </c>
      <c r="B112" s="7" t="s">
        <v>1265</v>
      </c>
      <c r="F112" s="57">
        <v>44573</v>
      </c>
    </row>
    <row r="113" spans="1:6" x14ac:dyDescent="0.35">
      <c r="A113" t="s">
        <v>799</v>
      </c>
      <c r="B113" s="7" t="s">
        <v>1622</v>
      </c>
      <c r="F113" s="57">
        <v>44573</v>
      </c>
    </row>
    <row r="114" spans="1:6" x14ac:dyDescent="0.35">
      <c r="A114" t="s">
        <v>662</v>
      </c>
      <c r="B114" s="7" t="s">
        <v>1486</v>
      </c>
      <c r="F114" s="57">
        <v>44573</v>
      </c>
    </row>
    <row r="115" spans="1:6" x14ac:dyDescent="0.35">
      <c r="A115" t="s">
        <v>285</v>
      </c>
      <c r="B115" s="7" t="s">
        <v>1110</v>
      </c>
      <c r="F115" s="57">
        <v>44573</v>
      </c>
    </row>
    <row r="116" spans="1:6" x14ac:dyDescent="0.35">
      <c r="A116" t="s">
        <v>46</v>
      </c>
      <c r="B116" s="7" t="s">
        <v>875</v>
      </c>
      <c r="F116" s="57">
        <v>44573</v>
      </c>
    </row>
    <row r="117" spans="1:6" x14ac:dyDescent="0.35">
      <c r="A117" t="s">
        <v>650</v>
      </c>
      <c r="B117" s="7" t="s">
        <v>1474</v>
      </c>
      <c r="F117" s="57">
        <v>44573</v>
      </c>
    </row>
    <row r="118" spans="1:6" x14ac:dyDescent="0.35">
      <c r="A118" t="s">
        <v>27</v>
      </c>
      <c r="B118" s="7" t="s">
        <v>856</v>
      </c>
      <c r="F118" s="57">
        <v>44573</v>
      </c>
    </row>
    <row r="119" spans="1:6" x14ac:dyDescent="0.35">
      <c r="A119" t="s">
        <v>199</v>
      </c>
      <c r="B119" s="7" t="s">
        <v>1027</v>
      </c>
      <c r="F119" s="57">
        <v>44573</v>
      </c>
    </row>
    <row r="120" spans="1:6" x14ac:dyDescent="0.35">
      <c r="A120" t="s">
        <v>679</v>
      </c>
      <c r="B120" s="7" t="s">
        <v>1503</v>
      </c>
      <c r="F120" s="57">
        <v>44573</v>
      </c>
    </row>
    <row r="121" spans="1:6" x14ac:dyDescent="0.35">
      <c r="A121" t="s">
        <v>680</v>
      </c>
      <c r="B121" s="7" t="s">
        <v>1504</v>
      </c>
      <c r="F121" s="57">
        <v>44573</v>
      </c>
    </row>
    <row r="122" spans="1:6" x14ac:dyDescent="0.35">
      <c r="A122" t="s">
        <v>681</v>
      </c>
      <c r="B122" s="7" t="s">
        <v>1505</v>
      </c>
      <c r="F122" s="57">
        <v>44573</v>
      </c>
    </row>
    <row r="123" spans="1:6" x14ac:dyDescent="0.35">
      <c r="A123" t="s">
        <v>387</v>
      </c>
      <c r="B123" s="7" t="s">
        <v>1211</v>
      </c>
      <c r="F123" s="57">
        <v>44573</v>
      </c>
    </row>
    <row r="124" spans="1:6" x14ac:dyDescent="0.35">
      <c r="A124" t="s">
        <v>371</v>
      </c>
      <c r="B124" s="7" t="s">
        <v>1195</v>
      </c>
      <c r="F124" s="57">
        <v>44573</v>
      </c>
    </row>
    <row r="125" spans="1:6" x14ac:dyDescent="0.35">
      <c r="A125" s="6" t="s">
        <v>788</v>
      </c>
      <c r="B125" t="s">
        <v>1611</v>
      </c>
      <c r="F125" s="57">
        <v>44573</v>
      </c>
    </row>
    <row r="126" spans="1:6" x14ac:dyDescent="0.35">
      <c r="A126" t="s">
        <v>482</v>
      </c>
      <c r="B126" s="7" t="s">
        <v>1306</v>
      </c>
      <c r="F126" s="57">
        <v>44573</v>
      </c>
    </row>
    <row r="127" spans="1:6" x14ac:dyDescent="0.35">
      <c r="A127" t="s">
        <v>172</v>
      </c>
      <c r="B127" s="7" t="s">
        <v>1001</v>
      </c>
      <c r="F127" s="57">
        <v>44573</v>
      </c>
    </row>
    <row r="128" spans="1:6" x14ac:dyDescent="0.35">
      <c r="A128" t="s">
        <v>226</v>
      </c>
      <c r="B128" s="7" t="s">
        <v>1053</v>
      </c>
      <c r="F128" s="57">
        <v>44573</v>
      </c>
    </row>
    <row r="129" spans="1:6" x14ac:dyDescent="0.35">
      <c r="A129" t="s">
        <v>498</v>
      </c>
      <c r="B129" s="7" t="s">
        <v>1322</v>
      </c>
      <c r="F129" s="57">
        <v>44573</v>
      </c>
    </row>
    <row r="130" spans="1:6" x14ac:dyDescent="0.35">
      <c r="A130" t="s">
        <v>667</v>
      </c>
      <c r="B130" s="7" t="s">
        <v>1491</v>
      </c>
      <c r="F130" s="57">
        <v>44573</v>
      </c>
    </row>
    <row r="131" spans="1:6" x14ac:dyDescent="0.35">
      <c r="A131" t="s">
        <v>445</v>
      </c>
      <c r="B131" s="7" t="s">
        <v>1269</v>
      </c>
      <c r="F131" s="57">
        <v>44573</v>
      </c>
    </row>
    <row r="132" spans="1:6" x14ac:dyDescent="0.35">
      <c r="A132" t="s">
        <v>41</v>
      </c>
      <c r="B132" s="7" t="s">
        <v>870</v>
      </c>
      <c r="F132" s="57">
        <v>44573</v>
      </c>
    </row>
    <row r="133" spans="1:6" x14ac:dyDescent="0.35">
      <c r="A133" t="s">
        <v>281</v>
      </c>
      <c r="B133" s="7" t="s">
        <v>1107</v>
      </c>
      <c r="F133" s="57">
        <v>44573</v>
      </c>
    </row>
    <row r="134" spans="1:6" x14ac:dyDescent="0.35">
      <c r="A134" t="s">
        <v>273</v>
      </c>
      <c r="B134" s="7" t="s">
        <v>1099</v>
      </c>
      <c r="F134" s="57">
        <v>44573</v>
      </c>
    </row>
    <row r="135" spans="1:6" x14ac:dyDescent="0.35">
      <c r="A135" t="s">
        <v>256</v>
      </c>
      <c r="B135" s="7" t="s">
        <v>1082</v>
      </c>
      <c r="F135" s="57">
        <v>44573</v>
      </c>
    </row>
    <row r="136" spans="1:6" x14ac:dyDescent="0.35">
      <c r="A136" t="s">
        <v>549</v>
      </c>
      <c r="B136" s="7" t="s">
        <v>1373</v>
      </c>
      <c r="F136" s="57">
        <v>44573</v>
      </c>
    </row>
    <row r="137" spans="1:6" x14ac:dyDescent="0.35">
      <c r="A137" t="s">
        <v>783</v>
      </c>
      <c r="B137" s="7" t="s">
        <v>1606</v>
      </c>
      <c r="F137" s="57">
        <v>44573</v>
      </c>
    </row>
    <row r="138" spans="1:6" x14ac:dyDescent="0.35">
      <c r="A138" t="s">
        <v>342</v>
      </c>
      <c r="B138" s="7" t="s">
        <v>1166</v>
      </c>
      <c r="F138" s="57">
        <v>44573</v>
      </c>
    </row>
    <row r="139" spans="1:6" x14ac:dyDescent="0.35">
      <c r="A139" t="s">
        <v>796</v>
      </c>
      <c r="B139" s="7" t="s">
        <v>1619</v>
      </c>
      <c r="F139" s="57">
        <v>44573</v>
      </c>
    </row>
    <row r="140" spans="1:6" x14ac:dyDescent="0.35">
      <c r="A140" t="s">
        <v>798</v>
      </c>
      <c r="B140" s="7" t="s">
        <v>1621</v>
      </c>
      <c r="F140" s="57">
        <v>44573</v>
      </c>
    </row>
    <row r="141" spans="1:6" x14ac:dyDescent="0.35">
      <c r="A141" t="s">
        <v>811</v>
      </c>
      <c r="B141" s="7" t="s">
        <v>1634</v>
      </c>
      <c r="F141" s="57">
        <v>44573</v>
      </c>
    </row>
    <row r="142" spans="1:6" x14ac:dyDescent="0.35">
      <c r="A142" t="s">
        <v>805</v>
      </c>
      <c r="B142" s="7" t="s">
        <v>1628</v>
      </c>
      <c r="F142" s="57">
        <v>44573</v>
      </c>
    </row>
    <row r="143" spans="1:6" x14ac:dyDescent="0.35">
      <c r="A143" t="s">
        <v>443</v>
      </c>
      <c r="B143" s="7" t="s">
        <v>1267</v>
      </c>
      <c r="F143" s="57">
        <v>44573</v>
      </c>
    </row>
    <row r="144" spans="1:6" x14ac:dyDescent="0.35">
      <c r="A144" t="s">
        <v>784</v>
      </c>
      <c r="B144" s="7" t="s">
        <v>1607</v>
      </c>
      <c r="F144" s="57">
        <v>44573</v>
      </c>
    </row>
    <row r="145" spans="1:7" x14ac:dyDescent="0.35">
      <c r="A145" t="s">
        <v>815</v>
      </c>
      <c r="B145" t="s">
        <v>1638</v>
      </c>
      <c r="F145" s="57">
        <v>44573</v>
      </c>
    </row>
    <row r="146" spans="1:7" x14ac:dyDescent="0.35">
      <c r="A146" t="s">
        <v>806</v>
      </c>
      <c r="B146" s="7" t="s">
        <v>1629</v>
      </c>
      <c r="F146" s="57">
        <v>44573</v>
      </c>
    </row>
    <row r="147" spans="1:7" x14ac:dyDescent="0.35">
      <c r="A147" t="s">
        <v>802</v>
      </c>
      <c r="B147" s="7" t="s">
        <v>1625</v>
      </c>
      <c r="F147" s="57">
        <v>44573</v>
      </c>
    </row>
    <row r="148" spans="1:7" x14ac:dyDescent="0.35">
      <c r="A148" t="s">
        <v>526</v>
      </c>
      <c r="B148" s="7" t="s">
        <v>1350</v>
      </c>
      <c r="F148" s="57">
        <v>44573</v>
      </c>
    </row>
    <row r="149" spans="1:7" x14ac:dyDescent="0.35">
      <c r="A149" t="s">
        <v>101</v>
      </c>
      <c r="B149" s="7" t="s">
        <v>930</v>
      </c>
      <c r="F149" s="57">
        <v>44573</v>
      </c>
    </row>
    <row r="150" spans="1:7" x14ac:dyDescent="0.35">
      <c r="A150" t="s">
        <v>552</v>
      </c>
      <c r="B150" s="7" t="s">
        <v>1376</v>
      </c>
      <c r="F150" s="57">
        <v>44573</v>
      </c>
    </row>
    <row r="151" spans="1:7" x14ac:dyDescent="0.35">
      <c r="A151" t="s">
        <v>39</v>
      </c>
      <c r="B151" s="7" t="s">
        <v>868</v>
      </c>
      <c r="F151" s="57">
        <v>44573</v>
      </c>
    </row>
    <row r="152" spans="1:7" x14ac:dyDescent="0.35">
      <c r="A152" t="s">
        <v>75</v>
      </c>
      <c r="B152" s="7" t="s">
        <v>904</v>
      </c>
      <c r="D152" t="s">
        <v>2336</v>
      </c>
      <c r="E152" t="s">
        <v>4106</v>
      </c>
      <c r="F152" s="57">
        <v>44573</v>
      </c>
      <c r="G152" t="s">
        <v>4085</v>
      </c>
    </row>
    <row r="153" spans="1:7" x14ac:dyDescent="0.35">
      <c r="A153" t="s">
        <v>446</v>
      </c>
      <c r="B153" s="7" t="s">
        <v>1270</v>
      </c>
      <c r="F153" s="57">
        <v>44573</v>
      </c>
      <c r="G153" t="s">
        <v>4085</v>
      </c>
    </row>
    <row r="154" spans="1:7" x14ac:dyDescent="0.35">
      <c r="A154" t="s">
        <v>363</v>
      </c>
      <c r="B154" s="7" t="s">
        <v>1187</v>
      </c>
      <c r="F154" s="57">
        <v>44573</v>
      </c>
    </row>
    <row r="155" spans="1:7" x14ac:dyDescent="0.35">
      <c r="A155" t="s">
        <v>345</v>
      </c>
      <c r="B155" s="7" t="s">
        <v>1169</v>
      </c>
      <c r="F155" s="57">
        <v>44573</v>
      </c>
    </row>
    <row r="156" spans="1:7" x14ac:dyDescent="0.35">
      <c r="A156" t="s">
        <v>353</v>
      </c>
      <c r="B156" s="7" t="s">
        <v>1177</v>
      </c>
      <c r="F156" s="57">
        <v>44573</v>
      </c>
    </row>
    <row r="157" spans="1:7" x14ac:dyDescent="0.35">
      <c r="A157" t="s">
        <v>198</v>
      </c>
      <c r="B157" s="7" t="s">
        <v>1026</v>
      </c>
      <c r="F157" s="57">
        <v>44573</v>
      </c>
    </row>
    <row r="158" spans="1:7" x14ac:dyDescent="0.35">
      <c r="A158" t="s">
        <v>641</v>
      </c>
      <c r="B158" s="7" t="s">
        <v>1465</v>
      </c>
      <c r="F158" s="57">
        <v>44573</v>
      </c>
    </row>
    <row r="159" spans="1:7" x14ac:dyDescent="0.35">
      <c r="A159" t="s">
        <v>204</v>
      </c>
      <c r="B159" s="7" t="s">
        <v>1031</v>
      </c>
      <c r="F159" s="57">
        <v>44573</v>
      </c>
    </row>
    <row r="160" spans="1:7" x14ac:dyDescent="0.35">
      <c r="A160" t="s">
        <v>339</v>
      </c>
      <c r="B160" s="7" t="s">
        <v>1163</v>
      </c>
      <c r="F160" s="57">
        <v>44573</v>
      </c>
    </row>
    <row r="161" spans="1:7" x14ac:dyDescent="0.35">
      <c r="A161" t="s">
        <v>475</v>
      </c>
      <c r="B161" s="7" t="s">
        <v>1299</v>
      </c>
      <c r="F161" s="57">
        <v>44573</v>
      </c>
    </row>
    <row r="162" spans="1:7" x14ac:dyDescent="0.35">
      <c r="A162" t="s">
        <v>464</v>
      </c>
      <c r="B162" s="7" t="s">
        <v>1288</v>
      </c>
      <c r="F162" s="57">
        <v>44573</v>
      </c>
    </row>
    <row r="163" spans="1:7" x14ac:dyDescent="0.35">
      <c r="A163" t="s">
        <v>182</v>
      </c>
      <c r="B163" s="7" t="s">
        <v>1011</v>
      </c>
      <c r="F163" s="57">
        <v>44573</v>
      </c>
    </row>
    <row r="164" spans="1:7" x14ac:dyDescent="0.35">
      <c r="A164" t="s">
        <v>6</v>
      </c>
      <c r="B164" s="7" t="s">
        <v>835</v>
      </c>
      <c r="F164" s="57">
        <v>44573</v>
      </c>
    </row>
    <row r="165" spans="1:7" x14ac:dyDescent="0.35">
      <c r="A165" t="s">
        <v>1</v>
      </c>
      <c r="B165" s="7" t="s">
        <v>830</v>
      </c>
      <c r="F165" s="57">
        <v>44573</v>
      </c>
    </row>
    <row r="166" spans="1:7" x14ac:dyDescent="0.35">
      <c r="A166" t="s">
        <v>205</v>
      </c>
      <c r="B166" s="7" t="s">
        <v>1032</v>
      </c>
      <c r="F166" s="57">
        <v>44573</v>
      </c>
    </row>
    <row r="167" spans="1:7" x14ac:dyDescent="0.35">
      <c r="A167" t="s">
        <v>505</v>
      </c>
      <c r="B167" s="7" t="s">
        <v>1329</v>
      </c>
      <c r="F167" s="57">
        <v>44573</v>
      </c>
    </row>
    <row r="168" spans="1:7" x14ac:dyDescent="0.35">
      <c r="A168" t="s">
        <v>531</v>
      </c>
      <c r="B168" s="7" t="s">
        <v>1355</v>
      </c>
      <c r="F168" s="57">
        <v>44573</v>
      </c>
    </row>
    <row r="169" spans="1:7" x14ac:dyDescent="0.35">
      <c r="A169" t="s">
        <v>489</v>
      </c>
      <c r="B169" s="7" t="s">
        <v>1313</v>
      </c>
      <c r="F169" s="57">
        <v>44573</v>
      </c>
    </row>
    <row r="170" spans="1:7" x14ac:dyDescent="0.35">
      <c r="A170" t="s">
        <v>294</v>
      </c>
      <c r="B170" s="7" t="s">
        <v>1119</v>
      </c>
      <c r="F170" s="57">
        <v>44573</v>
      </c>
    </row>
    <row r="171" spans="1:7" x14ac:dyDescent="0.35">
      <c r="A171" t="s">
        <v>479</v>
      </c>
      <c r="B171" s="7" t="s">
        <v>1303</v>
      </c>
      <c r="F171" s="57">
        <v>44573</v>
      </c>
    </row>
    <row r="172" spans="1:7" x14ac:dyDescent="0.35">
      <c r="A172" t="s">
        <v>609</v>
      </c>
      <c r="B172" s="7" t="s">
        <v>1433</v>
      </c>
      <c r="D172" t="s">
        <v>2119</v>
      </c>
      <c r="E172" t="s">
        <v>4106</v>
      </c>
      <c r="F172" s="57">
        <v>44573</v>
      </c>
      <c r="G172" t="s">
        <v>4086</v>
      </c>
    </row>
    <row r="173" spans="1:7" x14ac:dyDescent="0.35">
      <c r="A173" t="s">
        <v>497</v>
      </c>
      <c r="B173" s="7" t="s">
        <v>1321</v>
      </c>
      <c r="F173" s="57">
        <v>44573</v>
      </c>
    </row>
    <row r="174" spans="1:7" x14ac:dyDescent="0.35">
      <c r="A174" t="s">
        <v>496</v>
      </c>
      <c r="B174" s="7" t="s">
        <v>1320</v>
      </c>
      <c r="F174" s="57">
        <v>44573</v>
      </c>
    </row>
    <row r="175" spans="1:7" x14ac:dyDescent="0.35">
      <c r="A175" t="s">
        <v>763</v>
      </c>
      <c r="B175" s="7" t="s">
        <v>1587</v>
      </c>
      <c r="D175" t="s">
        <v>2518</v>
      </c>
      <c r="E175" t="s">
        <v>4106</v>
      </c>
      <c r="F175" s="57">
        <v>44573</v>
      </c>
      <c r="G175" t="s">
        <v>4087</v>
      </c>
    </row>
    <row r="176" spans="1:7" x14ac:dyDescent="0.35">
      <c r="A176" t="s">
        <v>356</v>
      </c>
      <c r="B176" s="7" t="s">
        <v>1180</v>
      </c>
      <c r="F176" s="57">
        <v>44573</v>
      </c>
    </row>
    <row r="177" spans="1:7" x14ac:dyDescent="0.35">
      <c r="A177" t="s">
        <v>325</v>
      </c>
      <c r="B177" s="7" t="s">
        <v>1150</v>
      </c>
      <c r="F177" s="57">
        <v>44573</v>
      </c>
    </row>
    <row r="178" spans="1:7" x14ac:dyDescent="0.35">
      <c r="A178" t="s">
        <v>382</v>
      </c>
      <c r="B178" s="7" t="s">
        <v>1206</v>
      </c>
      <c r="F178" s="57">
        <v>44573</v>
      </c>
    </row>
    <row r="179" spans="1:7" x14ac:dyDescent="0.35">
      <c r="A179" t="s">
        <v>243</v>
      </c>
      <c r="B179" s="7" t="s">
        <v>1069</v>
      </c>
      <c r="F179" s="57">
        <v>44573</v>
      </c>
    </row>
    <row r="180" spans="1:7" x14ac:dyDescent="0.35">
      <c r="A180" t="s">
        <v>73</v>
      </c>
      <c r="B180" s="7" t="s">
        <v>902</v>
      </c>
      <c r="F180" s="57">
        <v>44573</v>
      </c>
    </row>
    <row r="181" spans="1:7" x14ac:dyDescent="0.35">
      <c r="A181" t="s">
        <v>397</v>
      </c>
      <c r="B181" s="7" t="s">
        <v>1221</v>
      </c>
      <c r="F181" s="57">
        <v>44573</v>
      </c>
    </row>
    <row r="182" spans="1:7" x14ac:dyDescent="0.35">
      <c r="A182" t="s">
        <v>463</v>
      </c>
      <c r="B182" s="7" t="s">
        <v>1287</v>
      </c>
      <c r="F182" s="57">
        <v>44573</v>
      </c>
    </row>
    <row r="183" spans="1:7" x14ac:dyDescent="0.35">
      <c r="A183" t="s">
        <v>283</v>
      </c>
      <c r="B183" s="7" t="s">
        <v>1109</v>
      </c>
      <c r="F183" s="57">
        <v>44573</v>
      </c>
    </row>
    <row r="184" spans="1:7" x14ac:dyDescent="0.35">
      <c r="A184" t="s">
        <v>45</v>
      </c>
      <c r="B184" s="7" t="s">
        <v>874</v>
      </c>
      <c r="F184" s="57">
        <v>44573</v>
      </c>
    </row>
    <row r="185" spans="1:7" x14ac:dyDescent="0.35">
      <c r="A185" t="s">
        <v>224</v>
      </c>
      <c r="B185" s="7" t="s">
        <v>1051</v>
      </c>
      <c r="F185" s="57">
        <v>44573</v>
      </c>
    </row>
    <row r="186" spans="1:7" x14ac:dyDescent="0.35">
      <c r="A186" t="s">
        <v>370</v>
      </c>
      <c r="B186" s="7" t="s">
        <v>1194</v>
      </c>
      <c r="F186" s="57">
        <v>44573</v>
      </c>
    </row>
    <row r="187" spans="1:7" x14ac:dyDescent="0.35">
      <c r="A187" t="s">
        <v>682</v>
      </c>
      <c r="B187" s="7" t="s">
        <v>1506</v>
      </c>
      <c r="F187" s="57">
        <v>44573</v>
      </c>
    </row>
    <row r="188" spans="1:7" x14ac:dyDescent="0.35">
      <c r="A188" t="s">
        <v>666</v>
      </c>
      <c r="B188" s="7" t="s">
        <v>1490</v>
      </c>
      <c r="F188" s="57">
        <v>44573</v>
      </c>
    </row>
    <row r="189" spans="1:7" x14ac:dyDescent="0.35">
      <c r="A189" t="s">
        <v>683</v>
      </c>
      <c r="B189" s="7" t="s">
        <v>1507</v>
      </c>
      <c r="F189" s="57">
        <v>44573</v>
      </c>
    </row>
    <row r="190" spans="1:7" x14ac:dyDescent="0.35">
      <c r="A190" t="s">
        <v>684</v>
      </c>
      <c r="B190" s="7" t="s">
        <v>1508</v>
      </c>
      <c r="F190" s="57">
        <v>44573</v>
      </c>
    </row>
    <row r="191" spans="1:7" x14ac:dyDescent="0.35">
      <c r="A191" t="s">
        <v>598</v>
      </c>
      <c r="B191" s="7" t="s">
        <v>1422</v>
      </c>
      <c r="D191" t="s">
        <v>2548</v>
      </c>
      <c r="E191" t="s">
        <v>4106</v>
      </c>
      <c r="F191" s="57">
        <v>44573</v>
      </c>
      <c r="G191" t="s">
        <v>4085</v>
      </c>
    </row>
    <row r="192" spans="1:7" x14ac:dyDescent="0.35">
      <c r="A192" s="6" t="s">
        <v>821</v>
      </c>
      <c r="B192" s="7" t="s">
        <v>1643</v>
      </c>
      <c r="F192" s="57">
        <v>44573</v>
      </c>
    </row>
    <row r="193" spans="1:7" x14ac:dyDescent="0.35">
      <c r="A193" t="s">
        <v>61</v>
      </c>
      <c r="B193" s="7" t="s">
        <v>890</v>
      </c>
      <c r="F193" s="57">
        <v>44573</v>
      </c>
    </row>
    <row r="194" spans="1:7" x14ac:dyDescent="0.35">
      <c r="A194" t="s">
        <v>574</v>
      </c>
      <c r="B194" s="7" t="s">
        <v>1398</v>
      </c>
      <c r="F194" s="57">
        <v>44573</v>
      </c>
    </row>
    <row r="195" spans="1:7" x14ac:dyDescent="0.35">
      <c r="A195" t="s">
        <v>426</v>
      </c>
      <c r="B195" s="7" t="s">
        <v>1250</v>
      </c>
      <c r="F195" s="57">
        <v>44573</v>
      </c>
    </row>
    <row r="196" spans="1:7" x14ac:dyDescent="0.35">
      <c r="A196" t="s">
        <v>530</v>
      </c>
      <c r="B196" s="7" t="s">
        <v>1354</v>
      </c>
      <c r="F196" s="57">
        <v>44573</v>
      </c>
    </row>
    <row r="197" spans="1:7" x14ac:dyDescent="0.35">
      <c r="A197" t="s">
        <v>280</v>
      </c>
      <c r="B197" s="7" t="s">
        <v>1106</v>
      </c>
      <c r="F197" s="57">
        <v>44573</v>
      </c>
    </row>
    <row r="198" spans="1:7" x14ac:dyDescent="0.35">
      <c r="A198" t="s">
        <v>348</v>
      </c>
      <c r="B198" s="7" t="s">
        <v>1172</v>
      </c>
      <c r="F198" s="57">
        <v>44573</v>
      </c>
    </row>
    <row r="199" spans="1:7" x14ac:dyDescent="0.35">
      <c r="A199" t="s">
        <v>380</v>
      </c>
      <c r="B199" s="7" t="s">
        <v>1204</v>
      </c>
      <c r="F199" s="57">
        <v>44573</v>
      </c>
    </row>
    <row r="200" spans="1:7" x14ac:dyDescent="0.35">
      <c r="A200" t="s">
        <v>559</v>
      </c>
      <c r="B200" s="7" t="s">
        <v>1383</v>
      </c>
      <c r="F200" s="57">
        <v>44573</v>
      </c>
    </row>
    <row r="201" spans="1:7" x14ac:dyDescent="0.35">
      <c r="A201" t="s">
        <v>470</v>
      </c>
      <c r="B201" s="7" t="s">
        <v>1294</v>
      </c>
      <c r="D201" t="s">
        <v>2333</v>
      </c>
      <c r="E201" t="s">
        <v>4106</v>
      </c>
      <c r="F201" s="57">
        <v>44573</v>
      </c>
      <c r="G201" t="s">
        <v>4088</v>
      </c>
    </row>
    <row r="202" spans="1:7" x14ac:dyDescent="0.35">
      <c r="A202" t="s">
        <v>52</v>
      </c>
      <c r="B202" s="7" t="s">
        <v>881</v>
      </c>
      <c r="F202" s="57">
        <v>44573</v>
      </c>
    </row>
    <row r="203" spans="1:7" x14ac:dyDescent="0.35">
      <c r="A203" t="s">
        <v>11</v>
      </c>
      <c r="B203" s="7" t="s">
        <v>840</v>
      </c>
      <c r="F203" s="57">
        <v>44573</v>
      </c>
    </row>
    <row r="204" spans="1:7" x14ac:dyDescent="0.35">
      <c r="A204" t="s">
        <v>67</v>
      </c>
      <c r="B204" s="7" t="s">
        <v>896</v>
      </c>
      <c r="F204" s="57">
        <v>44573</v>
      </c>
    </row>
    <row r="205" spans="1:7" x14ac:dyDescent="0.35">
      <c r="A205" t="s">
        <v>568</v>
      </c>
      <c r="B205" s="7" t="s">
        <v>1392</v>
      </c>
      <c r="F205" s="57">
        <v>44573</v>
      </c>
    </row>
    <row r="206" spans="1:7" x14ac:dyDescent="0.35">
      <c r="A206" t="s">
        <v>85</v>
      </c>
      <c r="B206" s="7" t="s">
        <v>914</v>
      </c>
      <c r="F206" s="57">
        <v>44573</v>
      </c>
    </row>
    <row r="207" spans="1:7" x14ac:dyDescent="0.35">
      <c r="A207" t="s">
        <v>714</v>
      </c>
      <c r="B207" s="7" t="s">
        <v>1538</v>
      </c>
      <c r="F207" s="57">
        <v>44573</v>
      </c>
    </row>
    <row r="208" spans="1:7" x14ac:dyDescent="0.35">
      <c r="A208" t="s">
        <v>716</v>
      </c>
      <c r="B208" s="7" t="s">
        <v>1540</v>
      </c>
      <c r="F208" s="57">
        <v>44573</v>
      </c>
    </row>
    <row r="209" spans="1:7" x14ac:dyDescent="0.35">
      <c r="A209" t="s">
        <v>720</v>
      </c>
      <c r="B209" s="7" t="s">
        <v>1544</v>
      </c>
      <c r="F209" s="57">
        <v>44573</v>
      </c>
    </row>
    <row r="210" spans="1:7" x14ac:dyDescent="0.35">
      <c r="A210" t="s">
        <v>721</v>
      </c>
      <c r="B210" s="7" t="s">
        <v>1545</v>
      </c>
      <c r="F210" s="57">
        <v>44573</v>
      </c>
    </row>
    <row r="211" spans="1:7" x14ac:dyDescent="0.35">
      <c r="A211" t="s">
        <v>709</v>
      </c>
      <c r="B211" s="7" t="s">
        <v>1533</v>
      </c>
      <c r="F211" s="57">
        <v>44573</v>
      </c>
    </row>
    <row r="212" spans="1:7" x14ac:dyDescent="0.35">
      <c r="A212" t="s">
        <v>726</v>
      </c>
      <c r="B212" s="7" t="s">
        <v>1550</v>
      </c>
      <c r="F212" s="57">
        <v>44573</v>
      </c>
    </row>
    <row r="213" spans="1:7" x14ac:dyDescent="0.35">
      <c r="A213" t="s">
        <v>727</v>
      </c>
      <c r="B213" s="7" t="s">
        <v>1551</v>
      </c>
      <c r="F213" s="57">
        <v>44573</v>
      </c>
    </row>
    <row r="214" spans="1:7" x14ac:dyDescent="0.35">
      <c r="A214" t="s">
        <v>728</v>
      </c>
      <c r="B214" s="7" t="s">
        <v>1552</v>
      </c>
      <c r="F214" s="57">
        <v>44573</v>
      </c>
    </row>
    <row r="215" spans="1:7" x14ac:dyDescent="0.35">
      <c r="A215" t="s">
        <v>130</v>
      </c>
      <c r="B215" s="7" t="s">
        <v>959</v>
      </c>
      <c r="F215" s="57">
        <v>44573</v>
      </c>
    </row>
    <row r="216" spans="1:7" x14ac:dyDescent="0.35">
      <c r="A216" t="s">
        <v>407</v>
      </c>
      <c r="B216" s="7" t="s">
        <v>1231</v>
      </c>
      <c r="F216" s="57">
        <v>44573</v>
      </c>
    </row>
    <row r="217" spans="1:7" x14ac:dyDescent="0.35">
      <c r="A217" t="s">
        <v>233</v>
      </c>
      <c r="B217" s="7" t="s">
        <v>1060</v>
      </c>
      <c r="D217" t="s">
        <v>2522</v>
      </c>
      <c r="E217" t="s">
        <v>4106</v>
      </c>
      <c r="F217" s="57">
        <v>44573</v>
      </c>
      <c r="G217" t="s">
        <v>4085</v>
      </c>
    </row>
    <row r="218" spans="1:7" x14ac:dyDescent="0.35">
      <c r="A218" t="s">
        <v>703</v>
      </c>
      <c r="B218" s="7" t="s">
        <v>1527</v>
      </c>
      <c r="F218" s="57">
        <v>44573</v>
      </c>
    </row>
    <row r="219" spans="1:7" x14ac:dyDescent="0.35">
      <c r="A219" t="s">
        <v>286</v>
      </c>
      <c r="B219" s="7" t="s">
        <v>1111</v>
      </c>
      <c r="D219" t="s">
        <v>2523</v>
      </c>
      <c r="E219" t="s">
        <v>4106</v>
      </c>
      <c r="F219" s="57">
        <v>44573</v>
      </c>
      <c r="G219" t="s">
        <v>4085</v>
      </c>
    </row>
    <row r="220" spans="1:7" x14ac:dyDescent="0.35">
      <c r="A220" t="s">
        <v>451</v>
      </c>
      <c r="B220" s="7" t="s">
        <v>1275</v>
      </c>
      <c r="F220" s="57">
        <v>44573</v>
      </c>
      <c r="G220" t="s">
        <v>4084</v>
      </c>
    </row>
    <row r="221" spans="1:7" x14ac:dyDescent="0.35">
      <c r="A221" t="s">
        <v>790</v>
      </c>
      <c r="B221" s="7" t="s">
        <v>1613</v>
      </c>
      <c r="F221" s="57">
        <v>44573</v>
      </c>
    </row>
    <row r="222" spans="1:7" x14ac:dyDescent="0.35">
      <c r="A222" t="s">
        <v>794</v>
      </c>
      <c r="B222" s="7" t="s">
        <v>1617</v>
      </c>
      <c r="F222" s="57">
        <v>44573</v>
      </c>
    </row>
    <row r="223" spans="1:7" x14ac:dyDescent="0.35">
      <c r="A223" t="s">
        <v>467</v>
      </c>
      <c r="B223" s="7" t="s">
        <v>1291</v>
      </c>
      <c r="F223" s="57">
        <v>44573</v>
      </c>
    </row>
    <row r="224" spans="1:7" x14ac:dyDescent="0.35">
      <c r="A224" t="s">
        <v>469</v>
      </c>
      <c r="B224" s="7" t="s">
        <v>1293</v>
      </c>
      <c r="F224" s="57">
        <v>44573</v>
      </c>
    </row>
    <row r="225" spans="1:7" x14ac:dyDescent="0.35">
      <c r="A225" t="s">
        <v>449</v>
      </c>
      <c r="B225" s="7" t="s">
        <v>1273</v>
      </c>
      <c r="F225" s="57">
        <v>44573</v>
      </c>
      <c r="G225" t="s">
        <v>4084</v>
      </c>
    </row>
    <row r="226" spans="1:7" x14ac:dyDescent="0.35">
      <c r="A226" t="s">
        <v>414</v>
      </c>
      <c r="B226" s="7" t="s">
        <v>1238</v>
      </c>
      <c r="F226" s="57">
        <v>44573</v>
      </c>
    </row>
    <row r="227" spans="1:7" x14ac:dyDescent="0.35">
      <c r="A227" t="s">
        <v>827</v>
      </c>
      <c r="B227" s="7" t="s">
        <v>1649</v>
      </c>
      <c r="F227" s="57">
        <v>44573</v>
      </c>
    </row>
    <row r="228" spans="1:7" x14ac:dyDescent="0.35">
      <c r="A228" t="s">
        <v>804</v>
      </c>
      <c r="B228" s="7" t="s">
        <v>1627</v>
      </c>
      <c r="F228" s="57">
        <v>44573</v>
      </c>
    </row>
    <row r="229" spans="1:7" x14ac:dyDescent="0.35">
      <c r="A229" s="4" t="s">
        <v>451</v>
      </c>
      <c r="B229" t="s">
        <v>1603</v>
      </c>
      <c r="F229" s="57">
        <v>44573</v>
      </c>
      <c r="G229" t="s">
        <v>4084</v>
      </c>
    </row>
    <row r="230" spans="1:7" x14ac:dyDescent="0.35">
      <c r="A230" t="s">
        <v>603</v>
      </c>
      <c r="B230" s="7" t="s">
        <v>1427</v>
      </c>
      <c r="F230" s="57">
        <v>44573</v>
      </c>
    </row>
    <row r="231" spans="1:7" x14ac:dyDescent="0.35">
      <c r="A231" t="s">
        <v>14</v>
      </c>
      <c r="B231" s="7" t="s">
        <v>843</v>
      </c>
      <c r="F231" s="57">
        <v>44573</v>
      </c>
    </row>
    <row r="232" spans="1:7" x14ac:dyDescent="0.35">
      <c r="A232" s="4" t="s">
        <v>780</v>
      </c>
      <c r="B232" s="7" t="s">
        <v>843</v>
      </c>
      <c r="F232" s="57">
        <v>44573</v>
      </c>
    </row>
    <row r="233" spans="1:7" x14ac:dyDescent="0.35">
      <c r="A233" t="s">
        <v>773</v>
      </c>
      <c r="B233" s="7" t="s">
        <v>1597</v>
      </c>
      <c r="F233" s="57">
        <v>44573</v>
      </c>
    </row>
    <row r="234" spans="1:7" x14ac:dyDescent="0.35">
      <c r="A234" t="s">
        <v>34</v>
      </c>
      <c r="B234" s="7" t="s">
        <v>863</v>
      </c>
      <c r="F234" s="57">
        <v>44573</v>
      </c>
    </row>
    <row r="235" spans="1:7" x14ac:dyDescent="0.35">
      <c r="A235" t="s">
        <v>55</v>
      </c>
      <c r="B235" s="7" t="s">
        <v>884</v>
      </c>
      <c r="F235" s="57">
        <v>44573</v>
      </c>
    </row>
    <row r="236" spans="1:7" x14ac:dyDescent="0.35">
      <c r="A236" t="s">
        <v>355</v>
      </c>
      <c r="B236" s="7" t="s">
        <v>1179</v>
      </c>
      <c r="F236" s="57">
        <v>44573</v>
      </c>
    </row>
    <row r="237" spans="1:7" x14ac:dyDescent="0.35">
      <c r="A237" t="s">
        <v>322</v>
      </c>
      <c r="B237" s="7" t="s">
        <v>1147</v>
      </c>
      <c r="F237" s="57">
        <v>44573</v>
      </c>
    </row>
    <row r="238" spans="1:7" x14ac:dyDescent="0.35">
      <c r="A238" t="s">
        <v>72</v>
      </c>
      <c r="B238" s="7" t="s">
        <v>901</v>
      </c>
      <c r="F238" s="57">
        <v>44573</v>
      </c>
    </row>
    <row r="239" spans="1:7" x14ac:dyDescent="0.35">
      <c r="A239" t="s">
        <v>309</v>
      </c>
      <c r="B239" s="7" t="s">
        <v>1134</v>
      </c>
      <c r="F239" s="57">
        <v>44573</v>
      </c>
    </row>
    <row r="240" spans="1:7" x14ac:dyDescent="0.35">
      <c r="A240" t="s">
        <v>77</v>
      </c>
      <c r="B240" s="7" t="s">
        <v>906</v>
      </c>
      <c r="F240" s="57">
        <v>44573</v>
      </c>
    </row>
    <row r="241" spans="1:7" x14ac:dyDescent="0.35">
      <c r="A241" t="s">
        <v>32</v>
      </c>
      <c r="B241" s="7" t="s">
        <v>861</v>
      </c>
      <c r="F241" s="57">
        <v>44573</v>
      </c>
    </row>
    <row r="242" spans="1:7" x14ac:dyDescent="0.35">
      <c r="A242" t="s">
        <v>87</v>
      </c>
      <c r="B242" s="7" t="s">
        <v>916</v>
      </c>
      <c r="F242" s="57">
        <v>44573</v>
      </c>
    </row>
    <row r="243" spans="1:7" x14ac:dyDescent="0.35">
      <c r="A243" t="s">
        <v>360</v>
      </c>
      <c r="B243" s="7" t="s">
        <v>1184</v>
      </c>
      <c r="D243" t="s">
        <v>2147</v>
      </c>
      <c r="E243" t="s">
        <v>4106</v>
      </c>
      <c r="F243" s="57">
        <v>44573</v>
      </c>
      <c r="G243" t="s">
        <v>4083</v>
      </c>
    </row>
    <row r="244" spans="1:7" x14ac:dyDescent="0.35">
      <c r="A244" t="s">
        <v>122</v>
      </c>
      <c r="B244" s="7" t="s">
        <v>951</v>
      </c>
      <c r="F244" s="57">
        <v>44573</v>
      </c>
      <c r="G244" t="s">
        <v>4089</v>
      </c>
    </row>
    <row r="245" spans="1:7" x14ac:dyDescent="0.35">
      <c r="A245" t="s">
        <v>492</v>
      </c>
      <c r="B245" s="7" t="s">
        <v>1316</v>
      </c>
      <c r="D245" t="s">
        <v>2147</v>
      </c>
      <c r="E245" t="s">
        <v>4106</v>
      </c>
      <c r="F245" s="57">
        <v>44573</v>
      </c>
      <c r="G245" t="s">
        <v>4086</v>
      </c>
    </row>
    <row r="246" spans="1:7" x14ac:dyDescent="0.35">
      <c r="A246" t="s">
        <v>386</v>
      </c>
      <c r="B246" s="7" t="s">
        <v>1210</v>
      </c>
      <c r="F246" s="57">
        <v>44573</v>
      </c>
    </row>
    <row r="247" spans="1:7" x14ac:dyDescent="0.35">
      <c r="A247" t="s">
        <v>336</v>
      </c>
      <c r="B247" s="7" t="s">
        <v>1161</v>
      </c>
      <c r="F247" s="57">
        <v>44573</v>
      </c>
    </row>
    <row r="248" spans="1:7" x14ac:dyDescent="0.35">
      <c r="A248" t="s">
        <v>337</v>
      </c>
      <c r="B248" s="7" t="s">
        <v>1161</v>
      </c>
      <c r="F248" s="57">
        <v>44573</v>
      </c>
    </row>
    <row r="249" spans="1:7" x14ac:dyDescent="0.35">
      <c r="A249" t="s">
        <v>754</v>
      </c>
      <c r="B249" s="7" t="s">
        <v>1578</v>
      </c>
      <c r="F249" s="57">
        <v>44573</v>
      </c>
    </row>
    <row r="250" spans="1:7" x14ac:dyDescent="0.35">
      <c r="A250" t="s">
        <v>584</v>
      </c>
      <c r="B250" s="7" t="s">
        <v>1408</v>
      </c>
      <c r="F250" s="57">
        <v>44573</v>
      </c>
    </row>
    <row r="251" spans="1:7" x14ac:dyDescent="0.35">
      <c r="A251" t="s">
        <v>104</v>
      </c>
      <c r="B251" s="7" t="s">
        <v>933</v>
      </c>
      <c r="F251" s="57">
        <v>44573</v>
      </c>
    </row>
    <row r="252" spans="1:7" x14ac:dyDescent="0.35">
      <c r="A252" t="s">
        <v>346</v>
      </c>
      <c r="B252" s="7" t="s">
        <v>1170</v>
      </c>
      <c r="F252" s="57">
        <v>44573</v>
      </c>
    </row>
    <row r="253" spans="1:7" x14ac:dyDescent="0.35">
      <c r="A253" t="s">
        <v>456</v>
      </c>
      <c r="B253" s="7" t="s">
        <v>1280</v>
      </c>
      <c r="F253" s="57">
        <v>44573</v>
      </c>
    </row>
    <row r="254" spans="1:7" x14ac:dyDescent="0.35">
      <c r="A254" s="4" t="s">
        <v>793</v>
      </c>
      <c r="B254" s="4" t="s">
        <v>1616</v>
      </c>
      <c r="F254" s="57">
        <v>44573</v>
      </c>
    </row>
    <row r="255" spans="1:7" x14ac:dyDescent="0.35">
      <c r="A255" t="s">
        <v>217</v>
      </c>
      <c r="B255" s="7" t="s">
        <v>1044</v>
      </c>
      <c r="F255" s="57">
        <v>44573</v>
      </c>
    </row>
    <row r="256" spans="1:7" x14ac:dyDescent="0.35">
      <c r="A256" t="s">
        <v>118</v>
      </c>
      <c r="B256" s="7" t="s">
        <v>947</v>
      </c>
      <c r="F256" s="57">
        <v>44573</v>
      </c>
    </row>
    <row r="257" spans="1:7" x14ac:dyDescent="0.35">
      <c r="A257" t="s">
        <v>764</v>
      </c>
      <c r="B257" s="7" t="s">
        <v>1588</v>
      </c>
      <c r="F257" s="57">
        <v>44573</v>
      </c>
    </row>
    <row r="258" spans="1:7" x14ac:dyDescent="0.35">
      <c r="A258" t="s">
        <v>755</v>
      </c>
      <c r="B258" s="7" t="s">
        <v>1579</v>
      </c>
      <c r="F258" s="57">
        <v>44573</v>
      </c>
    </row>
    <row r="259" spans="1:7" x14ac:dyDescent="0.35">
      <c r="A259" t="s">
        <v>372</v>
      </c>
      <c r="B259" s="7" t="s">
        <v>1196</v>
      </c>
      <c r="D259" t="s">
        <v>2267</v>
      </c>
      <c r="E259" t="s">
        <v>4106</v>
      </c>
      <c r="F259" s="57">
        <v>44573</v>
      </c>
      <c r="G259" t="s">
        <v>3598</v>
      </c>
    </row>
    <row r="260" spans="1:7" x14ac:dyDescent="0.35">
      <c r="A260" t="s">
        <v>326</v>
      </c>
      <c r="B260" s="7" t="s">
        <v>1151</v>
      </c>
      <c r="F260" s="57">
        <v>44573</v>
      </c>
    </row>
    <row r="261" spans="1:7" x14ac:dyDescent="0.35">
      <c r="A261" t="s">
        <v>175</v>
      </c>
      <c r="B261" s="7" t="s">
        <v>1004</v>
      </c>
      <c r="C261" t="s">
        <v>2384</v>
      </c>
      <c r="D261" t="s">
        <v>2276</v>
      </c>
      <c r="E261" t="s">
        <v>4106</v>
      </c>
      <c r="F261" s="57">
        <v>44573</v>
      </c>
      <c r="G261" t="s">
        <v>4090</v>
      </c>
    </row>
    <row r="262" spans="1:7" x14ac:dyDescent="0.35">
      <c r="A262" t="s">
        <v>50</v>
      </c>
      <c r="B262" s="7" t="s">
        <v>879</v>
      </c>
      <c r="F262" s="57">
        <v>44573</v>
      </c>
    </row>
    <row r="263" spans="1:7" x14ac:dyDescent="0.35">
      <c r="A263" t="s">
        <v>636</v>
      </c>
      <c r="B263" s="7" t="s">
        <v>1460</v>
      </c>
      <c r="F263" s="57">
        <v>44573</v>
      </c>
    </row>
    <row r="264" spans="1:7" x14ac:dyDescent="0.35">
      <c r="A264" t="s">
        <v>510</v>
      </c>
      <c r="B264" s="7" t="s">
        <v>1334</v>
      </c>
      <c r="D264" t="s">
        <v>2333</v>
      </c>
      <c r="E264" t="s">
        <v>4106</v>
      </c>
      <c r="F264" s="57">
        <v>44573</v>
      </c>
      <c r="G264" t="s">
        <v>4088</v>
      </c>
    </row>
    <row r="265" spans="1:7" x14ac:dyDescent="0.35">
      <c r="A265" t="s">
        <v>157</v>
      </c>
      <c r="B265" s="7" t="s">
        <v>986</v>
      </c>
      <c r="F265" s="57">
        <v>44573</v>
      </c>
    </row>
    <row r="266" spans="1:7" x14ac:dyDescent="0.35">
      <c r="A266" t="s">
        <v>97</v>
      </c>
      <c r="B266" s="7" t="s">
        <v>926</v>
      </c>
      <c r="F266" s="57">
        <v>44573</v>
      </c>
    </row>
    <row r="267" spans="1:7" x14ac:dyDescent="0.35">
      <c r="A267" t="s">
        <v>254</v>
      </c>
      <c r="B267" s="7" t="s">
        <v>1080</v>
      </c>
      <c r="F267" s="57">
        <v>44573</v>
      </c>
    </row>
    <row r="268" spans="1:7" x14ac:dyDescent="0.35">
      <c r="A268" t="s">
        <v>246</v>
      </c>
      <c r="B268" s="7" t="s">
        <v>1072</v>
      </c>
      <c r="F268" s="57">
        <v>44573</v>
      </c>
    </row>
    <row r="269" spans="1:7" x14ac:dyDescent="0.35">
      <c r="A269" t="s">
        <v>491</v>
      </c>
      <c r="B269" s="7" t="s">
        <v>1315</v>
      </c>
      <c r="F269" s="57">
        <v>44573</v>
      </c>
    </row>
    <row r="270" spans="1:7" x14ac:dyDescent="0.35">
      <c r="A270" t="s">
        <v>569</v>
      </c>
      <c r="B270" s="7" t="s">
        <v>1393</v>
      </c>
      <c r="F270" s="57">
        <v>44573</v>
      </c>
    </row>
    <row r="271" spans="1:7" x14ac:dyDescent="0.35">
      <c r="A271" t="s">
        <v>524</v>
      </c>
      <c r="B271" s="7" t="s">
        <v>1348</v>
      </c>
      <c r="F271" s="57">
        <v>44573</v>
      </c>
    </row>
    <row r="272" spans="1:7" x14ac:dyDescent="0.35">
      <c r="A272" t="s">
        <v>69</v>
      </c>
      <c r="B272" s="7" t="s">
        <v>898</v>
      </c>
      <c r="F272" s="57">
        <v>44573</v>
      </c>
    </row>
    <row r="273" spans="1:7" x14ac:dyDescent="0.35">
      <c r="A273" t="s">
        <v>658</v>
      </c>
      <c r="B273" s="7" t="s">
        <v>1482</v>
      </c>
      <c r="F273" s="57">
        <v>44573</v>
      </c>
    </row>
    <row r="274" spans="1:7" x14ac:dyDescent="0.35">
      <c r="A274" t="s">
        <v>229</v>
      </c>
      <c r="B274" s="7" t="s">
        <v>1056</v>
      </c>
      <c r="F274" s="57">
        <v>44573</v>
      </c>
    </row>
    <row r="275" spans="1:7" x14ac:dyDescent="0.35">
      <c r="A275" t="s">
        <v>36</v>
      </c>
      <c r="B275" s="7" t="s">
        <v>865</v>
      </c>
      <c r="F275" s="57">
        <v>44573</v>
      </c>
    </row>
    <row r="276" spans="1:7" x14ac:dyDescent="0.35">
      <c r="A276" t="s">
        <v>573</v>
      </c>
      <c r="B276" t="s">
        <v>1397</v>
      </c>
      <c r="F276" s="57">
        <v>44573</v>
      </c>
    </row>
    <row r="277" spans="1:7" x14ac:dyDescent="0.35">
      <c r="A277" t="s">
        <v>775</v>
      </c>
      <c r="B277" s="7" t="s">
        <v>1599</v>
      </c>
      <c r="D277" t="s">
        <v>2380</v>
      </c>
      <c r="E277" t="s">
        <v>4106</v>
      </c>
      <c r="F277" s="57">
        <v>44573</v>
      </c>
      <c r="G277" t="s">
        <v>4091</v>
      </c>
    </row>
    <row r="278" spans="1:7" x14ac:dyDescent="0.35">
      <c r="A278" t="s">
        <v>210</v>
      </c>
      <c r="B278" s="7" t="s">
        <v>1037</v>
      </c>
      <c r="F278" s="57">
        <v>44573</v>
      </c>
    </row>
    <row r="279" spans="1:7" x14ac:dyDescent="0.35">
      <c r="A279" t="s">
        <v>566</v>
      </c>
      <c r="B279" s="7" t="s">
        <v>1390</v>
      </c>
      <c r="F279" s="57">
        <v>44573</v>
      </c>
    </row>
    <row r="280" spans="1:7" x14ac:dyDescent="0.35">
      <c r="A280" t="s">
        <v>22</v>
      </c>
      <c r="B280" s="7" t="s">
        <v>851</v>
      </c>
      <c r="F280" s="57">
        <v>44573</v>
      </c>
    </row>
    <row r="281" spans="1:7" x14ac:dyDescent="0.35">
      <c r="A281" t="s">
        <v>379</v>
      </c>
      <c r="B281" s="7" t="s">
        <v>1203</v>
      </c>
      <c r="C281" t="s">
        <v>2392</v>
      </c>
      <c r="D281" t="s">
        <v>2512</v>
      </c>
      <c r="E281" t="s">
        <v>4106</v>
      </c>
      <c r="F281" s="57">
        <v>44573</v>
      </c>
      <c r="G281" t="s">
        <v>4092</v>
      </c>
    </row>
    <row r="282" spans="1:7" x14ac:dyDescent="0.35">
      <c r="A282" t="s">
        <v>242</v>
      </c>
      <c r="B282" s="7" t="s">
        <v>1068</v>
      </c>
      <c r="F282" s="57">
        <v>44573</v>
      </c>
    </row>
    <row r="283" spans="1:7" x14ac:dyDescent="0.35">
      <c r="A283" t="s">
        <v>776</v>
      </c>
      <c r="B283" s="7" t="s">
        <v>1600</v>
      </c>
      <c r="F283" s="57">
        <v>44573</v>
      </c>
    </row>
    <row r="284" spans="1:7" x14ac:dyDescent="0.35">
      <c r="A284" t="s">
        <v>169</v>
      </c>
      <c r="B284" s="7" t="s">
        <v>998</v>
      </c>
      <c r="F284" s="57">
        <v>44573</v>
      </c>
    </row>
    <row r="285" spans="1:7" x14ac:dyDescent="0.35">
      <c r="A285" t="s">
        <v>477</v>
      </c>
      <c r="B285" s="7" t="s">
        <v>1301</v>
      </c>
      <c r="F285" s="57">
        <v>44573</v>
      </c>
    </row>
    <row r="286" spans="1:7" x14ac:dyDescent="0.35">
      <c r="A286" t="s">
        <v>103</v>
      </c>
      <c r="B286" s="7" t="s">
        <v>932</v>
      </c>
      <c r="F286" s="57">
        <v>44573</v>
      </c>
    </row>
    <row r="287" spans="1:7" x14ac:dyDescent="0.35">
      <c r="A287" t="s">
        <v>42</v>
      </c>
      <c r="B287" s="7" t="s">
        <v>871</v>
      </c>
      <c r="F287" s="57">
        <v>44573</v>
      </c>
    </row>
    <row r="288" spans="1:7" x14ac:dyDescent="0.35">
      <c r="A288" t="s">
        <v>218</v>
      </c>
      <c r="B288" s="7" t="s">
        <v>1045</v>
      </c>
      <c r="F288" s="57">
        <v>44573</v>
      </c>
    </row>
    <row r="289" spans="1:7" x14ac:dyDescent="0.35">
      <c r="A289" t="s">
        <v>435</v>
      </c>
      <c r="B289" s="7" t="s">
        <v>1259</v>
      </c>
      <c r="F289" s="57">
        <v>44573</v>
      </c>
      <c r="G289" t="s">
        <v>4085</v>
      </c>
    </row>
    <row r="290" spans="1:7" x14ac:dyDescent="0.35">
      <c r="A290" t="s">
        <v>818</v>
      </c>
      <c r="B290" t="s">
        <v>1641</v>
      </c>
      <c r="F290" s="57">
        <v>44573</v>
      </c>
    </row>
    <row r="291" spans="1:7" x14ac:dyDescent="0.35">
      <c r="A291" t="s">
        <v>126</v>
      </c>
      <c r="B291" s="7" t="s">
        <v>955</v>
      </c>
      <c r="F291" s="57">
        <v>44573</v>
      </c>
    </row>
    <row r="292" spans="1:7" x14ac:dyDescent="0.35">
      <c r="A292" t="s">
        <v>269</v>
      </c>
      <c r="B292" s="7" t="s">
        <v>1095</v>
      </c>
      <c r="F292" s="57">
        <v>44573</v>
      </c>
    </row>
    <row r="293" spans="1:7" x14ac:dyDescent="0.35">
      <c r="A293" t="s">
        <v>56</v>
      </c>
      <c r="B293" s="7" t="s">
        <v>885</v>
      </c>
      <c r="F293" s="57">
        <v>44573</v>
      </c>
    </row>
    <row r="294" spans="1:7" x14ac:dyDescent="0.35">
      <c r="A294" t="s">
        <v>277</v>
      </c>
      <c r="B294" s="7" t="s">
        <v>1103</v>
      </c>
      <c r="F294" s="57">
        <v>44573</v>
      </c>
    </row>
    <row r="295" spans="1:7" x14ac:dyDescent="0.35">
      <c r="A295" t="s">
        <v>276</v>
      </c>
      <c r="B295" s="7" t="s">
        <v>1102</v>
      </c>
      <c r="F295" s="57">
        <v>44573</v>
      </c>
    </row>
    <row r="296" spans="1:7" x14ac:dyDescent="0.35">
      <c r="A296" t="s">
        <v>202</v>
      </c>
      <c r="B296" s="7" t="s">
        <v>1030</v>
      </c>
      <c r="F296" s="57">
        <v>44573</v>
      </c>
    </row>
    <row r="297" spans="1:7" x14ac:dyDescent="0.35">
      <c r="A297" t="s">
        <v>685</v>
      </c>
      <c r="B297" s="7" t="s">
        <v>1509</v>
      </c>
      <c r="F297" s="57">
        <v>44573</v>
      </c>
    </row>
    <row r="298" spans="1:7" x14ac:dyDescent="0.35">
      <c r="A298" t="s">
        <v>686</v>
      </c>
      <c r="B298" s="7" t="s">
        <v>1510</v>
      </c>
      <c r="F298" s="57">
        <v>44573</v>
      </c>
    </row>
    <row r="299" spans="1:7" x14ac:dyDescent="0.35">
      <c r="A299" t="s">
        <v>480</v>
      </c>
      <c r="B299" s="7" t="s">
        <v>1304</v>
      </c>
      <c r="F299" s="57">
        <v>44573</v>
      </c>
    </row>
    <row r="300" spans="1:7" x14ac:dyDescent="0.35">
      <c r="A300" t="s">
        <v>429</v>
      </c>
      <c r="B300" s="7" t="s">
        <v>1253</v>
      </c>
      <c r="F300" s="57">
        <v>44573</v>
      </c>
    </row>
    <row r="301" spans="1:7" x14ac:dyDescent="0.35">
      <c r="A301" t="s">
        <v>44</v>
      </c>
      <c r="B301" s="7" t="s">
        <v>873</v>
      </c>
      <c r="F301" s="57">
        <v>44573</v>
      </c>
    </row>
    <row r="302" spans="1:7" x14ac:dyDescent="0.35">
      <c r="A302" t="s">
        <v>308</v>
      </c>
      <c r="B302" s="7" t="s">
        <v>1133</v>
      </c>
      <c r="F302" s="57">
        <v>44573</v>
      </c>
    </row>
    <row r="303" spans="1:7" x14ac:dyDescent="0.35">
      <c r="A303" t="s">
        <v>173</v>
      </c>
      <c r="B303" s="7" t="s">
        <v>1002</v>
      </c>
      <c r="F303" s="57">
        <v>44573</v>
      </c>
    </row>
    <row r="304" spans="1:7" x14ac:dyDescent="0.35">
      <c r="A304" t="s">
        <v>618</v>
      </c>
      <c r="B304" s="7" t="s">
        <v>1442</v>
      </c>
      <c r="F304" s="57">
        <v>44573</v>
      </c>
    </row>
    <row r="305" spans="1:7" x14ac:dyDescent="0.35">
      <c r="A305" t="s">
        <v>416</v>
      </c>
      <c r="B305" s="7" t="s">
        <v>1240</v>
      </c>
      <c r="F305" s="57">
        <v>44573</v>
      </c>
    </row>
    <row r="306" spans="1:7" x14ac:dyDescent="0.35">
      <c r="A306" t="s">
        <v>756</v>
      </c>
      <c r="B306" s="7" t="s">
        <v>1580</v>
      </c>
      <c r="F306" s="57">
        <v>44573</v>
      </c>
    </row>
    <row r="307" spans="1:7" x14ac:dyDescent="0.35">
      <c r="A307" t="s">
        <v>219</v>
      </c>
      <c r="B307" s="7" t="s">
        <v>1046</v>
      </c>
      <c r="F307" s="57">
        <v>44573</v>
      </c>
    </row>
    <row r="308" spans="1:7" x14ac:dyDescent="0.35">
      <c r="A308" t="s">
        <v>687</v>
      </c>
      <c r="B308" s="7" t="s">
        <v>1511</v>
      </c>
      <c r="F308" s="57">
        <v>44573</v>
      </c>
    </row>
    <row r="309" spans="1:7" x14ac:dyDescent="0.35">
      <c r="A309" t="s">
        <v>113</v>
      </c>
      <c r="B309" s="7" t="s">
        <v>942</v>
      </c>
      <c r="F309" s="57">
        <v>44573</v>
      </c>
    </row>
    <row r="310" spans="1:7" x14ac:dyDescent="0.35">
      <c r="A310" t="s">
        <v>688</v>
      </c>
      <c r="B310" s="7" t="s">
        <v>1512</v>
      </c>
      <c r="F310" s="57">
        <v>44573</v>
      </c>
    </row>
    <row r="311" spans="1:7" x14ac:dyDescent="0.35">
      <c r="A311" t="s">
        <v>330</v>
      </c>
      <c r="B311" s="7" t="s">
        <v>1155</v>
      </c>
      <c r="F311" s="57">
        <v>44573</v>
      </c>
    </row>
    <row r="312" spans="1:7" x14ac:dyDescent="0.35">
      <c r="A312" t="s">
        <v>260</v>
      </c>
      <c r="B312" s="7" t="s">
        <v>1086</v>
      </c>
      <c r="F312" s="57">
        <v>44573</v>
      </c>
    </row>
    <row r="313" spans="1:7" x14ac:dyDescent="0.35">
      <c r="A313" t="s">
        <v>295</v>
      </c>
      <c r="B313" s="7" t="s">
        <v>1120</v>
      </c>
      <c r="F313" s="57">
        <v>44573</v>
      </c>
    </row>
    <row r="314" spans="1:7" x14ac:dyDescent="0.35">
      <c r="A314" t="s">
        <v>194</v>
      </c>
      <c r="B314" s="7" t="s">
        <v>1022</v>
      </c>
      <c r="F314" s="57">
        <v>44573</v>
      </c>
    </row>
    <row r="315" spans="1:7" x14ac:dyDescent="0.35">
      <c r="A315" t="s">
        <v>2</v>
      </c>
      <c r="B315" s="7" t="s">
        <v>831</v>
      </c>
      <c r="F315" s="57">
        <v>44573</v>
      </c>
    </row>
    <row r="316" spans="1:7" x14ac:dyDescent="0.35">
      <c r="A316" t="s">
        <v>436</v>
      </c>
      <c r="B316" s="7" t="s">
        <v>1260</v>
      </c>
      <c r="D316" t="s">
        <v>2114</v>
      </c>
      <c r="E316" t="s">
        <v>4106</v>
      </c>
      <c r="F316" s="57">
        <v>44573</v>
      </c>
      <c r="G316" t="s">
        <v>4093</v>
      </c>
    </row>
    <row r="317" spans="1:7" x14ac:dyDescent="0.35">
      <c r="A317" t="s">
        <v>654</v>
      </c>
      <c r="B317" s="7" t="s">
        <v>1478</v>
      </c>
      <c r="F317" s="57">
        <v>44573</v>
      </c>
    </row>
    <row r="318" spans="1:7" x14ac:dyDescent="0.35">
      <c r="A318" t="s">
        <v>591</v>
      </c>
      <c r="B318" s="7" t="s">
        <v>1415</v>
      </c>
      <c r="F318" s="57">
        <v>44573</v>
      </c>
    </row>
    <row r="319" spans="1:7" x14ac:dyDescent="0.35">
      <c r="A319" s="1" t="s">
        <v>7</v>
      </c>
      <c r="B319" s="7" t="s">
        <v>836</v>
      </c>
      <c r="F319" s="57">
        <v>44573</v>
      </c>
    </row>
    <row r="320" spans="1:7" x14ac:dyDescent="0.35">
      <c r="A320" t="s">
        <v>290</v>
      </c>
      <c r="B320" s="7" t="s">
        <v>1115</v>
      </c>
      <c r="F320" s="57">
        <v>44573</v>
      </c>
    </row>
    <row r="321" spans="1:6" x14ac:dyDescent="0.35">
      <c r="A321" t="s">
        <v>152</v>
      </c>
      <c r="B321" s="7" t="s">
        <v>981</v>
      </c>
      <c r="F321" s="57">
        <v>44573</v>
      </c>
    </row>
    <row r="322" spans="1:6" x14ac:dyDescent="0.35">
      <c r="A322" t="s">
        <v>427</v>
      </c>
      <c r="B322" s="7" t="s">
        <v>1251</v>
      </c>
      <c r="F322" s="57">
        <v>44573</v>
      </c>
    </row>
    <row r="323" spans="1:6" x14ac:dyDescent="0.35">
      <c r="A323" t="s">
        <v>689</v>
      </c>
      <c r="B323" s="7" t="s">
        <v>1513</v>
      </c>
      <c r="F323" s="57">
        <v>44573</v>
      </c>
    </row>
    <row r="324" spans="1:6" x14ac:dyDescent="0.35">
      <c r="A324" t="s">
        <v>785</v>
      </c>
      <c r="B324" s="7" t="s">
        <v>1608</v>
      </c>
      <c r="F324" s="57">
        <v>44573</v>
      </c>
    </row>
    <row r="325" spans="1:6" x14ac:dyDescent="0.35">
      <c r="A325" s="4" t="s">
        <v>825</v>
      </c>
      <c r="B325" s="7" t="s">
        <v>1647</v>
      </c>
      <c r="F325" s="57">
        <v>44573</v>
      </c>
    </row>
    <row r="326" spans="1:6" x14ac:dyDescent="0.35">
      <c r="A326" t="s">
        <v>581</v>
      </c>
      <c r="B326" s="7" t="s">
        <v>1405</v>
      </c>
      <c r="F326" s="57">
        <v>44573</v>
      </c>
    </row>
    <row r="327" spans="1:6" x14ac:dyDescent="0.35">
      <c r="A327" t="s">
        <v>558</v>
      </c>
      <c r="B327" s="7" t="s">
        <v>1382</v>
      </c>
      <c r="F327" s="57">
        <v>44573</v>
      </c>
    </row>
    <row r="328" spans="1:6" x14ac:dyDescent="0.35">
      <c r="A328" t="s">
        <v>180</v>
      </c>
      <c r="B328" s="7" t="s">
        <v>1009</v>
      </c>
      <c r="F328" s="57">
        <v>44573</v>
      </c>
    </row>
    <row r="329" spans="1:6" x14ac:dyDescent="0.35">
      <c r="A329" t="s">
        <v>656</v>
      </c>
      <c r="B329" s="7" t="s">
        <v>1480</v>
      </c>
      <c r="F329" s="57">
        <v>44573</v>
      </c>
    </row>
    <row r="330" spans="1:6" x14ac:dyDescent="0.35">
      <c r="A330" t="s">
        <v>354</v>
      </c>
      <c r="B330" s="7" t="s">
        <v>1178</v>
      </c>
      <c r="F330" s="57">
        <v>44573</v>
      </c>
    </row>
    <row r="331" spans="1:6" x14ac:dyDescent="0.35">
      <c r="A331" t="s">
        <v>734</v>
      </c>
      <c r="B331" s="7" t="s">
        <v>1558</v>
      </c>
      <c r="F331" s="57">
        <v>44573</v>
      </c>
    </row>
    <row r="332" spans="1:6" x14ac:dyDescent="0.35">
      <c r="A332" t="s">
        <v>579</v>
      </c>
      <c r="B332" s="7" t="s">
        <v>1403</v>
      </c>
      <c r="F332" s="57">
        <v>44573</v>
      </c>
    </row>
    <row r="333" spans="1:6" x14ac:dyDescent="0.35">
      <c r="A333" t="s">
        <v>306</v>
      </c>
      <c r="B333" s="7" t="s">
        <v>1131</v>
      </c>
      <c r="F333" s="57">
        <v>44573</v>
      </c>
    </row>
    <row r="334" spans="1:6" x14ac:dyDescent="0.35">
      <c r="A334" t="s">
        <v>177</v>
      </c>
      <c r="B334" s="7" t="s">
        <v>1006</v>
      </c>
      <c r="F334" s="57">
        <v>44573</v>
      </c>
    </row>
    <row r="335" spans="1:6" x14ac:dyDescent="0.35">
      <c r="A335" t="s">
        <v>630</v>
      </c>
      <c r="B335" s="7" t="s">
        <v>1454</v>
      </c>
      <c r="F335" s="57">
        <v>44573</v>
      </c>
    </row>
    <row r="336" spans="1:6" x14ac:dyDescent="0.35">
      <c r="A336" t="s">
        <v>417</v>
      </c>
      <c r="B336" s="7" t="s">
        <v>1241</v>
      </c>
      <c r="F336" s="57">
        <v>44573</v>
      </c>
    </row>
    <row r="337" spans="1:7" x14ac:dyDescent="0.35">
      <c r="A337" t="s">
        <v>48</v>
      </c>
      <c r="B337" s="7" t="s">
        <v>877</v>
      </c>
      <c r="F337" s="57">
        <v>44573</v>
      </c>
    </row>
    <row r="338" spans="1:7" x14ac:dyDescent="0.35">
      <c r="A338" t="s">
        <v>625</v>
      </c>
      <c r="B338" s="7" t="s">
        <v>1449</v>
      </c>
      <c r="F338" s="57">
        <v>44573</v>
      </c>
    </row>
    <row r="339" spans="1:7" x14ac:dyDescent="0.35">
      <c r="A339" t="s">
        <v>292</v>
      </c>
      <c r="B339" s="7" t="s">
        <v>1117</v>
      </c>
      <c r="F339" s="57">
        <v>44573</v>
      </c>
    </row>
    <row r="340" spans="1:7" x14ac:dyDescent="0.35">
      <c r="A340" t="s">
        <v>583</v>
      </c>
      <c r="B340" s="7" t="s">
        <v>1407</v>
      </c>
      <c r="F340" s="57">
        <v>44573</v>
      </c>
    </row>
    <row r="341" spans="1:7" x14ac:dyDescent="0.35">
      <c r="A341" t="s">
        <v>606</v>
      </c>
      <c r="B341" s="7" t="s">
        <v>1430</v>
      </c>
      <c r="D341" t="s">
        <v>2286</v>
      </c>
      <c r="E341" t="s">
        <v>4106</v>
      </c>
      <c r="F341" s="57">
        <v>44573</v>
      </c>
      <c r="G341" t="s">
        <v>4086</v>
      </c>
    </row>
    <row r="342" spans="1:7" x14ac:dyDescent="0.35">
      <c r="A342" t="s">
        <v>301</v>
      </c>
      <c r="B342" s="7" t="s">
        <v>1126</v>
      </c>
      <c r="F342" s="57">
        <v>44573</v>
      </c>
    </row>
    <row r="343" spans="1:7" x14ac:dyDescent="0.35">
      <c r="A343" t="s">
        <v>349</v>
      </c>
      <c r="B343" s="7" t="s">
        <v>1173</v>
      </c>
      <c r="F343" s="57">
        <v>44573</v>
      </c>
    </row>
    <row r="344" spans="1:7" x14ac:dyDescent="0.35">
      <c r="A344" t="s">
        <v>9</v>
      </c>
      <c r="B344" s="7" t="s">
        <v>838</v>
      </c>
      <c r="F344" s="57">
        <v>44573</v>
      </c>
    </row>
    <row r="345" spans="1:7" x14ac:dyDescent="0.35">
      <c r="A345" t="s">
        <v>255</v>
      </c>
      <c r="B345" s="7" t="s">
        <v>1081</v>
      </c>
      <c r="F345" s="57">
        <v>44573</v>
      </c>
      <c r="G345" t="s">
        <v>4084</v>
      </c>
    </row>
    <row r="346" spans="1:7" x14ac:dyDescent="0.35">
      <c r="A346" s="6" t="s">
        <v>787</v>
      </c>
      <c r="B346" s="7" t="s">
        <v>1610</v>
      </c>
      <c r="F346" s="57">
        <v>44573</v>
      </c>
    </row>
    <row r="347" spans="1:7" x14ac:dyDescent="0.35">
      <c r="A347" s="4" t="s">
        <v>826</v>
      </c>
      <c r="B347" s="7" t="s">
        <v>1648</v>
      </c>
      <c r="F347" s="57">
        <v>44573</v>
      </c>
    </row>
    <row r="348" spans="1:7" x14ac:dyDescent="0.35">
      <c r="A348" t="s">
        <v>565</v>
      </c>
      <c r="B348" s="7" t="s">
        <v>1389</v>
      </c>
      <c r="F348" s="57">
        <v>44573</v>
      </c>
    </row>
    <row r="349" spans="1:7" x14ac:dyDescent="0.35">
      <c r="A349" s="4" t="s">
        <v>468</v>
      </c>
      <c r="B349" t="s">
        <v>1292</v>
      </c>
      <c r="D349" t="s">
        <v>2267</v>
      </c>
      <c r="E349" t="s">
        <v>4106</v>
      </c>
      <c r="F349" s="57">
        <v>44573</v>
      </c>
      <c r="G349" t="s">
        <v>4086</v>
      </c>
    </row>
    <row r="350" spans="1:7" x14ac:dyDescent="0.35">
      <c r="A350" t="s">
        <v>287</v>
      </c>
      <c r="B350" s="7" t="s">
        <v>1112</v>
      </c>
      <c r="F350" s="57">
        <v>44573</v>
      </c>
    </row>
    <row r="351" spans="1:7" x14ac:dyDescent="0.35">
      <c r="A351" t="s">
        <v>596</v>
      </c>
      <c r="B351" s="7" t="s">
        <v>1420</v>
      </c>
      <c r="F351" s="57">
        <v>44573</v>
      </c>
    </row>
    <row r="352" spans="1:7" x14ac:dyDescent="0.35">
      <c r="A352" t="s">
        <v>777</v>
      </c>
      <c r="B352" s="7" t="s">
        <v>1601</v>
      </c>
      <c r="F352" s="57">
        <v>44573</v>
      </c>
    </row>
    <row r="353" spans="1:7" x14ac:dyDescent="0.35">
      <c r="A353" t="s">
        <v>176</v>
      </c>
      <c r="B353" s="7" t="s">
        <v>1005</v>
      </c>
      <c r="F353" s="57">
        <v>44573</v>
      </c>
    </row>
    <row r="354" spans="1:7" x14ac:dyDescent="0.35">
      <c r="A354" t="s">
        <v>516</v>
      </c>
      <c r="B354" s="7" t="s">
        <v>1340</v>
      </c>
      <c r="F354" s="57">
        <v>44573</v>
      </c>
    </row>
    <row r="355" spans="1:7" x14ac:dyDescent="0.35">
      <c r="A355" t="s">
        <v>534</v>
      </c>
      <c r="B355" s="7" t="s">
        <v>1358</v>
      </c>
      <c r="F355" s="57">
        <v>44573</v>
      </c>
    </row>
    <row r="356" spans="1:7" x14ac:dyDescent="0.35">
      <c r="A356" t="s">
        <v>190</v>
      </c>
      <c r="B356" s="7" t="s">
        <v>1018</v>
      </c>
      <c r="D356" t="s">
        <v>2518</v>
      </c>
      <c r="E356" t="s">
        <v>4106</v>
      </c>
      <c r="F356" s="57">
        <v>44573</v>
      </c>
      <c r="G356" t="s">
        <v>4084</v>
      </c>
    </row>
    <row r="357" spans="1:7" x14ac:dyDescent="0.35">
      <c r="A357" t="s">
        <v>60</v>
      </c>
      <c r="B357" s="7" t="s">
        <v>889</v>
      </c>
      <c r="F357" s="57">
        <v>44573</v>
      </c>
    </row>
    <row r="358" spans="1:7" x14ac:dyDescent="0.35">
      <c r="A358" t="s">
        <v>675</v>
      </c>
      <c r="B358" s="7" t="s">
        <v>1499</v>
      </c>
      <c r="F358" s="57">
        <v>44573</v>
      </c>
    </row>
    <row r="359" spans="1:7" x14ac:dyDescent="0.35">
      <c r="A359" t="s">
        <v>333</v>
      </c>
      <c r="B359" s="7" t="s">
        <v>1158</v>
      </c>
      <c r="F359" s="57">
        <v>44573</v>
      </c>
    </row>
    <row r="360" spans="1:7" x14ac:dyDescent="0.35">
      <c r="A360" t="s">
        <v>628</v>
      </c>
      <c r="B360" s="7" t="s">
        <v>1452</v>
      </c>
      <c r="F360" s="57">
        <v>44573</v>
      </c>
    </row>
    <row r="361" spans="1:7" x14ac:dyDescent="0.35">
      <c r="A361" t="s">
        <v>690</v>
      </c>
      <c r="B361" s="7" t="s">
        <v>1514</v>
      </c>
      <c r="F361" s="57">
        <v>44573</v>
      </c>
    </row>
    <row r="362" spans="1:7" x14ac:dyDescent="0.35">
      <c r="A362" t="s">
        <v>234</v>
      </c>
      <c r="B362" s="7" t="s">
        <v>1061</v>
      </c>
      <c r="F362" s="57">
        <v>44573</v>
      </c>
    </row>
    <row r="363" spans="1:7" x14ac:dyDescent="0.35">
      <c r="A363" t="s">
        <v>49</v>
      </c>
      <c r="B363" s="7" t="s">
        <v>878</v>
      </c>
      <c r="F363" s="57">
        <v>44573</v>
      </c>
    </row>
    <row r="364" spans="1:7" x14ac:dyDescent="0.35">
      <c r="A364" t="s">
        <v>452</v>
      </c>
      <c r="B364" s="7" t="s">
        <v>1276</v>
      </c>
      <c r="F364" s="57">
        <v>44573</v>
      </c>
    </row>
    <row r="365" spans="1:7" x14ac:dyDescent="0.35">
      <c r="A365" t="s">
        <v>191</v>
      </c>
      <c r="B365" s="7" t="s">
        <v>1019</v>
      </c>
      <c r="D365" t="s">
        <v>2390</v>
      </c>
      <c r="E365" t="s">
        <v>4106</v>
      </c>
      <c r="F365" s="57">
        <v>44573</v>
      </c>
      <c r="G365" t="s">
        <v>4086</v>
      </c>
    </row>
    <row r="366" spans="1:7" x14ac:dyDescent="0.35">
      <c r="A366" t="s">
        <v>154</v>
      </c>
      <c r="B366" s="7" t="s">
        <v>983</v>
      </c>
      <c r="F366" s="57">
        <v>44573</v>
      </c>
    </row>
    <row r="367" spans="1:7" x14ac:dyDescent="0.35">
      <c r="A367" t="s">
        <v>213</v>
      </c>
      <c r="B367" s="7" t="s">
        <v>1040</v>
      </c>
      <c r="F367" s="57">
        <v>44573</v>
      </c>
    </row>
    <row r="368" spans="1:7" x14ac:dyDescent="0.35">
      <c r="A368" t="s">
        <v>522</v>
      </c>
      <c r="B368" s="7" t="s">
        <v>1346</v>
      </c>
      <c r="F368" s="57">
        <v>44573</v>
      </c>
    </row>
    <row r="369" spans="1:6" x14ac:dyDescent="0.35">
      <c r="A369" t="s">
        <v>374</v>
      </c>
      <c r="B369" s="7" t="s">
        <v>1198</v>
      </c>
      <c r="F369" s="57">
        <v>44573</v>
      </c>
    </row>
    <row r="370" spans="1:6" x14ac:dyDescent="0.35">
      <c r="A370" t="s">
        <v>409</v>
      </c>
      <c r="B370" s="7" t="s">
        <v>1233</v>
      </c>
      <c r="F370" s="57">
        <v>44573</v>
      </c>
    </row>
    <row r="371" spans="1:6" x14ac:dyDescent="0.35">
      <c r="A371" t="s">
        <v>352</v>
      </c>
      <c r="B371" s="7" t="s">
        <v>1176</v>
      </c>
      <c r="F371" s="57">
        <v>44573</v>
      </c>
    </row>
    <row r="372" spans="1:6" x14ac:dyDescent="0.35">
      <c r="A372" t="s">
        <v>201</v>
      </c>
      <c r="B372" s="7" t="s">
        <v>1029</v>
      </c>
      <c r="F372" s="57">
        <v>44573</v>
      </c>
    </row>
    <row r="373" spans="1:6" x14ac:dyDescent="0.35">
      <c r="A373" t="s">
        <v>40</v>
      </c>
      <c r="B373" s="7" t="s">
        <v>869</v>
      </c>
      <c r="F373" s="57">
        <v>44573</v>
      </c>
    </row>
    <row r="374" spans="1:6" x14ac:dyDescent="0.35">
      <c r="A374" t="s">
        <v>419</v>
      </c>
      <c r="B374" s="7" t="s">
        <v>1243</v>
      </c>
      <c r="F374" s="57">
        <v>44573</v>
      </c>
    </row>
    <row r="375" spans="1:6" x14ac:dyDescent="0.35">
      <c r="A375" t="s">
        <v>735</v>
      </c>
      <c r="B375" s="7" t="s">
        <v>1559</v>
      </c>
      <c r="F375" s="57">
        <v>44573</v>
      </c>
    </row>
    <row r="376" spans="1:6" x14ac:dyDescent="0.35">
      <c r="A376" t="s">
        <v>608</v>
      </c>
      <c r="B376" s="7" t="s">
        <v>1432</v>
      </c>
      <c r="F376" s="57">
        <v>44573</v>
      </c>
    </row>
    <row r="377" spans="1:6" x14ac:dyDescent="0.35">
      <c r="A377" t="s">
        <v>553</v>
      </c>
      <c r="B377" s="7" t="s">
        <v>1377</v>
      </c>
      <c r="F377" s="57">
        <v>44573</v>
      </c>
    </row>
    <row r="378" spans="1:6" x14ac:dyDescent="0.35">
      <c r="A378" t="s">
        <v>511</v>
      </c>
      <c r="B378" s="7" t="s">
        <v>1335</v>
      </c>
      <c r="F378" s="57">
        <v>44573</v>
      </c>
    </row>
    <row r="379" spans="1:6" x14ac:dyDescent="0.35">
      <c r="A379" t="s">
        <v>133</v>
      </c>
      <c r="B379" s="7" t="s">
        <v>962</v>
      </c>
      <c r="F379" s="57">
        <v>44573</v>
      </c>
    </row>
    <row r="380" spans="1:6" x14ac:dyDescent="0.35">
      <c r="A380" t="s">
        <v>120</v>
      </c>
      <c r="B380" s="7" t="s">
        <v>949</v>
      </c>
      <c r="F380" s="57">
        <v>44573</v>
      </c>
    </row>
    <row r="381" spans="1:6" x14ac:dyDescent="0.35">
      <c r="A381" t="s">
        <v>117</v>
      </c>
      <c r="B381" s="7" t="s">
        <v>946</v>
      </c>
      <c r="F381" s="57">
        <v>44573</v>
      </c>
    </row>
    <row r="382" spans="1:6" x14ac:dyDescent="0.35">
      <c r="A382" t="s">
        <v>12</v>
      </c>
      <c r="B382" s="7" t="s">
        <v>841</v>
      </c>
      <c r="F382" s="57">
        <v>44573</v>
      </c>
    </row>
    <row r="383" spans="1:6" x14ac:dyDescent="0.35">
      <c r="A383" t="s">
        <v>350</v>
      </c>
      <c r="B383" s="7" t="s">
        <v>1174</v>
      </c>
      <c r="F383" s="57">
        <v>44573</v>
      </c>
    </row>
    <row r="384" spans="1:6" x14ac:dyDescent="0.35">
      <c r="A384" t="s">
        <v>643</v>
      </c>
      <c r="B384" s="7" t="s">
        <v>1467</v>
      </c>
      <c r="F384" s="57">
        <v>44573</v>
      </c>
    </row>
    <row r="385" spans="1:7" x14ac:dyDescent="0.35">
      <c r="A385" t="s">
        <v>142</v>
      </c>
      <c r="B385" s="7" t="s">
        <v>971</v>
      </c>
      <c r="D385" t="s">
        <v>2514</v>
      </c>
      <c r="E385" t="s">
        <v>4106</v>
      </c>
      <c r="F385" s="57">
        <v>44573</v>
      </c>
      <c r="G385" t="s">
        <v>4087</v>
      </c>
    </row>
    <row r="386" spans="1:7" x14ac:dyDescent="0.35">
      <c r="A386" t="s">
        <v>765</v>
      </c>
      <c r="B386" s="7" t="s">
        <v>1589</v>
      </c>
      <c r="F386" s="57">
        <v>44573</v>
      </c>
    </row>
    <row r="387" spans="1:7" x14ac:dyDescent="0.35">
      <c r="A387" t="s">
        <v>691</v>
      </c>
      <c r="B387" s="7" t="s">
        <v>1515</v>
      </c>
      <c r="F387" s="57">
        <v>44573</v>
      </c>
    </row>
    <row r="388" spans="1:7" x14ac:dyDescent="0.35">
      <c r="A388" t="s">
        <v>668</v>
      </c>
      <c r="B388" s="7" t="s">
        <v>1492</v>
      </c>
      <c r="F388" s="57">
        <v>44573</v>
      </c>
    </row>
    <row r="389" spans="1:7" x14ac:dyDescent="0.35">
      <c r="A389" t="s">
        <v>119</v>
      </c>
      <c r="B389" s="7" t="s">
        <v>948</v>
      </c>
      <c r="F389" s="57">
        <v>44573</v>
      </c>
    </row>
    <row r="390" spans="1:7" x14ac:dyDescent="0.35">
      <c r="A390" t="s">
        <v>669</v>
      </c>
      <c r="B390" s="7" t="s">
        <v>1493</v>
      </c>
      <c r="F390" s="57">
        <v>44573</v>
      </c>
    </row>
    <row r="391" spans="1:7" x14ac:dyDescent="0.35">
      <c r="A391" t="s">
        <v>677</v>
      </c>
      <c r="B391" s="7" t="s">
        <v>1501</v>
      </c>
      <c r="F391" s="57">
        <v>44573</v>
      </c>
    </row>
    <row r="392" spans="1:7" x14ac:dyDescent="0.35">
      <c r="A392" t="s">
        <v>617</v>
      </c>
      <c r="B392" s="7" t="s">
        <v>1441</v>
      </c>
      <c r="F392" s="57">
        <v>44573</v>
      </c>
    </row>
    <row r="393" spans="1:7" x14ac:dyDescent="0.35">
      <c r="A393" t="s">
        <v>434</v>
      </c>
      <c r="B393" s="7" t="s">
        <v>1258</v>
      </c>
      <c r="F393" s="57">
        <v>44573</v>
      </c>
    </row>
    <row r="394" spans="1:7" x14ac:dyDescent="0.35">
      <c r="A394" t="s">
        <v>670</v>
      </c>
      <c r="B394" s="7" t="s">
        <v>1494</v>
      </c>
      <c r="F394" s="57">
        <v>44573</v>
      </c>
    </row>
    <row r="395" spans="1:7" x14ac:dyDescent="0.35">
      <c r="A395" t="s">
        <v>671</v>
      </c>
      <c r="B395" s="7" t="s">
        <v>1495</v>
      </c>
      <c r="F395" s="57">
        <v>44573</v>
      </c>
    </row>
    <row r="396" spans="1:7" x14ac:dyDescent="0.35">
      <c r="A396" t="s">
        <v>215</v>
      </c>
      <c r="B396" s="7" t="s">
        <v>1042</v>
      </c>
      <c r="F396" s="57">
        <v>44573</v>
      </c>
    </row>
    <row r="397" spans="1:7" x14ac:dyDescent="0.35">
      <c r="A397" t="s">
        <v>547</v>
      </c>
      <c r="B397" s="7" t="s">
        <v>1371</v>
      </c>
      <c r="F397" s="57">
        <v>44573</v>
      </c>
    </row>
    <row r="398" spans="1:7" x14ac:dyDescent="0.35">
      <c r="A398" t="s">
        <v>567</v>
      </c>
      <c r="B398" s="7" t="s">
        <v>1391</v>
      </c>
      <c r="F398" s="57">
        <v>44573</v>
      </c>
    </row>
    <row r="399" spans="1:7" x14ac:dyDescent="0.35">
      <c r="A399" t="s">
        <v>484</v>
      </c>
      <c r="B399" s="7" t="s">
        <v>1308</v>
      </c>
      <c r="F399" s="57">
        <v>44573</v>
      </c>
    </row>
    <row r="400" spans="1:7" x14ac:dyDescent="0.35">
      <c r="A400" t="s">
        <v>771</v>
      </c>
      <c r="B400" s="7" t="s">
        <v>1595</v>
      </c>
      <c r="F400" s="57">
        <v>44573</v>
      </c>
    </row>
    <row r="401" spans="1:6" x14ac:dyDescent="0.35">
      <c r="A401" t="s">
        <v>311</v>
      </c>
      <c r="B401" s="7" t="s">
        <v>1136</v>
      </c>
      <c r="F401" s="57">
        <v>44573</v>
      </c>
    </row>
    <row r="402" spans="1:6" x14ac:dyDescent="0.35">
      <c r="A402" t="s">
        <v>692</v>
      </c>
      <c r="B402" s="7" t="s">
        <v>1516</v>
      </c>
      <c r="F402" s="57">
        <v>44573</v>
      </c>
    </row>
    <row r="403" spans="1:6" x14ac:dyDescent="0.35">
      <c r="A403" t="s">
        <v>513</v>
      </c>
      <c r="B403" s="7" t="s">
        <v>1337</v>
      </c>
      <c r="F403" s="57">
        <v>44573</v>
      </c>
    </row>
    <row r="404" spans="1:6" x14ac:dyDescent="0.35">
      <c r="A404" t="s">
        <v>501</v>
      </c>
      <c r="B404" s="7" t="s">
        <v>1325</v>
      </c>
      <c r="F404" s="57">
        <v>44573</v>
      </c>
    </row>
    <row r="405" spans="1:6" x14ac:dyDescent="0.35">
      <c r="A405" t="s">
        <v>645</v>
      </c>
      <c r="B405" s="7" t="s">
        <v>1469</v>
      </c>
      <c r="F405" s="57">
        <v>44573</v>
      </c>
    </row>
    <row r="406" spans="1:6" x14ac:dyDescent="0.35">
      <c r="A406" t="s">
        <v>109</v>
      </c>
      <c r="B406" s="7" t="s">
        <v>938</v>
      </c>
      <c r="F406" s="57">
        <v>44573</v>
      </c>
    </row>
    <row r="407" spans="1:6" x14ac:dyDescent="0.35">
      <c r="A407" t="s">
        <v>430</v>
      </c>
      <c r="B407" s="7" t="s">
        <v>1254</v>
      </c>
      <c r="F407" s="57">
        <v>44573</v>
      </c>
    </row>
    <row r="408" spans="1:6" x14ac:dyDescent="0.35">
      <c r="A408" t="s">
        <v>357</v>
      </c>
      <c r="B408" s="7" t="s">
        <v>1181</v>
      </c>
      <c r="F408" s="57">
        <v>44573</v>
      </c>
    </row>
    <row r="409" spans="1:6" x14ac:dyDescent="0.35">
      <c r="A409" t="s">
        <v>358</v>
      </c>
      <c r="B409" s="7" t="s">
        <v>1182</v>
      </c>
      <c r="F409" s="57">
        <v>44573</v>
      </c>
    </row>
    <row r="410" spans="1:6" x14ac:dyDescent="0.35">
      <c r="A410" t="s">
        <v>562</v>
      </c>
      <c r="B410" s="7" t="s">
        <v>1386</v>
      </c>
      <c r="F410" s="57">
        <v>44573</v>
      </c>
    </row>
    <row r="411" spans="1:6" x14ac:dyDescent="0.35">
      <c r="A411" t="s">
        <v>293</v>
      </c>
      <c r="B411" s="7" t="s">
        <v>1118</v>
      </c>
      <c r="F411" s="57">
        <v>44573</v>
      </c>
    </row>
    <row r="412" spans="1:6" x14ac:dyDescent="0.35">
      <c r="A412" t="s">
        <v>376</v>
      </c>
      <c r="B412" s="7" t="s">
        <v>1200</v>
      </c>
      <c r="F412" s="57">
        <v>44573</v>
      </c>
    </row>
    <row r="413" spans="1:6" x14ac:dyDescent="0.35">
      <c r="A413" t="s">
        <v>302</v>
      </c>
      <c r="B413" s="7" t="s">
        <v>1127</v>
      </c>
      <c r="F413" s="57">
        <v>44573</v>
      </c>
    </row>
    <row r="414" spans="1:6" x14ac:dyDescent="0.35">
      <c r="A414" t="s">
        <v>156</v>
      </c>
      <c r="B414" s="7" t="s">
        <v>985</v>
      </c>
      <c r="F414" s="57">
        <v>44573</v>
      </c>
    </row>
    <row r="415" spans="1:6" x14ac:dyDescent="0.35">
      <c r="A415" t="s">
        <v>70</v>
      </c>
      <c r="B415" s="7" t="s">
        <v>899</v>
      </c>
      <c r="F415" s="57">
        <v>44573</v>
      </c>
    </row>
    <row r="416" spans="1:6" x14ac:dyDescent="0.35">
      <c r="A416" t="s">
        <v>3</v>
      </c>
      <c r="B416" s="7" t="s">
        <v>832</v>
      </c>
      <c r="F416" s="57">
        <v>44573</v>
      </c>
    </row>
    <row r="417" spans="1:7" x14ac:dyDescent="0.35">
      <c r="A417" t="s">
        <v>599</v>
      </c>
      <c r="B417" s="7" t="s">
        <v>1423</v>
      </c>
      <c r="F417" s="57">
        <v>44573</v>
      </c>
    </row>
    <row r="418" spans="1:7" x14ac:dyDescent="0.35">
      <c r="A418" t="s">
        <v>453</v>
      </c>
      <c r="B418" s="7" t="s">
        <v>1277</v>
      </c>
      <c r="F418" s="57">
        <v>44573</v>
      </c>
    </row>
    <row r="419" spans="1:7" x14ac:dyDescent="0.35">
      <c r="A419" t="s">
        <v>601</v>
      </c>
      <c r="B419" s="7" t="s">
        <v>1425</v>
      </c>
      <c r="F419" s="57">
        <v>44573</v>
      </c>
    </row>
    <row r="420" spans="1:7" x14ac:dyDescent="0.35">
      <c r="A420" t="s">
        <v>600</v>
      </c>
      <c r="B420" s="7" t="s">
        <v>1424</v>
      </c>
      <c r="F420" s="57">
        <v>44573</v>
      </c>
    </row>
    <row r="421" spans="1:7" x14ac:dyDescent="0.35">
      <c r="A421" t="s">
        <v>454</v>
      </c>
      <c r="B421" s="7" t="s">
        <v>1278</v>
      </c>
      <c r="F421" s="57">
        <v>44573</v>
      </c>
    </row>
    <row r="422" spans="1:7" x14ac:dyDescent="0.35">
      <c r="A422" t="s">
        <v>251</v>
      </c>
      <c r="B422" s="7" t="s">
        <v>1077</v>
      </c>
      <c r="F422" s="57">
        <v>44573</v>
      </c>
    </row>
    <row r="423" spans="1:7" x14ac:dyDescent="0.35">
      <c r="A423" t="s">
        <v>131</v>
      </c>
      <c r="B423" s="7" t="s">
        <v>960</v>
      </c>
      <c r="F423" s="57">
        <v>44573</v>
      </c>
    </row>
    <row r="424" spans="1:7" x14ac:dyDescent="0.35">
      <c r="A424" t="s">
        <v>392</v>
      </c>
      <c r="B424" s="7" t="s">
        <v>1216</v>
      </c>
      <c r="F424" s="57">
        <v>44573</v>
      </c>
    </row>
    <row r="425" spans="1:7" x14ac:dyDescent="0.35">
      <c r="A425" t="s">
        <v>54</v>
      </c>
      <c r="B425" s="7" t="s">
        <v>883</v>
      </c>
      <c r="F425" s="57">
        <v>44573</v>
      </c>
    </row>
    <row r="426" spans="1:7" x14ac:dyDescent="0.35">
      <c r="A426" t="s">
        <v>693</v>
      </c>
      <c r="B426" s="7" t="s">
        <v>1517</v>
      </c>
      <c r="F426" s="57">
        <v>44573</v>
      </c>
    </row>
    <row r="427" spans="1:7" x14ac:dyDescent="0.35">
      <c r="A427" t="s">
        <v>0</v>
      </c>
      <c r="B427" s="7" t="s">
        <v>829</v>
      </c>
      <c r="F427" s="57">
        <v>44573</v>
      </c>
    </row>
    <row r="428" spans="1:7" x14ac:dyDescent="0.35">
      <c r="A428" t="s">
        <v>320</v>
      </c>
      <c r="B428" s="7" t="s">
        <v>1145</v>
      </c>
      <c r="F428" s="57">
        <v>44573</v>
      </c>
    </row>
    <row r="429" spans="1:7" x14ac:dyDescent="0.35">
      <c r="A429" t="s">
        <v>437</v>
      </c>
      <c r="B429" s="7" t="s">
        <v>1261</v>
      </c>
      <c r="F429" s="57">
        <v>44573</v>
      </c>
    </row>
    <row r="430" spans="1:7" x14ac:dyDescent="0.35">
      <c r="A430" t="s">
        <v>450</v>
      </c>
      <c r="B430" s="7" t="s">
        <v>1274</v>
      </c>
      <c r="D430" t="s">
        <v>2371</v>
      </c>
      <c r="E430" t="s">
        <v>4106</v>
      </c>
      <c r="F430" s="57">
        <v>44573</v>
      </c>
      <c r="G430" t="s">
        <v>4085</v>
      </c>
    </row>
    <row r="431" spans="1:7" x14ac:dyDescent="0.35">
      <c r="A431" t="s">
        <v>347</v>
      </c>
      <c r="B431" s="7" t="s">
        <v>1171</v>
      </c>
      <c r="F431" s="57">
        <v>44573</v>
      </c>
    </row>
    <row r="432" spans="1:7" x14ac:dyDescent="0.35">
      <c r="A432" t="s">
        <v>801</v>
      </c>
      <c r="B432" s="7" t="s">
        <v>1624</v>
      </c>
      <c r="F432" s="57">
        <v>44573</v>
      </c>
    </row>
    <row r="433" spans="1:7" x14ac:dyDescent="0.35">
      <c r="A433" t="s">
        <v>51</v>
      </c>
      <c r="B433" s="7" t="s">
        <v>880</v>
      </c>
      <c r="D433" t="s">
        <v>2111</v>
      </c>
      <c r="E433" t="s">
        <v>4106</v>
      </c>
      <c r="F433" s="57">
        <v>44573</v>
      </c>
      <c r="G433" t="s">
        <v>4085</v>
      </c>
    </row>
    <row r="434" spans="1:7" x14ac:dyDescent="0.35">
      <c r="A434" t="s">
        <v>247</v>
      </c>
      <c r="B434" s="7" t="s">
        <v>1073</v>
      </c>
      <c r="F434" s="57">
        <v>44573</v>
      </c>
    </row>
    <row r="435" spans="1:7" x14ac:dyDescent="0.35">
      <c r="A435" t="s">
        <v>274</v>
      </c>
      <c r="B435" s="7" t="s">
        <v>1100</v>
      </c>
      <c r="F435" s="57">
        <v>44573</v>
      </c>
    </row>
    <row r="436" spans="1:7" x14ac:dyDescent="0.35">
      <c r="A436" t="s">
        <v>564</v>
      </c>
      <c r="B436" s="7" t="s">
        <v>1388</v>
      </c>
      <c r="F436" s="57">
        <v>44573</v>
      </c>
    </row>
    <row r="437" spans="1:7" x14ac:dyDescent="0.35">
      <c r="A437" t="s">
        <v>86</v>
      </c>
      <c r="B437" s="7" t="s">
        <v>915</v>
      </c>
      <c r="F437" s="57">
        <v>44573</v>
      </c>
    </row>
    <row r="438" spans="1:7" x14ac:dyDescent="0.35">
      <c r="A438" t="s">
        <v>767</v>
      </c>
      <c r="B438" s="7" t="s">
        <v>1591</v>
      </c>
      <c r="F438" s="57">
        <v>44573</v>
      </c>
    </row>
    <row r="439" spans="1:7" x14ac:dyDescent="0.35">
      <c r="A439" t="s">
        <v>24</v>
      </c>
      <c r="B439" s="7" t="s">
        <v>853</v>
      </c>
      <c r="F439" s="57">
        <v>44573</v>
      </c>
    </row>
    <row r="440" spans="1:7" x14ac:dyDescent="0.35">
      <c r="A440" t="s">
        <v>248</v>
      </c>
      <c r="B440" s="7" t="s">
        <v>1074</v>
      </c>
      <c r="F440" s="57">
        <v>44573</v>
      </c>
    </row>
    <row r="441" spans="1:7" x14ac:dyDescent="0.35">
      <c r="A441" t="s">
        <v>21</v>
      </c>
      <c r="B441" s="7" t="s">
        <v>850</v>
      </c>
      <c r="F441" s="57">
        <v>44573</v>
      </c>
    </row>
    <row r="442" spans="1:7" x14ac:dyDescent="0.35">
      <c r="A442" t="s">
        <v>250</v>
      </c>
      <c r="B442" s="7" t="s">
        <v>1076</v>
      </c>
      <c r="F442" s="57">
        <v>44573</v>
      </c>
    </row>
    <row r="443" spans="1:7" x14ac:dyDescent="0.35">
      <c r="A443" t="s">
        <v>197</v>
      </c>
      <c r="B443" s="7" t="s">
        <v>1025</v>
      </c>
      <c r="F443" s="57">
        <v>44573</v>
      </c>
    </row>
    <row r="444" spans="1:7" x14ac:dyDescent="0.35">
      <c r="A444" t="s">
        <v>404</v>
      </c>
      <c r="B444" s="7" t="s">
        <v>1228</v>
      </c>
      <c r="F444" s="57">
        <v>44573</v>
      </c>
    </row>
    <row r="445" spans="1:7" x14ac:dyDescent="0.35">
      <c r="A445" t="s">
        <v>442</v>
      </c>
      <c r="B445" s="7" t="s">
        <v>1266</v>
      </c>
      <c r="F445" s="57">
        <v>44573</v>
      </c>
    </row>
    <row r="446" spans="1:7" x14ac:dyDescent="0.35">
      <c r="A446" t="s">
        <v>26</v>
      </c>
      <c r="B446" s="7" t="s">
        <v>855</v>
      </c>
      <c r="F446" s="57">
        <v>44573</v>
      </c>
    </row>
    <row r="447" spans="1:7" x14ac:dyDescent="0.35">
      <c r="A447" t="s">
        <v>381</v>
      </c>
      <c r="B447" s="7" t="s">
        <v>1205</v>
      </c>
      <c r="F447" s="57">
        <v>44573</v>
      </c>
    </row>
    <row r="448" spans="1:7" x14ac:dyDescent="0.35">
      <c r="A448" t="s">
        <v>648</v>
      </c>
      <c r="B448" s="7" t="s">
        <v>1472</v>
      </c>
      <c r="F448" s="57">
        <v>44573</v>
      </c>
    </row>
    <row r="449" spans="1:7" x14ac:dyDescent="0.35">
      <c r="A449" t="s">
        <v>582</v>
      </c>
      <c r="B449" s="7" t="s">
        <v>1406</v>
      </c>
      <c r="F449" s="57">
        <v>44573</v>
      </c>
    </row>
    <row r="450" spans="1:7" x14ac:dyDescent="0.35">
      <c r="A450" t="s">
        <v>31</v>
      </c>
      <c r="B450" s="7" t="s">
        <v>860</v>
      </c>
      <c r="F450" s="57">
        <v>44573</v>
      </c>
    </row>
    <row r="451" spans="1:7" x14ac:dyDescent="0.35">
      <c r="A451" t="s">
        <v>532</v>
      </c>
      <c r="B451" s="7" t="s">
        <v>1356</v>
      </c>
      <c r="F451" s="57">
        <v>44573</v>
      </c>
    </row>
    <row r="452" spans="1:7" x14ac:dyDescent="0.35">
      <c r="A452" t="s">
        <v>655</v>
      </c>
      <c r="B452" s="7" t="s">
        <v>1479</v>
      </c>
      <c r="F452" s="57">
        <v>44573</v>
      </c>
    </row>
    <row r="453" spans="1:7" x14ac:dyDescent="0.35">
      <c r="A453" t="s">
        <v>115</v>
      </c>
      <c r="B453" s="7" t="s">
        <v>944</v>
      </c>
      <c r="D453" t="s">
        <v>2322</v>
      </c>
      <c r="E453" t="s">
        <v>4106</v>
      </c>
      <c r="F453" s="57">
        <v>44573</v>
      </c>
      <c r="G453" t="s">
        <v>4087</v>
      </c>
    </row>
    <row r="454" spans="1:7" x14ac:dyDescent="0.35">
      <c r="A454" t="s">
        <v>647</v>
      </c>
      <c r="B454" s="37" t="s">
        <v>1471</v>
      </c>
      <c r="F454" s="57">
        <v>44573</v>
      </c>
    </row>
    <row r="455" spans="1:7" x14ac:dyDescent="0.35">
      <c r="A455" t="s">
        <v>605</v>
      </c>
      <c r="B455" s="7" t="s">
        <v>1429</v>
      </c>
      <c r="F455" s="57">
        <v>44573</v>
      </c>
      <c r="G455" t="s">
        <v>4083</v>
      </c>
    </row>
    <row r="456" spans="1:7" x14ac:dyDescent="0.35">
      <c r="A456" t="s">
        <v>271</v>
      </c>
      <c r="B456" s="7" t="s">
        <v>1097</v>
      </c>
      <c r="F456" s="57">
        <v>44573</v>
      </c>
    </row>
    <row r="457" spans="1:7" x14ac:dyDescent="0.35">
      <c r="A457" t="s">
        <v>137</v>
      </c>
      <c r="B457" s="7" t="s">
        <v>966</v>
      </c>
      <c r="F457" s="57">
        <v>44573</v>
      </c>
    </row>
    <row r="458" spans="1:7" x14ac:dyDescent="0.35">
      <c r="A458" t="s">
        <v>232</v>
      </c>
      <c r="B458" s="7" t="s">
        <v>1059</v>
      </c>
      <c r="F458" s="57">
        <v>44573</v>
      </c>
    </row>
    <row r="459" spans="1:7" x14ac:dyDescent="0.35">
      <c r="A459" t="s">
        <v>135</v>
      </c>
      <c r="B459" s="7" t="s">
        <v>964</v>
      </c>
      <c r="F459" s="57">
        <v>44573</v>
      </c>
    </row>
    <row r="460" spans="1:7" x14ac:dyDescent="0.35">
      <c r="A460" t="s">
        <v>368</v>
      </c>
      <c r="B460" s="7" t="s">
        <v>1192</v>
      </c>
      <c r="F460" s="57">
        <v>44573</v>
      </c>
    </row>
    <row r="461" spans="1:7" x14ac:dyDescent="0.35">
      <c r="A461" t="s">
        <v>136</v>
      </c>
      <c r="B461" s="7" t="s">
        <v>965</v>
      </c>
      <c r="F461" s="57">
        <v>44573</v>
      </c>
    </row>
    <row r="462" spans="1:7" x14ac:dyDescent="0.35">
      <c r="A462" t="s">
        <v>808</v>
      </c>
      <c r="B462" s="7" t="s">
        <v>1631</v>
      </c>
      <c r="F462" s="57">
        <v>44573</v>
      </c>
    </row>
    <row r="463" spans="1:7" x14ac:dyDescent="0.35">
      <c r="A463" s="4" t="s">
        <v>211</v>
      </c>
      <c r="B463" t="s">
        <v>1038</v>
      </c>
      <c r="F463" s="57">
        <v>44573</v>
      </c>
    </row>
    <row r="464" spans="1:7" x14ac:dyDescent="0.35">
      <c r="A464" t="s">
        <v>585</v>
      </c>
      <c r="B464" s="7" t="s">
        <v>1409</v>
      </c>
      <c r="F464" s="57">
        <v>44573</v>
      </c>
    </row>
    <row r="465" spans="1:7" x14ac:dyDescent="0.35">
      <c r="A465" t="s">
        <v>289</v>
      </c>
      <c r="B465" s="7" t="s">
        <v>1114</v>
      </c>
      <c r="F465" s="57">
        <v>44573</v>
      </c>
    </row>
    <row r="466" spans="1:7" x14ac:dyDescent="0.35">
      <c r="A466" t="s">
        <v>555</v>
      </c>
      <c r="B466" s="7" t="s">
        <v>1379</v>
      </c>
      <c r="F466" s="57">
        <v>44573</v>
      </c>
    </row>
    <row r="467" spans="1:7" x14ac:dyDescent="0.35">
      <c r="A467" t="s">
        <v>331</v>
      </c>
      <c r="B467" s="7" t="s">
        <v>1156</v>
      </c>
      <c r="F467" s="57">
        <v>44573</v>
      </c>
    </row>
    <row r="468" spans="1:7" x14ac:dyDescent="0.35">
      <c r="A468" t="s">
        <v>231</v>
      </c>
      <c r="B468" s="7" t="s">
        <v>1058</v>
      </c>
      <c r="F468" s="57">
        <v>44573</v>
      </c>
    </row>
    <row r="469" spans="1:7" x14ac:dyDescent="0.35">
      <c r="A469" t="s">
        <v>399</v>
      </c>
      <c r="B469" s="7" t="s">
        <v>1223</v>
      </c>
      <c r="F469" s="57">
        <v>44573</v>
      </c>
    </row>
    <row r="470" spans="1:7" x14ac:dyDescent="0.35">
      <c r="A470" t="s">
        <v>148</v>
      </c>
      <c r="B470" s="7" t="s">
        <v>977</v>
      </c>
      <c r="F470" s="57">
        <v>44573</v>
      </c>
    </row>
    <row r="471" spans="1:7" x14ac:dyDescent="0.35">
      <c r="A471" t="s">
        <v>509</v>
      </c>
      <c r="B471" s="7" t="s">
        <v>1333</v>
      </c>
      <c r="F471" s="57">
        <v>44573</v>
      </c>
    </row>
    <row r="472" spans="1:7" x14ac:dyDescent="0.35">
      <c r="A472" t="s">
        <v>615</v>
      </c>
      <c r="B472" s="7" t="s">
        <v>1439</v>
      </c>
      <c r="F472" s="57">
        <v>44573</v>
      </c>
    </row>
    <row r="473" spans="1:7" x14ac:dyDescent="0.35">
      <c r="A473" t="s">
        <v>80</v>
      </c>
      <c r="B473" s="7" t="s">
        <v>909</v>
      </c>
      <c r="F473" s="57">
        <v>44573</v>
      </c>
    </row>
    <row r="474" spans="1:7" x14ac:dyDescent="0.35">
      <c r="A474" t="s">
        <v>79</v>
      </c>
      <c r="B474" s="7" t="s">
        <v>908</v>
      </c>
      <c r="F474" s="57">
        <v>44573</v>
      </c>
    </row>
    <row r="475" spans="1:7" x14ac:dyDescent="0.35">
      <c r="A475" t="s">
        <v>544</v>
      </c>
      <c r="B475" s="7" t="s">
        <v>1368</v>
      </c>
      <c r="F475" s="57">
        <v>44573</v>
      </c>
    </row>
    <row r="476" spans="1:7" x14ac:dyDescent="0.35">
      <c r="A476" t="s">
        <v>405</v>
      </c>
      <c r="B476" s="7" t="s">
        <v>1229</v>
      </c>
      <c r="F476" s="57">
        <v>44573</v>
      </c>
    </row>
    <row r="477" spans="1:7" x14ac:dyDescent="0.35">
      <c r="A477" t="s">
        <v>395</v>
      </c>
      <c r="B477" s="7" t="s">
        <v>1219</v>
      </c>
      <c r="F477" s="57">
        <v>44573</v>
      </c>
    </row>
    <row r="478" spans="1:7" x14ac:dyDescent="0.35">
      <c r="A478" t="s">
        <v>466</v>
      </c>
      <c r="B478" s="7" t="s">
        <v>1290</v>
      </c>
      <c r="F478" s="57">
        <v>44573</v>
      </c>
      <c r="G478" t="s">
        <v>4084</v>
      </c>
    </row>
    <row r="479" spans="1:7" x14ac:dyDescent="0.35">
      <c r="A479" t="s">
        <v>597</v>
      </c>
      <c r="B479" s="7" t="s">
        <v>1421</v>
      </c>
      <c r="F479" s="57">
        <v>44573</v>
      </c>
    </row>
    <row r="480" spans="1:7" x14ac:dyDescent="0.35">
      <c r="A480" t="s">
        <v>486</v>
      </c>
      <c r="B480" s="7" t="s">
        <v>1310</v>
      </c>
      <c r="F480" s="57">
        <v>44573</v>
      </c>
    </row>
    <row r="481" spans="1:6" x14ac:dyDescent="0.35">
      <c r="A481" t="s">
        <v>161</v>
      </c>
      <c r="B481" s="7" t="s">
        <v>990</v>
      </c>
      <c r="F481" s="57">
        <v>44573</v>
      </c>
    </row>
    <row r="482" spans="1:6" x14ac:dyDescent="0.35">
      <c r="A482" t="s">
        <v>196</v>
      </c>
      <c r="B482" s="7" t="s">
        <v>1024</v>
      </c>
      <c r="F482" s="57">
        <v>44573</v>
      </c>
    </row>
    <row r="483" spans="1:6" x14ac:dyDescent="0.35">
      <c r="A483" t="s">
        <v>739</v>
      </c>
      <c r="B483" s="7" t="s">
        <v>1563</v>
      </c>
      <c r="F483" s="57">
        <v>44573</v>
      </c>
    </row>
    <row r="484" spans="1:6" x14ac:dyDescent="0.35">
      <c r="A484" t="s">
        <v>543</v>
      </c>
      <c r="B484" s="7" t="s">
        <v>1367</v>
      </c>
      <c r="F484" s="57">
        <v>44573</v>
      </c>
    </row>
    <row r="485" spans="1:6" x14ac:dyDescent="0.35">
      <c r="A485" t="s">
        <v>588</v>
      </c>
      <c r="B485" s="7" t="s">
        <v>1412</v>
      </c>
      <c r="F485" s="57">
        <v>44573</v>
      </c>
    </row>
    <row r="486" spans="1:6" x14ac:dyDescent="0.35">
      <c r="A486" t="s">
        <v>94</v>
      </c>
      <c r="B486" s="7" t="s">
        <v>923</v>
      </c>
      <c r="F486" s="57">
        <v>44573</v>
      </c>
    </row>
    <row r="487" spans="1:6" x14ac:dyDescent="0.35">
      <c r="A487" t="s">
        <v>602</v>
      </c>
      <c r="B487" s="7" t="s">
        <v>1426</v>
      </c>
      <c r="F487" s="57">
        <v>44573</v>
      </c>
    </row>
    <row r="488" spans="1:6" x14ac:dyDescent="0.35">
      <c r="A488" t="s">
        <v>536</v>
      </c>
      <c r="B488" s="7" t="s">
        <v>1360</v>
      </c>
      <c r="F488" s="57">
        <v>44573</v>
      </c>
    </row>
    <row r="489" spans="1:6" x14ac:dyDescent="0.35">
      <c r="A489" t="s">
        <v>153</v>
      </c>
      <c r="B489" s="7" t="s">
        <v>982</v>
      </c>
      <c r="F489" s="57">
        <v>44573</v>
      </c>
    </row>
    <row r="490" spans="1:6" x14ac:dyDescent="0.35">
      <c r="A490" t="s">
        <v>166</v>
      </c>
      <c r="B490" s="7" t="s">
        <v>995</v>
      </c>
      <c r="F490" s="57">
        <v>44573</v>
      </c>
    </row>
    <row r="491" spans="1:6" x14ac:dyDescent="0.35">
      <c r="A491" t="s">
        <v>433</v>
      </c>
      <c r="B491" s="7" t="s">
        <v>1257</v>
      </c>
      <c r="F491" s="57">
        <v>44573</v>
      </c>
    </row>
    <row r="492" spans="1:6" x14ac:dyDescent="0.35">
      <c r="A492" t="s">
        <v>125</v>
      </c>
      <c r="B492" s="7" t="s">
        <v>954</v>
      </c>
      <c r="F492" s="57">
        <v>44573</v>
      </c>
    </row>
    <row r="493" spans="1:6" x14ac:dyDescent="0.35">
      <c r="A493" t="s">
        <v>528</v>
      </c>
      <c r="B493" s="7" t="s">
        <v>1352</v>
      </c>
      <c r="F493" s="57">
        <v>44573</v>
      </c>
    </row>
    <row r="494" spans="1:6" x14ac:dyDescent="0.35">
      <c r="A494" t="s">
        <v>102</v>
      </c>
      <c r="B494" s="7" t="s">
        <v>931</v>
      </c>
      <c r="F494" s="57">
        <v>44573</v>
      </c>
    </row>
    <row r="495" spans="1:6" x14ac:dyDescent="0.35">
      <c r="A495" t="s">
        <v>557</v>
      </c>
      <c r="B495" s="7" t="s">
        <v>1381</v>
      </c>
      <c r="F495" s="57">
        <v>44573</v>
      </c>
    </row>
    <row r="496" spans="1:6" x14ac:dyDescent="0.35">
      <c r="A496" t="s">
        <v>65</v>
      </c>
      <c r="B496" s="7" t="s">
        <v>894</v>
      </c>
      <c r="F496" s="57">
        <v>44573</v>
      </c>
    </row>
    <row r="497" spans="1:7" x14ac:dyDescent="0.35">
      <c r="A497" t="s">
        <v>563</v>
      </c>
      <c r="B497" s="7" t="s">
        <v>1387</v>
      </c>
      <c r="F497" s="57">
        <v>44573</v>
      </c>
    </row>
    <row r="498" spans="1:7" x14ac:dyDescent="0.35">
      <c r="A498" t="s">
        <v>644</v>
      </c>
      <c r="B498" s="7" t="s">
        <v>1468</v>
      </c>
      <c r="F498" s="57">
        <v>44573</v>
      </c>
    </row>
    <row r="499" spans="1:7" x14ac:dyDescent="0.35">
      <c r="A499" t="s">
        <v>652</v>
      </c>
      <c r="B499" s="7" t="s">
        <v>1476</v>
      </c>
      <c r="F499" s="57">
        <v>44573</v>
      </c>
    </row>
    <row r="500" spans="1:7" x14ac:dyDescent="0.35">
      <c r="A500" t="s">
        <v>268</v>
      </c>
      <c r="B500" s="7" t="s">
        <v>1094</v>
      </c>
      <c r="F500" s="57">
        <v>44573</v>
      </c>
    </row>
    <row r="501" spans="1:7" x14ac:dyDescent="0.35">
      <c r="A501" t="s">
        <v>546</v>
      </c>
      <c r="B501" s="7" t="s">
        <v>1370</v>
      </c>
      <c r="F501" s="57">
        <v>44573</v>
      </c>
    </row>
    <row r="502" spans="1:7" x14ac:dyDescent="0.35">
      <c r="A502" t="s">
        <v>58</v>
      </c>
      <c r="B502" s="7" t="s">
        <v>887</v>
      </c>
      <c r="F502" s="57">
        <v>44573</v>
      </c>
    </row>
    <row r="503" spans="1:7" x14ac:dyDescent="0.35">
      <c r="A503" t="s">
        <v>512</v>
      </c>
      <c r="B503" s="7" t="s">
        <v>1336</v>
      </c>
      <c r="F503" s="57">
        <v>44573</v>
      </c>
    </row>
    <row r="504" spans="1:7" x14ac:dyDescent="0.35">
      <c r="A504" t="s">
        <v>212</v>
      </c>
      <c r="B504" s="7" t="s">
        <v>1039</v>
      </c>
      <c r="D504" t="s">
        <v>2322</v>
      </c>
      <c r="E504" t="s">
        <v>4106</v>
      </c>
      <c r="F504" s="57">
        <v>44573</v>
      </c>
      <c r="G504" t="s">
        <v>4087</v>
      </c>
    </row>
    <row r="505" spans="1:7" x14ac:dyDescent="0.35">
      <c r="A505" t="s">
        <v>351</v>
      </c>
      <c r="B505" s="7" t="s">
        <v>1175</v>
      </c>
      <c r="F505" s="57">
        <v>44573</v>
      </c>
    </row>
    <row r="506" spans="1:7" x14ac:dyDescent="0.35">
      <c r="A506" t="s">
        <v>114</v>
      </c>
      <c r="B506" s="7" t="s">
        <v>943</v>
      </c>
      <c r="F506" s="57">
        <v>44573</v>
      </c>
    </row>
    <row r="507" spans="1:7" x14ac:dyDescent="0.35">
      <c r="A507" t="s">
        <v>736</v>
      </c>
      <c r="B507" s="7" t="s">
        <v>1560</v>
      </c>
      <c r="F507" s="57">
        <v>44573</v>
      </c>
    </row>
    <row r="508" spans="1:7" x14ac:dyDescent="0.35">
      <c r="A508" t="s">
        <v>259</v>
      </c>
      <c r="B508" s="7" t="s">
        <v>1085</v>
      </c>
      <c r="F508" s="57">
        <v>44573</v>
      </c>
    </row>
    <row r="509" spans="1:7" x14ac:dyDescent="0.35">
      <c r="A509" t="s">
        <v>89</v>
      </c>
      <c r="B509" s="7" t="s">
        <v>918</v>
      </c>
      <c r="F509" s="57">
        <v>44573</v>
      </c>
    </row>
    <row r="510" spans="1:7" x14ac:dyDescent="0.35">
      <c r="A510" t="s">
        <v>63</v>
      </c>
      <c r="B510" s="7" t="s">
        <v>892</v>
      </c>
      <c r="F510" s="57">
        <v>44573</v>
      </c>
    </row>
    <row r="511" spans="1:7" x14ac:dyDescent="0.35">
      <c r="A511" t="s">
        <v>614</v>
      </c>
      <c r="B511" s="7" t="s">
        <v>1438</v>
      </c>
      <c r="F511" s="57">
        <v>44573</v>
      </c>
    </row>
    <row r="512" spans="1:7" x14ac:dyDescent="0.35">
      <c r="A512" t="s">
        <v>121</v>
      </c>
      <c r="B512" s="7" t="s">
        <v>950</v>
      </c>
      <c r="F512" s="57">
        <v>44573</v>
      </c>
    </row>
    <row r="513" spans="1:7" x14ac:dyDescent="0.35">
      <c r="A513" t="s">
        <v>123</v>
      </c>
      <c r="B513" s="7" t="s">
        <v>952</v>
      </c>
      <c r="F513" s="57">
        <v>44573</v>
      </c>
    </row>
    <row r="514" spans="1:7" x14ac:dyDescent="0.35">
      <c r="A514" t="s">
        <v>500</v>
      </c>
      <c r="B514" s="7" t="s">
        <v>1324</v>
      </c>
      <c r="F514" s="57">
        <v>44573</v>
      </c>
    </row>
    <row r="515" spans="1:7" x14ac:dyDescent="0.35">
      <c r="A515" t="s">
        <v>593</v>
      </c>
      <c r="B515" s="7" t="s">
        <v>1417</v>
      </c>
      <c r="F515" s="57">
        <v>44573</v>
      </c>
    </row>
    <row r="516" spans="1:7" x14ac:dyDescent="0.35">
      <c r="A516" t="s">
        <v>20</v>
      </c>
      <c r="B516" s="7" t="s">
        <v>849</v>
      </c>
      <c r="D516" t="s">
        <v>2260</v>
      </c>
      <c r="E516" t="s">
        <v>4106</v>
      </c>
      <c r="F516" s="57">
        <v>44573</v>
      </c>
      <c r="G516" t="s">
        <v>4094</v>
      </c>
    </row>
    <row r="517" spans="1:7" x14ac:dyDescent="0.35">
      <c r="A517" t="s">
        <v>171</v>
      </c>
      <c r="B517" s="7" t="s">
        <v>1000</v>
      </c>
      <c r="F517" s="57">
        <v>44573</v>
      </c>
    </row>
    <row r="518" spans="1:7" x14ac:dyDescent="0.35">
      <c r="A518" t="s">
        <v>25</v>
      </c>
      <c r="B518" s="7" t="s">
        <v>854</v>
      </c>
      <c r="F518" s="57">
        <v>44573</v>
      </c>
    </row>
    <row r="519" spans="1:7" x14ac:dyDescent="0.35">
      <c r="A519" t="s">
        <v>778</v>
      </c>
      <c r="B519" s="7" t="s">
        <v>854</v>
      </c>
      <c r="F519" s="57">
        <v>44573</v>
      </c>
    </row>
    <row r="520" spans="1:7" x14ac:dyDescent="0.35">
      <c r="A520" t="s">
        <v>183</v>
      </c>
      <c r="B520" s="7" t="s">
        <v>1012</v>
      </c>
      <c r="F520" s="57">
        <v>44573</v>
      </c>
    </row>
    <row r="521" spans="1:7" x14ac:dyDescent="0.35">
      <c r="A521" t="s">
        <v>143</v>
      </c>
      <c r="B521" s="7" t="s">
        <v>972</v>
      </c>
      <c r="F521" s="57">
        <v>44573</v>
      </c>
    </row>
    <row r="522" spans="1:7" x14ac:dyDescent="0.35">
      <c r="A522" t="s">
        <v>694</v>
      </c>
      <c r="B522" s="7" t="s">
        <v>1518</v>
      </c>
      <c r="F522" s="57">
        <v>44573</v>
      </c>
    </row>
    <row r="523" spans="1:7" x14ac:dyDescent="0.35">
      <c r="A523" t="s">
        <v>458</v>
      </c>
      <c r="B523" s="7" t="s">
        <v>1282</v>
      </c>
      <c r="F523" s="57">
        <v>44573</v>
      </c>
    </row>
    <row r="524" spans="1:7" x14ac:dyDescent="0.35">
      <c r="A524" t="s">
        <v>225</v>
      </c>
      <c r="B524" s="7" t="s">
        <v>1052</v>
      </c>
      <c r="F524" s="57">
        <v>44573</v>
      </c>
    </row>
    <row r="525" spans="1:7" x14ac:dyDescent="0.35">
      <c r="A525" t="s">
        <v>222</v>
      </c>
      <c r="B525" s="7" t="s">
        <v>1049</v>
      </c>
      <c r="F525" s="57">
        <v>44573</v>
      </c>
    </row>
    <row r="526" spans="1:7" x14ac:dyDescent="0.35">
      <c r="A526" t="s">
        <v>672</v>
      </c>
      <c r="B526" s="7" t="s">
        <v>1496</v>
      </c>
      <c r="F526" s="57">
        <v>44573</v>
      </c>
    </row>
    <row r="527" spans="1:7" x14ac:dyDescent="0.35">
      <c r="A527" t="s">
        <v>220</v>
      </c>
      <c r="B527" s="7" t="s">
        <v>1047</v>
      </c>
      <c r="F527" s="57">
        <v>44573</v>
      </c>
    </row>
    <row r="528" spans="1:7" x14ac:dyDescent="0.35">
      <c r="A528" t="s">
        <v>282</v>
      </c>
      <c r="B528" s="7" t="s">
        <v>1108</v>
      </c>
      <c r="F528" s="57">
        <v>44573</v>
      </c>
    </row>
    <row r="529" spans="1:6" x14ac:dyDescent="0.35">
      <c r="A529" t="s">
        <v>495</v>
      </c>
      <c r="B529" s="7" t="s">
        <v>1319</v>
      </c>
      <c r="F529" s="57">
        <v>44573</v>
      </c>
    </row>
    <row r="530" spans="1:6" x14ac:dyDescent="0.35">
      <c r="A530" t="s">
        <v>586</v>
      </c>
      <c r="B530" s="7" t="s">
        <v>1410</v>
      </c>
      <c r="F530" s="57">
        <v>44573</v>
      </c>
    </row>
    <row r="531" spans="1:6" x14ac:dyDescent="0.35">
      <c r="A531" t="s">
        <v>163</v>
      </c>
      <c r="B531" s="7" t="s">
        <v>992</v>
      </c>
      <c r="F531" s="57">
        <v>44573</v>
      </c>
    </row>
    <row r="532" spans="1:6" x14ac:dyDescent="0.35">
      <c r="A532" t="s">
        <v>105</v>
      </c>
      <c r="B532" s="7" t="s">
        <v>934</v>
      </c>
      <c r="F532" s="57">
        <v>44573</v>
      </c>
    </row>
    <row r="533" spans="1:6" x14ac:dyDescent="0.35">
      <c r="A533" t="s">
        <v>627</v>
      </c>
      <c r="B533" s="7" t="s">
        <v>1451</v>
      </c>
      <c r="F533" s="57">
        <v>44573</v>
      </c>
    </row>
    <row r="534" spans="1:6" x14ac:dyDescent="0.35">
      <c r="A534" t="s">
        <v>646</v>
      </c>
      <c r="B534" s="7" t="s">
        <v>1470</v>
      </c>
      <c r="F534" s="57">
        <v>44573</v>
      </c>
    </row>
    <row r="535" spans="1:6" x14ac:dyDescent="0.35">
      <c r="A535" t="s">
        <v>244</v>
      </c>
      <c r="B535" s="7" t="s">
        <v>1070</v>
      </c>
      <c r="F535" s="57">
        <v>44573</v>
      </c>
    </row>
    <row r="536" spans="1:6" x14ac:dyDescent="0.35">
      <c r="A536" t="s">
        <v>653</v>
      </c>
      <c r="B536" s="7" t="s">
        <v>1477</v>
      </c>
      <c r="F536" s="57">
        <v>44573</v>
      </c>
    </row>
    <row r="537" spans="1:6" x14ac:dyDescent="0.35">
      <c r="A537" t="s">
        <v>16</v>
      </c>
      <c r="B537" s="7" t="s">
        <v>845</v>
      </c>
      <c r="F537" s="57">
        <v>44573</v>
      </c>
    </row>
    <row r="538" spans="1:6" x14ac:dyDescent="0.35">
      <c r="A538" t="s">
        <v>257</v>
      </c>
      <c r="B538" s="7" t="s">
        <v>1083</v>
      </c>
      <c r="F538" s="57">
        <v>44573</v>
      </c>
    </row>
    <row r="539" spans="1:6" x14ac:dyDescent="0.35">
      <c r="A539" t="s">
        <v>493</v>
      </c>
      <c r="B539" s="7" t="s">
        <v>1317</v>
      </c>
      <c r="F539" s="57">
        <v>44573</v>
      </c>
    </row>
    <row r="540" spans="1:6" x14ac:dyDescent="0.35">
      <c r="A540" t="s">
        <v>207</v>
      </c>
      <c r="B540" s="7" t="s">
        <v>1034</v>
      </c>
      <c r="F540" s="57">
        <v>44573</v>
      </c>
    </row>
    <row r="541" spans="1:6" x14ac:dyDescent="0.35">
      <c r="A541" t="s">
        <v>140</v>
      </c>
      <c r="B541" s="7" t="s">
        <v>969</v>
      </c>
      <c r="F541" s="57">
        <v>44573</v>
      </c>
    </row>
    <row r="542" spans="1:6" x14ac:dyDescent="0.35">
      <c r="A542" t="s">
        <v>502</v>
      </c>
      <c r="B542" s="7" t="s">
        <v>1326</v>
      </c>
      <c r="F542" s="57">
        <v>44573</v>
      </c>
    </row>
    <row r="543" spans="1:6" x14ac:dyDescent="0.35">
      <c r="A543" t="s">
        <v>556</v>
      </c>
      <c r="B543" s="7" t="s">
        <v>1380</v>
      </c>
      <c r="F543" s="57">
        <v>44573</v>
      </c>
    </row>
    <row r="544" spans="1:6" x14ac:dyDescent="0.35">
      <c r="A544" t="s">
        <v>604</v>
      </c>
      <c r="B544" s="7" t="s">
        <v>1428</v>
      </c>
      <c r="F544" s="57">
        <v>44573</v>
      </c>
    </row>
    <row r="545" spans="1:7" x14ac:dyDescent="0.35">
      <c r="A545" t="s">
        <v>299</v>
      </c>
      <c r="B545" s="7" t="s">
        <v>1124</v>
      </c>
      <c r="F545" s="57">
        <v>44573</v>
      </c>
    </row>
    <row r="546" spans="1:7" x14ac:dyDescent="0.35">
      <c r="A546" t="s">
        <v>17</v>
      </c>
      <c r="B546" s="7" t="s">
        <v>846</v>
      </c>
      <c r="F546" s="57">
        <v>44573</v>
      </c>
    </row>
    <row r="547" spans="1:7" x14ac:dyDescent="0.35">
      <c r="A547" t="s">
        <v>619</v>
      </c>
      <c r="B547" s="7" t="s">
        <v>1443</v>
      </c>
      <c r="F547" s="57">
        <v>44573</v>
      </c>
    </row>
    <row r="548" spans="1:7" x14ac:dyDescent="0.35">
      <c r="A548" t="s">
        <v>757</v>
      </c>
      <c r="B548" s="7" t="s">
        <v>1581</v>
      </c>
      <c r="F548" s="57">
        <v>44573</v>
      </c>
    </row>
    <row r="549" spans="1:7" x14ac:dyDescent="0.35">
      <c r="A549" t="s">
        <v>631</v>
      </c>
      <c r="B549" s="7" t="s">
        <v>1455</v>
      </c>
      <c r="F549" s="57">
        <v>44573</v>
      </c>
    </row>
    <row r="550" spans="1:7" x14ac:dyDescent="0.35">
      <c r="A550" t="s">
        <v>272</v>
      </c>
      <c r="B550" s="7" t="s">
        <v>1098</v>
      </c>
      <c r="D550" t="s">
        <v>2399</v>
      </c>
      <c r="E550" t="s">
        <v>4106</v>
      </c>
      <c r="F550" s="57">
        <v>44573</v>
      </c>
      <c r="G550" t="s">
        <v>4095</v>
      </c>
    </row>
    <row r="551" spans="1:7" x14ac:dyDescent="0.35">
      <c r="A551" t="s">
        <v>490</v>
      </c>
      <c r="B551" s="7" t="s">
        <v>1314</v>
      </c>
      <c r="F551" s="57">
        <v>44573</v>
      </c>
    </row>
    <row r="552" spans="1:7" x14ac:dyDescent="0.35">
      <c r="A552" t="s">
        <v>518</v>
      </c>
      <c r="B552" s="7" t="s">
        <v>1342</v>
      </c>
      <c r="F552" s="57">
        <v>44573</v>
      </c>
    </row>
    <row r="553" spans="1:7" x14ac:dyDescent="0.35">
      <c r="A553" t="s">
        <v>270</v>
      </c>
      <c r="B553" s="7" t="s">
        <v>1096</v>
      </c>
      <c r="F553" s="57">
        <v>44573</v>
      </c>
    </row>
    <row r="554" spans="1:7" x14ac:dyDescent="0.35">
      <c r="A554" t="s">
        <v>444</v>
      </c>
      <c r="B554" s="7" t="s">
        <v>1268</v>
      </c>
      <c r="D554" t="s">
        <v>4096</v>
      </c>
      <c r="E554" t="s">
        <v>4106</v>
      </c>
      <c r="F554" s="57">
        <v>44573</v>
      </c>
      <c r="G554" t="s">
        <v>4093</v>
      </c>
    </row>
    <row r="555" spans="1:7" x14ac:dyDescent="0.35">
      <c r="A555" t="s">
        <v>335</v>
      </c>
      <c r="B555" s="7" t="s">
        <v>1160</v>
      </c>
      <c r="F555" s="57">
        <v>44573</v>
      </c>
    </row>
    <row r="556" spans="1:7" x14ac:dyDescent="0.35">
      <c r="A556" t="s">
        <v>265</v>
      </c>
      <c r="B556" s="7" t="s">
        <v>1091</v>
      </c>
      <c r="F556" s="57">
        <v>44573</v>
      </c>
    </row>
    <row r="557" spans="1:7" x14ac:dyDescent="0.35">
      <c r="A557" t="s">
        <v>695</v>
      </c>
      <c r="B557" s="7" t="s">
        <v>1519</v>
      </c>
      <c r="F557" s="57">
        <v>44573</v>
      </c>
    </row>
    <row r="558" spans="1:7" x14ac:dyDescent="0.35">
      <c r="A558" t="s">
        <v>129</v>
      </c>
      <c r="B558" s="7" t="s">
        <v>958</v>
      </c>
      <c r="F558" s="57">
        <v>44573</v>
      </c>
    </row>
    <row r="559" spans="1:7" x14ac:dyDescent="0.35">
      <c r="A559" t="s">
        <v>425</v>
      </c>
      <c r="B559" s="7" t="s">
        <v>1249</v>
      </c>
      <c r="F559" s="57">
        <v>44573</v>
      </c>
    </row>
    <row r="560" spans="1:7" x14ac:dyDescent="0.35">
      <c r="A560" t="s">
        <v>696</v>
      </c>
      <c r="B560" s="7" t="s">
        <v>1520</v>
      </c>
      <c r="F560" s="57">
        <v>44573</v>
      </c>
    </row>
    <row r="561" spans="1:6" x14ac:dyDescent="0.35">
      <c r="A561" t="s">
        <v>415</v>
      </c>
      <c r="B561" s="7" t="s">
        <v>1239</v>
      </c>
      <c r="F561" s="57">
        <v>44573</v>
      </c>
    </row>
    <row r="562" spans="1:6" x14ac:dyDescent="0.35">
      <c r="A562" t="s">
        <v>57</v>
      </c>
      <c r="B562" s="7" t="s">
        <v>886</v>
      </c>
      <c r="F562" s="57">
        <v>44573</v>
      </c>
    </row>
    <row r="563" spans="1:6" x14ac:dyDescent="0.35">
      <c r="A563" t="s">
        <v>432</v>
      </c>
      <c r="B563" s="7" t="s">
        <v>1256</v>
      </c>
      <c r="F563" s="57">
        <v>44573</v>
      </c>
    </row>
    <row r="564" spans="1:6" x14ac:dyDescent="0.35">
      <c r="A564" t="s">
        <v>639</v>
      </c>
      <c r="B564" s="7" t="s">
        <v>1463</v>
      </c>
      <c r="F564" s="57">
        <v>44573</v>
      </c>
    </row>
    <row r="565" spans="1:6" x14ac:dyDescent="0.35">
      <c r="A565" t="s">
        <v>506</v>
      </c>
      <c r="B565" s="7" t="s">
        <v>1330</v>
      </c>
      <c r="F565" s="57">
        <v>44573</v>
      </c>
    </row>
    <row r="566" spans="1:6" x14ac:dyDescent="0.35">
      <c r="A566" t="s">
        <v>228</v>
      </c>
      <c r="B566" s="7" t="s">
        <v>1055</v>
      </c>
      <c r="F566" s="57">
        <v>44573</v>
      </c>
    </row>
    <row r="567" spans="1:6" x14ac:dyDescent="0.35">
      <c r="A567" t="s">
        <v>697</v>
      </c>
      <c r="B567" s="7" t="s">
        <v>1521</v>
      </c>
      <c r="F567" s="57">
        <v>44573</v>
      </c>
    </row>
    <row r="568" spans="1:6" x14ac:dyDescent="0.35">
      <c r="A568" t="s">
        <v>71</v>
      </c>
      <c r="B568" s="7" t="s">
        <v>900</v>
      </c>
      <c r="F568" s="57">
        <v>44573</v>
      </c>
    </row>
    <row r="569" spans="1:6" x14ac:dyDescent="0.35">
      <c r="A569" t="s">
        <v>82</v>
      </c>
      <c r="B569" s="7" t="s">
        <v>911</v>
      </c>
      <c r="F569" s="57">
        <v>44573</v>
      </c>
    </row>
    <row r="570" spans="1:6" x14ac:dyDescent="0.35">
      <c r="A570" t="s">
        <v>43</v>
      </c>
      <c r="B570" s="7" t="s">
        <v>872</v>
      </c>
      <c r="F570" s="57">
        <v>44573</v>
      </c>
    </row>
    <row r="571" spans="1:6" x14ac:dyDescent="0.35">
      <c r="A571" t="s">
        <v>412</v>
      </c>
      <c r="B571" s="7" t="s">
        <v>1236</v>
      </c>
      <c r="F571" s="57">
        <v>44573</v>
      </c>
    </row>
    <row r="572" spans="1:6" x14ac:dyDescent="0.35">
      <c r="A572" t="s">
        <v>478</v>
      </c>
      <c r="B572" s="7" t="s">
        <v>1302</v>
      </c>
      <c r="F572" s="57">
        <v>44573</v>
      </c>
    </row>
    <row r="573" spans="1:6" x14ac:dyDescent="0.35">
      <c r="A573" t="s">
        <v>570</v>
      </c>
      <c r="B573" s="7" t="s">
        <v>1394</v>
      </c>
      <c r="F573" s="57">
        <v>44573</v>
      </c>
    </row>
    <row r="574" spans="1:6" x14ac:dyDescent="0.35">
      <c r="A574" t="s">
        <v>332</v>
      </c>
      <c r="B574" s="7" t="s">
        <v>1157</v>
      </c>
      <c r="F574" s="57">
        <v>44573</v>
      </c>
    </row>
    <row r="575" spans="1:6" x14ac:dyDescent="0.35">
      <c r="A575" t="s">
        <v>554</v>
      </c>
      <c r="B575" s="7" t="s">
        <v>1378</v>
      </c>
      <c r="F575" s="57">
        <v>44573</v>
      </c>
    </row>
    <row r="576" spans="1:6" x14ac:dyDescent="0.35">
      <c r="A576" t="s">
        <v>440</v>
      </c>
      <c r="B576" s="7" t="s">
        <v>1264</v>
      </c>
      <c r="F576" s="57">
        <v>44573</v>
      </c>
    </row>
    <row r="577" spans="1:7" x14ac:dyDescent="0.35">
      <c r="A577" t="s">
        <v>307</v>
      </c>
      <c r="B577" s="7" t="s">
        <v>1132</v>
      </c>
      <c r="F577" s="57">
        <v>44573</v>
      </c>
    </row>
    <row r="578" spans="1:7" x14ac:dyDescent="0.35">
      <c r="A578" t="s">
        <v>369</v>
      </c>
      <c r="B578" s="7" t="s">
        <v>1193</v>
      </c>
      <c r="F578" s="57">
        <v>44573</v>
      </c>
    </row>
    <row r="579" spans="1:7" x14ac:dyDescent="0.35">
      <c r="A579" t="s">
        <v>35</v>
      </c>
      <c r="B579" s="7" t="s">
        <v>864</v>
      </c>
      <c r="D579" t="s">
        <v>2493</v>
      </c>
      <c r="E579" t="s">
        <v>4106</v>
      </c>
      <c r="F579" s="57">
        <v>44573</v>
      </c>
      <c r="G579" t="s">
        <v>4085</v>
      </c>
    </row>
    <row r="580" spans="1:7" x14ac:dyDescent="0.35">
      <c r="A580" s="4" t="s">
        <v>820</v>
      </c>
      <c r="B580" t="s">
        <v>1642</v>
      </c>
      <c r="F580" s="57">
        <v>44573</v>
      </c>
    </row>
    <row r="581" spans="1:7" x14ac:dyDescent="0.35">
      <c r="A581" t="s">
        <v>797</v>
      </c>
      <c r="B581" s="7" t="s">
        <v>1620</v>
      </c>
      <c r="F581" s="57">
        <v>44573</v>
      </c>
    </row>
    <row r="582" spans="1:7" x14ac:dyDescent="0.35">
      <c r="A582" s="6" t="s">
        <v>431</v>
      </c>
      <c r="B582" s="7" t="s">
        <v>1255</v>
      </c>
      <c r="F582" s="57">
        <v>44573</v>
      </c>
    </row>
    <row r="583" spans="1:7" x14ac:dyDescent="0.35">
      <c r="A583" t="s">
        <v>329</v>
      </c>
      <c r="B583" s="7" t="s">
        <v>1154</v>
      </c>
      <c r="F583" s="57">
        <v>44573</v>
      </c>
    </row>
    <row r="584" spans="1:7" x14ac:dyDescent="0.35">
      <c r="A584" t="s">
        <v>324</v>
      </c>
      <c r="B584" s="7" t="s">
        <v>1149</v>
      </c>
      <c r="F584" s="57">
        <v>44573</v>
      </c>
    </row>
    <row r="585" spans="1:7" x14ac:dyDescent="0.35">
      <c r="A585" t="s">
        <v>187</v>
      </c>
      <c r="B585" s="7" t="s">
        <v>1015</v>
      </c>
      <c r="F585" s="57">
        <v>44573</v>
      </c>
    </row>
    <row r="586" spans="1:7" x14ac:dyDescent="0.35">
      <c r="A586" t="s">
        <v>53</v>
      </c>
      <c r="B586" s="7" t="s">
        <v>882</v>
      </c>
      <c r="F586" s="57">
        <v>44573</v>
      </c>
    </row>
    <row r="587" spans="1:7" x14ac:dyDescent="0.35">
      <c r="A587" t="s">
        <v>766</v>
      </c>
      <c r="B587" s="7" t="s">
        <v>1590</v>
      </c>
      <c r="F587" s="57">
        <v>44573</v>
      </c>
    </row>
    <row r="588" spans="1:7" x14ac:dyDescent="0.35">
      <c r="A588" t="s">
        <v>575</v>
      </c>
      <c r="B588" s="7" t="s">
        <v>1399</v>
      </c>
      <c r="F588" s="57">
        <v>44573</v>
      </c>
    </row>
    <row r="589" spans="1:7" x14ac:dyDescent="0.35">
      <c r="A589" t="s">
        <v>623</v>
      </c>
      <c r="B589" s="7" t="s">
        <v>1447</v>
      </c>
      <c r="F589" s="57">
        <v>44573</v>
      </c>
    </row>
    <row r="590" spans="1:7" x14ac:dyDescent="0.35">
      <c r="A590" t="s">
        <v>252</v>
      </c>
      <c r="B590" s="7" t="s">
        <v>1078</v>
      </c>
      <c r="F590" s="57">
        <v>44573</v>
      </c>
    </row>
    <row r="591" spans="1:7" x14ac:dyDescent="0.35">
      <c r="A591" t="s">
        <v>300</v>
      </c>
      <c r="B591" s="7" t="s">
        <v>1125</v>
      </c>
      <c r="F591" s="57">
        <v>44573</v>
      </c>
    </row>
    <row r="592" spans="1:7" x14ac:dyDescent="0.35">
      <c r="A592" t="s">
        <v>267</v>
      </c>
      <c r="B592" s="7" t="s">
        <v>1093</v>
      </c>
      <c r="F592" s="57">
        <v>44573</v>
      </c>
    </row>
    <row r="593" spans="1:6" x14ac:dyDescent="0.35">
      <c r="A593" t="s">
        <v>162</v>
      </c>
      <c r="B593" s="7" t="s">
        <v>991</v>
      </c>
      <c r="F593" s="57">
        <v>44573</v>
      </c>
    </row>
    <row r="594" spans="1:6" x14ac:dyDescent="0.35">
      <c r="A594" t="s">
        <v>523</v>
      </c>
      <c r="B594" s="7" t="s">
        <v>1347</v>
      </c>
      <c r="F594" s="57">
        <v>44573</v>
      </c>
    </row>
    <row r="595" spans="1:6" x14ac:dyDescent="0.35">
      <c r="A595" t="s">
        <v>318</v>
      </c>
      <c r="B595" s="7" t="s">
        <v>1143</v>
      </c>
      <c r="F595" s="57">
        <v>44573</v>
      </c>
    </row>
    <row r="596" spans="1:6" x14ac:dyDescent="0.35">
      <c r="A596" t="s">
        <v>106</v>
      </c>
      <c r="B596" s="7" t="s">
        <v>935</v>
      </c>
      <c r="F596" s="57">
        <v>44573</v>
      </c>
    </row>
    <row r="597" spans="1:6" x14ac:dyDescent="0.35">
      <c r="A597" t="s">
        <v>150</v>
      </c>
      <c r="B597" s="7" t="s">
        <v>979</v>
      </c>
      <c r="F597" s="57">
        <v>44573</v>
      </c>
    </row>
    <row r="598" spans="1:6" x14ac:dyDescent="0.35">
      <c r="A598" t="s">
        <v>504</v>
      </c>
      <c r="B598" s="7" t="s">
        <v>1328</v>
      </c>
      <c r="F598" s="57">
        <v>44573</v>
      </c>
    </row>
    <row r="599" spans="1:6" x14ac:dyDescent="0.35">
      <c r="A599" t="s">
        <v>698</v>
      </c>
      <c r="B599" s="7" t="s">
        <v>1522</v>
      </c>
      <c r="F599" s="57">
        <v>44573</v>
      </c>
    </row>
    <row r="600" spans="1:6" x14ac:dyDescent="0.35">
      <c r="A600" t="s">
        <v>68</v>
      </c>
      <c r="B600" s="7" t="s">
        <v>897</v>
      </c>
      <c r="F600" s="57">
        <v>44573</v>
      </c>
    </row>
    <row r="601" spans="1:6" x14ac:dyDescent="0.35">
      <c r="A601" t="s">
        <v>237</v>
      </c>
      <c r="B601" s="7" t="s">
        <v>897</v>
      </c>
      <c r="F601" s="57">
        <v>44573</v>
      </c>
    </row>
    <row r="602" spans="1:6" x14ac:dyDescent="0.35">
      <c r="A602" t="s">
        <v>390</v>
      </c>
      <c r="B602" s="7" t="s">
        <v>1214</v>
      </c>
      <c r="F602" s="57">
        <v>44573</v>
      </c>
    </row>
    <row r="603" spans="1:6" x14ac:dyDescent="0.35">
      <c r="A603" t="s">
        <v>334</v>
      </c>
      <c r="B603" s="7" t="s">
        <v>1159</v>
      </c>
      <c r="F603" s="57">
        <v>44573</v>
      </c>
    </row>
    <row r="604" spans="1:6" x14ac:dyDescent="0.35">
      <c r="A604" t="s">
        <v>344</v>
      </c>
      <c r="B604" s="7" t="s">
        <v>1168</v>
      </c>
      <c r="F604" s="57">
        <v>44573</v>
      </c>
    </row>
    <row r="605" spans="1:6" x14ac:dyDescent="0.35">
      <c r="A605" t="s">
        <v>223</v>
      </c>
      <c r="B605" s="7" t="s">
        <v>1050</v>
      </c>
      <c r="F605" s="57">
        <v>44573</v>
      </c>
    </row>
    <row r="606" spans="1:6" x14ac:dyDescent="0.35">
      <c r="A606" t="s">
        <v>155</v>
      </c>
      <c r="B606" s="7" t="s">
        <v>984</v>
      </c>
      <c r="F606" s="57">
        <v>44573</v>
      </c>
    </row>
    <row r="607" spans="1:6" x14ac:dyDescent="0.35">
      <c r="A607" t="s">
        <v>607</v>
      </c>
      <c r="B607" s="7" t="s">
        <v>1431</v>
      </c>
      <c r="F607" s="57">
        <v>44573</v>
      </c>
    </row>
    <row r="608" spans="1:6" x14ac:dyDescent="0.35">
      <c r="A608" t="s">
        <v>236</v>
      </c>
      <c r="B608" s="7" t="s">
        <v>1063</v>
      </c>
      <c r="F608" s="57">
        <v>44573</v>
      </c>
    </row>
    <row r="609" spans="1:7" x14ac:dyDescent="0.35">
      <c r="A609" t="s">
        <v>410</v>
      </c>
      <c r="B609" s="7" t="s">
        <v>1234</v>
      </c>
      <c r="F609" s="57">
        <v>44573</v>
      </c>
    </row>
    <row r="610" spans="1:7" x14ac:dyDescent="0.35">
      <c r="A610" t="s">
        <v>411</v>
      </c>
      <c r="B610" s="7" t="s">
        <v>1235</v>
      </c>
      <c r="F610" s="57">
        <v>44573</v>
      </c>
    </row>
    <row r="611" spans="1:7" x14ac:dyDescent="0.35">
      <c r="A611" t="s">
        <v>340</v>
      </c>
      <c r="B611" s="7" t="s">
        <v>1164</v>
      </c>
      <c r="F611" s="57">
        <v>44573</v>
      </c>
    </row>
    <row r="612" spans="1:7" x14ac:dyDescent="0.35">
      <c r="A612" t="s">
        <v>93</v>
      </c>
      <c r="B612" s="7" t="s">
        <v>922</v>
      </c>
      <c r="F612" s="57">
        <v>44573</v>
      </c>
      <c r="G612" t="s">
        <v>4084</v>
      </c>
    </row>
    <row r="613" spans="1:7" x14ac:dyDescent="0.35">
      <c r="A613" t="s">
        <v>30</v>
      </c>
      <c r="B613" s="7" t="s">
        <v>859</v>
      </c>
      <c r="F613" s="57">
        <v>44573</v>
      </c>
    </row>
    <row r="614" spans="1:7" x14ac:dyDescent="0.35">
      <c r="A614" t="s">
        <v>107</v>
      </c>
      <c r="B614" s="7" t="s">
        <v>936</v>
      </c>
      <c r="F614" s="57">
        <v>44573</v>
      </c>
    </row>
    <row r="615" spans="1:7" x14ac:dyDescent="0.35">
      <c r="A615" t="s">
        <v>108</v>
      </c>
      <c r="B615" s="7" t="s">
        <v>937</v>
      </c>
      <c r="F615" s="57">
        <v>44573</v>
      </c>
    </row>
    <row r="616" spans="1:7" x14ac:dyDescent="0.35">
      <c r="A616" t="s">
        <v>362</v>
      </c>
      <c r="B616" s="7" t="s">
        <v>1186</v>
      </c>
      <c r="F616" s="57">
        <v>44573</v>
      </c>
    </row>
    <row r="617" spans="1:7" x14ac:dyDescent="0.35">
      <c r="A617" t="s">
        <v>699</v>
      </c>
      <c r="B617" s="7" t="s">
        <v>1523</v>
      </c>
      <c r="F617" s="57">
        <v>44573</v>
      </c>
    </row>
    <row r="618" spans="1:7" x14ac:dyDescent="0.35">
      <c r="A618" t="s">
        <v>128</v>
      </c>
      <c r="B618" s="7" t="s">
        <v>957</v>
      </c>
      <c r="F618" s="57">
        <v>44573</v>
      </c>
    </row>
    <row r="619" spans="1:7" x14ac:dyDescent="0.35">
      <c r="A619" t="s">
        <v>626</v>
      </c>
      <c r="B619" s="7" t="s">
        <v>1450</v>
      </c>
      <c r="F619" s="57">
        <v>44573</v>
      </c>
    </row>
    <row r="620" spans="1:7" x14ac:dyDescent="0.35">
      <c r="A620" t="s">
        <v>700</v>
      </c>
      <c r="B620" s="7" t="s">
        <v>1524</v>
      </c>
      <c r="F620" s="57">
        <v>44573</v>
      </c>
    </row>
    <row r="621" spans="1:7" x14ac:dyDescent="0.35">
      <c r="A621" t="s">
        <v>66</v>
      </c>
      <c r="B621" s="7" t="s">
        <v>895</v>
      </c>
      <c r="F621" s="57">
        <v>44573</v>
      </c>
    </row>
    <row r="622" spans="1:7" x14ac:dyDescent="0.35">
      <c r="A622" t="s">
        <v>439</v>
      </c>
      <c r="B622" s="7" t="s">
        <v>1263</v>
      </c>
      <c r="F622" s="57">
        <v>44573</v>
      </c>
    </row>
    <row r="623" spans="1:7" x14ac:dyDescent="0.35">
      <c r="A623" t="s">
        <v>471</v>
      </c>
      <c r="B623" s="7" t="s">
        <v>1295</v>
      </c>
      <c r="F623" s="57">
        <v>44573</v>
      </c>
    </row>
    <row r="624" spans="1:7" x14ac:dyDescent="0.35">
      <c r="A624" t="s">
        <v>461</v>
      </c>
      <c r="B624" s="7" t="s">
        <v>1285</v>
      </c>
      <c r="F624" s="57">
        <v>44573</v>
      </c>
    </row>
    <row r="625" spans="1:7" x14ac:dyDescent="0.35">
      <c r="A625" t="s">
        <v>474</v>
      </c>
      <c r="B625" s="7" t="s">
        <v>1298</v>
      </c>
      <c r="F625" s="57">
        <v>44573</v>
      </c>
    </row>
    <row r="626" spans="1:7" x14ac:dyDescent="0.35">
      <c r="A626" t="s">
        <v>422</v>
      </c>
      <c r="B626" s="7" t="s">
        <v>1246</v>
      </c>
      <c r="F626" s="57">
        <v>44573</v>
      </c>
    </row>
    <row r="627" spans="1:7" x14ac:dyDescent="0.35">
      <c r="A627" t="s">
        <v>364</v>
      </c>
      <c r="B627" s="7" t="s">
        <v>1188</v>
      </c>
      <c r="F627" s="57">
        <v>44573</v>
      </c>
    </row>
    <row r="628" spans="1:7" x14ac:dyDescent="0.35">
      <c r="A628" t="s">
        <v>192</v>
      </c>
      <c r="B628" s="7" t="s">
        <v>1020</v>
      </c>
      <c r="F628" s="57">
        <v>44573</v>
      </c>
    </row>
    <row r="629" spans="1:7" x14ac:dyDescent="0.35">
      <c r="A629" t="s">
        <v>385</v>
      </c>
      <c r="B629" s="7" t="s">
        <v>1209</v>
      </c>
      <c r="F629" s="57">
        <v>44573</v>
      </c>
    </row>
    <row r="630" spans="1:7" x14ac:dyDescent="0.35">
      <c r="A630" t="s">
        <v>701</v>
      </c>
      <c r="B630" s="7" t="s">
        <v>1525</v>
      </c>
      <c r="F630" s="57">
        <v>44573</v>
      </c>
    </row>
    <row r="631" spans="1:7" x14ac:dyDescent="0.35">
      <c r="A631" t="s">
        <v>391</v>
      </c>
      <c r="B631" s="7" t="s">
        <v>1215</v>
      </c>
      <c r="F631" s="57">
        <v>44573</v>
      </c>
    </row>
    <row r="632" spans="1:7" x14ac:dyDescent="0.35">
      <c r="A632" t="s">
        <v>116</v>
      </c>
      <c r="B632" s="7" t="s">
        <v>945</v>
      </c>
      <c r="F632" s="57">
        <v>44573</v>
      </c>
    </row>
    <row r="633" spans="1:7" x14ac:dyDescent="0.35">
      <c r="A633" t="s">
        <v>408</v>
      </c>
      <c r="B633" s="7" t="s">
        <v>1232</v>
      </c>
      <c r="F633" s="57">
        <v>44573</v>
      </c>
    </row>
    <row r="634" spans="1:7" x14ac:dyDescent="0.35">
      <c r="A634" s="3" t="s">
        <v>304</v>
      </c>
      <c r="B634" s="7" t="s">
        <v>1129</v>
      </c>
      <c r="F634" s="57">
        <v>44573</v>
      </c>
    </row>
    <row r="635" spans="1:7" x14ac:dyDescent="0.35">
      <c r="A635" t="s">
        <v>576</v>
      </c>
      <c r="B635" s="7" t="s">
        <v>1400</v>
      </c>
      <c r="F635" s="57">
        <v>44573</v>
      </c>
    </row>
    <row r="636" spans="1:7" x14ac:dyDescent="0.35">
      <c r="A636" t="s">
        <v>702</v>
      </c>
      <c r="B636" s="7" t="s">
        <v>1526</v>
      </c>
      <c r="F636" s="57">
        <v>44573</v>
      </c>
    </row>
    <row r="637" spans="1:7" x14ac:dyDescent="0.35">
      <c r="A637" t="s">
        <v>139</v>
      </c>
      <c r="B637" s="7" t="s">
        <v>968</v>
      </c>
      <c r="F637" s="57">
        <v>44573</v>
      </c>
      <c r="G637" t="s">
        <v>4084</v>
      </c>
    </row>
    <row r="638" spans="1:7" x14ac:dyDescent="0.35">
      <c r="A638" t="s">
        <v>138</v>
      </c>
      <c r="B638" s="7" t="s">
        <v>967</v>
      </c>
      <c r="F638" s="57">
        <v>44573</v>
      </c>
      <c r="G638" t="s">
        <v>4084</v>
      </c>
    </row>
    <row r="639" spans="1:7" x14ac:dyDescent="0.35">
      <c r="A639" t="s">
        <v>361</v>
      </c>
      <c r="B639" s="7" t="s">
        <v>1185</v>
      </c>
      <c r="F639" s="57">
        <v>44573</v>
      </c>
    </row>
    <row r="640" spans="1:7" x14ac:dyDescent="0.35">
      <c r="A640" t="s">
        <v>181</v>
      </c>
      <c r="B640" s="7" t="s">
        <v>1010</v>
      </c>
      <c r="F640" s="57">
        <v>44573</v>
      </c>
    </row>
    <row r="641" spans="1:7" x14ac:dyDescent="0.35">
      <c r="A641" t="s">
        <v>634</v>
      </c>
      <c r="B641" s="7" t="s">
        <v>1458</v>
      </c>
      <c r="F641" s="57">
        <v>44573</v>
      </c>
    </row>
    <row r="642" spans="1:7" x14ac:dyDescent="0.35">
      <c r="A642" t="s">
        <v>315</v>
      </c>
      <c r="B642" s="7" t="s">
        <v>1140</v>
      </c>
      <c r="F642" s="57">
        <v>44573</v>
      </c>
    </row>
    <row r="643" spans="1:7" x14ac:dyDescent="0.35">
      <c r="A643" t="s">
        <v>314</v>
      </c>
      <c r="B643" s="7" t="s">
        <v>1139</v>
      </c>
      <c r="F643" s="57">
        <v>44573</v>
      </c>
    </row>
    <row r="644" spans="1:7" x14ac:dyDescent="0.35">
      <c r="A644" t="s">
        <v>758</v>
      </c>
      <c r="B644" s="7" t="s">
        <v>1582</v>
      </c>
      <c r="F644" s="57">
        <v>44573</v>
      </c>
    </row>
    <row r="645" spans="1:7" x14ac:dyDescent="0.35">
      <c r="A645" t="s">
        <v>759</v>
      </c>
      <c r="B645" s="7" t="s">
        <v>1583</v>
      </c>
      <c r="F645" s="57">
        <v>44573</v>
      </c>
    </row>
    <row r="646" spans="1:7" x14ac:dyDescent="0.35">
      <c r="A646" t="s">
        <v>731</v>
      </c>
      <c r="B646" s="7" t="s">
        <v>1555</v>
      </c>
      <c r="F646" s="57">
        <v>44573</v>
      </c>
    </row>
    <row r="647" spans="1:7" x14ac:dyDescent="0.35">
      <c r="A647" t="s">
        <v>262</v>
      </c>
      <c r="B647" s="7" t="s">
        <v>1088</v>
      </c>
      <c r="F647" s="57">
        <v>44573</v>
      </c>
    </row>
    <row r="648" spans="1:7" x14ac:dyDescent="0.35">
      <c r="A648" t="s">
        <v>768</v>
      </c>
      <c r="B648" s="7" t="s">
        <v>1592</v>
      </c>
      <c r="F648" s="57">
        <v>44573</v>
      </c>
    </row>
    <row r="649" spans="1:7" x14ac:dyDescent="0.35">
      <c r="A649" t="s">
        <v>47</v>
      </c>
      <c r="B649" s="7" t="s">
        <v>876</v>
      </c>
      <c r="D649" t="s">
        <v>2312</v>
      </c>
      <c r="E649" t="s">
        <v>4106</v>
      </c>
      <c r="F649" s="57">
        <v>44573</v>
      </c>
      <c r="G649" t="s">
        <v>4087</v>
      </c>
    </row>
    <row r="650" spans="1:7" x14ac:dyDescent="0.35">
      <c r="A650" t="s">
        <v>111</v>
      </c>
      <c r="B650" s="7" t="s">
        <v>940</v>
      </c>
      <c r="F650" s="57">
        <v>44573</v>
      </c>
    </row>
    <row r="651" spans="1:7" x14ac:dyDescent="0.35">
      <c r="A651" t="s">
        <v>742</v>
      </c>
      <c r="B651" s="7" t="s">
        <v>1566</v>
      </c>
      <c r="F651" s="57">
        <v>44573</v>
      </c>
    </row>
    <row r="652" spans="1:7" x14ac:dyDescent="0.35">
      <c r="A652" t="s">
        <v>743</v>
      </c>
      <c r="B652" s="7" t="s">
        <v>1567</v>
      </c>
      <c r="F652" s="57">
        <v>44573</v>
      </c>
    </row>
    <row r="653" spans="1:7" x14ac:dyDescent="0.35">
      <c r="A653" t="s">
        <v>744</v>
      </c>
      <c r="B653" s="7" t="s">
        <v>1568</v>
      </c>
      <c r="F653" s="57">
        <v>44573</v>
      </c>
    </row>
    <row r="654" spans="1:7" x14ac:dyDescent="0.35">
      <c r="A654" t="s">
        <v>745</v>
      </c>
      <c r="B654" s="7" t="s">
        <v>1569</v>
      </c>
      <c r="F654" s="57">
        <v>44573</v>
      </c>
    </row>
    <row r="655" spans="1:7" x14ac:dyDescent="0.35">
      <c r="A655" t="s">
        <v>746</v>
      </c>
      <c r="B655" s="7" t="s">
        <v>1570</v>
      </c>
      <c r="F655" s="57">
        <v>44573</v>
      </c>
    </row>
    <row r="656" spans="1:7" x14ac:dyDescent="0.35">
      <c r="A656" t="s">
        <v>747</v>
      </c>
      <c r="B656" s="7" t="s">
        <v>1571</v>
      </c>
      <c r="F656" s="57">
        <v>44573</v>
      </c>
    </row>
    <row r="657" spans="1:7" x14ac:dyDescent="0.35">
      <c r="A657" t="s">
        <v>748</v>
      </c>
      <c r="B657" s="7" t="s">
        <v>1572</v>
      </c>
      <c r="F657" s="57">
        <v>44573</v>
      </c>
    </row>
    <row r="658" spans="1:7" x14ac:dyDescent="0.35">
      <c r="A658" t="s">
        <v>749</v>
      </c>
      <c r="B658" s="7" t="s">
        <v>1573</v>
      </c>
      <c r="F658" s="57">
        <v>44573</v>
      </c>
    </row>
    <row r="659" spans="1:7" x14ac:dyDescent="0.35">
      <c r="A659" t="s">
        <v>750</v>
      </c>
      <c r="B659" s="7" t="s">
        <v>1574</v>
      </c>
      <c r="F659" s="57">
        <v>44573</v>
      </c>
    </row>
    <row r="660" spans="1:7" x14ac:dyDescent="0.35">
      <c r="A660" t="s">
        <v>751</v>
      </c>
      <c r="B660" s="7" t="s">
        <v>1575</v>
      </c>
      <c r="F660" s="57">
        <v>44573</v>
      </c>
    </row>
    <row r="661" spans="1:7" x14ac:dyDescent="0.35">
      <c r="A661" t="s">
        <v>741</v>
      </c>
      <c r="B661" s="7" t="s">
        <v>1565</v>
      </c>
      <c r="F661" s="57">
        <v>44573</v>
      </c>
    </row>
    <row r="662" spans="1:7" x14ac:dyDescent="0.35">
      <c r="A662" t="s">
        <v>752</v>
      </c>
      <c r="B662" s="7" t="s">
        <v>1576</v>
      </c>
      <c r="F662" s="57">
        <v>44573</v>
      </c>
    </row>
    <row r="663" spans="1:7" x14ac:dyDescent="0.35">
      <c r="A663" t="s">
        <v>76</v>
      </c>
      <c r="B663" s="7" t="s">
        <v>905</v>
      </c>
      <c r="F663" s="57">
        <v>44573</v>
      </c>
    </row>
    <row r="664" spans="1:7" x14ac:dyDescent="0.35">
      <c r="A664" t="s">
        <v>459</v>
      </c>
      <c r="B664" s="7" t="s">
        <v>1283</v>
      </c>
      <c r="F664" s="57">
        <v>44573</v>
      </c>
    </row>
    <row r="665" spans="1:7" x14ac:dyDescent="0.35">
      <c r="A665" t="s">
        <v>514</v>
      </c>
      <c r="B665" s="7" t="s">
        <v>1338</v>
      </c>
      <c r="F665" s="57">
        <v>44573</v>
      </c>
    </row>
    <row r="666" spans="1:7" x14ac:dyDescent="0.35">
      <c r="A666" t="s">
        <v>59</v>
      </c>
      <c r="B666" s="7" t="s">
        <v>888</v>
      </c>
      <c r="F666" s="57">
        <v>44573</v>
      </c>
    </row>
    <row r="667" spans="1:7" x14ac:dyDescent="0.35">
      <c r="A667" t="s">
        <v>823</v>
      </c>
      <c r="B667" s="7" t="s">
        <v>1645</v>
      </c>
      <c r="F667" s="57">
        <v>44573</v>
      </c>
    </row>
    <row r="668" spans="1:7" x14ac:dyDescent="0.35">
      <c r="A668" t="s">
        <v>189</v>
      </c>
      <c r="B668" s="7" t="s">
        <v>1017</v>
      </c>
      <c r="F668" s="57">
        <v>44573</v>
      </c>
    </row>
    <row r="669" spans="1:7" x14ac:dyDescent="0.35">
      <c r="A669" t="s">
        <v>18</v>
      </c>
      <c r="B669" s="7" t="s">
        <v>847</v>
      </c>
      <c r="F669" s="57">
        <v>44573</v>
      </c>
    </row>
    <row r="670" spans="1:7" x14ac:dyDescent="0.35">
      <c r="A670" t="s">
        <v>174</v>
      </c>
      <c r="B670" s="7" t="s">
        <v>1003</v>
      </c>
      <c r="F670" s="57">
        <v>44573</v>
      </c>
    </row>
    <row r="671" spans="1:7" x14ac:dyDescent="0.35">
      <c r="A671" t="s">
        <v>291</v>
      </c>
      <c r="B671" s="7" t="s">
        <v>1116</v>
      </c>
      <c r="F671" s="57">
        <v>44573</v>
      </c>
    </row>
    <row r="672" spans="1:7" x14ac:dyDescent="0.35">
      <c r="A672" t="s">
        <v>629</v>
      </c>
      <c r="B672" s="7" t="s">
        <v>1453</v>
      </c>
      <c r="D672" t="s">
        <v>2129</v>
      </c>
      <c r="E672" t="s">
        <v>4106</v>
      </c>
      <c r="F672" s="57">
        <v>44573</v>
      </c>
      <c r="G672" t="s">
        <v>4085</v>
      </c>
    </row>
    <row r="673" spans="1:7" x14ac:dyDescent="0.35">
      <c r="A673" t="s">
        <v>483</v>
      </c>
      <c r="B673" s="7" t="s">
        <v>1307</v>
      </c>
      <c r="F673" s="57">
        <v>44573</v>
      </c>
    </row>
    <row r="674" spans="1:7" x14ac:dyDescent="0.35">
      <c r="A674" s="2" t="s">
        <v>375</v>
      </c>
      <c r="B674" t="s">
        <v>1199</v>
      </c>
      <c r="F674" s="57">
        <v>44573</v>
      </c>
    </row>
    <row r="675" spans="1:7" x14ac:dyDescent="0.35">
      <c r="A675" t="s">
        <v>398</v>
      </c>
      <c r="B675" s="7" t="s">
        <v>1222</v>
      </c>
      <c r="F675" s="57">
        <v>44573</v>
      </c>
    </row>
    <row r="676" spans="1:7" x14ac:dyDescent="0.35">
      <c r="A676" t="s">
        <v>401</v>
      </c>
      <c r="B676" s="7" t="s">
        <v>1225</v>
      </c>
      <c r="F676" s="57">
        <v>44573</v>
      </c>
    </row>
    <row r="677" spans="1:7" x14ac:dyDescent="0.35">
      <c r="A677" t="s">
        <v>402</v>
      </c>
      <c r="B677" s="7" t="s">
        <v>1226</v>
      </c>
      <c r="F677" s="57">
        <v>44573</v>
      </c>
    </row>
    <row r="678" spans="1:7" x14ac:dyDescent="0.35">
      <c r="A678" t="s">
        <v>403</v>
      </c>
      <c r="B678" s="7" t="s">
        <v>1227</v>
      </c>
      <c r="F678" s="57">
        <v>44573</v>
      </c>
    </row>
    <row r="679" spans="1:7" x14ac:dyDescent="0.35">
      <c r="A679" t="s">
        <v>400</v>
      </c>
      <c r="B679" s="7" t="s">
        <v>1224</v>
      </c>
      <c r="F679" s="57">
        <v>44573</v>
      </c>
    </row>
    <row r="680" spans="1:7" x14ac:dyDescent="0.35">
      <c r="A680" t="s">
        <v>373</v>
      </c>
      <c r="B680" s="7" t="s">
        <v>1197</v>
      </c>
      <c r="F680" s="57">
        <v>44573</v>
      </c>
    </row>
    <row r="681" spans="1:7" x14ac:dyDescent="0.35">
      <c r="A681" t="s">
        <v>278</v>
      </c>
      <c r="B681" s="7" t="s">
        <v>1104</v>
      </c>
      <c r="F681" s="57">
        <v>44573</v>
      </c>
    </row>
    <row r="682" spans="1:7" x14ac:dyDescent="0.35">
      <c r="A682" t="s">
        <v>327</v>
      </c>
      <c r="B682" s="7" t="s">
        <v>1152</v>
      </c>
      <c r="F682" s="57">
        <v>44573</v>
      </c>
    </row>
    <row r="683" spans="1:7" x14ac:dyDescent="0.35">
      <c r="A683" t="s">
        <v>521</v>
      </c>
      <c r="B683" s="7" t="s">
        <v>1345</v>
      </c>
      <c r="F683" s="57">
        <v>44573</v>
      </c>
    </row>
    <row r="684" spans="1:7" x14ac:dyDescent="0.35">
      <c r="A684" t="s">
        <v>561</v>
      </c>
      <c r="B684" s="7" t="s">
        <v>1385</v>
      </c>
      <c r="D684" t="s">
        <v>2498</v>
      </c>
      <c r="E684" t="s">
        <v>4106</v>
      </c>
      <c r="F684" s="57">
        <v>44573</v>
      </c>
      <c r="G684" t="s">
        <v>4087</v>
      </c>
    </row>
    <row r="685" spans="1:7" x14ac:dyDescent="0.35">
      <c r="A685" t="s">
        <v>338</v>
      </c>
      <c r="B685" s="7" t="s">
        <v>1162</v>
      </c>
      <c r="F685" s="57">
        <v>44573</v>
      </c>
    </row>
    <row r="686" spans="1:7" x14ac:dyDescent="0.35">
      <c r="A686" t="s">
        <v>83</v>
      </c>
      <c r="B686" s="7" t="s">
        <v>912</v>
      </c>
      <c r="F686" s="57">
        <v>44573</v>
      </c>
    </row>
    <row r="687" spans="1:7" x14ac:dyDescent="0.35">
      <c r="A687" t="s">
        <v>288</v>
      </c>
      <c r="B687" s="7" t="s">
        <v>1113</v>
      </c>
      <c r="F687" s="57">
        <v>44573</v>
      </c>
    </row>
    <row r="688" spans="1:7" x14ac:dyDescent="0.35">
      <c r="A688" t="s">
        <v>261</v>
      </c>
      <c r="B688" s="7" t="s">
        <v>1087</v>
      </c>
      <c r="F688" s="57">
        <v>44573</v>
      </c>
    </row>
    <row r="689" spans="1:6" x14ac:dyDescent="0.35">
      <c r="A689" t="s">
        <v>520</v>
      </c>
      <c r="B689" s="7" t="s">
        <v>1344</v>
      </c>
      <c r="F689" s="57">
        <v>44573</v>
      </c>
    </row>
    <row r="690" spans="1:6" x14ac:dyDescent="0.35">
      <c r="A690" t="s">
        <v>659</v>
      </c>
      <c r="B690" s="7" t="s">
        <v>1483</v>
      </c>
      <c r="F690" s="57">
        <v>44573</v>
      </c>
    </row>
    <row r="691" spans="1:6" x14ac:dyDescent="0.35">
      <c r="A691" t="s">
        <v>221</v>
      </c>
      <c r="B691" s="7" t="s">
        <v>1048</v>
      </c>
      <c r="F691" s="57">
        <v>44573</v>
      </c>
    </row>
    <row r="692" spans="1:6" x14ac:dyDescent="0.35">
      <c r="A692" t="s">
        <v>313</v>
      </c>
      <c r="B692" s="7" t="s">
        <v>1138</v>
      </c>
      <c r="F692" s="57">
        <v>44573</v>
      </c>
    </row>
    <row r="693" spans="1:6" x14ac:dyDescent="0.35">
      <c r="A693" t="s">
        <v>673</v>
      </c>
      <c r="B693" s="7" t="s">
        <v>1497</v>
      </c>
      <c r="F693" s="57">
        <v>44573</v>
      </c>
    </row>
    <row r="694" spans="1:6" x14ac:dyDescent="0.35">
      <c r="A694" t="s">
        <v>160</v>
      </c>
      <c r="B694" s="7" t="s">
        <v>989</v>
      </c>
      <c r="F694" s="57">
        <v>44573</v>
      </c>
    </row>
    <row r="695" spans="1:6" x14ac:dyDescent="0.35">
      <c r="A695" t="s">
        <v>188</v>
      </c>
      <c r="B695" s="7" t="s">
        <v>1016</v>
      </c>
      <c r="F695" s="57">
        <v>44573</v>
      </c>
    </row>
    <row r="696" spans="1:6" x14ac:dyDescent="0.35">
      <c r="A696" t="s">
        <v>503</v>
      </c>
      <c r="B696" s="7" t="s">
        <v>1327</v>
      </c>
      <c r="F696" s="57">
        <v>44573</v>
      </c>
    </row>
    <row r="697" spans="1:6" x14ac:dyDescent="0.35">
      <c r="A697" t="s">
        <v>134</v>
      </c>
      <c r="B697" s="7" t="s">
        <v>963</v>
      </c>
      <c r="F697" s="57">
        <v>44573</v>
      </c>
    </row>
    <row r="698" spans="1:6" x14ac:dyDescent="0.35">
      <c r="A698" t="s">
        <v>145</v>
      </c>
      <c r="B698" s="7" t="s">
        <v>974</v>
      </c>
      <c r="F698" s="57">
        <v>44573</v>
      </c>
    </row>
    <row r="699" spans="1:6" x14ac:dyDescent="0.35">
      <c r="A699" t="s">
        <v>423</v>
      </c>
      <c r="B699" s="7" t="s">
        <v>1247</v>
      </c>
      <c r="F699" s="57">
        <v>44573</v>
      </c>
    </row>
    <row r="700" spans="1:6" x14ac:dyDescent="0.35">
      <c r="A700" t="s">
        <v>541</v>
      </c>
      <c r="B700" s="7" t="s">
        <v>1365</v>
      </c>
      <c r="F700" s="57">
        <v>44573</v>
      </c>
    </row>
    <row r="701" spans="1:6" x14ac:dyDescent="0.35">
      <c r="A701" t="s">
        <v>195</v>
      </c>
      <c r="B701" s="7" t="s">
        <v>1023</v>
      </c>
      <c r="F701" s="57">
        <v>44573</v>
      </c>
    </row>
    <row r="702" spans="1:6" x14ac:dyDescent="0.35">
      <c r="A702" t="s">
        <v>660</v>
      </c>
      <c r="B702" s="7" t="s">
        <v>1484</v>
      </c>
      <c r="F702" s="57">
        <v>44573</v>
      </c>
    </row>
    <row r="703" spans="1:6" x14ac:dyDescent="0.35">
      <c r="A703" t="s">
        <v>616</v>
      </c>
      <c r="B703" s="7" t="s">
        <v>1440</v>
      </c>
      <c r="F703" s="57">
        <v>44573</v>
      </c>
    </row>
    <row r="704" spans="1:6" x14ac:dyDescent="0.35">
      <c r="A704" t="s">
        <v>298</v>
      </c>
      <c r="B704" s="7" t="s">
        <v>1123</v>
      </c>
      <c r="F704" s="57">
        <v>44573</v>
      </c>
    </row>
    <row r="705" spans="1:7" x14ac:dyDescent="0.35">
      <c r="A705" t="s">
        <v>263</v>
      </c>
      <c r="B705" s="7" t="s">
        <v>1089</v>
      </c>
      <c r="F705" s="57">
        <v>44573</v>
      </c>
    </row>
    <row r="706" spans="1:7" x14ac:dyDescent="0.35">
      <c r="A706" t="s">
        <v>359</v>
      </c>
      <c r="B706" s="7" t="s">
        <v>1183</v>
      </c>
      <c r="F706" s="57">
        <v>44573</v>
      </c>
    </row>
    <row r="707" spans="1:7" x14ac:dyDescent="0.35">
      <c r="A707" t="s">
        <v>413</v>
      </c>
      <c r="B707" s="7" t="s">
        <v>1237</v>
      </c>
      <c r="F707" s="57">
        <v>44573</v>
      </c>
    </row>
    <row r="708" spans="1:7" x14ac:dyDescent="0.35">
      <c r="A708" t="s">
        <v>23</v>
      </c>
      <c r="B708" s="7" t="s">
        <v>852</v>
      </c>
      <c r="F708" s="57">
        <v>44573</v>
      </c>
    </row>
    <row r="709" spans="1:7" x14ac:dyDescent="0.35">
      <c r="A709" t="s">
        <v>485</v>
      </c>
      <c r="B709" s="7" t="s">
        <v>1309</v>
      </c>
      <c r="F709" s="57">
        <v>44573</v>
      </c>
    </row>
    <row r="710" spans="1:7" x14ac:dyDescent="0.35">
      <c r="A710" t="s">
        <v>577</v>
      </c>
      <c r="B710" s="7" t="s">
        <v>1401</v>
      </c>
      <c r="D710" t="s">
        <v>2497</v>
      </c>
      <c r="E710" t="s">
        <v>4106</v>
      </c>
      <c r="F710" s="57">
        <v>44573</v>
      </c>
      <c r="G710" t="s">
        <v>4085</v>
      </c>
    </row>
    <row r="711" spans="1:7" x14ac:dyDescent="0.35">
      <c r="A711" t="s">
        <v>8</v>
      </c>
      <c r="B711" s="7" t="s">
        <v>837</v>
      </c>
      <c r="F711" s="57">
        <v>44573</v>
      </c>
    </row>
    <row r="712" spans="1:7" x14ac:dyDescent="0.35">
      <c r="A712" t="s">
        <v>13</v>
      </c>
      <c r="B712" s="7" t="s">
        <v>842</v>
      </c>
      <c r="F712" s="57">
        <v>44573</v>
      </c>
    </row>
    <row r="713" spans="1:7" x14ac:dyDescent="0.35">
      <c r="A713" t="s">
        <v>144</v>
      </c>
      <c r="B713" s="7" t="s">
        <v>973</v>
      </c>
      <c r="F713" s="57">
        <v>44573</v>
      </c>
    </row>
    <row r="714" spans="1:7" x14ac:dyDescent="0.35">
      <c r="A714" t="s">
        <v>624</v>
      </c>
      <c r="B714" s="7" t="s">
        <v>1448</v>
      </c>
      <c r="F714" s="57">
        <v>44573</v>
      </c>
    </row>
    <row r="715" spans="1:7" x14ac:dyDescent="0.35">
      <c r="A715" t="s">
        <v>571</v>
      </c>
      <c r="B715" s="7" t="s">
        <v>1395</v>
      </c>
      <c r="F715" s="57">
        <v>44573</v>
      </c>
    </row>
    <row r="716" spans="1:7" x14ac:dyDescent="0.35">
      <c r="A716" t="s">
        <v>38</v>
      </c>
      <c r="B716" s="7" t="s">
        <v>867</v>
      </c>
      <c r="F716" s="57">
        <v>44573</v>
      </c>
    </row>
    <row r="717" spans="1:7" x14ac:dyDescent="0.35">
      <c r="A717" s="1" t="s">
        <v>4</v>
      </c>
      <c r="B717" s="7" t="s">
        <v>833</v>
      </c>
      <c r="F717" s="57">
        <v>44573</v>
      </c>
    </row>
    <row r="718" spans="1:7" x14ac:dyDescent="0.35">
      <c r="A718" t="s">
        <v>64</v>
      </c>
      <c r="B718" s="7" t="s">
        <v>893</v>
      </c>
      <c r="F718" s="57">
        <v>44573</v>
      </c>
    </row>
    <row r="719" spans="1:7" x14ac:dyDescent="0.35">
      <c r="A719" t="s">
        <v>159</v>
      </c>
      <c r="B719" s="7" t="s">
        <v>988</v>
      </c>
      <c r="F719" s="57">
        <v>44573</v>
      </c>
    </row>
    <row r="720" spans="1:7" x14ac:dyDescent="0.35">
      <c r="A720" t="s">
        <v>635</v>
      </c>
      <c r="B720" s="7" t="s">
        <v>1459</v>
      </c>
      <c r="F720" s="57">
        <v>44573</v>
      </c>
    </row>
    <row r="721" spans="1:7" x14ac:dyDescent="0.35">
      <c r="A721" t="s">
        <v>384</v>
      </c>
      <c r="B721" s="7" t="s">
        <v>1208</v>
      </c>
      <c r="F721" s="57">
        <v>44573</v>
      </c>
    </row>
    <row r="722" spans="1:7" x14ac:dyDescent="0.35">
      <c r="A722" t="s">
        <v>527</v>
      </c>
      <c r="B722" s="7" t="s">
        <v>1351</v>
      </c>
      <c r="F722" s="57">
        <v>44573</v>
      </c>
    </row>
    <row r="723" spans="1:7" x14ac:dyDescent="0.35">
      <c r="A723" t="s">
        <v>84</v>
      </c>
      <c r="B723" s="7" t="s">
        <v>913</v>
      </c>
      <c r="F723" s="57">
        <v>44573</v>
      </c>
    </row>
    <row r="724" spans="1:7" x14ac:dyDescent="0.35">
      <c r="A724" t="s">
        <v>165</v>
      </c>
      <c r="B724" s="7" t="s">
        <v>994</v>
      </c>
      <c r="F724" s="57">
        <v>44573</v>
      </c>
    </row>
    <row r="725" spans="1:7" x14ac:dyDescent="0.35">
      <c r="A725" t="s">
        <v>146</v>
      </c>
      <c r="B725" s="7" t="s">
        <v>975</v>
      </c>
      <c r="F725" s="57">
        <v>44573</v>
      </c>
    </row>
    <row r="726" spans="1:7" x14ac:dyDescent="0.35">
      <c r="A726" t="s">
        <v>737</v>
      </c>
      <c r="B726" s="7" t="s">
        <v>1561</v>
      </c>
      <c r="F726" s="57">
        <v>44573</v>
      </c>
    </row>
    <row r="727" spans="1:7" x14ac:dyDescent="0.35">
      <c r="A727" t="s">
        <v>112</v>
      </c>
      <c r="B727" s="7" t="s">
        <v>941</v>
      </c>
      <c r="F727" s="57">
        <v>44573</v>
      </c>
    </row>
    <row r="728" spans="1:7" x14ac:dyDescent="0.35">
      <c r="A728" t="s">
        <v>90</v>
      </c>
      <c r="B728" s="7" t="s">
        <v>919</v>
      </c>
      <c r="F728" s="57">
        <v>44573</v>
      </c>
    </row>
    <row r="729" spans="1:7" x14ac:dyDescent="0.35">
      <c r="A729" t="s">
        <v>91</v>
      </c>
      <c r="B729" s="7" t="s">
        <v>920</v>
      </c>
      <c r="F729" s="57">
        <v>44573</v>
      </c>
    </row>
    <row r="730" spans="1:7" x14ac:dyDescent="0.35">
      <c r="A730" t="s">
        <v>167</v>
      </c>
      <c r="B730" s="7" t="s">
        <v>996</v>
      </c>
      <c r="F730" s="57">
        <v>44573</v>
      </c>
    </row>
    <row r="731" spans="1:7" x14ac:dyDescent="0.35">
      <c r="A731" t="s">
        <v>158</v>
      </c>
      <c r="B731" s="7" t="s">
        <v>987</v>
      </c>
      <c r="F731" s="57">
        <v>44573</v>
      </c>
    </row>
    <row r="732" spans="1:7" x14ac:dyDescent="0.35">
      <c r="A732" t="s">
        <v>460</v>
      </c>
      <c r="B732" s="7" t="s">
        <v>1284</v>
      </c>
      <c r="F732" s="57">
        <v>44573</v>
      </c>
    </row>
    <row r="733" spans="1:7" x14ac:dyDescent="0.35">
      <c r="A733" t="s">
        <v>540</v>
      </c>
      <c r="B733" s="7" t="s">
        <v>1364</v>
      </c>
      <c r="F733" s="57">
        <v>44573</v>
      </c>
    </row>
    <row r="734" spans="1:7" x14ac:dyDescent="0.35">
      <c r="A734" t="s">
        <v>590</v>
      </c>
      <c r="B734" s="7" t="s">
        <v>1414</v>
      </c>
      <c r="D734" t="s">
        <v>2267</v>
      </c>
      <c r="E734" t="s">
        <v>4106</v>
      </c>
      <c r="F734" s="57">
        <v>44573</v>
      </c>
      <c r="G734" t="s">
        <v>4095</v>
      </c>
    </row>
    <row r="735" spans="1:7" x14ac:dyDescent="0.35">
      <c r="A735" t="s">
        <v>88</v>
      </c>
      <c r="B735" s="7" t="s">
        <v>917</v>
      </c>
      <c r="F735" s="57">
        <v>44573</v>
      </c>
    </row>
    <row r="736" spans="1:7" x14ac:dyDescent="0.35">
      <c r="A736" t="s">
        <v>594</v>
      </c>
      <c r="B736" s="7" t="s">
        <v>1418</v>
      </c>
      <c r="F736" s="57">
        <v>44573</v>
      </c>
    </row>
    <row r="737" spans="1:6" x14ac:dyDescent="0.35">
      <c r="A737" t="s">
        <v>296</v>
      </c>
      <c r="B737" s="7" t="s">
        <v>1121</v>
      </c>
      <c r="F737" s="57">
        <v>44573</v>
      </c>
    </row>
    <row r="738" spans="1:6" x14ac:dyDescent="0.35">
      <c r="A738" t="s">
        <v>164</v>
      </c>
      <c r="B738" s="7" t="s">
        <v>993</v>
      </c>
      <c r="F738" s="57">
        <v>44573</v>
      </c>
    </row>
    <row r="739" spans="1:6" x14ac:dyDescent="0.35">
      <c r="A739" t="s">
        <v>297</v>
      </c>
      <c r="B739" s="7" t="s">
        <v>1122</v>
      </c>
      <c r="F739" s="57">
        <v>44573</v>
      </c>
    </row>
    <row r="740" spans="1:6" x14ac:dyDescent="0.35">
      <c r="A740" t="s">
        <v>465</v>
      </c>
      <c r="B740" s="7" t="s">
        <v>1289</v>
      </c>
      <c r="F740" s="57">
        <v>44573</v>
      </c>
    </row>
    <row r="741" spans="1:6" x14ac:dyDescent="0.35">
      <c r="A741" t="s">
        <v>241</v>
      </c>
      <c r="B741" s="7" t="s">
        <v>1067</v>
      </c>
      <c r="F741" s="57">
        <v>44573</v>
      </c>
    </row>
    <row r="742" spans="1:6" x14ac:dyDescent="0.35">
      <c r="A742" t="s">
        <v>738</v>
      </c>
      <c r="B742" s="7" t="s">
        <v>1562</v>
      </c>
      <c r="F742" s="57">
        <v>44573</v>
      </c>
    </row>
    <row r="743" spans="1:6" x14ac:dyDescent="0.35">
      <c r="A743" t="s">
        <v>592</v>
      </c>
      <c r="B743" s="7" t="s">
        <v>1416</v>
      </c>
      <c r="F743" s="57">
        <v>44573</v>
      </c>
    </row>
    <row r="744" spans="1:6" x14ac:dyDescent="0.35">
      <c r="A744" t="s">
        <v>760</v>
      </c>
      <c r="B744" s="7" t="s">
        <v>1584</v>
      </c>
      <c r="F744" s="57">
        <v>44573</v>
      </c>
    </row>
    <row r="745" spans="1:6" x14ac:dyDescent="0.35">
      <c r="A745" t="s">
        <v>525</v>
      </c>
      <c r="B745" s="7" t="s">
        <v>1349</v>
      </c>
      <c r="F745" s="57">
        <v>44573</v>
      </c>
    </row>
    <row r="746" spans="1:6" x14ac:dyDescent="0.35">
      <c r="A746" t="s">
        <v>141</v>
      </c>
      <c r="B746" s="7" t="s">
        <v>970</v>
      </c>
      <c r="F746" s="57">
        <v>44573</v>
      </c>
    </row>
    <row r="747" spans="1:6" x14ac:dyDescent="0.35">
      <c r="A747" t="s">
        <v>589</v>
      </c>
      <c r="B747" s="7" t="s">
        <v>1413</v>
      </c>
      <c r="F747" s="57">
        <v>44573</v>
      </c>
    </row>
    <row r="748" spans="1:6" x14ac:dyDescent="0.35">
      <c r="A748" t="s">
        <v>124</v>
      </c>
      <c r="B748" s="7" t="s">
        <v>953</v>
      </c>
      <c r="F748" s="57">
        <v>44573</v>
      </c>
    </row>
    <row r="749" spans="1:6" x14ac:dyDescent="0.35">
      <c r="A749" t="s">
        <v>533</v>
      </c>
      <c r="B749" s="7" t="s">
        <v>1357</v>
      </c>
      <c r="F749" s="57">
        <v>44573</v>
      </c>
    </row>
    <row r="750" spans="1:6" x14ac:dyDescent="0.35">
      <c r="A750" t="s">
        <v>321</v>
      </c>
      <c r="B750" s="7" t="s">
        <v>1146</v>
      </c>
      <c r="F750" s="57">
        <v>44573</v>
      </c>
    </row>
    <row r="751" spans="1:6" x14ac:dyDescent="0.35">
      <c r="A751" t="s">
        <v>642</v>
      </c>
      <c r="B751" s="7" t="s">
        <v>1466</v>
      </c>
      <c r="F751" s="57">
        <v>44573</v>
      </c>
    </row>
    <row r="752" spans="1:6" x14ac:dyDescent="0.35">
      <c r="A752" t="s">
        <v>488</v>
      </c>
      <c r="B752" s="7" t="s">
        <v>1312</v>
      </c>
      <c r="F752" s="57">
        <v>44573</v>
      </c>
    </row>
    <row r="753" spans="1:7" x14ac:dyDescent="0.35">
      <c r="A753" t="s">
        <v>770</v>
      </c>
      <c r="B753" s="7" t="s">
        <v>1594</v>
      </c>
      <c r="F753" s="57">
        <v>44573</v>
      </c>
    </row>
    <row r="754" spans="1:7" x14ac:dyDescent="0.35">
      <c r="A754" t="s">
        <v>638</v>
      </c>
      <c r="B754" s="7" t="s">
        <v>1462</v>
      </c>
      <c r="F754" s="57">
        <v>44573</v>
      </c>
    </row>
    <row r="755" spans="1:7" x14ac:dyDescent="0.35">
      <c r="A755" t="s">
        <v>632</v>
      </c>
      <c r="B755" s="7" t="s">
        <v>1456</v>
      </c>
      <c r="F755" s="57">
        <v>44573</v>
      </c>
    </row>
    <row r="756" spans="1:7" x14ac:dyDescent="0.35">
      <c r="A756" t="s">
        <v>621</v>
      </c>
      <c r="B756" s="7" t="s">
        <v>1445</v>
      </c>
      <c r="F756" s="57">
        <v>44573</v>
      </c>
    </row>
    <row r="757" spans="1:7" x14ac:dyDescent="0.35">
      <c r="A757" t="s">
        <v>10</v>
      </c>
      <c r="B757" s="7" t="s">
        <v>839</v>
      </c>
      <c r="F757" s="57">
        <v>44573</v>
      </c>
    </row>
    <row r="758" spans="1:7" x14ac:dyDescent="0.35">
      <c r="A758" t="s">
        <v>341</v>
      </c>
      <c r="B758" s="7" t="s">
        <v>1165</v>
      </c>
      <c r="D758" t="s">
        <v>2405</v>
      </c>
      <c r="E758" t="s">
        <v>4106</v>
      </c>
      <c r="F758" s="57">
        <v>44573</v>
      </c>
      <c r="G758" t="s">
        <v>4094</v>
      </c>
    </row>
    <row r="759" spans="1:7" x14ac:dyDescent="0.35">
      <c r="A759" t="s">
        <v>92</v>
      </c>
      <c r="B759" s="7" t="s">
        <v>921</v>
      </c>
      <c r="F759" s="57">
        <v>44573</v>
      </c>
    </row>
    <row r="760" spans="1:7" x14ac:dyDescent="0.35">
      <c r="A760" t="s">
        <v>62</v>
      </c>
      <c r="B760" s="7" t="s">
        <v>891</v>
      </c>
      <c r="F760" s="57">
        <v>44573</v>
      </c>
    </row>
    <row r="761" spans="1:7" x14ac:dyDescent="0.35">
      <c r="A761" t="s">
        <v>732</v>
      </c>
      <c r="B761" s="7" t="s">
        <v>1556</v>
      </c>
      <c r="F761" s="57">
        <v>44573</v>
      </c>
    </row>
    <row r="762" spans="1:7" x14ac:dyDescent="0.35">
      <c r="A762" t="s">
        <v>208</v>
      </c>
      <c r="B762" s="7" t="s">
        <v>1035</v>
      </c>
      <c r="F762" s="57">
        <v>44573</v>
      </c>
    </row>
    <row r="763" spans="1:7" x14ac:dyDescent="0.35">
      <c r="A763" t="s">
        <v>572</v>
      </c>
      <c r="B763" s="7" t="s">
        <v>1396</v>
      </c>
      <c r="F763" s="57">
        <v>44573</v>
      </c>
    </row>
    <row r="764" spans="1:7" x14ac:dyDescent="0.35">
      <c r="A764" t="s">
        <v>239</v>
      </c>
      <c r="B764" s="7" t="s">
        <v>1065</v>
      </c>
      <c r="F764" s="57">
        <v>44573</v>
      </c>
    </row>
    <row r="765" spans="1:7" x14ac:dyDescent="0.35">
      <c r="A765" t="s">
        <v>240</v>
      </c>
      <c r="B765" s="7" t="s">
        <v>1066</v>
      </c>
      <c r="F765" s="57">
        <v>44573</v>
      </c>
    </row>
    <row r="766" spans="1:7" x14ac:dyDescent="0.35">
      <c r="A766" t="s">
        <v>238</v>
      </c>
      <c r="B766" s="7" t="s">
        <v>1064</v>
      </c>
      <c r="F766" s="57">
        <v>44573</v>
      </c>
    </row>
    <row r="767" spans="1:7" x14ac:dyDescent="0.35">
      <c r="A767" t="s">
        <v>637</v>
      </c>
      <c r="B767" s="7" t="s">
        <v>1461</v>
      </c>
      <c r="F767" s="57">
        <v>44573</v>
      </c>
    </row>
    <row r="768" spans="1:7" x14ac:dyDescent="0.35">
      <c r="A768" t="s">
        <v>206</v>
      </c>
      <c r="B768" s="7" t="s">
        <v>1033</v>
      </c>
      <c r="F768" s="57">
        <v>44573</v>
      </c>
    </row>
    <row r="769" spans="1:7" x14ac:dyDescent="0.35">
      <c r="A769" t="s">
        <v>674</v>
      </c>
      <c r="B769" s="7" t="s">
        <v>1498</v>
      </c>
      <c r="F769" s="57">
        <v>44573</v>
      </c>
    </row>
    <row r="770" spans="1:7" x14ac:dyDescent="0.35">
      <c r="A770" t="s">
        <v>578</v>
      </c>
      <c r="B770" s="7" t="s">
        <v>1402</v>
      </c>
      <c r="F770" s="57">
        <v>44573</v>
      </c>
      <c r="G770" t="s">
        <v>4084</v>
      </c>
    </row>
    <row r="771" spans="1:7" x14ac:dyDescent="0.35">
      <c r="A771" t="s">
        <v>578</v>
      </c>
      <c r="B771" s="7" t="s">
        <v>1402</v>
      </c>
      <c r="D771" t="s">
        <v>2319</v>
      </c>
      <c r="E771" t="s">
        <v>4106</v>
      </c>
      <c r="F771" s="57">
        <v>44573</v>
      </c>
      <c r="G771" t="s">
        <v>4086</v>
      </c>
    </row>
    <row r="772" spans="1:7" x14ac:dyDescent="0.35">
      <c r="A772" t="s">
        <v>622</v>
      </c>
      <c r="B772" s="7" t="s">
        <v>1446</v>
      </c>
      <c r="F772" s="57">
        <v>44573</v>
      </c>
    </row>
    <row r="773" spans="1:7" x14ac:dyDescent="0.35">
      <c r="A773" t="s">
        <v>214</v>
      </c>
      <c r="B773" s="7" t="s">
        <v>1041</v>
      </c>
      <c r="F773" s="57">
        <v>44573</v>
      </c>
    </row>
    <row r="774" spans="1:7" x14ac:dyDescent="0.35">
      <c r="A774" t="s">
        <v>519</v>
      </c>
      <c r="B774" s="7" t="s">
        <v>1343</v>
      </c>
      <c r="F774" s="57">
        <v>44573</v>
      </c>
    </row>
    <row r="775" spans="1:7" x14ac:dyDescent="0.35">
      <c r="A775" t="s">
        <v>515</v>
      </c>
      <c r="B775" s="7" t="s">
        <v>1339</v>
      </c>
      <c r="F775" s="57">
        <v>44573</v>
      </c>
    </row>
    <row r="776" spans="1:7" x14ac:dyDescent="0.35">
      <c r="A776" t="s">
        <v>388</v>
      </c>
      <c r="B776" s="7" t="s">
        <v>1212</v>
      </c>
      <c r="F776" s="57">
        <v>44573</v>
      </c>
    </row>
    <row r="777" spans="1:7" x14ac:dyDescent="0.35">
      <c r="A777" t="s">
        <v>110</v>
      </c>
      <c r="B777" s="7" t="s">
        <v>939</v>
      </c>
      <c r="F777" s="57">
        <v>44573</v>
      </c>
    </row>
    <row r="778" spans="1:7" x14ac:dyDescent="0.35">
      <c r="A778" t="s">
        <v>661</v>
      </c>
      <c r="B778" s="7" t="s">
        <v>1485</v>
      </c>
      <c r="F778" s="57">
        <v>44573</v>
      </c>
    </row>
    <row r="779" spans="1:7" x14ac:dyDescent="0.35">
      <c r="A779" t="s">
        <v>476</v>
      </c>
      <c r="B779" s="7" t="s">
        <v>1300</v>
      </c>
      <c r="F779" s="57">
        <v>44573</v>
      </c>
    </row>
    <row r="780" spans="1:7" x14ac:dyDescent="0.35">
      <c r="A780" t="s">
        <v>613</v>
      </c>
      <c r="B780" s="7" t="s">
        <v>1437</v>
      </c>
      <c r="F780" s="57">
        <v>44573</v>
      </c>
    </row>
    <row r="781" spans="1:7" x14ac:dyDescent="0.35">
      <c r="A781" t="s">
        <v>170</v>
      </c>
      <c r="B781" s="7" t="s">
        <v>999</v>
      </c>
      <c r="F781" s="57">
        <v>44573</v>
      </c>
    </row>
    <row r="782" spans="1:7" x14ac:dyDescent="0.35">
      <c r="A782" t="s">
        <v>548</v>
      </c>
      <c r="B782" s="7" t="s">
        <v>1372</v>
      </c>
      <c r="F782" s="57">
        <v>44573</v>
      </c>
    </row>
    <row r="783" spans="1:7" x14ac:dyDescent="0.35">
      <c r="A783" t="s">
        <v>396</v>
      </c>
      <c r="B783" s="7" t="s">
        <v>1220</v>
      </c>
      <c r="F783" s="57">
        <v>44573</v>
      </c>
    </row>
    <row r="784" spans="1:7" x14ac:dyDescent="0.35">
      <c r="A784" t="s">
        <v>377</v>
      </c>
      <c r="B784" s="7" t="s">
        <v>1201</v>
      </c>
      <c r="F784" s="57">
        <v>44573</v>
      </c>
    </row>
    <row r="785" spans="1:7" x14ac:dyDescent="0.35">
      <c r="A785" t="s">
        <v>5</v>
      </c>
      <c r="B785" s="7" t="s">
        <v>834</v>
      </c>
      <c r="F785" s="57">
        <v>44573</v>
      </c>
    </row>
    <row r="786" spans="1:7" x14ac:dyDescent="0.35">
      <c r="A786" t="s">
        <v>235</v>
      </c>
      <c r="B786" s="7" t="s">
        <v>1062</v>
      </c>
      <c r="F786" s="57">
        <v>44573</v>
      </c>
    </row>
    <row r="787" spans="1:7" x14ac:dyDescent="0.35">
      <c r="A787" t="s">
        <v>393</v>
      </c>
      <c r="B787" s="7" t="s">
        <v>1217</v>
      </c>
      <c r="F787" s="57">
        <v>44573</v>
      </c>
    </row>
    <row r="788" spans="1:7" x14ac:dyDescent="0.35">
      <c r="A788" t="s">
        <v>328</v>
      </c>
      <c r="B788" s="7" t="s">
        <v>1153</v>
      </c>
      <c r="F788" s="57">
        <v>44573</v>
      </c>
    </row>
    <row r="789" spans="1:7" x14ac:dyDescent="0.35">
      <c r="A789" t="s">
        <v>209</v>
      </c>
      <c r="B789" s="7" t="s">
        <v>1036</v>
      </c>
      <c r="F789" s="57">
        <v>44573</v>
      </c>
    </row>
    <row r="790" spans="1:7" x14ac:dyDescent="0.35">
      <c r="A790" t="s">
        <v>275</v>
      </c>
      <c r="B790" s="7" t="s">
        <v>1101</v>
      </c>
      <c r="F790" s="57">
        <v>44573</v>
      </c>
    </row>
    <row r="791" spans="1:7" x14ac:dyDescent="0.35">
      <c r="A791" t="s">
        <v>316</v>
      </c>
      <c r="B791" s="7" t="s">
        <v>1141</v>
      </c>
      <c r="F791" s="57">
        <v>44573</v>
      </c>
    </row>
    <row r="792" spans="1:7" x14ac:dyDescent="0.35">
      <c r="A792" t="s">
        <v>178</v>
      </c>
      <c r="B792" s="7" t="s">
        <v>1007</v>
      </c>
      <c r="F792" s="57">
        <v>44573</v>
      </c>
    </row>
    <row r="793" spans="1:7" x14ac:dyDescent="0.35">
      <c r="A793" t="s">
        <v>151</v>
      </c>
      <c r="B793" s="7" t="s">
        <v>980</v>
      </c>
      <c r="F793" s="57">
        <v>44573</v>
      </c>
    </row>
    <row r="794" spans="1:7" x14ac:dyDescent="0.35">
      <c r="A794" t="s">
        <v>761</v>
      </c>
      <c r="B794" s="7" t="s">
        <v>1585</v>
      </c>
      <c r="F794" s="57">
        <v>44573</v>
      </c>
    </row>
    <row r="795" spans="1:7" x14ac:dyDescent="0.35">
      <c r="A795" t="s">
        <v>424</v>
      </c>
      <c r="B795" s="7" t="s">
        <v>1248</v>
      </c>
      <c r="D795" t="s">
        <v>2386</v>
      </c>
      <c r="E795" t="s">
        <v>4106</v>
      </c>
      <c r="F795" s="57">
        <v>44573</v>
      </c>
      <c r="G795" t="s">
        <v>4089</v>
      </c>
    </row>
    <row r="796" spans="1:7" x14ac:dyDescent="0.35">
      <c r="A796" t="s">
        <v>317</v>
      </c>
      <c r="B796" s="7" t="s">
        <v>1142</v>
      </c>
      <c r="F796" s="57">
        <v>44573</v>
      </c>
    </row>
    <row r="797" spans="1:7" x14ac:dyDescent="0.35">
      <c r="A797" t="s">
        <v>96</v>
      </c>
      <c r="B797" s="7" t="s">
        <v>925</v>
      </c>
      <c r="F797" s="57">
        <v>44573</v>
      </c>
    </row>
    <row r="798" spans="1:7" x14ac:dyDescent="0.35">
      <c r="A798" t="s">
        <v>580</v>
      </c>
      <c r="B798" s="7" t="s">
        <v>1404</v>
      </c>
      <c r="F798" s="57">
        <v>44573</v>
      </c>
    </row>
    <row r="799" spans="1:7" x14ac:dyDescent="0.35">
      <c r="A799" t="s">
        <v>560</v>
      </c>
      <c r="B799" s="7" t="s">
        <v>1384</v>
      </c>
      <c r="F799" s="57">
        <v>44573</v>
      </c>
    </row>
    <row r="800" spans="1:7" x14ac:dyDescent="0.35">
      <c r="A800" t="s">
        <v>651</v>
      </c>
      <c r="B800" s="7" t="s">
        <v>1475</v>
      </c>
      <c r="F800" s="57">
        <v>44573</v>
      </c>
    </row>
    <row r="801" spans="1:7" x14ac:dyDescent="0.35">
      <c r="A801" t="s">
        <v>245</v>
      </c>
      <c r="B801" s="7" t="s">
        <v>1071</v>
      </c>
      <c r="F801" s="57">
        <v>44573</v>
      </c>
    </row>
    <row r="802" spans="1:7" x14ac:dyDescent="0.35">
      <c r="A802" t="s">
        <v>343</v>
      </c>
      <c r="B802" s="7" t="s">
        <v>1167</v>
      </c>
      <c r="F802" s="57">
        <v>44573</v>
      </c>
    </row>
    <row r="803" spans="1:7" x14ac:dyDescent="0.35">
      <c r="A803" t="s">
        <v>100</v>
      </c>
      <c r="B803" s="7" t="s">
        <v>929</v>
      </c>
      <c r="F803" s="57">
        <v>44573</v>
      </c>
    </row>
    <row r="804" spans="1:7" x14ac:dyDescent="0.35">
      <c r="A804" t="s">
        <v>99</v>
      </c>
      <c r="B804" s="7" t="s">
        <v>928</v>
      </c>
      <c r="F804" s="57">
        <v>44573</v>
      </c>
    </row>
    <row r="805" spans="1:7" x14ac:dyDescent="0.35">
      <c r="A805" t="s">
        <v>535</v>
      </c>
      <c r="B805" s="7" t="s">
        <v>1359</v>
      </c>
      <c r="F805" s="57">
        <v>44573</v>
      </c>
    </row>
    <row r="806" spans="1:7" x14ac:dyDescent="0.35">
      <c r="A806" t="s">
        <v>507</v>
      </c>
      <c r="B806" s="7" t="s">
        <v>1331</v>
      </c>
      <c r="D806" t="s">
        <v>2276</v>
      </c>
      <c r="E806" t="s">
        <v>4106</v>
      </c>
      <c r="F806" s="57">
        <v>44573</v>
      </c>
      <c r="G806" t="s">
        <v>4086</v>
      </c>
    </row>
    <row r="807" spans="1:7" x14ac:dyDescent="0.35">
      <c r="A807" t="s">
        <v>127</v>
      </c>
      <c r="B807" s="7" t="s">
        <v>956</v>
      </c>
      <c r="F807" s="57">
        <v>44573</v>
      </c>
    </row>
    <row r="808" spans="1:7" x14ac:dyDescent="0.35">
      <c r="A808" s="6" t="s">
        <v>816</v>
      </c>
      <c r="B808" s="7" t="s">
        <v>1639</v>
      </c>
      <c r="F808" s="57">
        <v>44573</v>
      </c>
    </row>
    <row r="809" spans="1:7" x14ac:dyDescent="0.35">
      <c r="A809" t="s">
        <v>612</v>
      </c>
      <c r="B809" s="7" t="s">
        <v>1436</v>
      </c>
      <c r="F809" s="57">
        <v>44573</v>
      </c>
    </row>
    <row r="810" spans="1:7" x14ac:dyDescent="0.35">
      <c r="A810" t="s">
        <v>550</v>
      </c>
      <c r="B810" s="7" t="s">
        <v>1374</v>
      </c>
      <c r="F810" s="57">
        <v>44573</v>
      </c>
    </row>
    <row r="811" spans="1:7" x14ac:dyDescent="0.35">
      <c r="A811" t="s">
        <v>95</v>
      </c>
      <c r="B811" s="7" t="s">
        <v>924</v>
      </c>
      <c r="F811" s="57">
        <v>44573</v>
      </c>
    </row>
    <row r="812" spans="1:7" x14ac:dyDescent="0.35">
      <c r="A812" t="s">
        <v>611</v>
      </c>
      <c r="B812" s="7" t="s">
        <v>1435</v>
      </c>
      <c r="F812" s="57">
        <v>44573</v>
      </c>
    </row>
    <row r="813" spans="1:7" x14ac:dyDescent="0.35">
      <c r="A813" t="s">
        <v>551</v>
      </c>
      <c r="B813" s="7" t="s">
        <v>1375</v>
      </c>
      <c r="F813" s="57">
        <v>44573</v>
      </c>
    </row>
    <row r="814" spans="1:7" x14ac:dyDescent="0.35">
      <c r="A814" t="s">
        <v>98</v>
      </c>
      <c r="B814" s="7" t="s">
        <v>927</v>
      </c>
      <c r="F814" s="57">
        <v>44573</v>
      </c>
    </row>
    <row r="815" spans="1:7" x14ac:dyDescent="0.35">
      <c r="A815" t="s">
        <v>421</v>
      </c>
      <c r="B815" s="7" t="s">
        <v>1245</v>
      </c>
      <c r="F815" s="57">
        <v>44573</v>
      </c>
    </row>
    <row r="816" spans="1:7" x14ac:dyDescent="0.35">
      <c r="A816" t="s">
        <v>762</v>
      </c>
      <c r="B816" s="7" t="s">
        <v>1586</v>
      </c>
      <c r="F816" s="57">
        <v>44573</v>
      </c>
    </row>
    <row r="817" spans="1:13" x14ac:dyDescent="0.35">
      <c r="A817" t="s">
        <v>200</v>
      </c>
      <c r="B817" s="7" t="s">
        <v>1028</v>
      </c>
      <c r="F817" s="57">
        <v>44573</v>
      </c>
    </row>
    <row r="818" spans="1:13" x14ac:dyDescent="0.35">
      <c r="A818" t="s">
        <v>367</v>
      </c>
      <c r="B818" s="7" t="s">
        <v>1191</v>
      </c>
      <c r="F818" s="57">
        <v>44573</v>
      </c>
    </row>
    <row r="819" spans="1:13" x14ac:dyDescent="0.35">
      <c r="A819" t="s">
        <v>587</v>
      </c>
      <c r="B819" s="7" t="s">
        <v>1411</v>
      </c>
      <c r="F819" s="57">
        <v>44573</v>
      </c>
    </row>
    <row r="820" spans="1:13" x14ac:dyDescent="0.35">
      <c r="A820" t="s">
        <v>545</v>
      </c>
      <c r="B820" s="7" t="s">
        <v>1369</v>
      </c>
      <c r="F820" s="57">
        <v>44573</v>
      </c>
    </row>
    <row r="821" spans="1:13" x14ac:dyDescent="0.35">
      <c r="A821" t="s">
        <v>538</v>
      </c>
      <c r="B821" s="7" t="s">
        <v>1362</v>
      </c>
      <c r="F821" s="57">
        <v>44573</v>
      </c>
    </row>
    <row r="822" spans="1:13" x14ac:dyDescent="0.35">
      <c r="A822" t="s">
        <v>29</v>
      </c>
      <c r="B822" s="7" t="s">
        <v>858</v>
      </c>
      <c r="F822" s="57">
        <v>44573</v>
      </c>
    </row>
    <row r="823" spans="1:13" x14ac:dyDescent="0.35">
      <c r="A823" s="2" t="s">
        <v>499</v>
      </c>
      <c r="B823" s="7" t="s">
        <v>1323</v>
      </c>
      <c r="F823" s="57">
        <v>44573</v>
      </c>
    </row>
    <row r="824" spans="1:13" x14ac:dyDescent="0.35">
      <c r="A824" t="s">
        <v>733</v>
      </c>
      <c r="B824" s="7" t="s">
        <v>1557</v>
      </c>
      <c r="F824" s="57">
        <v>44573</v>
      </c>
    </row>
    <row r="825" spans="1:13" x14ac:dyDescent="0.35">
      <c r="A825" t="s">
        <v>78</v>
      </c>
      <c r="B825" s="7" t="s">
        <v>907</v>
      </c>
      <c r="F825" s="57">
        <v>44573</v>
      </c>
    </row>
    <row r="826" spans="1:13" x14ac:dyDescent="0.35">
      <c r="A826" t="s">
        <v>542</v>
      </c>
      <c r="B826" s="7" t="s">
        <v>1366</v>
      </c>
      <c r="F826" s="57">
        <v>44573</v>
      </c>
    </row>
    <row r="827" spans="1:13" x14ac:dyDescent="0.35">
      <c r="A827" t="s">
        <v>303</v>
      </c>
      <c r="B827" s="7" t="s">
        <v>1128</v>
      </c>
      <c r="F827" s="57">
        <v>44573</v>
      </c>
    </row>
    <row r="828" spans="1:13" x14ac:dyDescent="0.35">
      <c r="A828" s="28" t="s">
        <v>184</v>
      </c>
      <c r="F828" s="57">
        <v>44573</v>
      </c>
    </row>
    <row r="829" spans="1:13" x14ac:dyDescent="0.35">
      <c r="A829" s="2" t="s">
        <v>203</v>
      </c>
      <c r="F829" s="57">
        <v>44573</v>
      </c>
    </row>
    <row r="830" spans="1:13" x14ac:dyDescent="0.35">
      <c r="A830" s="2" t="s">
        <v>284</v>
      </c>
      <c r="F830" s="57">
        <v>44573</v>
      </c>
    </row>
    <row r="831" spans="1:13" x14ac:dyDescent="0.35">
      <c r="A831" t="s">
        <v>819</v>
      </c>
      <c r="F831" s="57">
        <v>44573</v>
      </c>
    </row>
    <row r="832" spans="1:13" x14ac:dyDescent="0.35">
      <c r="A832" t="s">
        <v>3325</v>
      </c>
      <c r="C832" s="36"/>
      <c r="D832" s="36"/>
      <c r="E832" s="36"/>
      <c r="F832" s="57">
        <v>44573</v>
      </c>
      <c r="G832" s="36"/>
      <c r="H832" s="36"/>
      <c r="I832" s="36"/>
      <c r="J832" s="36"/>
      <c r="K832" s="36"/>
      <c r="L832" s="36"/>
      <c r="M832" s="36"/>
    </row>
    <row r="833" spans="1:13" x14ac:dyDescent="0.35">
      <c r="A833" t="s">
        <v>3326</v>
      </c>
      <c r="B833" t="s">
        <v>3327</v>
      </c>
      <c r="C833" s="36"/>
      <c r="D833" s="36" t="s">
        <v>2119</v>
      </c>
      <c r="E833" t="s">
        <v>4106</v>
      </c>
      <c r="F833" s="57">
        <v>44573</v>
      </c>
      <c r="G833" s="36" t="s">
        <v>4097</v>
      </c>
      <c r="H833" s="36"/>
      <c r="I833" s="36"/>
      <c r="J833" s="36"/>
      <c r="K833" s="36"/>
      <c r="L833" s="36"/>
      <c r="M833" s="36"/>
    </row>
    <row r="834" spans="1:13" x14ac:dyDescent="0.35">
      <c r="A834" t="s">
        <v>3328</v>
      </c>
      <c r="B834" t="s">
        <v>3329</v>
      </c>
      <c r="C834" s="36"/>
      <c r="D834" s="36"/>
      <c r="E834" s="36"/>
      <c r="F834" s="57">
        <v>44573</v>
      </c>
      <c r="G834" s="36"/>
      <c r="H834" s="36"/>
      <c r="I834" s="36"/>
      <c r="J834" s="36"/>
      <c r="K834" s="36"/>
      <c r="L834" s="36"/>
      <c r="M834" s="36"/>
    </row>
    <row r="835" spans="1:13" x14ac:dyDescent="0.35">
      <c r="A835" t="s">
        <v>3330</v>
      </c>
      <c r="B835" t="s">
        <v>3331</v>
      </c>
      <c r="C835" s="36"/>
      <c r="D835" s="36"/>
      <c r="E835" s="36"/>
      <c r="F835" s="57">
        <v>44573</v>
      </c>
      <c r="G835" s="36"/>
      <c r="H835" s="36"/>
      <c r="I835" s="36"/>
      <c r="J835" s="36"/>
      <c r="K835" s="36"/>
      <c r="L835" s="36"/>
      <c r="M835" s="36"/>
    </row>
    <row r="836" spans="1:13" x14ac:dyDescent="0.35">
      <c r="A836" t="s">
        <v>3332</v>
      </c>
      <c r="B836" t="s">
        <v>3333</v>
      </c>
      <c r="C836" s="36"/>
      <c r="D836" s="36"/>
      <c r="E836" s="36"/>
      <c r="F836" s="57">
        <v>44573</v>
      </c>
      <c r="G836" s="36"/>
      <c r="H836" s="36"/>
      <c r="I836" s="36"/>
      <c r="J836" s="36"/>
      <c r="K836" s="36"/>
      <c r="L836" s="36"/>
      <c r="M836" s="36"/>
    </row>
    <row r="837" spans="1:13" x14ac:dyDescent="0.35">
      <c r="A837" t="s">
        <v>3334</v>
      </c>
      <c r="B837" t="s">
        <v>867</v>
      </c>
      <c r="C837" s="36"/>
      <c r="D837" s="36"/>
      <c r="E837" s="36"/>
      <c r="F837" s="57">
        <v>44573</v>
      </c>
      <c r="G837" s="36"/>
      <c r="H837" s="36"/>
      <c r="I837" s="36"/>
      <c r="J837" s="36"/>
      <c r="K837" s="36"/>
      <c r="L837" s="36"/>
      <c r="M837" s="36"/>
    </row>
    <row r="838" spans="1:13" x14ac:dyDescent="0.35">
      <c r="A838" t="s">
        <v>3335</v>
      </c>
      <c r="B838" t="s">
        <v>3336</v>
      </c>
      <c r="C838" s="36"/>
      <c r="D838" s="36"/>
      <c r="E838" s="36"/>
      <c r="F838" s="57">
        <v>44573</v>
      </c>
      <c r="G838" s="36"/>
      <c r="H838" s="36"/>
      <c r="I838" s="36"/>
      <c r="J838" s="36"/>
      <c r="K838" s="36"/>
      <c r="L838" s="36"/>
      <c r="M838" s="36"/>
    </row>
    <row r="839" spans="1:13" x14ac:dyDescent="0.35">
      <c r="A839" t="s">
        <v>3337</v>
      </c>
      <c r="B839" t="s">
        <v>1397</v>
      </c>
      <c r="C839" s="36"/>
      <c r="D839" s="36"/>
      <c r="E839" s="36"/>
      <c r="F839" s="57">
        <v>44573</v>
      </c>
      <c r="G839" s="36"/>
      <c r="H839" s="36"/>
      <c r="I839" s="36"/>
      <c r="J839" s="36"/>
      <c r="K839" s="36"/>
      <c r="L839" s="36"/>
      <c r="M839" s="36"/>
    </row>
    <row r="840" spans="1:13" x14ac:dyDescent="0.35">
      <c r="A840" t="s">
        <v>3338</v>
      </c>
      <c r="B840" t="s">
        <v>3339</v>
      </c>
      <c r="C840" s="36"/>
      <c r="D840" s="36"/>
      <c r="E840" s="36"/>
      <c r="F840" s="57">
        <v>44573</v>
      </c>
      <c r="G840" s="36"/>
      <c r="H840" s="36"/>
      <c r="I840" s="36"/>
      <c r="J840" s="36"/>
      <c r="K840" s="36"/>
      <c r="L840" s="36"/>
      <c r="M840" s="36"/>
    </row>
    <row r="841" spans="1:13" x14ac:dyDescent="0.35">
      <c r="A841" t="s">
        <v>3340</v>
      </c>
      <c r="B841" t="s">
        <v>3341</v>
      </c>
      <c r="C841" s="36"/>
      <c r="D841" s="36"/>
      <c r="E841" s="36"/>
      <c r="F841" s="57">
        <v>44573</v>
      </c>
      <c r="G841" s="36"/>
      <c r="H841" s="36"/>
      <c r="I841" s="36"/>
      <c r="J841" s="36"/>
      <c r="K841" s="36"/>
      <c r="L841" s="36"/>
      <c r="M841" s="36"/>
    </row>
    <row r="842" spans="1:13" x14ac:dyDescent="0.35">
      <c r="A842" t="s">
        <v>3342</v>
      </c>
      <c r="B842" t="s">
        <v>3343</v>
      </c>
      <c r="C842" s="36"/>
      <c r="D842" s="36"/>
      <c r="E842" s="36"/>
      <c r="F842" s="57">
        <v>44573</v>
      </c>
      <c r="G842" s="36"/>
      <c r="H842" s="36"/>
      <c r="I842" s="36"/>
      <c r="J842" s="36"/>
      <c r="K842" s="36"/>
      <c r="L842" s="36"/>
      <c r="M842" s="36"/>
    </row>
    <row r="843" spans="1:13" x14ac:dyDescent="0.35">
      <c r="A843" t="s">
        <v>1879</v>
      </c>
      <c r="B843" t="s">
        <v>3344</v>
      </c>
      <c r="C843" s="36"/>
      <c r="D843" s="36"/>
      <c r="E843" s="36"/>
      <c r="F843" s="57">
        <v>44573</v>
      </c>
      <c r="G843" s="36" t="s">
        <v>4084</v>
      </c>
      <c r="H843" s="36"/>
      <c r="I843" s="36"/>
      <c r="J843" s="36"/>
      <c r="K843" s="36"/>
      <c r="L843" s="36"/>
      <c r="M843" s="36"/>
    </row>
    <row r="844" spans="1:13" x14ac:dyDescent="0.35">
      <c r="A844" t="s">
        <v>1879</v>
      </c>
      <c r="B844" t="s">
        <v>3344</v>
      </c>
      <c r="C844" s="36"/>
      <c r="D844" s="36"/>
      <c r="E844" s="36"/>
      <c r="F844" s="57">
        <v>44573</v>
      </c>
      <c r="G844" s="36" t="s">
        <v>4098</v>
      </c>
      <c r="H844" s="36"/>
      <c r="I844" s="36"/>
      <c r="J844" s="36"/>
      <c r="K844" s="36"/>
      <c r="L844" s="36"/>
      <c r="M844" s="36"/>
    </row>
    <row r="845" spans="1:13" x14ac:dyDescent="0.35">
      <c r="A845" t="s">
        <v>1879</v>
      </c>
      <c r="B845" t="s">
        <v>3344</v>
      </c>
      <c r="C845" s="36"/>
      <c r="D845" s="36" t="s">
        <v>2312</v>
      </c>
      <c r="E845" t="s">
        <v>4106</v>
      </c>
      <c r="F845" s="57">
        <v>44573</v>
      </c>
      <c r="G845" s="36" t="s">
        <v>4085</v>
      </c>
      <c r="H845" s="36"/>
      <c r="I845" s="36"/>
      <c r="J845" s="36"/>
      <c r="K845" s="36"/>
      <c r="L845" s="36"/>
      <c r="M845" s="36"/>
    </row>
    <row r="846" spans="1:13" x14ac:dyDescent="0.35">
      <c r="A846" t="s">
        <v>1879</v>
      </c>
      <c r="B846" t="s">
        <v>3344</v>
      </c>
      <c r="C846" s="36"/>
      <c r="D846" s="36"/>
      <c r="E846" s="36"/>
      <c r="F846" s="57">
        <v>44573</v>
      </c>
      <c r="G846" s="36" t="s">
        <v>4085</v>
      </c>
      <c r="H846" s="36"/>
      <c r="I846" s="36"/>
      <c r="J846" s="36"/>
      <c r="K846" s="36"/>
      <c r="L846" s="36"/>
      <c r="M846" s="36"/>
    </row>
    <row r="847" spans="1:13" x14ac:dyDescent="0.35">
      <c r="A847" t="s">
        <v>1879</v>
      </c>
      <c r="B847" t="s">
        <v>3344</v>
      </c>
      <c r="C847" s="36"/>
      <c r="D847" s="36"/>
      <c r="E847" s="36"/>
      <c r="F847" s="57">
        <v>44573</v>
      </c>
      <c r="G847" s="36" t="s">
        <v>4085</v>
      </c>
      <c r="H847" s="36"/>
      <c r="I847" s="36"/>
      <c r="J847" s="36"/>
      <c r="K847" s="36"/>
      <c r="L847" s="36"/>
      <c r="M847" s="36"/>
    </row>
    <row r="848" spans="1:13" x14ac:dyDescent="0.35">
      <c r="A848" t="s">
        <v>1879</v>
      </c>
      <c r="B848" t="s">
        <v>3344</v>
      </c>
      <c r="C848" s="36"/>
      <c r="D848" s="36" t="s">
        <v>2498</v>
      </c>
      <c r="E848" t="s">
        <v>4106</v>
      </c>
      <c r="F848" s="57">
        <v>44573</v>
      </c>
      <c r="G848" s="36" t="s">
        <v>4087</v>
      </c>
      <c r="H848" s="36"/>
      <c r="I848" s="36"/>
      <c r="J848" s="36"/>
      <c r="K848" s="36"/>
      <c r="L848" s="36"/>
      <c r="M848" s="36"/>
    </row>
    <row r="849" spans="1:13" x14ac:dyDescent="0.35">
      <c r="A849" t="s">
        <v>1879</v>
      </c>
      <c r="B849" t="s">
        <v>3344</v>
      </c>
      <c r="C849" s="36"/>
      <c r="D849" s="36"/>
      <c r="E849" s="36"/>
      <c r="F849" s="57">
        <v>44573</v>
      </c>
      <c r="G849" s="36" t="s">
        <v>4085</v>
      </c>
      <c r="H849" s="36"/>
      <c r="I849" s="36"/>
      <c r="J849" s="36"/>
      <c r="K849" s="36"/>
      <c r="L849" s="36"/>
      <c r="M849" s="36"/>
    </row>
    <row r="850" spans="1:13" x14ac:dyDescent="0.35">
      <c r="A850" t="s">
        <v>1879</v>
      </c>
      <c r="B850" t="s">
        <v>3344</v>
      </c>
      <c r="C850" s="36"/>
      <c r="D850" s="36"/>
      <c r="E850" s="36"/>
      <c r="F850" s="57">
        <v>44573</v>
      </c>
      <c r="G850" s="36" t="s">
        <v>4099</v>
      </c>
      <c r="H850" s="36"/>
      <c r="I850" s="36"/>
      <c r="J850" s="36"/>
      <c r="K850" s="36"/>
      <c r="L850" s="36"/>
      <c r="M850" s="36"/>
    </row>
    <row r="851" spans="1:13" x14ac:dyDescent="0.35">
      <c r="A851" t="s">
        <v>1879</v>
      </c>
      <c r="B851" t="s">
        <v>3344</v>
      </c>
      <c r="C851" s="36"/>
      <c r="D851" s="36" t="s">
        <v>4100</v>
      </c>
      <c r="E851" t="s">
        <v>4106</v>
      </c>
      <c r="F851" s="57">
        <v>44573</v>
      </c>
      <c r="G851" s="36" t="s">
        <v>4087</v>
      </c>
      <c r="H851" s="36"/>
      <c r="I851" s="36"/>
      <c r="J851" s="36"/>
      <c r="K851" s="36"/>
      <c r="L851" s="36"/>
      <c r="M851" s="36"/>
    </row>
    <row r="852" spans="1:13" x14ac:dyDescent="0.35">
      <c r="A852" t="s">
        <v>1879</v>
      </c>
      <c r="B852" t="s">
        <v>3344</v>
      </c>
      <c r="C852" s="36"/>
      <c r="D852" s="36" t="s">
        <v>2129</v>
      </c>
      <c r="E852" t="s">
        <v>4106</v>
      </c>
      <c r="F852" s="57">
        <v>44573</v>
      </c>
      <c r="G852" s="36" t="s">
        <v>4087</v>
      </c>
      <c r="H852" s="36"/>
      <c r="I852" s="36"/>
      <c r="J852" s="36"/>
      <c r="K852" s="36"/>
      <c r="L852" s="36"/>
      <c r="M852" s="36"/>
    </row>
    <row r="853" spans="1:13" x14ac:dyDescent="0.35">
      <c r="A853" t="s">
        <v>1879</v>
      </c>
      <c r="B853" t="s">
        <v>3344</v>
      </c>
      <c r="C853" s="36"/>
      <c r="D853" s="36"/>
      <c r="E853" s="36"/>
      <c r="F853" s="57">
        <v>44573</v>
      </c>
      <c r="G853" s="36" t="s">
        <v>4087</v>
      </c>
      <c r="H853" s="36"/>
      <c r="I853" s="36"/>
      <c r="J853" s="36"/>
      <c r="K853" s="36"/>
      <c r="L853" s="36"/>
      <c r="M853" s="36"/>
    </row>
    <row r="854" spans="1:13" x14ac:dyDescent="0.35">
      <c r="A854" t="s">
        <v>1879</v>
      </c>
      <c r="B854" t="s">
        <v>3344</v>
      </c>
      <c r="C854" s="36"/>
      <c r="D854" s="36" t="s">
        <v>2119</v>
      </c>
      <c r="E854" t="s">
        <v>4106</v>
      </c>
      <c r="F854" s="57">
        <v>44573</v>
      </c>
      <c r="G854" s="36" t="s">
        <v>4087</v>
      </c>
      <c r="H854" s="36"/>
      <c r="I854" s="36"/>
      <c r="J854" s="36"/>
      <c r="K854" s="36"/>
      <c r="L854" s="36"/>
      <c r="M854" s="36"/>
    </row>
    <row r="855" spans="1:13" x14ac:dyDescent="0.35">
      <c r="A855" t="s">
        <v>1879</v>
      </c>
      <c r="B855" t="s">
        <v>3344</v>
      </c>
      <c r="C855" s="36"/>
      <c r="D855" s="36" t="s">
        <v>2438</v>
      </c>
      <c r="E855" t="s">
        <v>4106</v>
      </c>
      <c r="F855" s="57">
        <v>44573</v>
      </c>
      <c r="G855" s="36" t="s">
        <v>4087</v>
      </c>
      <c r="H855" s="36"/>
      <c r="I855" s="36"/>
      <c r="J855" s="36"/>
      <c r="K855" s="36"/>
      <c r="L855" s="36"/>
      <c r="M855" s="36"/>
    </row>
    <row r="856" spans="1:13" x14ac:dyDescent="0.35">
      <c r="A856" t="s">
        <v>3345</v>
      </c>
      <c r="B856" t="s">
        <v>3346</v>
      </c>
      <c r="C856" s="36"/>
      <c r="D856" s="36"/>
      <c r="E856" s="36"/>
      <c r="F856" s="57">
        <v>44573</v>
      </c>
      <c r="G856" s="36"/>
      <c r="H856" s="36"/>
      <c r="I856" s="36"/>
      <c r="J856" s="36"/>
      <c r="K856" s="36"/>
      <c r="L856" s="36"/>
      <c r="M856" s="36"/>
    </row>
    <row r="857" spans="1:13" x14ac:dyDescent="0.35">
      <c r="A857" t="s">
        <v>3347</v>
      </c>
      <c r="B857" t="s">
        <v>3348</v>
      </c>
      <c r="C857" s="36"/>
      <c r="D857" s="36"/>
      <c r="E857" s="36"/>
      <c r="F857" s="57">
        <v>44573</v>
      </c>
      <c r="G857" s="36"/>
      <c r="H857" s="36"/>
      <c r="I857" s="36"/>
      <c r="J857" s="36"/>
      <c r="K857" s="36"/>
      <c r="L857" s="36"/>
      <c r="M857" s="36"/>
    </row>
    <row r="858" spans="1:13" x14ac:dyDescent="0.35">
      <c r="A858" t="s">
        <v>3349</v>
      </c>
      <c r="B858" t="s">
        <v>3350</v>
      </c>
      <c r="C858" s="36"/>
      <c r="D858" s="36"/>
      <c r="E858" s="36"/>
      <c r="F858" s="57">
        <v>44573</v>
      </c>
      <c r="G858" s="36"/>
      <c r="H858" s="36"/>
      <c r="I858" s="36"/>
      <c r="J858" s="36"/>
      <c r="K858" s="36"/>
      <c r="L858" s="36"/>
      <c r="M858" s="36"/>
    </row>
    <row r="859" spans="1:13" x14ac:dyDescent="0.35">
      <c r="A859" t="s">
        <v>3351</v>
      </c>
      <c r="B859" t="s">
        <v>3352</v>
      </c>
      <c r="C859" s="36"/>
      <c r="D859" s="36"/>
      <c r="E859" s="36"/>
      <c r="F859" s="57">
        <v>44573</v>
      </c>
      <c r="G859" s="36"/>
      <c r="H859" s="36"/>
      <c r="I859" s="36"/>
      <c r="J859" s="36"/>
      <c r="K859" s="36"/>
      <c r="L859" s="36"/>
      <c r="M859" s="36"/>
    </row>
    <row r="860" spans="1:13" x14ac:dyDescent="0.35">
      <c r="A860" t="s">
        <v>3353</v>
      </c>
      <c r="B860" t="s">
        <v>3354</v>
      </c>
      <c r="C860" s="36"/>
      <c r="D860" s="36"/>
      <c r="E860" s="36"/>
      <c r="F860" s="57">
        <v>44573</v>
      </c>
      <c r="G860" s="36"/>
      <c r="H860" s="36"/>
      <c r="I860" s="36"/>
      <c r="J860" s="36"/>
      <c r="K860" s="36"/>
      <c r="L860" s="36"/>
      <c r="M860" s="36"/>
    </row>
    <row r="861" spans="1:13" x14ac:dyDescent="0.35">
      <c r="A861" t="s">
        <v>3355</v>
      </c>
      <c r="B861" t="s">
        <v>3356</v>
      </c>
      <c r="C861" s="36"/>
      <c r="D861" s="36"/>
      <c r="E861" s="36"/>
      <c r="F861" s="57">
        <v>44573</v>
      </c>
      <c r="G861" s="36"/>
      <c r="H861" s="36"/>
      <c r="I861" s="36"/>
      <c r="J861" s="36"/>
      <c r="K861" s="36"/>
      <c r="L861" s="36"/>
      <c r="M861" s="36"/>
    </row>
    <row r="862" spans="1:13" x14ac:dyDescent="0.35">
      <c r="A862" t="s">
        <v>3357</v>
      </c>
      <c r="B862" t="s">
        <v>3358</v>
      </c>
      <c r="C862" s="36"/>
      <c r="D862" s="36"/>
      <c r="E862" s="36"/>
      <c r="F862" s="57">
        <v>44573</v>
      </c>
      <c r="G862" s="36"/>
      <c r="H862" s="36"/>
      <c r="I862" s="36"/>
      <c r="J862" s="36"/>
      <c r="K862" s="36"/>
      <c r="L862" s="36"/>
      <c r="M862" s="36"/>
    </row>
    <row r="863" spans="1:13" x14ac:dyDescent="0.35">
      <c r="A863" t="s">
        <v>3359</v>
      </c>
      <c r="B863" t="s">
        <v>3360</v>
      </c>
      <c r="C863" s="36"/>
      <c r="D863" s="36" t="s">
        <v>2518</v>
      </c>
      <c r="E863" t="s">
        <v>4106</v>
      </c>
      <c r="F863" s="57">
        <v>44573</v>
      </c>
      <c r="G863" s="36" t="s">
        <v>4101</v>
      </c>
      <c r="H863" s="36"/>
      <c r="I863" s="36"/>
      <c r="J863" s="36"/>
      <c r="K863" s="36"/>
      <c r="L863" s="36"/>
      <c r="M863" s="36"/>
    </row>
    <row r="864" spans="1:13" x14ac:dyDescent="0.35">
      <c r="A864" t="s">
        <v>3361</v>
      </c>
      <c r="B864" t="s">
        <v>3362</v>
      </c>
      <c r="C864" s="36"/>
      <c r="D864" s="36"/>
      <c r="E864" s="36"/>
      <c r="F864" s="57">
        <v>44573</v>
      </c>
      <c r="G864" s="36"/>
      <c r="H864" s="36"/>
      <c r="I864" s="36"/>
      <c r="J864" s="36"/>
      <c r="K864" s="36"/>
      <c r="L864" s="36"/>
      <c r="M864" s="36"/>
    </row>
    <row r="865" spans="1:13" x14ac:dyDescent="0.35">
      <c r="A865" t="s">
        <v>3363</v>
      </c>
      <c r="B865" t="s">
        <v>3364</v>
      </c>
      <c r="C865" s="36"/>
      <c r="D865" s="36"/>
      <c r="E865" s="36"/>
      <c r="F865" s="57">
        <v>44573</v>
      </c>
      <c r="G865" s="36"/>
      <c r="H865" s="36"/>
      <c r="I865" s="36"/>
      <c r="J865" s="36"/>
      <c r="K865" s="36"/>
      <c r="L865" s="36"/>
      <c r="M865" s="36"/>
    </row>
    <row r="866" spans="1:13" x14ac:dyDescent="0.35">
      <c r="A866" t="s">
        <v>3365</v>
      </c>
      <c r="B866" t="s">
        <v>3366</v>
      </c>
      <c r="C866" s="36"/>
      <c r="D866" s="36"/>
      <c r="E866" s="36"/>
      <c r="F866" s="57">
        <v>44573</v>
      </c>
      <c r="G866" s="36"/>
      <c r="H866" s="36"/>
      <c r="I866" s="36"/>
      <c r="J866" s="36"/>
      <c r="K866" s="36"/>
      <c r="L866" s="36"/>
      <c r="M866" s="36"/>
    </row>
    <row r="867" spans="1:13" x14ac:dyDescent="0.35">
      <c r="A867" t="s">
        <v>3367</v>
      </c>
      <c r="B867" t="s">
        <v>3368</v>
      </c>
      <c r="C867" s="36"/>
      <c r="D867" s="36"/>
      <c r="E867" s="36"/>
      <c r="F867" s="57">
        <v>44573</v>
      </c>
      <c r="G867" s="36"/>
      <c r="H867" s="36"/>
      <c r="I867" s="36"/>
      <c r="J867" s="36"/>
      <c r="K867" s="36"/>
      <c r="L867" s="36"/>
      <c r="M867" s="36"/>
    </row>
    <row r="868" spans="1:13" x14ac:dyDescent="0.35">
      <c r="A868" t="s">
        <v>3369</v>
      </c>
      <c r="B868" t="s">
        <v>3370</v>
      </c>
      <c r="C868" s="36"/>
      <c r="D868" s="36"/>
      <c r="E868" s="36"/>
      <c r="F868" s="57">
        <v>44573</v>
      </c>
      <c r="G868" s="36"/>
      <c r="H868" s="36"/>
      <c r="I868" s="36"/>
      <c r="J868" s="36"/>
      <c r="K868" s="36"/>
      <c r="L868" s="36"/>
      <c r="M868" s="36"/>
    </row>
    <row r="869" spans="1:13" x14ac:dyDescent="0.35">
      <c r="A869" t="s">
        <v>3371</v>
      </c>
      <c r="B869" t="s">
        <v>3372</v>
      </c>
      <c r="C869" s="36" t="s">
        <v>4102</v>
      </c>
      <c r="D869" s="36" t="s">
        <v>2377</v>
      </c>
      <c r="E869" t="s">
        <v>4106</v>
      </c>
      <c r="F869" s="57">
        <v>44573</v>
      </c>
      <c r="G869" s="36" t="s">
        <v>4103</v>
      </c>
      <c r="H869" s="36"/>
      <c r="I869" s="36"/>
      <c r="J869" s="36"/>
      <c r="K869" s="36"/>
      <c r="L869" s="36"/>
      <c r="M869" s="36"/>
    </row>
    <row r="870" spans="1:13" x14ac:dyDescent="0.35">
      <c r="A870" t="s">
        <v>3373</v>
      </c>
      <c r="B870" t="s">
        <v>3374</v>
      </c>
      <c r="C870" s="36"/>
      <c r="D870" s="36"/>
      <c r="E870" s="36"/>
      <c r="F870" s="57">
        <v>44573</v>
      </c>
      <c r="G870" s="36"/>
      <c r="H870" s="36"/>
      <c r="I870" s="36"/>
      <c r="J870" s="36"/>
      <c r="K870" s="36"/>
      <c r="L870" s="36"/>
      <c r="M870" s="36"/>
    </row>
    <row r="871" spans="1:13" x14ac:dyDescent="0.35">
      <c r="A871" t="s">
        <v>3375</v>
      </c>
      <c r="B871" t="s">
        <v>3376</v>
      </c>
      <c r="C871" s="36"/>
      <c r="D871" s="36"/>
      <c r="E871" s="36"/>
      <c r="F871" s="57">
        <v>44573</v>
      </c>
      <c r="G871" s="36"/>
      <c r="H871" s="36"/>
      <c r="I871" s="36"/>
      <c r="J871" s="36"/>
      <c r="K871" s="36"/>
      <c r="L871" s="36"/>
      <c r="M871" s="36"/>
    </row>
    <row r="872" spans="1:13" x14ac:dyDescent="0.35">
      <c r="A872" t="s">
        <v>3377</v>
      </c>
      <c r="B872" t="s">
        <v>3339</v>
      </c>
      <c r="C872" s="36"/>
      <c r="D872" s="36"/>
      <c r="E872" s="36"/>
      <c r="F872" s="57">
        <v>44573</v>
      </c>
      <c r="G872" s="36"/>
      <c r="H872" s="36"/>
      <c r="I872" s="36"/>
      <c r="J872" s="36"/>
      <c r="K872" s="36"/>
      <c r="L872" s="36"/>
      <c r="M872" s="36"/>
    </row>
    <row r="873" spans="1:13" x14ac:dyDescent="0.35">
      <c r="A873" t="s">
        <v>3378</v>
      </c>
      <c r="B873" t="s">
        <v>3341</v>
      </c>
      <c r="C873" s="36"/>
      <c r="D873" s="36"/>
      <c r="E873" s="36"/>
      <c r="F873" s="57">
        <v>44573</v>
      </c>
      <c r="G873" s="36"/>
      <c r="H873" s="36"/>
      <c r="I873" s="36"/>
      <c r="J873" s="36"/>
      <c r="K873" s="36"/>
      <c r="L873" s="36"/>
      <c r="M873" s="36"/>
    </row>
    <row r="874" spans="1:13" x14ac:dyDescent="0.35">
      <c r="A874" t="s">
        <v>3379</v>
      </c>
      <c r="B874" t="s">
        <v>3380</v>
      </c>
      <c r="C874" s="36"/>
      <c r="D874" s="36"/>
      <c r="E874" s="36"/>
      <c r="F874" s="57">
        <v>44573</v>
      </c>
      <c r="G874" s="36"/>
      <c r="H874" s="36"/>
      <c r="I874" s="36"/>
      <c r="J874" s="36"/>
      <c r="K874" s="36"/>
      <c r="L874" s="36"/>
      <c r="M874" s="36"/>
    </row>
    <row r="875" spans="1:13" x14ac:dyDescent="0.35">
      <c r="A875" t="s">
        <v>3381</v>
      </c>
      <c r="B875" t="s">
        <v>3382</v>
      </c>
      <c r="C875" s="36"/>
      <c r="D875" s="36"/>
      <c r="E875" s="36"/>
      <c r="F875" s="57">
        <v>44573</v>
      </c>
      <c r="G875" s="36"/>
      <c r="H875" s="36"/>
      <c r="I875" s="36"/>
      <c r="J875" s="36"/>
      <c r="K875" s="36"/>
      <c r="L875" s="36"/>
      <c r="M875" s="36"/>
    </row>
    <row r="876" spans="1:13" x14ac:dyDescent="0.35">
      <c r="A876" t="s">
        <v>3383</v>
      </c>
      <c r="B876" t="s">
        <v>3384</v>
      </c>
      <c r="C876" s="36"/>
      <c r="D876" s="36"/>
      <c r="E876" s="36"/>
      <c r="F876" s="57">
        <v>44573</v>
      </c>
      <c r="G876" s="36"/>
      <c r="H876" s="36"/>
      <c r="I876" s="36"/>
      <c r="J876" s="36"/>
      <c r="K876" s="36"/>
      <c r="L876" s="36"/>
      <c r="M876" s="36"/>
    </row>
    <row r="877" spans="1:13" x14ac:dyDescent="0.35">
      <c r="A877" t="s">
        <v>3385</v>
      </c>
      <c r="B877" t="s">
        <v>3386</v>
      </c>
      <c r="C877" s="36"/>
      <c r="F877" s="57">
        <v>44573</v>
      </c>
      <c r="G877" s="36"/>
      <c r="H877" s="36"/>
      <c r="I877" s="36"/>
      <c r="J877" s="36"/>
      <c r="K877" s="36"/>
      <c r="L877" s="36"/>
      <c r="M877" s="36"/>
    </row>
    <row r="878" spans="1:13" x14ac:dyDescent="0.35">
      <c r="A878" t="s">
        <v>3387</v>
      </c>
      <c r="B878" t="s">
        <v>3388</v>
      </c>
      <c r="C878" s="36"/>
      <c r="D878" s="36"/>
      <c r="E878" s="36"/>
      <c r="F878" s="57">
        <v>44573</v>
      </c>
      <c r="G878" s="36"/>
      <c r="H878" s="36"/>
      <c r="I878" s="36"/>
      <c r="J878" s="36"/>
      <c r="K878" s="36"/>
      <c r="L878" s="36"/>
      <c r="M878" s="36"/>
    </row>
    <row r="879" spans="1:13" x14ac:dyDescent="0.35">
      <c r="A879" t="s">
        <v>3389</v>
      </c>
      <c r="B879" t="s">
        <v>3390</v>
      </c>
      <c r="C879" s="36"/>
      <c r="D879" s="36"/>
      <c r="E879" s="36"/>
      <c r="F879" s="57">
        <v>44573</v>
      </c>
      <c r="G879" s="36"/>
      <c r="H879" s="36"/>
      <c r="I879" s="36"/>
      <c r="J879" s="36"/>
      <c r="K879" s="36"/>
      <c r="L879" s="36"/>
      <c r="M879" s="36"/>
    </row>
    <row r="880" spans="1:13" x14ac:dyDescent="0.35">
      <c r="A880" t="s">
        <v>3391</v>
      </c>
      <c r="B880" t="s">
        <v>3392</v>
      </c>
      <c r="C880" s="36"/>
      <c r="D880" s="36"/>
      <c r="E880" s="36"/>
      <c r="F880" s="57">
        <v>44573</v>
      </c>
      <c r="G880" s="36"/>
      <c r="H880" s="36"/>
      <c r="I880" s="36"/>
      <c r="J880" s="36"/>
      <c r="K880" s="36"/>
      <c r="L880" s="36"/>
      <c r="M880" s="36"/>
    </row>
    <row r="881" spans="1:13" x14ac:dyDescent="0.35">
      <c r="A881" t="s">
        <v>3393</v>
      </c>
      <c r="B881" t="s">
        <v>3348</v>
      </c>
      <c r="C881" s="36"/>
      <c r="D881" s="36"/>
      <c r="E881" s="36"/>
      <c r="F881" s="57">
        <v>44573</v>
      </c>
      <c r="G881" s="36"/>
      <c r="H881" s="36"/>
      <c r="I881" s="36"/>
      <c r="J881" s="36"/>
      <c r="K881" s="36"/>
      <c r="L881" s="36"/>
      <c r="M881" s="36"/>
    </row>
    <row r="882" spans="1:13" x14ac:dyDescent="0.35">
      <c r="A882" t="s">
        <v>3394</v>
      </c>
      <c r="B882" t="s">
        <v>3395</v>
      </c>
      <c r="C882" s="36"/>
      <c r="D882" s="36"/>
      <c r="E882" s="36"/>
      <c r="F882" s="57">
        <v>44573</v>
      </c>
      <c r="G882" s="36"/>
      <c r="H882" s="36"/>
      <c r="I882" s="36"/>
      <c r="J882" s="36"/>
      <c r="K882" s="36"/>
      <c r="L882" s="36"/>
      <c r="M882" s="36"/>
    </row>
    <row r="883" spans="1:13" x14ac:dyDescent="0.35">
      <c r="A883" t="s">
        <v>3396</v>
      </c>
      <c r="B883" t="s">
        <v>3397</v>
      </c>
      <c r="C883" s="36"/>
      <c r="D883" s="36"/>
      <c r="E883" s="36"/>
      <c r="F883" s="57">
        <v>44573</v>
      </c>
      <c r="G883" s="36"/>
      <c r="H883" s="36"/>
      <c r="I883" s="36"/>
      <c r="J883" s="36"/>
      <c r="K883" s="36"/>
      <c r="L883" s="36"/>
      <c r="M883" s="36"/>
    </row>
    <row r="884" spans="1:13" x14ac:dyDescent="0.35">
      <c r="A884" t="s">
        <v>3398</v>
      </c>
      <c r="B884" t="s">
        <v>3352</v>
      </c>
      <c r="C884" s="36"/>
      <c r="F884" s="57">
        <v>44573</v>
      </c>
      <c r="G884" s="36"/>
      <c r="H884" s="36"/>
      <c r="I884" s="36"/>
      <c r="J884" s="36"/>
      <c r="K884" s="36"/>
      <c r="L884" s="36"/>
      <c r="M884" s="36"/>
    </row>
    <row r="885" spans="1:13" x14ac:dyDescent="0.35">
      <c r="A885" t="s">
        <v>3399</v>
      </c>
      <c r="B885" t="s">
        <v>3400</v>
      </c>
      <c r="F885" s="57">
        <v>44573</v>
      </c>
    </row>
    <row r="886" spans="1:13" x14ac:dyDescent="0.35">
      <c r="A886" t="s">
        <v>3401</v>
      </c>
      <c r="B886" t="s">
        <v>3402</v>
      </c>
      <c r="F886" s="57">
        <v>44573</v>
      </c>
    </row>
    <row r="887" spans="1:13" x14ac:dyDescent="0.35">
      <c r="A887" t="s">
        <v>3403</v>
      </c>
      <c r="B887" t="s">
        <v>3404</v>
      </c>
      <c r="F887" s="57">
        <v>44573</v>
      </c>
    </row>
    <row r="888" spans="1:13" x14ac:dyDescent="0.35">
      <c r="A888" t="s">
        <v>3405</v>
      </c>
      <c r="B888" t="s">
        <v>3406</v>
      </c>
      <c r="F888" s="57">
        <v>44573</v>
      </c>
    </row>
    <row r="889" spans="1:13" x14ac:dyDescent="0.35">
      <c r="A889" t="s">
        <v>3407</v>
      </c>
      <c r="B889" t="s">
        <v>3415</v>
      </c>
      <c r="F889" s="57">
        <v>44573</v>
      </c>
    </row>
    <row r="890" spans="1:13" x14ac:dyDescent="0.35">
      <c r="A890" t="s">
        <v>3408</v>
      </c>
      <c r="B890" t="s">
        <v>3416</v>
      </c>
      <c r="F890" s="57">
        <v>44573</v>
      </c>
    </row>
    <row r="891" spans="1:13" x14ac:dyDescent="0.35">
      <c r="A891" t="s">
        <v>3409</v>
      </c>
      <c r="F891" s="57">
        <v>44573</v>
      </c>
    </row>
    <row r="892" spans="1:13" x14ac:dyDescent="0.35">
      <c r="A892" t="s">
        <v>3410</v>
      </c>
      <c r="F892" s="57">
        <v>44573</v>
      </c>
    </row>
    <row r="893" spans="1:13" x14ac:dyDescent="0.35">
      <c r="A893" t="s">
        <v>3411</v>
      </c>
      <c r="F893" s="57">
        <v>44573</v>
      </c>
    </row>
    <row r="894" spans="1:13" x14ac:dyDescent="0.35">
      <c r="A894" t="s">
        <v>3412</v>
      </c>
      <c r="B894" t="s">
        <v>3417</v>
      </c>
      <c r="F894" s="57">
        <v>44573</v>
      </c>
    </row>
    <row r="895" spans="1:13" x14ac:dyDescent="0.35">
      <c r="A895" t="s">
        <v>3413</v>
      </c>
      <c r="B895" t="s">
        <v>3418</v>
      </c>
      <c r="F895" s="57">
        <v>44573</v>
      </c>
    </row>
    <row r="896" spans="1:13" x14ac:dyDescent="0.35">
      <c r="A896" t="s">
        <v>3414</v>
      </c>
      <c r="B896" t="s">
        <v>3419</v>
      </c>
      <c r="D896" t="s">
        <v>2401</v>
      </c>
      <c r="E896" t="s">
        <v>4106</v>
      </c>
      <c r="F896" s="57">
        <v>44573</v>
      </c>
      <c r="G896" t="s">
        <v>4089</v>
      </c>
    </row>
    <row r="897" spans="1:7" x14ac:dyDescent="0.35">
      <c r="A897" t="s">
        <v>451</v>
      </c>
      <c r="B897" t="s">
        <v>1603</v>
      </c>
      <c r="F897" s="57">
        <v>44573</v>
      </c>
    </row>
    <row r="898" spans="1:7" x14ac:dyDescent="0.35">
      <c r="A898" t="s">
        <v>122</v>
      </c>
      <c r="B898" t="s">
        <v>951</v>
      </c>
      <c r="F898" s="57">
        <v>44573</v>
      </c>
    </row>
    <row r="899" spans="1:7" x14ac:dyDescent="0.35">
      <c r="A899" t="s">
        <v>544</v>
      </c>
      <c r="B899" t="s">
        <v>1368</v>
      </c>
      <c r="D899" t="s">
        <v>4104</v>
      </c>
      <c r="E899" t="s">
        <v>4106</v>
      </c>
      <c r="F899" s="57">
        <v>44573</v>
      </c>
      <c r="G899" t="s">
        <v>4105</v>
      </c>
    </row>
    <row r="900" spans="1:7" x14ac:dyDescent="0.35">
      <c r="A900" t="s">
        <v>466</v>
      </c>
      <c r="B900" t="s">
        <v>1290</v>
      </c>
      <c r="F900" s="57">
        <v>44573</v>
      </c>
    </row>
    <row r="901" spans="1:7" x14ac:dyDescent="0.35">
      <c r="A901" t="s">
        <v>212</v>
      </c>
      <c r="B901" t="s">
        <v>1039</v>
      </c>
      <c r="F901" s="57">
        <v>44573</v>
      </c>
    </row>
    <row r="902" spans="1:7" x14ac:dyDescent="0.35">
      <c r="A902" t="s">
        <v>351</v>
      </c>
      <c r="B902" t="s">
        <v>1175</v>
      </c>
      <c r="D902" t="s">
        <v>2122</v>
      </c>
      <c r="E902" t="s">
        <v>4106</v>
      </c>
      <c r="F902" s="57">
        <v>44573</v>
      </c>
      <c r="G902" t="s">
        <v>4094</v>
      </c>
    </row>
    <row r="903" spans="1:7" x14ac:dyDescent="0.35">
      <c r="A903" t="s">
        <v>20</v>
      </c>
      <c r="B903" t="s">
        <v>849</v>
      </c>
      <c r="F903" s="57">
        <v>44573</v>
      </c>
    </row>
    <row r="904" spans="1:7" x14ac:dyDescent="0.35">
      <c r="A904" t="s">
        <v>93</v>
      </c>
      <c r="B904" t="s">
        <v>922</v>
      </c>
      <c r="F904" s="57">
        <v>44573</v>
      </c>
    </row>
    <row r="905" spans="1:7" x14ac:dyDescent="0.35">
      <c r="A905" t="s">
        <v>139</v>
      </c>
      <c r="B905" t="s">
        <v>968</v>
      </c>
      <c r="F905" s="57">
        <v>44573</v>
      </c>
    </row>
    <row r="906" spans="1:7" x14ac:dyDescent="0.35">
      <c r="A906" t="s">
        <v>138</v>
      </c>
      <c r="B906" t="s">
        <v>967</v>
      </c>
      <c r="F906" s="57">
        <v>44573</v>
      </c>
    </row>
    <row r="907" spans="1:7" x14ac:dyDescent="0.35">
      <c r="A907" t="s">
        <v>59</v>
      </c>
      <c r="B907" t="s">
        <v>888</v>
      </c>
      <c r="D907" t="s">
        <v>2313</v>
      </c>
      <c r="E907" t="s">
        <v>4106</v>
      </c>
      <c r="F907" s="57">
        <v>44573</v>
      </c>
      <c r="G907" t="s">
        <v>4085</v>
      </c>
    </row>
    <row r="908" spans="1:7" x14ac:dyDescent="0.35">
      <c r="A908" t="s">
        <v>629</v>
      </c>
      <c r="B908" t="s">
        <v>1453</v>
      </c>
      <c r="F908" s="57">
        <v>44573</v>
      </c>
    </row>
    <row r="909" spans="1:7" x14ac:dyDescent="0.35">
      <c r="A909" t="s">
        <v>578</v>
      </c>
      <c r="B909" t="s">
        <v>1402</v>
      </c>
      <c r="F909" s="57">
        <v>44573</v>
      </c>
    </row>
    <row r="910" spans="1:7" x14ac:dyDescent="0.35">
      <c r="A910" t="s">
        <v>424</v>
      </c>
      <c r="B910" t="s">
        <v>1248</v>
      </c>
      <c r="F910" s="57">
        <v>44573</v>
      </c>
    </row>
    <row r="911" spans="1:7" x14ac:dyDescent="0.35">
      <c r="A911" t="s">
        <v>3326</v>
      </c>
      <c r="B911" t="s">
        <v>3327</v>
      </c>
      <c r="F911" s="57">
        <v>44573</v>
      </c>
    </row>
    <row r="912" spans="1:7" x14ac:dyDescent="0.35">
      <c r="A912" t="s">
        <v>1879</v>
      </c>
      <c r="B912" t="s">
        <v>3344</v>
      </c>
      <c r="F912" s="57">
        <v>44573</v>
      </c>
    </row>
  </sheetData>
  <autoFilter ref="A1:M912" xr:uid="{7FFE662D-EB02-4A4E-813B-43991195B0F7}"/>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E9F77-6DC3-4979-B18A-3D845E26CB0F}">
  <dimension ref="A1:D33"/>
  <sheetViews>
    <sheetView workbookViewId="0">
      <selection activeCell="B19" sqref="B19"/>
    </sheetView>
  </sheetViews>
  <sheetFormatPr defaultRowHeight="14.5" x14ac:dyDescent="0.35"/>
  <cols>
    <col min="1" max="1" width="12.26953125" bestFit="1" customWidth="1"/>
    <col min="2" max="2" width="48.26953125" bestFit="1" customWidth="1"/>
    <col min="3" max="3" width="46.81640625" bestFit="1" customWidth="1"/>
  </cols>
  <sheetData>
    <row r="1" spans="1:4" x14ac:dyDescent="0.35">
      <c r="A1" s="28" t="s">
        <v>1881</v>
      </c>
      <c r="B1" s="28" t="s">
        <v>1882</v>
      </c>
      <c r="C1" s="28" t="s">
        <v>1883</v>
      </c>
      <c r="D1" s="28" t="s">
        <v>1886</v>
      </c>
    </row>
    <row r="2" spans="1:4" x14ac:dyDescent="0.35">
      <c r="A2" t="s">
        <v>1895</v>
      </c>
      <c r="B2" t="s">
        <v>1898</v>
      </c>
      <c r="C2" s="13" t="s">
        <v>1945</v>
      </c>
    </row>
    <row r="3" spans="1:4" x14ac:dyDescent="0.35">
      <c r="A3" t="s">
        <v>1896</v>
      </c>
      <c r="B3" t="s">
        <v>1899</v>
      </c>
      <c r="C3" s="13" t="s">
        <v>1946</v>
      </c>
    </row>
    <row r="4" spans="1:4" x14ac:dyDescent="0.35">
      <c r="A4" t="s">
        <v>1747</v>
      </c>
      <c r="B4" t="s">
        <v>1890</v>
      </c>
      <c r="C4" s="13" t="s">
        <v>1879</v>
      </c>
      <c r="D4" s="28"/>
    </row>
    <row r="5" spans="1:4" x14ac:dyDescent="0.35">
      <c r="A5" t="s">
        <v>1764</v>
      </c>
      <c r="B5" t="s">
        <v>1901</v>
      </c>
      <c r="C5" t="s">
        <v>1900</v>
      </c>
    </row>
    <row r="6" spans="1:4" x14ac:dyDescent="0.35">
      <c r="A6" t="s">
        <v>1749</v>
      </c>
      <c r="B6" t="s">
        <v>1902</v>
      </c>
      <c r="C6" t="s">
        <v>1903</v>
      </c>
    </row>
    <row r="7" spans="1:4" x14ac:dyDescent="0.35">
      <c r="A7" t="s">
        <v>1766</v>
      </c>
      <c r="B7" t="s">
        <v>1905</v>
      </c>
      <c r="C7" t="s">
        <v>1904</v>
      </c>
    </row>
    <row r="8" spans="1:4" x14ac:dyDescent="0.35">
      <c r="A8" t="s">
        <v>1891</v>
      </c>
      <c r="B8" t="s">
        <v>1892</v>
      </c>
      <c r="C8" s="13" t="s">
        <v>1893</v>
      </c>
    </row>
    <row r="9" spans="1:4" x14ac:dyDescent="0.35">
      <c r="A9" t="s">
        <v>1791</v>
      </c>
      <c r="B9" t="s">
        <v>1906</v>
      </c>
      <c r="C9" t="s">
        <v>1907</v>
      </c>
    </row>
    <row r="10" spans="1:4" x14ac:dyDescent="0.35">
      <c r="A10" t="s">
        <v>1908</v>
      </c>
      <c r="B10" t="s">
        <v>1910</v>
      </c>
      <c r="C10" t="s">
        <v>1909</v>
      </c>
    </row>
    <row r="11" spans="1:4" x14ac:dyDescent="0.35">
      <c r="A11" t="s">
        <v>1761</v>
      </c>
      <c r="B11" t="s">
        <v>1911</v>
      </c>
      <c r="C11" t="s">
        <v>1912</v>
      </c>
    </row>
    <row r="12" spans="1:4" x14ac:dyDescent="0.35">
      <c r="A12" t="s">
        <v>1786</v>
      </c>
      <c r="B12" t="s">
        <v>1914</v>
      </c>
      <c r="C12" t="s">
        <v>1913</v>
      </c>
    </row>
    <row r="13" spans="1:4" x14ac:dyDescent="0.35">
      <c r="A13" t="s">
        <v>1759</v>
      </c>
      <c r="B13" t="s">
        <v>1915</v>
      </c>
      <c r="C13" t="s">
        <v>1916</v>
      </c>
    </row>
    <row r="14" spans="1:4" x14ac:dyDescent="0.35">
      <c r="A14" t="s">
        <v>1838</v>
      </c>
      <c r="B14" t="s">
        <v>1910</v>
      </c>
      <c r="C14" t="s">
        <v>1909</v>
      </c>
    </row>
    <row r="15" spans="1:4" x14ac:dyDescent="0.35">
      <c r="A15" t="s">
        <v>1733</v>
      </c>
      <c r="B15" t="s">
        <v>1889</v>
      </c>
      <c r="C15" s="13" t="s">
        <v>1711</v>
      </c>
    </row>
    <row r="16" spans="1:4" x14ac:dyDescent="0.35">
      <c r="A16" t="s">
        <v>1753</v>
      </c>
      <c r="B16" t="s">
        <v>1917</v>
      </c>
      <c r="C16" t="s">
        <v>1918</v>
      </c>
    </row>
    <row r="17" spans="1:3" x14ac:dyDescent="0.35">
      <c r="A17" t="s">
        <v>1768</v>
      </c>
      <c r="B17" t="s">
        <v>1919</v>
      </c>
      <c r="C17" t="s">
        <v>1920</v>
      </c>
    </row>
    <row r="18" spans="1:3" x14ac:dyDescent="0.35">
      <c r="A18" t="s">
        <v>1732</v>
      </c>
      <c r="B18" t="s">
        <v>1887</v>
      </c>
      <c r="C18" s="13" t="s">
        <v>1888</v>
      </c>
    </row>
    <row r="19" spans="1:3" x14ac:dyDescent="0.35">
      <c r="A19" t="s">
        <v>1832</v>
      </c>
      <c r="B19" t="s">
        <v>1921</v>
      </c>
      <c r="C19" t="s">
        <v>1922</v>
      </c>
    </row>
    <row r="20" spans="1:3" x14ac:dyDescent="0.35">
      <c r="A20" t="s">
        <v>1770</v>
      </c>
      <c r="B20" t="s">
        <v>1923</v>
      </c>
      <c r="C20" t="s">
        <v>1924</v>
      </c>
    </row>
    <row r="21" spans="1:3" x14ac:dyDescent="0.35">
      <c r="A21" t="s">
        <v>1744</v>
      </c>
      <c r="B21" t="s">
        <v>1925</v>
      </c>
      <c r="C21" t="s">
        <v>1926</v>
      </c>
    </row>
    <row r="22" spans="1:3" x14ac:dyDescent="0.35">
      <c r="A22" t="s">
        <v>1854</v>
      </c>
      <c r="B22" t="s">
        <v>1755</v>
      </c>
      <c r="C22" t="s">
        <v>1927</v>
      </c>
    </row>
    <row r="23" spans="1:3" x14ac:dyDescent="0.35">
      <c r="A23" t="s">
        <v>1756</v>
      </c>
      <c r="B23" t="s">
        <v>1755</v>
      </c>
      <c r="C23" t="s">
        <v>1928</v>
      </c>
    </row>
    <row r="24" spans="1:3" x14ac:dyDescent="0.35">
      <c r="A24" t="s">
        <v>1798</v>
      </c>
      <c r="B24" t="s">
        <v>1929</v>
      </c>
      <c r="C24" t="s">
        <v>1930</v>
      </c>
    </row>
    <row r="25" spans="1:3" x14ac:dyDescent="0.35">
      <c r="A25" t="s">
        <v>1811</v>
      </c>
      <c r="B25" t="s">
        <v>1885</v>
      </c>
      <c r="C25" t="s">
        <v>1884</v>
      </c>
    </row>
    <row r="26" spans="1:3" x14ac:dyDescent="0.35">
      <c r="A26" t="s">
        <v>1846</v>
      </c>
      <c r="B26" t="s">
        <v>1931</v>
      </c>
      <c r="C26" t="s">
        <v>1932</v>
      </c>
    </row>
    <row r="27" spans="1:3" x14ac:dyDescent="0.35">
      <c r="A27" t="s">
        <v>1880</v>
      </c>
      <c r="B27" t="s">
        <v>1933</v>
      </c>
      <c r="C27" t="s">
        <v>1934</v>
      </c>
    </row>
    <row r="28" spans="1:3" x14ac:dyDescent="0.35">
      <c r="A28" t="s">
        <v>1818</v>
      </c>
      <c r="B28" t="s">
        <v>1935</v>
      </c>
      <c r="C28" t="s">
        <v>1936</v>
      </c>
    </row>
    <row r="29" spans="1:3" x14ac:dyDescent="0.35">
      <c r="A29" t="s">
        <v>1740</v>
      </c>
      <c r="B29" t="s">
        <v>1937</v>
      </c>
      <c r="C29" t="s">
        <v>1938</v>
      </c>
    </row>
    <row r="30" spans="1:3" x14ac:dyDescent="0.35">
      <c r="A30" t="s">
        <v>1806</v>
      </c>
    </row>
    <row r="31" spans="1:3" x14ac:dyDescent="0.35">
      <c r="A31" t="s">
        <v>1894</v>
      </c>
      <c r="B31" t="s">
        <v>1939</v>
      </c>
      <c r="C31" t="s">
        <v>1940</v>
      </c>
    </row>
    <row r="32" spans="1:3" x14ac:dyDescent="0.35">
      <c r="A32" t="s">
        <v>1745</v>
      </c>
      <c r="B32" t="s">
        <v>1942</v>
      </c>
      <c r="C32" t="s">
        <v>1941</v>
      </c>
    </row>
    <row r="33" spans="1:3" x14ac:dyDescent="0.35">
      <c r="A33" t="s">
        <v>1897</v>
      </c>
      <c r="B33" t="s">
        <v>1943</v>
      </c>
      <c r="C33" t="s">
        <v>1944</v>
      </c>
    </row>
  </sheetData>
  <autoFilter ref="A1:D33" xr:uid="{0CB2D0AB-524A-46F7-A322-E42285C916BD}">
    <sortState xmlns:xlrd2="http://schemas.microsoft.com/office/spreadsheetml/2017/richdata2" ref="A2:D39">
      <sortCondition ref="A1"/>
    </sortState>
  </autoFilter>
  <hyperlinks>
    <hyperlink ref="C18" r:id="rId1" xr:uid="{E239FD30-3B58-437C-85BF-04D6BE3205E6}"/>
    <hyperlink ref="C15" r:id="rId2" xr:uid="{42536CB2-45EF-4EFE-BA2B-E1794A8C7578}"/>
    <hyperlink ref="C8" r:id="rId3" xr:uid="{B52A50AF-C24F-48B9-9AEE-C939A561E2E0}"/>
    <hyperlink ref="C2" r:id="rId4" xr:uid="{A45CE8B0-6DE7-46D3-B4D7-9426F6579C9A}"/>
    <hyperlink ref="C3" r:id="rId5" xr:uid="{3A0B1926-51A4-4BD4-8D29-B64F5FD7B643}"/>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122516-3085-4AB2-BDE5-57DB004133A0}">
  <sheetPr filterMode="1"/>
  <dimension ref="A1:N1345"/>
  <sheetViews>
    <sheetView zoomScale="90" zoomScaleNormal="90" workbookViewId="0">
      <pane ySplit="1" topLeftCell="A2" activePane="bottomLeft" state="frozen"/>
      <selection pane="bottomLeft" activeCell="O6" sqref="O6"/>
    </sheetView>
  </sheetViews>
  <sheetFormatPr defaultRowHeight="14.5" x14ac:dyDescent="0.35"/>
  <cols>
    <col min="1" max="1" width="8.6328125" customWidth="1"/>
    <col min="2" max="2" width="25" customWidth="1"/>
    <col min="6" max="6" width="26.81640625" hidden="1" customWidth="1"/>
    <col min="7" max="7" width="118.453125" hidden="1" customWidth="1"/>
    <col min="13" max="13" width="10.6328125" bestFit="1" customWidth="1"/>
  </cols>
  <sheetData>
    <row r="1" spans="1:14" s="49" customFormat="1" x14ac:dyDescent="0.35">
      <c r="A1" s="49" t="s">
        <v>2103</v>
      </c>
      <c r="B1" s="49" t="s">
        <v>1650</v>
      </c>
      <c r="C1" s="49" t="s">
        <v>2252</v>
      </c>
      <c r="D1" s="49" t="s">
        <v>2253</v>
      </c>
      <c r="E1" s="49" t="s">
        <v>2254</v>
      </c>
      <c r="F1" s="49" t="s">
        <v>2255</v>
      </c>
      <c r="G1" s="49" t="s">
        <v>2256</v>
      </c>
      <c r="H1" s="49" t="s">
        <v>2257</v>
      </c>
      <c r="I1" s="49" t="s">
        <v>2258</v>
      </c>
      <c r="J1" s="49" t="s">
        <v>1881</v>
      </c>
      <c r="K1" s="49" t="s">
        <v>2489</v>
      </c>
      <c r="L1" s="49" t="s">
        <v>2490</v>
      </c>
      <c r="M1" s="49" t="s">
        <v>4152</v>
      </c>
      <c r="N1" s="49" t="s">
        <v>3479</v>
      </c>
    </row>
    <row r="2" spans="1:14" hidden="1" x14ac:dyDescent="0.35">
      <c r="A2" t="s">
        <v>305</v>
      </c>
      <c r="B2" t="s">
        <v>1130</v>
      </c>
      <c r="L2" t="s">
        <v>1720</v>
      </c>
    </row>
    <row r="3" spans="1:14" hidden="1" x14ac:dyDescent="0.35">
      <c r="A3" t="s">
        <v>266</v>
      </c>
      <c r="B3" t="s">
        <v>1092</v>
      </c>
      <c r="L3" t="s">
        <v>1720</v>
      </c>
    </row>
    <row r="4" spans="1:14" hidden="1" x14ac:dyDescent="0.35">
      <c r="A4" t="s">
        <v>179</v>
      </c>
      <c r="B4" t="s">
        <v>1008</v>
      </c>
      <c r="L4" t="s">
        <v>1720</v>
      </c>
    </row>
    <row r="5" spans="1:14" hidden="1" x14ac:dyDescent="0.35">
      <c r="A5" t="s">
        <v>264</v>
      </c>
      <c r="B5" t="s">
        <v>1090</v>
      </c>
      <c r="L5" t="s">
        <v>1720</v>
      </c>
    </row>
    <row r="6" spans="1:14" hidden="1" x14ac:dyDescent="0.35">
      <c r="A6" t="s">
        <v>779</v>
      </c>
      <c r="B6" t="s">
        <v>1602</v>
      </c>
      <c r="L6" t="s">
        <v>1720</v>
      </c>
    </row>
    <row r="7" spans="1:14" hidden="1" x14ac:dyDescent="0.35">
      <c r="A7" t="s">
        <v>539</v>
      </c>
      <c r="B7" t="s">
        <v>1363</v>
      </c>
      <c r="L7" t="s">
        <v>1720</v>
      </c>
    </row>
    <row r="8" spans="1:14" hidden="1" x14ac:dyDescent="0.35">
      <c r="A8" t="s">
        <v>517</v>
      </c>
      <c r="B8" t="s">
        <v>1341</v>
      </c>
      <c r="L8" t="s">
        <v>1720</v>
      </c>
    </row>
    <row r="9" spans="1:14" hidden="1" x14ac:dyDescent="0.35">
      <c r="A9" t="s">
        <v>462</v>
      </c>
      <c r="B9" t="s">
        <v>1286</v>
      </c>
      <c r="L9" t="s">
        <v>1720</v>
      </c>
    </row>
    <row r="10" spans="1:14" hidden="1" x14ac:dyDescent="0.35">
      <c r="A10" t="s">
        <v>258</v>
      </c>
      <c r="B10" t="s">
        <v>1084</v>
      </c>
      <c r="L10" t="s">
        <v>1720</v>
      </c>
    </row>
    <row r="11" spans="1:14" hidden="1" x14ac:dyDescent="0.35">
      <c r="A11" t="s">
        <v>253</v>
      </c>
      <c r="B11" t="s">
        <v>1079</v>
      </c>
      <c r="L11" t="s">
        <v>1720</v>
      </c>
    </row>
    <row r="12" spans="1:14" hidden="1" x14ac:dyDescent="0.35">
      <c r="A12" t="s">
        <v>708</v>
      </c>
      <c r="B12" t="s">
        <v>1532</v>
      </c>
      <c r="L12" t="s">
        <v>1720</v>
      </c>
    </row>
    <row r="13" spans="1:14" hidden="1" x14ac:dyDescent="0.35">
      <c r="A13" t="s">
        <v>729</v>
      </c>
      <c r="B13" t="s">
        <v>1553</v>
      </c>
      <c r="L13" t="s">
        <v>1720</v>
      </c>
    </row>
    <row r="14" spans="1:14" hidden="1" x14ac:dyDescent="0.35">
      <c r="A14" t="s">
        <v>718</v>
      </c>
      <c r="B14" t="s">
        <v>1542</v>
      </c>
      <c r="L14" t="s">
        <v>1720</v>
      </c>
    </row>
    <row r="15" spans="1:14" hidden="1" x14ac:dyDescent="0.35">
      <c r="A15" t="s">
        <v>715</v>
      </c>
      <c r="B15" t="s">
        <v>1539</v>
      </c>
      <c r="L15" t="s">
        <v>1720</v>
      </c>
    </row>
    <row r="16" spans="1:14" hidden="1" x14ac:dyDescent="0.35">
      <c r="A16" t="s">
        <v>824</v>
      </c>
      <c r="B16" t="s">
        <v>1646</v>
      </c>
      <c r="L16" t="s">
        <v>1720</v>
      </c>
    </row>
    <row r="17" spans="1:14" hidden="1" x14ac:dyDescent="0.35">
      <c r="A17" t="s">
        <v>15</v>
      </c>
      <c r="B17" t="s">
        <v>844</v>
      </c>
      <c r="L17" t="s">
        <v>1720</v>
      </c>
    </row>
    <row r="18" spans="1:14" hidden="1" x14ac:dyDescent="0.35">
      <c r="A18" t="s">
        <v>707</v>
      </c>
      <c r="B18" t="s">
        <v>1531</v>
      </c>
      <c r="L18" t="s">
        <v>1720</v>
      </c>
    </row>
    <row r="19" spans="1:14" hidden="1" x14ac:dyDescent="0.35">
      <c r="A19" t="s">
        <v>817</v>
      </c>
      <c r="B19" t="s">
        <v>1640</v>
      </c>
      <c r="L19" t="s">
        <v>1720</v>
      </c>
    </row>
    <row r="20" spans="1:14" hidden="1" x14ac:dyDescent="0.35">
      <c r="A20" t="s">
        <v>813</v>
      </c>
      <c r="B20" t="s">
        <v>1636</v>
      </c>
      <c r="L20" t="s">
        <v>1720</v>
      </c>
    </row>
    <row r="21" spans="1:14" hidden="1" x14ac:dyDescent="0.35">
      <c r="A21" t="s">
        <v>795</v>
      </c>
      <c r="B21" t="s">
        <v>1618</v>
      </c>
      <c r="L21" t="s">
        <v>1720</v>
      </c>
    </row>
    <row r="22" spans="1:14" hidden="1" x14ac:dyDescent="0.35">
      <c r="A22" t="s">
        <v>227</v>
      </c>
      <c r="B22" t="s">
        <v>1054</v>
      </c>
      <c r="L22" t="s">
        <v>1720</v>
      </c>
    </row>
    <row r="23" spans="1:14" hidden="1" x14ac:dyDescent="0.35">
      <c r="A23" t="s">
        <v>319</v>
      </c>
      <c r="B23" t="s">
        <v>1144</v>
      </c>
      <c r="L23" t="s">
        <v>1720</v>
      </c>
    </row>
    <row r="24" spans="1:14" hidden="1" x14ac:dyDescent="0.35">
      <c r="A24" t="s">
        <v>457</v>
      </c>
      <c r="B24" t="s">
        <v>1281</v>
      </c>
      <c r="L24" t="s">
        <v>1720</v>
      </c>
    </row>
    <row r="25" spans="1:14" hidden="1" x14ac:dyDescent="0.35">
      <c r="A25" t="s">
        <v>132</v>
      </c>
      <c r="B25" t="s">
        <v>961</v>
      </c>
      <c r="L25" t="s">
        <v>1720</v>
      </c>
    </row>
    <row r="26" spans="1:14" hidden="1" x14ac:dyDescent="0.35">
      <c r="A26" t="s">
        <v>310</v>
      </c>
      <c r="B26" t="s">
        <v>1135</v>
      </c>
      <c r="L26" t="s">
        <v>1720</v>
      </c>
    </row>
    <row r="27" spans="1:14" hidden="1" x14ac:dyDescent="0.35">
      <c r="A27" t="s">
        <v>723</v>
      </c>
      <c r="B27" t="s">
        <v>1547</v>
      </c>
      <c r="L27" t="s">
        <v>1720</v>
      </c>
    </row>
    <row r="28" spans="1:14" hidden="1" x14ac:dyDescent="0.35">
      <c r="A28" t="s">
        <v>800</v>
      </c>
      <c r="B28" t="s">
        <v>1623</v>
      </c>
      <c r="L28" t="s">
        <v>1720</v>
      </c>
    </row>
    <row r="29" spans="1:14" hidden="1" x14ac:dyDescent="0.35">
      <c r="A29" t="s">
        <v>822</v>
      </c>
      <c r="B29" t="s">
        <v>1644</v>
      </c>
      <c r="L29" t="s">
        <v>1720</v>
      </c>
    </row>
    <row r="30" spans="1:14" x14ac:dyDescent="0.35">
      <c r="A30" t="s">
        <v>633</v>
      </c>
      <c r="B30" t="s">
        <v>1457</v>
      </c>
      <c r="C30" t="s">
        <v>2261</v>
      </c>
      <c r="D30" t="s">
        <v>1721</v>
      </c>
      <c r="F30" t="s">
        <v>2263</v>
      </c>
      <c r="G30" t="s">
        <v>1725</v>
      </c>
      <c r="H30" t="s">
        <v>1776</v>
      </c>
      <c r="I30" t="s">
        <v>1729</v>
      </c>
      <c r="J30" t="s">
        <v>1747</v>
      </c>
      <c r="K30" t="s">
        <v>2335</v>
      </c>
      <c r="L30" t="s">
        <v>1720</v>
      </c>
      <c r="M30" s="57">
        <v>44581</v>
      </c>
      <c r="N30" t="s">
        <v>3480</v>
      </c>
    </row>
    <row r="31" spans="1:14" x14ac:dyDescent="0.35">
      <c r="A31" t="s">
        <v>633</v>
      </c>
      <c r="B31" t="s">
        <v>1457</v>
      </c>
      <c r="C31" t="s">
        <v>2259</v>
      </c>
      <c r="D31" t="s">
        <v>1721</v>
      </c>
      <c r="F31" t="s">
        <v>1802</v>
      </c>
      <c r="G31" t="s">
        <v>1750</v>
      </c>
      <c r="H31" t="s">
        <v>1773</v>
      </c>
      <c r="I31" t="s">
        <v>1748</v>
      </c>
      <c r="J31" t="s">
        <v>1749</v>
      </c>
      <c r="K31" t="s">
        <v>2477</v>
      </c>
      <c r="L31" t="s">
        <v>1720</v>
      </c>
      <c r="M31" s="57">
        <v>44581</v>
      </c>
      <c r="N31" t="s">
        <v>3480</v>
      </c>
    </row>
    <row r="32" spans="1:14" x14ac:dyDescent="0.35">
      <c r="A32" t="s">
        <v>633</v>
      </c>
      <c r="B32" t="s">
        <v>1457</v>
      </c>
      <c r="C32" t="s">
        <v>2261</v>
      </c>
      <c r="D32" t="s">
        <v>1721</v>
      </c>
      <c r="F32" t="s">
        <v>1801</v>
      </c>
      <c r="G32" t="s">
        <v>1735</v>
      </c>
      <c r="H32" t="s">
        <v>1774</v>
      </c>
      <c r="I32" t="s">
        <v>1789</v>
      </c>
      <c r="J32" t="s">
        <v>1771</v>
      </c>
      <c r="K32" t="s">
        <v>2375</v>
      </c>
      <c r="L32" t="s">
        <v>1720</v>
      </c>
      <c r="M32" s="57">
        <v>44581</v>
      </c>
      <c r="N32" t="s">
        <v>3480</v>
      </c>
    </row>
    <row r="33" spans="1:14" x14ac:dyDescent="0.35">
      <c r="A33" t="s">
        <v>633</v>
      </c>
      <c r="B33" t="s">
        <v>1457</v>
      </c>
      <c r="C33" t="s">
        <v>2259</v>
      </c>
      <c r="D33" t="s">
        <v>1724</v>
      </c>
      <c r="F33" t="s">
        <v>1802</v>
      </c>
      <c r="G33" t="s">
        <v>1726</v>
      </c>
      <c r="H33" t="s">
        <v>1737</v>
      </c>
      <c r="I33" t="s">
        <v>1730</v>
      </c>
      <c r="J33" t="s">
        <v>1732</v>
      </c>
      <c r="K33" t="s">
        <v>2292</v>
      </c>
      <c r="L33" t="s">
        <v>1720</v>
      </c>
      <c r="M33" s="57">
        <v>44581</v>
      </c>
      <c r="N33" t="s">
        <v>3481</v>
      </c>
    </row>
    <row r="34" spans="1:14" x14ac:dyDescent="0.35">
      <c r="A34" t="s">
        <v>633</v>
      </c>
      <c r="B34" t="s">
        <v>1457</v>
      </c>
      <c r="C34" t="s">
        <v>2261</v>
      </c>
      <c r="D34" t="s">
        <v>1721</v>
      </c>
      <c r="F34" t="s">
        <v>1804</v>
      </c>
      <c r="G34" t="s">
        <v>1741</v>
      </c>
      <c r="H34" t="s">
        <v>1775</v>
      </c>
      <c r="I34" t="s">
        <v>1742</v>
      </c>
      <c r="J34" t="s">
        <v>1744</v>
      </c>
      <c r="K34" t="s">
        <v>2129</v>
      </c>
      <c r="L34" t="s">
        <v>1720</v>
      </c>
      <c r="M34" s="57">
        <v>44581</v>
      </c>
      <c r="N34" t="s">
        <v>3480</v>
      </c>
    </row>
    <row r="35" spans="1:14" x14ac:dyDescent="0.35">
      <c r="A35" t="s">
        <v>633</v>
      </c>
      <c r="B35" t="s">
        <v>1457</v>
      </c>
      <c r="C35" t="s">
        <v>2261</v>
      </c>
      <c r="D35" t="s">
        <v>1721</v>
      </c>
      <c r="E35" t="s">
        <v>2298</v>
      </c>
      <c r="F35" t="s">
        <v>1802</v>
      </c>
      <c r="G35" t="s">
        <v>1760</v>
      </c>
      <c r="H35" t="s">
        <v>1850</v>
      </c>
      <c r="I35" t="s">
        <v>1758</v>
      </c>
      <c r="J35" t="s">
        <v>1759</v>
      </c>
      <c r="K35" t="s">
        <v>2478</v>
      </c>
      <c r="L35" t="s">
        <v>1720</v>
      </c>
      <c r="M35" s="57">
        <v>44581</v>
      </c>
      <c r="N35" t="s">
        <v>3480</v>
      </c>
    </row>
    <row r="36" spans="1:14" x14ac:dyDescent="0.35">
      <c r="A36" t="s">
        <v>633</v>
      </c>
      <c r="B36" t="s">
        <v>1457</v>
      </c>
      <c r="C36" t="s">
        <v>2261</v>
      </c>
      <c r="D36" t="s">
        <v>1724</v>
      </c>
      <c r="E36" t="s">
        <v>2301</v>
      </c>
      <c r="F36" t="s">
        <v>1802</v>
      </c>
      <c r="G36" t="s">
        <v>1760</v>
      </c>
      <c r="H36" t="s">
        <v>2452</v>
      </c>
      <c r="I36" t="s">
        <v>1758</v>
      </c>
      <c r="J36" t="s">
        <v>1759</v>
      </c>
      <c r="K36" t="s">
        <v>2338</v>
      </c>
      <c r="L36" t="s">
        <v>1720</v>
      </c>
      <c r="M36" s="57">
        <v>44581</v>
      </c>
      <c r="N36" t="s">
        <v>3480</v>
      </c>
    </row>
    <row r="37" spans="1:14" x14ac:dyDescent="0.35">
      <c r="A37" t="s">
        <v>633</v>
      </c>
      <c r="B37" t="s">
        <v>1457</v>
      </c>
      <c r="C37" t="s">
        <v>2261</v>
      </c>
      <c r="D37" t="s">
        <v>1721</v>
      </c>
      <c r="E37" t="s">
        <v>2284</v>
      </c>
      <c r="F37" t="s">
        <v>2285</v>
      </c>
      <c r="G37" t="s">
        <v>1784</v>
      </c>
      <c r="H37" t="s">
        <v>1785</v>
      </c>
      <c r="I37" t="s">
        <v>1782</v>
      </c>
      <c r="J37" t="s">
        <v>1786</v>
      </c>
      <c r="K37" t="s">
        <v>2479</v>
      </c>
      <c r="L37" t="s">
        <v>1720</v>
      </c>
      <c r="M37" s="57">
        <v>44581</v>
      </c>
      <c r="N37" t="s">
        <v>3480</v>
      </c>
    </row>
    <row r="38" spans="1:14" x14ac:dyDescent="0.35">
      <c r="A38" t="s">
        <v>633</v>
      </c>
      <c r="B38" t="s">
        <v>1457</v>
      </c>
      <c r="C38" t="s">
        <v>2261</v>
      </c>
      <c r="D38" t="s">
        <v>1724</v>
      </c>
      <c r="E38" t="s">
        <v>2280</v>
      </c>
      <c r="F38" t="s">
        <v>1801</v>
      </c>
      <c r="G38" t="s">
        <v>1762</v>
      </c>
      <c r="H38" t="s">
        <v>2304</v>
      </c>
      <c r="I38" t="s">
        <v>1743</v>
      </c>
      <c r="J38" t="s">
        <v>1761</v>
      </c>
      <c r="K38" t="s">
        <v>2343</v>
      </c>
      <c r="L38" t="s">
        <v>1720</v>
      </c>
      <c r="M38" s="57">
        <v>44581</v>
      </c>
      <c r="N38" t="s">
        <v>3480</v>
      </c>
    </row>
    <row r="39" spans="1:14" x14ac:dyDescent="0.35">
      <c r="A39" t="s">
        <v>633</v>
      </c>
      <c r="B39" t="s">
        <v>1457</v>
      </c>
      <c r="C39" t="s">
        <v>2261</v>
      </c>
      <c r="D39" t="s">
        <v>1721</v>
      </c>
      <c r="E39" t="s">
        <v>2280</v>
      </c>
      <c r="F39" t="s">
        <v>1801</v>
      </c>
      <c r="G39" t="s">
        <v>1728</v>
      </c>
      <c r="H39" t="s">
        <v>1800</v>
      </c>
      <c r="I39" t="s">
        <v>1743</v>
      </c>
      <c r="J39" t="s">
        <v>1761</v>
      </c>
      <c r="K39" t="s">
        <v>2316</v>
      </c>
      <c r="L39" t="s">
        <v>1720</v>
      </c>
      <c r="M39" s="57">
        <v>44581</v>
      </c>
      <c r="N39" t="s">
        <v>3480</v>
      </c>
    </row>
    <row r="40" spans="1:14" x14ac:dyDescent="0.35">
      <c r="A40" t="s">
        <v>633</v>
      </c>
      <c r="B40" t="s">
        <v>1457</v>
      </c>
      <c r="C40" t="s">
        <v>2261</v>
      </c>
      <c r="D40" t="s">
        <v>1721</v>
      </c>
      <c r="F40" t="s">
        <v>2263</v>
      </c>
      <c r="G40" t="s">
        <v>1725</v>
      </c>
      <c r="H40" t="s">
        <v>1776</v>
      </c>
      <c r="I40" t="s">
        <v>1729</v>
      </c>
      <c r="J40" t="s">
        <v>1747</v>
      </c>
      <c r="K40" t="s">
        <v>2477</v>
      </c>
      <c r="L40" t="s">
        <v>1720</v>
      </c>
      <c r="M40" s="57">
        <v>44581</v>
      </c>
      <c r="N40" t="s">
        <v>3480</v>
      </c>
    </row>
    <row r="41" spans="1:14" x14ac:dyDescent="0.35">
      <c r="A41" t="s">
        <v>633</v>
      </c>
      <c r="B41" t="s">
        <v>1457</v>
      </c>
      <c r="C41" t="s">
        <v>2259</v>
      </c>
      <c r="D41" t="s">
        <v>1721</v>
      </c>
      <c r="F41" t="s">
        <v>1802</v>
      </c>
      <c r="G41" t="s">
        <v>1750</v>
      </c>
      <c r="H41" t="s">
        <v>1773</v>
      </c>
      <c r="I41" t="s">
        <v>1748</v>
      </c>
      <c r="J41" t="s">
        <v>1749</v>
      </c>
      <c r="K41" t="s">
        <v>2503</v>
      </c>
      <c r="L41" t="s">
        <v>1720</v>
      </c>
      <c r="M41" s="57">
        <v>44581</v>
      </c>
      <c r="N41" t="s">
        <v>3480</v>
      </c>
    </row>
    <row r="42" spans="1:14" x14ac:dyDescent="0.35">
      <c r="A42" t="s">
        <v>633</v>
      </c>
      <c r="B42" t="s">
        <v>1457</v>
      </c>
      <c r="C42" t="s">
        <v>2261</v>
      </c>
      <c r="D42" t="s">
        <v>1721</v>
      </c>
      <c r="F42" t="s">
        <v>1804</v>
      </c>
      <c r="G42" t="s">
        <v>1741</v>
      </c>
      <c r="H42" t="s">
        <v>1775</v>
      </c>
      <c r="I42" t="s">
        <v>1742</v>
      </c>
      <c r="J42" t="s">
        <v>1744</v>
      </c>
      <c r="K42" t="s">
        <v>2387</v>
      </c>
      <c r="L42" t="s">
        <v>1720</v>
      </c>
      <c r="M42" s="57">
        <v>44581</v>
      </c>
      <c r="N42" t="s">
        <v>3480</v>
      </c>
    </row>
    <row r="43" spans="1:14" hidden="1" x14ac:dyDescent="0.35">
      <c r="A43" t="s">
        <v>428</v>
      </c>
      <c r="B43" t="s">
        <v>1252</v>
      </c>
      <c r="L43" t="s">
        <v>1720</v>
      </c>
    </row>
    <row r="44" spans="1:14" hidden="1" x14ac:dyDescent="0.35">
      <c r="A44" t="s">
        <v>186</v>
      </c>
      <c r="B44" t="s">
        <v>1014</v>
      </c>
      <c r="L44" t="s">
        <v>1720</v>
      </c>
    </row>
    <row r="45" spans="1:14" hidden="1" x14ac:dyDescent="0.35">
      <c r="A45" t="s">
        <v>807</v>
      </c>
      <c r="B45" t="s">
        <v>1630</v>
      </c>
      <c r="L45" t="s">
        <v>1720</v>
      </c>
    </row>
    <row r="46" spans="1:14" hidden="1" x14ac:dyDescent="0.35">
      <c r="A46" t="s">
        <v>279</v>
      </c>
      <c r="B46" t="s">
        <v>1105</v>
      </c>
      <c r="L46" t="s">
        <v>1720</v>
      </c>
    </row>
    <row r="47" spans="1:14" hidden="1" x14ac:dyDescent="0.35">
      <c r="A47" t="s">
        <v>753</v>
      </c>
      <c r="B47" t="s">
        <v>1577</v>
      </c>
      <c r="L47" t="s">
        <v>1720</v>
      </c>
    </row>
    <row r="48" spans="1:14" hidden="1" x14ac:dyDescent="0.35">
      <c r="A48" t="s">
        <v>610</v>
      </c>
      <c r="B48" t="s">
        <v>1434</v>
      </c>
      <c r="L48" t="s">
        <v>1720</v>
      </c>
    </row>
    <row r="49" spans="1:14" hidden="1" x14ac:dyDescent="0.35">
      <c r="A49" t="s">
        <v>378</v>
      </c>
      <c r="B49" t="s">
        <v>1202</v>
      </c>
      <c r="L49" t="s">
        <v>1720</v>
      </c>
    </row>
    <row r="50" spans="1:14" hidden="1" x14ac:dyDescent="0.35">
      <c r="A50" t="s">
        <v>663</v>
      </c>
      <c r="B50" t="s">
        <v>1487</v>
      </c>
      <c r="L50" t="s">
        <v>1720</v>
      </c>
    </row>
    <row r="51" spans="1:14" hidden="1" x14ac:dyDescent="0.35">
      <c r="A51" t="s">
        <v>664</v>
      </c>
      <c r="B51" t="s">
        <v>1488</v>
      </c>
      <c r="L51" t="s">
        <v>1720</v>
      </c>
    </row>
    <row r="52" spans="1:14" x14ac:dyDescent="0.35">
      <c r="A52" t="s">
        <v>676</v>
      </c>
      <c r="B52" t="s">
        <v>1500</v>
      </c>
      <c r="C52" t="s">
        <v>2261</v>
      </c>
      <c r="D52" t="s">
        <v>1721</v>
      </c>
      <c r="F52" t="s">
        <v>1801</v>
      </c>
      <c r="G52" t="s">
        <v>1735</v>
      </c>
      <c r="H52" t="s">
        <v>1790</v>
      </c>
      <c r="I52" t="s">
        <v>1748</v>
      </c>
      <c r="J52" t="s">
        <v>1764</v>
      </c>
      <c r="K52" t="s">
        <v>2525</v>
      </c>
      <c r="L52" t="s">
        <v>1720</v>
      </c>
      <c r="M52" s="57">
        <v>44581</v>
      </c>
      <c r="N52" t="s">
        <v>3480</v>
      </c>
    </row>
    <row r="53" spans="1:14" x14ac:dyDescent="0.35">
      <c r="A53" t="s">
        <v>676</v>
      </c>
      <c r="B53" t="s">
        <v>1500</v>
      </c>
      <c r="C53" t="s">
        <v>2261</v>
      </c>
      <c r="D53" t="s">
        <v>1724</v>
      </c>
      <c r="F53" t="s">
        <v>1801</v>
      </c>
      <c r="G53" t="s">
        <v>1735</v>
      </c>
      <c r="H53" t="s">
        <v>1790</v>
      </c>
      <c r="I53" t="s">
        <v>1748</v>
      </c>
      <c r="J53" t="s">
        <v>1764</v>
      </c>
      <c r="K53" t="s">
        <v>2552</v>
      </c>
      <c r="L53" t="s">
        <v>1720</v>
      </c>
      <c r="M53" s="57">
        <v>44581</v>
      </c>
      <c r="N53" t="s">
        <v>3480</v>
      </c>
    </row>
    <row r="54" spans="1:14" hidden="1" x14ac:dyDescent="0.35">
      <c r="A54" t="s">
        <v>665</v>
      </c>
      <c r="B54" t="s">
        <v>1489</v>
      </c>
      <c r="L54" t="s">
        <v>1720</v>
      </c>
    </row>
    <row r="55" spans="1:14" hidden="1" x14ac:dyDescent="0.35">
      <c r="A55" t="s">
        <v>730</v>
      </c>
      <c r="B55" t="s">
        <v>1554</v>
      </c>
      <c r="L55" t="s">
        <v>1720</v>
      </c>
    </row>
    <row r="56" spans="1:14" hidden="1" x14ac:dyDescent="0.35">
      <c r="A56" t="s">
        <v>706</v>
      </c>
      <c r="B56" t="s">
        <v>1530</v>
      </c>
      <c r="L56" t="s">
        <v>1720</v>
      </c>
    </row>
    <row r="57" spans="1:14" hidden="1" x14ac:dyDescent="0.35">
      <c r="A57" t="s">
        <v>620</v>
      </c>
      <c r="B57" t="s">
        <v>1444</v>
      </c>
      <c r="L57" t="s">
        <v>1720</v>
      </c>
    </row>
    <row r="58" spans="1:14" hidden="1" x14ac:dyDescent="0.35">
      <c r="A58" t="s">
        <v>383</v>
      </c>
      <c r="B58" t="s">
        <v>1207</v>
      </c>
      <c r="L58" t="s">
        <v>1720</v>
      </c>
    </row>
    <row r="59" spans="1:14" hidden="1" x14ac:dyDescent="0.35">
      <c r="A59" t="s">
        <v>791</v>
      </c>
      <c r="B59" t="s">
        <v>1614</v>
      </c>
      <c r="L59" t="s">
        <v>1720</v>
      </c>
    </row>
    <row r="60" spans="1:14" hidden="1" x14ac:dyDescent="0.35">
      <c r="A60" t="s">
        <v>786</v>
      </c>
      <c r="B60" t="s">
        <v>1609</v>
      </c>
      <c r="L60" t="s">
        <v>1720</v>
      </c>
    </row>
    <row r="61" spans="1:14" hidden="1" x14ac:dyDescent="0.35">
      <c r="A61" t="s">
        <v>487</v>
      </c>
      <c r="B61" t="s">
        <v>1311</v>
      </c>
      <c r="L61" t="s">
        <v>1720</v>
      </c>
    </row>
    <row r="62" spans="1:14" x14ac:dyDescent="0.35">
      <c r="A62" t="s">
        <v>37</v>
      </c>
      <c r="B62" t="s">
        <v>866</v>
      </c>
      <c r="C62" t="s">
        <v>2261</v>
      </c>
      <c r="D62" t="s">
        <v>1721</v>
      </c>
      <c r="F62" t="s">
        <v>1804</v>
      </c>
      <c r="G62" t="s">
        <v>1741</v>
      </c>
      <c r="H62" t="s">
        <v>1775</v>
      </c>
      <c r="I62" t="s">
        <v>1742</v>
      </c>
      <c r="J62" t="s">
        <v>1744</v>
      </c>
      <c r="K62" t="s">
        <v>2114</v>
      </c>
      <c r="L62" t="s">
        <v>1720</v>
      </c>
      <c r="M62" s="57">
        <v>44582</v>
      </c>
      <c r="N62" t="s">
        <v>3480</v>
      </c>
    </row>
    <row r="63" spans="1:14" x14ac:dyDescent="0.35">
      <c r="A63" t="s">
        <v>37</v>
      </c>
      <c r="B63" t="s">
        <v>866</v>
      </c>
      <c r="C63" t="s">
        <v>2261</v>
      </c>
      <c r="D63" t="s">
        <v>1724</v>
      </c>
      <c r="E63" t="s">
        <v>2280</v>
      </c>
      <c r="F63" t="s">
        <v>1801</v>
      </c>
      <c r="G63" t="s">
        <v>1762</v>
      </c>
      <c r="H63" t="s">
        <v>2304</v>
      </c>
      <c r="I63" t="s">
        <v>1743</v>
      </c>
      <c r="J63" t="s">
        <v>1761</v>
      </c>
      <c r="K63" t="s">
        <v>2306</v>
      </c>
      <c r="L63" t="s">
        <v>1720</v>
      </c>
      <c r="M63" s="57">
        <v>44582</v>
      </c>
      <c r="N63" t="s">
        <v>3480</v>
      </c>
    </row>
    <row r="64" spans="1:14" x14ac:dyDescent="0.35">
      <c r="A64" t="s">
        <v>37</v>
      </c>
      <c r="B64" t="s">
        <v>866</v>
      </c>
      <c r="C64" t="s">
        <v>2261</v>
      </c>
      <c r="D64" t="s">
        <v>1721</v>
      </c>
      <c r="E64" t="s">
        <v>2280</v>
      </c>
      <c r="F64" t="s">
        <v>1801</v>
      </c>
      <c r="G64" t="s">
        <v>1728</v>
      </c>
      <c r="H64" t="s">
        <v>1800</v>
      </c>
      <c r="I64" t="s">
        <v>1763</v>
      </c>
      <c r="J64" t="s">
        <v>1746</v>
      </c>
      <c r="K64" t="s">
        <v>2307</v>
      </c>
      <c r="L64" t="s">
        <v>1720</v>
      </c>
      <c r="M64" s="57">
        <v>44582</v>
      </c>
      <c r="N64" t="s">
        <v>3480</v>
      </c>
    </row>
    <row r="65" spans="1:14" hidden="1" x14ac:dyDescent="0.35">
      <c r="A65" t="s">
        <v>789</v>
      </c>
      <c r="B65" t="s">
        <v>1612</v>
      </c>
      <c r="L65" t="s">
        <v>1720</v>
      </c>
    </row>
    <row r="66" spans="1:14" hidden="1" x14ac:dyDescent="0.35">
      <c r="A66" t="s">
        <v>640</v>
      </c>
      <c r="B66" t="s">
        <v>1464</v>
      </c>
      <c r="L66" t="s">
        <v>1720</v>
      </c>
    </row>
    <row r="67" spans="1:14" hidden="1" x14ac:dyDescent="0.35">
      <c r="A67" t="s">
        <v>717</v>
      </c>
      <c r="B67" t="s">
        <v>1541</v>
      </c>
      <c r="L67" t="s">
        <v>1720</v>
      </c>
    </row>
    <row r="68" spans="1:14" hidden="1" x14ac:dyDescent="0.35">
      <c r="A68" t="s">
        <v>447</v>
      </c>
      <c r="B68" t="s">
        <v>1271</v>
      </c>
      <c r="L68" t="s">
        <v>1720</v>
      </c>
    </row>
    <row r="69" spans="1:14" hidden="1" x14ac:dyDescent="0.35">
      <c r="A69" t="s">
        <v>481</v>
      </c>
      <c r="B69" t="s">
        <v>1305</v>
      </c>
      <c r="L69" t="s">
        <v>1720</v>
      </c>
    </row>
    <row r="70" spans="1:14" hidden="1" x14ac:dyDescent="0.35">
      <c r="A70" t="s">
        <v>149</v>
      </c>
      <c r="B70" t="s">
        <v>978</v>
      </c>
      <c r="L70" t="s">
        <v>1720</v>
      </c>
    </row>
    <row r="71" spans="1:14" hidden="1" x14ac:dyDescent="0.35">
      <c r="A71" t="s">
        <v>448</v>
      </c>
      <c r="B71" t="s">
        <v>1272</v>
      </c>
      <c r="L71" t="s">
        <v>1720</v>
      </c>
    </row>
    <row r="72" spans="1:14" x14ac:dyDescent="0.35">
      <c r="A72" t="s">
        <v>193</v>
      </c>
      <c r="B72" t="s">
        <v>1021</v>
      </c>
      <c r="C72" t="s">
        <v>2259</v>
      </c>
      <c r="D72" t="s">
        <v>1721</v>
      </c>
      <c r="F72" t="s">
        <v>1802</v>
      </c>
      <c r="G72" t="s">
        <v>1792</v>
      </c>
      <c r="H72" t="s">
        <v>1793</v>
      </c>
      <c r="I72" t="s">
        <v>1734</v>
      </c>
      <c r="J72" t="s">
        <v>1791</v>
      </c>
      <c r="K72" t="s">
        <v>2518</v>
      </c>
      <c r="L72" t="s">
        <v>1720</v>
      </c>
      <c r="M72" s="57">
        <v>44581</v>
      </c>
      <c r="N72" t="s">
        <v>3480</v>
      </c>
    </row>
    <row r="73" spans="1:14" hidden="1" x14ac:dyDescent="0.35">
      <c r="A73" t="s">
        <v>711</v>
      </c>
      <c r="B73" t="s">
        <v>1535</v>
      </c>
      <c r="L73" t="s">
        <v>1720</v>
      </c>
    </row>
    <row r="74" spans="1:14" x14ac:dyDescent="0.35">
      <c r="A74" t="s">
        <v>472</v>
      </c>
      <c r="B74" t="s">
        <v>1296</v>
      </c>
      <c r="C74" t="s">
        <v>2259</v>
      </c>
      <c r="D74" t="s">
        <v>1721</v>
      </c>
      <c r="F74" t="s">
        <v>1802</v>
      </c>
      <c r="G74" t="s">
        <v>1792</v>
      </c>
      <c r="H74" t="s">
        <v>1793</v>
      </c>
      <c r="I74" t="s">
        <v>1734</v>
      </c>
      <c r="J74" t="s">
        <v>1791</v>
      </c>
      <c r="K74" s="35">
        <v>2.0000000000000001E-4</v>
      </c>
      <c r="L74" t="s">
        <v>1720</v>
      </c>
      <c r="M74" s="57">
        <v>44581</v>
      </c>
      <c r="N74" t="s">
        <v>3480</v>
      </c>
    </row>
    <row r="75" spans="1:14" hidden="1" x14ac:dyDescent="0.35">
      <c r="A75" t="s">
        <v>249</v>
      </c>
      <c r="B75" t="s">
        <v>1075</v>
      </c>
      <c r="L75" t="s">
        <v>1720</v>
      </c>
    </row>
    <row r="76" spans="1:14" hidden="1" x14ac:dyDescent="0.35">
      <c r="A76" t="s">
        <v>722</v>
      </c>
      <c r="B76" t="s">
        <v>1546</v>
      </c>
      <c r="L76" t="s">
        <v>1720</v>
      </c>
    </row>
    <row r="77" spans="1:14" hidden="1" x14ac:dyDescent="0.35">
      <c r="A77" t="s">
        <v>712</v>
      </c>
      <c r="B77" t="s">
        <v>1536</v>
      </c>
      <c r="L77" t="s">
        <v>1720</v>
      </c>
    </row>
    <row r="78" spans="1:14" hidden="1" x14ac:dyDescent="0.35">
      <c r="A78" t="s">
        <v>704</v>
      </c>
      <c r="B78" t="s">
        <v>1528</v>
      </c>
      <c r="L78" t="s">
        <v>1720</v>
      </c>
    </row>
    <row r="79" spans="1:14" hidden="1" x14ac:dyDescent="0.35">
      <c r="A79" t="s">
        <v>473</v>
      </c>
      <c r="B79" t="s">
        <v>1297</v>
      </c>
      <c r="L79" t="s">
        <v>1720</v>
      </c>
    </row>
    <row r="80" spans="1:14" hidden="1" x14ac:dyDescent="0.35">
      <c r="A80" t="s">
        <v>725</v>
      </c>
      <c r="B80" t="s">
        <v>1549</v>
      </c>
      <c r="L80" t="s">
        <v>1720</v>
      </c>
    </row>
    <row r="81" spans="1:14" hidden="1" x14ac:dyDescent="0.35">
      <c r="A81" t="s">
        <v>719</v>
      </c>
      <c r="B81" t="s">
        <v>1543</v>
      </c>
      <c r="L81" t="s">
        <v>1720</v>
      </c>
    </row>
    <row r="82" spans="1:14" x14ac:dyDescent="0.35">
      <c r="A82" t="s">
        <v>769</v>
      </c>
      <c r="B82" t="s">
        <v>1593</v>
      </c>
      <c r="C82" t="s">
        <v>2259</v>
      </c>
      <c r="D82" t="s">
        <v>1721</v>
      </c>
      <c r="F82" t="s">
        <v>1802</v>
      </c>
      <c r="G82" t="s">
        <v>1726</v>
      </c>
      <c r="H82" t="s">
        <v>1777</v>
      </c>
      <c r="I82" t="s">
        <v>1739</v>
      </c>
      <c r="J82" t="s">
        <v>1745</v>
      </c>
      <c r="K82" t="s">
        <v>2119</v>
      </c>
      <c r="L82" t="s">
        <v>1720</v>
      </c>
      <c r="M82" s="57">
        <v>44582</v>
      </c>
      <c r="N82" t="s">
        <v>3480</v>
      </c>
    </row>
    <row r="83" spans="1:14" x14ac:dyDescent="0.35">
      <c r="A83" t="s">
        <v>769</v>
      </c>
      <c r="B83" t="s">
        <v>1593</v>
      </c>
      <c r="C83" t="s">
        <v>2259</v>
      </c>
      <c r="D83" t="s">
        <v>1724</v>
      </c>
      <c r="F83" t="s">
        <v>1802</v>
      </c>
      <c r="G83" t="s">
        <v>1726</v>
      </c>
      <c r="H83" t="s">
        <v>1777</v>
      </c>
      <c r="I83" t="s">
        <v>1739</v>
      </c>
      <c r="J83" t="s">
        <v>1745</v>
      </c>
      <c r="K83" t="s">
        <v>2267</v>
      </c>
      <c r="L83" t="s">
        <v>1720</v>
      </c>
      <c r="M83" s="57">
        <v>44582</v>
      </c>
      <c r="N83" t="s">
        <v>3480</v>
      </c>
    </row>
    <row r="84" spans="1:14" hidden="1" x14ac:dyDescent="0.35">
      <c r="A84" t="s">
        <v>803</v>
      </c>
      <c r="B84" t="s">
        <v>1626</v>
      </c>
      <c r="L84" t="s">
        <v>1720</v>
      </c>
    </row>
    <row r="85" spans="1:14" x14ac:dyDescent="0.35">
      <c r="A85" t="s">
        <v>312</v>
      </c>
      <c r="B85" t="s">
        <v>1137</v>
      </c>
      <c r="C85" t="s">
        <v>2259</v>
      </c>
      <c r="D85" t="s">
        <v>1721</v>
      </c>
      <c r="F85" t="s">
        <v>1802</v>
      </c>
      <c r="G85" t="s">
        <v>1792</v>
      </c>
      <c r="H85" t="s">
        <v>1793</v>
      </c>
      <c r="I85" t="s">
        <v>1734</v>
      </c>
      <c r="J85" t="s">
        <v>1791</v>
      </c>
      <c r="K85" t="s">
        <v>2529</v>
      </c>
      <c r="L85" t="s">
        <v>1720</v>
      </c>
      <c r="M85" s="57">
        <v>44582</v>
      </c>
      <c r="N85" t="s">
        <v>3480</v>
      </c>
    </row>
    <row r="86" spans="1:14" x14ac:dyDescent="0.35">
      <c r="A86" t="s">
        <v>774</v>
      </c>
      <c r="B86" t="s">
        <v>1598</v>
      </c>
      <c r="C86" t="s">
        <v>2259</v>
      </c>
      <c r="D86" t="s">
        <v>1721</v>
      </c>
      <c r="E86" t="s">
        <v>2284</v>
      </c>
      <c r="F86" t="s">
        <v>1801</v>
      </c>
      <c r="G86" t="s">
        <v>1784</v>
      </c>
      <c r="H86" t="s">
        <v>1785</v>
      </c>
      <c r="I86" t="s">
        <v>1794</v>
      </c>
      <c r="J86" t="s">
        <v>1795</v>
      </c>
      <c r="K86" t="s">
        <v>2486</v>
      </c>
      <c r="L86" t="s">
        <v>1720</v>
      </c>
      <c r="M86" s="57">
        <v>44582</v>
      </c>
      <c r="N86" t="s">
        <v>3480</v>
      </c>
    </row>
    <row r="87" spans="1:14" hidden="1" x14ac:dyDescent="0.35">
      <c r="A87" t="s">
        <v>810</v>
      </c>
      <c r="B87" t="s">
        <v>1633</v>
      </c>
      <c r="L87" t="s">
        <v>1720</v>
      </c>
    </row>
    <row r="88" spans="1:14" hidden="1" x14ac:dyDescent="0.35">
      <c r="A88" t="s">
        <v>81</v>
      </c>
      <c r="B88" t="s">
        <v>910</v>
      </c>
      <c r="L88" t="s">
        <v>1720</v>
      </c>
    </row>
    <row r="89" spans="1:14" hidden="1" x14ac:dyDescent="0.35">
      <c r="A89" t="s">
        <v>812</v>
      </c>
      <c r="B89" t="s">
        <v>1635</v>
      </c>
      <c r="L89" t="s">
        <v>1720</v>
      </c>
    </row>
    <row r="90" spans="1:14" hidden="1" x14ac:dyDescent="0.35">
      <c r="A90" t="s">
        <v>713</v>
      </c>
      <c r="B90" t="s">
        <v>1537</v>
      </c>
      <c r="L90" t="s">
        <v>1720</v>
      </c>
    </row>
    <row r="91" spans="1:14" hidden="1" x14ac:dyDescent="0.35">
      <c r="A91" t="s">
        <v>724</v>
      </c>
      <c r="B91" t="s">
        <v>1548</v>
      </c>
      <c r="L91" t="s">
        <v>1720</v>
      </c>
    </row>
    <row r="92" spans="1:14" x14ac:dyDescent="0.35">
      <c r="A92" t="s">
        <v>19</v>
      </c>
      <c r="B92" t="s">
        <v>848</v>
      </c>
      <c r="C92" t="s">
        <v>2261</v>
      </c>
      <c r="D92" t="s">
        <v>1721</v>
      </c>
      <c r="F92" t="s">
        <v>2263</v>
      </c>
      <c r="G92" t="s">
        <v>1725</v>
      </c>
      <c r="H92" t="s">
        <v>1776</v>
      </c>
      <c r="I92" t="s">
        <v>1729</v>
      </c>
      <c r="J92" t="s">
        <v>1747</v>
      </c>
      <c r="K92" t="s">
        <v>2262</v>
      </c>
      <c r="L92" t="s">
        <v>1720</v>
      </c>
      <c r="M92" s="57">
        <v>44581</v>
      </c>
      <c r="N92" t="s">
        <v>3480</v>
      </c>
    </row>
    <row r="93" spans="1:14" x14ac:dyDescent="0.35">
      <c r="A93" t="s">
        <v>19</v>
      </c>
      <c r="B93" t="s">
        <v>848</v>
      </c>
      <c r="C93" t="s">
        <v>2259</v>
      </c>
      <c r="D93" t="s">
        <v>1721</v>
      </c>
      <c r="F93" t="s">
        <v>1802</v>
      </c>
      <c r="G93" t="s">
        <v>1750</v>
      </c>
      <c r="H93" t="s">
        <v>1773</v>
      </c>
      <c r="I93" t="s">
        <v>1748</v>
      </c>
      <c r="J93" t="s">
        <v>1749</v>
      </c>
      <c r="K93" t="s">
        <v>2264</v>
      </c>
      <c r="L93" t="s">
        <v>1720</v>
      </c>
      <c r="M93" s="57">
        <v>44581</v>
      </c>
      <c r="N93" t="s">
        <v>3480</v>
      </c>
    </row>
    <row r="94" spans="1:14" x14ac:dyDescent="0.35">
      <c r="A94" t="s">
        <v>19</v>
      </c>
      <c r="B94" t="s">
        <v>848</v>
      </c>
      <c r="C94" t="s">
        <v>2261</v>
      </c>
      <c r="D94" t="s">
        <v>1721</v>
      </c>
      <c r="F94" t="s">
        <v>1801</v>
      </c>
      <c r="G94" t="s">
        <v>1735</v>
      </c>
      <c r="H94" t="s">
        <v>1774</v>
      </c>
      <c r="I94" t="s">
        <v>1734</v>
      </c>
      <c r="J94" t="s">
        <v>1736</v>
      </c>
      <c r="K94" t="s">
        <v>2129</v>
      </c>
      <c r="L94" t="s">
        <v>1720</v>
      </c>
      <c r="M94" s="57">
        <v>44581</v>
      </c>
      <c r="N94" t="s">
        <v>3480</v>
      </c>
    </row>
    <row r="95" spans="1:14" x14ac:dyDescent="0.35">
      <c r="A95" t="s">
        <v>19</v>
      </c>
      <c r="B95" t="s">
        <v>848</v>
      </c>
      <c r="C95" t="s">
        <v>2259</v>
      </c>
      <c r="D95" t="s">
        <v>1721</v>
      </c>
      <c r="F95" t="s">
        <v>1802</v>
      </c>
      <c r="G95" t="s">
        <v>1727</v>
      </c>
      <c r="H95" t="s">
        <v>1737</v>
      </c>
      <c r="I95" t="s">
        <v>1730</v>
      </c>
      <c r="J95" t="s">
        <v>1732</v>
      </c>
      <c r="K95" t="s">
        <v>2265</v>
      </c>
      <c r="L95" t="s">
        <v>1720</v>
      </c>
      <c r="M95" s="57">
        <v>44581</v>
      </c>
      <c r="N95" t="s">
        <v>3481</v>
      </c>
    </row>
    <row r="96" spans="1:14" x14ac:dyDescent="0.35">
      <c r="A96" t="s">
        <v>19</v>
      </c>
      <c r="B96" t="s">
        <v>848</v>
      </c>
      <c r="C96" t="s">
        <v>2259</v>
      </c>
      <c r="D96" t="s">
        <v>1724</v>
      </c>
      <c r="F96" t="s">
        <v>1802</v>
      </c>
      <c r="G96" t="s">
        <v>1726</v>
      </c>
      <c r="H96" t="s">
        <v>1737</v>
      </c>
      <c r="I96" t="s">
        <v>1730</v>
      </c>
      <c r="J96" t="s">
        <v>1732</v>
      </c>
      <c r="K96" t="s">
        <v>2491</v>
      </c>
      <c r="L96" t="s">
        <v>1720</v>
      </c>
      <c r="M96" s="57">
        <v>44581</v>
      </c>
      <c r="N96" t="s">
        <v>3481</v>
      </c>
    </row>
    <row r="97" spans="1:14" x14ac:dyDescent="0.35">
      <c r="A97" t="s">
        <v>19</v>
      </c>
      <c r="B97" t="s">
        <v>848</v>
      </c>
      <c r="C97" t="s">
        <v>2261</v>
      </c>
      <c r="D97" t="s">
        <v>1721</v>
      </c>
      <c r="F97" t="s">
        <v>1804</v>
      </c>
      <c r="G97" t="s">
        <v>1741</v>
      </c>
      <c r="H97" t="s">
        <v>1775</v>
      </c>
      <c r="I97" t="s">
        <v>1742</v>
      </c>
      <c r="J97" t="s">
        <v>1744</v>
      </c>
      <c r="K97" t="s">
        <v>2129</v>
      </c>
      <c r="L97" t="s">
        <v>1720</v>
      </c>
      <c r="M97" s="57">
        <v>44581</v>
      </c>
      <c r="N97" t="s">
        <v>3480</v>
      </c>
    </row>
    <row r="98" spans="1:14" x14ac:dyDescent="0.35">
      <c r="A98" t="s">
        <v>19</v>
      </c>
      <c r="B98" t="s">
        <v>848</v>
      </c>
      <c r="C98" t="s">
        <v>2259</v>
      </c>
      <c r="D98" t="s">
        <v>1721</v>
      </c>
      <c r="E98" t="s">
        <v>2268</v>
      </c>
      <c r="F98" t="s">
        <v>1802</v>
      </c>
      <c r="G98" t="s">
        <v>1726</v>
      </c>
      <c r="H98" t="s">
        <v>1777</v>
      </c>
      <c r="I98" t="s">
        <v>1739</v>
      </c>
      <c r="J98" t="s">
        <v>1745</v>
      </c>
      <c r="K98" t="s">
        <v>2267</v>
      </c>
      <c r="L98" t="s">
        <v>1720</v>
      </c>
      <c r="M98" s="57">
        <v>44581</v>
      </c>
      <c r="N98" t="s">
        <v>3480</v>
      </c>
    </row>
    <row r="99" spans="1:14" x14ac:dyDescent="0.35">
      <c r="A99" t="s">
        <v>19</v>
      </c>
      <c r="B99" t="s">
        <v>848</v>
      </c>
      <c r="C99" t="s">
        <v>2259</v>
      </c>
      <c r="D99" t="s">
        <v>1721</v>
      </c>
      <c r="E99" t="s">
        <v>2269</v>
      </c>
      <c r="F99" t="s">
        <v>1802</v>
      </c>
      <c r="G99" t="s">
        <v>1726</v>
      </c>
      <c r="H99" t="s">
        <v>1777</v>
      </c>
      <c r="I99" t="s">
        <v>1739</v>
      </c>
      <c r="J99" t="s">
        <v>1745</v>
      </c>
      <c r="K99" t="s">
        <v>2264</v>
      </c>
      <c r="L99" t="s">
        <v>1720</v>
      </c>
      <c r="M99" s="57">
        <v>44581</v>
      </c>
      <c r="N99" t="s">
        <v>3480</v>
      </c>
    </row>
    <row r="100" spans="1:14" hidden="1" x14ac:dyDescent="0.35">
      <c r="A100" t="s">
        <v>809</v>
      </c>
      <c r="B100" t="s">
        <v>1632</v>
      </c>
      <c r="L100" t="s">
        <v>1720</v>
      </c>
    </row>
    <row r="101" spans="1:14" x14ac:dyDescent="0.35">
      <c r="A101" t="s">
        <v>216</v>
      </c>
      <c r="B101" t="s">
        <v>1043</v>
      </c>
      <c r="C101" t="s">
        <v>2261</v>
      </c>
      <c r="D101" t="s">
        <v>1721</v>
      </c>
      <c r="F101" t="s">
        <v>1804</v>
      </c>
      <c r="G101" t="s">
        <v>1741</v>
      </c>
      <c r="H101" t="s">
        <v>1775</v>
      </c>
      <c r="I101" t="s">
        <v>1742</v>
      </c>
      <c r="J101" t="s">
        <v>1744</v>
      </c>
      <c r="K101" t="s">
        <v>2392</v>
      </c>
      <c r="L101" t="s">
        <v>1720</v>
      </c>
      <c r="M101" s="57">
        <v>44581</v>
      </c>
      <c r="N101" t="s">
        <v>3480</v>
      </c>
    </row>
    <row r="102" spans="1:14" hidden="1" x14ac:dyDescent="0.35">
      <c r="A102" t="s">
        <v>814</v>
      </c>
      <c r="B102" t="s">
        <v>1637</v>
      </c>
      <c r="L102" t="s">
        <v>1720</v>
      </c>
    </row>
    <row r="103" spans="1:14" hidden="1" x14ac:dyDescent="0.35">
      <c r="A103" t="s">
        <v>185</v>
      </c>
      <c r="B103" t="s">
        <v>1013</v>
      </c>
      <c r="L103" t="s">
        <v>1720</v>
      </c>
    </row>
    <row r="104" spans="1:14" hidden="1" x14ac:dyDescent="0.35">
      <c r="A104" t="s">
        <v>772</v>
      </c>
      <c r="B104" t="s">
        <v>1596</v>
      </c>
      <c r="L104" t="s">
        <v>1720</v>
      </c>
    </row>
    <row r="105" spans="1:14" hidden="1" x14ac:dyDescent="0.35">
      <c r="A105" t="s">
        <v>455</v>
      </c>
      <c r="B105" t="s">
        <v>1279</v>
      </c>
      <c r="L105" t="s">
        <v>1720</v>
      </c>
    </row>
    <row r="106" spans="1:14" hidden="1" x14ac:dyDescent="0.35">
      <c r="A106" t="s">
        <v>420</v>
      </c>
      <c r="B106" t="s">
        <v>1244</v>
      </c>
      <c r="L106" t="s">
        <v>1720</v>
      </c>
    </row>
    <row r="107" spans="1:14" hidden="1" x14ac:dyDescent="0.35">
      <c r="A107" t="s">
        <v>28</v>
      </c>
      <c r="B107" t="s">
        <v>857</v>
      </c>
      <c r="L107" t="s">
        <v>1720</v>
      </c>
    </row>
    <row r="108" spans="1:14" hidden="1" x14ac:dyDescent="0.35">
      <c r="A108" t="s">
        <v>366</v>
      </c>
      <c r="B108" t="s">
        <v>1190</v>
      </c>
      <c r="L108" t="s">
        <v>1720</v>
      </c>
    </row>
    <row r="109" spans="1:14" hidden="1" x14ac:dyDescent="0.35">
      <c r="A109" t="s">
        <v>147</v>
      </c>
      <c r="B109" t="s">
        <v>976</v>
      </c>
      <c r="L109" t="s">
        <v>1720</v>
      </c>
    </row>
    <row r="110" spans="1:14" hidden="1" x14ac:dyDescent="0.35">
      <c r="A110" t="s">
        <v>740</v>
      </c>
      <c r="B110" t="s">
        <v>1564</v>
      </c>
      <c r="L110" t="s">
        <v>1720</v>
      </c>
    </row>
    <row r="111" spans="1:14" hidden="1" x14ac:dyDescent="0.35">
      <c r="A111" t="s">
        <v>438</v>
      </c>
      <c r="B111" t="s">
        <v>1262</v>
      </c>
      <c r="L111" t="s">
        <v>1720</v>
      </c>
    </row>
    <row r="112" spans="1:14" hidden="1" x14ac:dyDescent="0.35">
      <c r="A112" t="s">
        <v>678</v>
      </c>
      <c r="B112" t="s">
        <v>1502</v>
      </c>
      <c r="L112" t="s">
        <v>1720</v>
      </c>
    </row>
    <row r="113" spans="1:14" hidden="1" x14ac:dyDescent="0.35">
      <c r="A113" t="s">
        <v>389</v>
      </c>
      <c r="B113" t="s">
        <v>1213</v>
      </c>
      <c r="L113" t="s">
        <v>1720</v>
      </c>
    </row>
    <row r="114" spans="1:14" hidden="1" x14ac:dyDescent="0.35">
      <c r="A114" t="s">
        <v>394</v>
      </c>
      <c r="B114" t="s">
        <v>1218</v>
      </c>
      <c r="L114" t="s">
        <v>1720</v>
      </c>
    </row>
    <row r="115" spans="1:14" hidden="1" x14ac:dyDescent="0.35">
      <c r="A115" t="s">
        <v>792</v>
      </c>
      <c r="B115" t="s">
        <v>1615</v>
      </c>
      <c r="L115" t="s">
        <v>1720</v>
      </c>
    </row>
    <row r="116" spans="1:14" hidden="1" x14ac:dyDescent="0.35">
      <c r="A116" t="s">
        <v>782</v>
      </c>
      <c r="B116" t="s">
        <v>1605</v>
      </c>
      <c r="L116" t="s">
        <v>1720</v>
      </c>
    </row>
    <row r="117" spans="1:14" x14ac:dyDescent="0.35">
      <c r="A117" t="s">
        <v>33</v>
      </c>
      <c r="B117" t="s">
        <v>862</v>
      </c>
      <c r="C117" t="s">
        <v>2261</v>
      </c>
      <c r="D117" t="s">
        <v>1721</v>
      </c>
      <c r="F117" t="s">
        <v>1804</v>
      </c>
      <c r="G117" t="s">
        <v>1741</v>
      </c>
      <c r="H117" t="s">
        <v>1775</v>
      </c>
      <c r="I117" t="s">
        <v>1742</v>
      </c>
      <c r="J117" t="s">
        <v>1744</v>
      </c>
      <c r="K117" t="s">
        <v>2114</v>
      </c>
      <c r="L117" t="s">
        <v>1720</v>
      </c>
      <c r="M117" s="57">
        <v>44582</v>
      </c>
      <c r="N117" t="s">
        <v>3480</v>
      </c>
    </row>
    <row r="118" spans="1:14" x14ac:dyDescent="0.35">
      <c r="A118" t="s">
        <v>33</v>
      </c>
      <c r="B118" t="s">
        <v>862</v>
      </c>
      <c r="C118" t="s">
        <v>2261</v>
      </c>
      <c r="D118" t="s">
        <v>1721</v>
      </c>
      <c r="F118" t="s">
        <v>1802</v>
      </c>
      <c r="G118" t="s">
        <v>1848</v>
      </c>
      <c r="H118" t="s">
        <v>2282</v>
      </c>
      <c r="I118" t="s">
        <v>1872</v>
      </c>
      <c r="J118" t="s">
        <v>1723</v>
      </c>
      <c r="K118" t="s">
        <v>2281</v>
      </c>
      <c r="L118" t="s">
        <v>1720</v>
      </c>
      <c r="M118" s="57">
        <v>44582</v>
      </c>
      <c r="N118" t="s">
        <v>3480</v>
      </c>
    </row>
    <row r="119" spans="1:14" x14ac:dyDescent="0.35">
      <c r="A119" t="s">
        <v>33</v>
      </c>
      <c r="B119" t="s">
        <v>862</v>
      </c>
      <c r="C119" t="s">
        <v>2261</v>
      </c>
      <c r="D119" t="s">
        <v>1721</v>
      </c>
      <c r="E119" t="s">
        <v>2284</v>
      </c>
      <c r="F119" t="s">
        <v>2285</v>
      </c>
      <c r="G119" t="s">
        <v>1784</v>
      </c>
      <c r="H119" t="s">
        <v>1785</v>
      </c>
      <c r="I119" t="s">
        <v>1782</v>
      </c>
      <c r="J119" t="s">
        <v>1786</v>
      </c>
      <c r="K119" t="s">
        <v>2283</v>
      </c>
      <c r="L119" t="s">
        <v>1720</v>
      </c>
      <c r="M119" s="57">
        <v>44582</v>
      </c>
      <c r="N119" t="s">
        <v>3480</v>
      </c>
    </row>
    <row r="120" spans="1:14" hidden="1" x14ac:dyDescent="0.35">
      <c r="A120" t="s">
        <v>406</v>
      </c>
      <c r="B120" t="s">
        <v>1230</v>
      </c>
      <c r="L120" t="s">
        <v>1720</v>
      </c>
    </row>
    <row r="121" spans="1:14" hidden="1" x14ac:dyDescent="0.35">
      <c r="A121" t="s">
        <v>529</v>
      </c>
      <c r="B121" t="s">
        <v>1353</v>
      </c>
      <c r="L121" t="s">
        <v>1720</v>
      </c>
    </row>
    <row r="122" spans="1:14" hidden="1" x14ac:dyDescent="0.35">
      <c r="A122" t="s">
        <v>657</v>
      </c>
      <c r="B122" t="s">
        <v>1481</v>
      </c>
      <c r="L122" t="s">
        <v>1720</v>
      </c>
    </row>
    <row r="123" spans="1:14" hidden="1" x14ac:dyDescent="0.35">
      <c r="A123" t="s">
        <v>595</v>
      </c>
      <c r="B123" t="s">
        <v>1419</v>
      </c>
      <c r="L123" t="s">
        <v>1720</v>
      </c>
    </row>
    <row r="124" spans="1:14" hidden="1" x14ac:dyDescent="0.35">
      <c r="A124" t="s">
        <v>705</v>
      </c>
      <c r="B124" t="s">
        <v>1529</v>
      </c>
      <c r="L124" t="s">
        <v>1720</v>
      </c>
    </row>
    <row r="125" spans="1:14" hidden="1" x14ac:dyDescent="0.35">
      <c r="A125" t="s">
        <v>649</v>
      </c>
      <c r="B125" t="s">
        <v>1473</v>
      </c>
      <c r="L125" t="s">
        <v>1720</v>
      </c>
    </row>
    <row r="126" spans="1:14" hidden="1" x14ac:dyDescent="0.35">
      <c r="A126" t="s">
        <v>418</v>
      </c>
      <c r="B126" t="s">
        <v>1242</v>
      </c>
      <c r="L126" t="s">
        <v>1720</v>
      </c>
    </row>
    <row r="127" spans="1:14" hidden="1" x14ac:dyDescent="0.35">
      <c r="A127" t="s">
        <v>230</v>
      </c>
      <c r="B127" t="s">
        <v>1057</v>
      </c>
      <c r="L127" t="s">
        <v>1720</v>
      </c>
    </row>
    <row r="128" spans="1:14" hidden="1" x14ac:dyDescent="0.35">
      <c r="A128" t="s">
        <v>508</v>
      </c>
      <c r="B128" t="s">
        <v>1332</v>
      </c>
      <c r="L128" t="s">
        <v>1720</v>
      </c>
    </row>
    <row r="129" spans="1:14" hidden="1" x14ac:dyDescent="0.35">
      <c r="A129" t="s">
        <v>168</v>
      </c>
      <c r="B129" t="s">
        <v>997</v>
      </c>
      <c r="L129" t="s">
        <v>1720</v>
      </c>
    </row>
    <row r="130" spans="1:14" hidden="1" x14ac:dyDescent="0.35">
      <c r="A130" t="s">
        <v>365</v>
      </c>
      <c r="B130" t="s">
        <v>1189</v>
      </c>
      <c r="L130" t="s">
        <v>1720</v>
      </c>
    </row>
    <row r="131" spans="1:14" hidden="1" x14ac:dyDescent="0.35">
      <c r="A131" t="s">
        <v>494</v>
      </c>
      <c r="B131" t="s">
        <v>1318</v>
      </c>
      <c r="L131" t="s">
        <v>1720</v>
      </c>
    </row>
    <row r="132" spans="1:14" hidden="1" x14ac:dyDescent="0.35">
      <c r="A132" t="s">
        <v>781</v>
      </c>
      <c r="B132" t="s">
        <v>1604</v>
      </c>
      <c r="L132" t="s">
        <v>1720</v>
      </c>
    </row>
    <row r="133" spans="1:14" hidden="1" x14ac:dyDescent="0.35">
      <c r="A133" t="s">
        <v>74</v>
      </c>
      <c r="B133" t="s">
        <v>903</v>
      </c>
      <c r="L133" t="s">
        <v>1720</v>
      </c>
    </row>
    <row r="134" spans="1:14" hidden="1" x14ac:dyDescent="0.35">
      <c r="A134" t="s">
        <v>323</v>
      </c>
      <c r="B134" t="s">
        <v>1148</v>
      </c>
      <c r="L134" t="s">
        <v>1720</v>
      </c>
    </row>
    <row r="135" spans="1:14" x14ac:dyDescent="0.35">
      <c r="A135" t="s">
        <v>537</v>
      </c>
      <c r="B135" t="s">
        <v>1361</v>
      </c>
      <c r="C135" t="s">
        <v>2261</v>
      </c>
      <c r="D135" t="s">
        <v>1721</v>
      </c>
      <c r="E135" t="s">
        <v>2288</v>
      </c>
      <c r="F135" t="s">
        <v>1803</v>
      </c>
      <c r="G135" t="s">
        <v>1754</v>
      </c>
      <c r="H135" t="s">
        <v>1796</v>
      </c>
      <c r="I135" t="s">
        <v>1917</v>
      </c>
      <c r="J135" t="s">
        <v>1753</v>
      </c>
      <c r="K135" t="s">
        <v>2350</v>
      </c>
      <c r="L135" t="s">
        <v>1720</v>
      </c>
      <c r="M135" s="57">
        <v>44582</v>
      </c>
      <c r="N135" t="s">
        <v>3480</v>
      </c>
    </row>
    <row r="136" spans="1:14" x14ac:dyDescent="0.35">
      <c r="A136" t="s">
        <v>537</v>
      </c>
      <c r="B136" t="s">
        <v>1361</v>
      </c>
      <c r="C136" t="s">
        <v>2261</v>
      </c>
      <c r="D136" t="s">
        <v>1721</v>
      </c>
      <c r="E136" t="s">
        <v>2290</v>
      </c>
      <c r="F136" t="s">
        <v>1803</v>
      </c>
      <c r="G136" t="s">
        <v>1754</v>
      </c>
      <c r="H136" t="s">
        <v>1796</v>
      </c>
      <c r="I136" t="s">
        <v>1917</v>
      </c>
      <c r="J136" t="s">
        <v>1753</v>
      </c>
      <c r="K136" t="s">
        <v>2322</v>
      </c>
      <c r="L136" t="s">
        <v>1720</v>
      </c>
      <c r="M136" s="57">
        <v>44582</v>
      </c>
      <c r="N136" t="s">
        <v>3480</v>
      </c>
    </row>
    <row r="137" spans="1:14" x14ac:dyDescent="0.35">
      <c r="A137" t="s">
        <v>537</v>
      </c>
      <c r="B137" t="s">
        <v>1361</v>
      </c>
      <c r="C137" t="s">
        <v>2259</v>
      </c>
      <c r="D137" t="s">
        <v>1721</v>
      </c>
      <c r="E137" t="s">
        <v>1807</v>
      </c>
      <c r="F137" t="s">
        <v>1802</v>
      </c>
      <c r="G137" t="s">
        <v>1737</v>
      </c>
      <c r="H137" t="s">
        <v>1737</v>
      </c>
      <c r="I137" t="s">
        <v>1738</v>
      </c>
      <c r="J137" t="s">
        <v>1740</v>
      </c>
      <c r="K137" t="s">
        <v>2276</v>
      </c>
      <c r="L137" t="s">
        <v>1720</v>
      </c>
      <c r="M137" s="57">
        <v>44582</v>
      </c>
      <c r="N137" t="s">
        <v>3481</v>
      </c>
    </row>
    <row r="138" spans="1:14" x14ac:dyDescent="0.35">
      <c r="A138" t="s">
        <v>537</v>
      </c>
      <c r="B138" t="s">
        <v>1361</v>
      </c>
      <c r="C138" t="s">
        <v>2259</v>
      </c>
      <c r="D138" t="s">
        <v>1724</v>
      </c>
      <c r="E138" t="s">
        <v>1807</v>
      </c>
      <c r="F138" t="s">
        <v>1802</v>
      </c>
      <c r="G138" t="s">
        <v>1737</v>
      </c>
      <c r="H138" t="s">
        <v>1737</v>
      </c>
      <c r="I138" t="s">
        <v>1738</v>
      </c>
      <c r="J138" t="s">
        <v>1740</v>
      </c>
      <c r="K138" t="s">
        <v>2439</v>
      </c>
      <c r="L138" t="s">
        <v>1720</v>
      </c>
      <c r="M138" s="57">
        <v>44582</v>
      </c>
      <c r="N138" t="s">
        <v>3481</v>
      </c>
    </row>
    <row r="139" spans="1:14" x14ac:dyDescent="0.35">
      <c r="A139" t="s">
        <v>537</v>
      </c>
      <c r="B139" t="s">
        <v>1361</v>
      </c>
      <c r="C139" t="s">
        <v>2259</v>
      </c>
      <c r="D139" t="s">
        <v>1724</v>
      </c>
      <c r="F139" t="s">
        <v>1802</v>
      </c>
      <c r="G139" t="s">
        <v>1726</v>
      </c>
      <c r="H139" t="s">
        <v>1777</v>
      </c>
      <c r="I139" t="s">
        <v>1739</v>
      </c>
      <c r="J139" t="s">
        <v>1745</v>
      </c>
      <c r="K139" t="s">
        <v>2387</v>
      </c>
      <c r="L139" t="s">
        <v>1720</v>
      </c>
      <c r="M139" s="57">
        <v>44582</v>
      </c>
      <c r="N139" t="s">
        <v>3480</v>
      </c>
    </row>
    <row r="140" spans="1:14" x14ac:dyDescent="0.35">
      <c r="A140" t="s">
        <v>537</v>
      </c>
      <c r="B140" t="s">
        <v>1361</v>
      </c>
      <c r="C140" t="s">
        <v>2261</v>
      </c>
      <c r="D140" t="s">
        <v>1721</v>
      </c>
      <c r="F140" t="s">
        <v>1802</v>
      </c>
      <c r="G140" t="s">
        <v>1726</v>
      </c>
      <c r="H140" t="s">
        <v>1777</v>
      </c>
      <c r="I140" t="s">
        <v>1739</v>
      </c>
      <c r="J140" t="s">
        <v>1745</v>
      </c>
      <c r="K140" t="s">
        <v>2350</v>
      </c>
      <c r="L140" t="s">
        <v>1720</v>
      </c>
      <c r="M140" s="57">
        <v>44582</v>
      </c>
      <c r="N140" t="s">
        <v>3480</v>
      </c>
    </row>
    <row r="141" spans="1:14" hidden="1" x14ac:dyDescent="0.35">
      <c r="A141" t="s">
        <v>710</v>
      </c>
      <c r="B141" t="s">
        <v>1534</v>
      </c>
      <c r="L141" t="s">
        <v>1720</v>
      </c>
    </row>
    <row r="142" spans="1:14" hidden="1" x14ac:dyDescent="0.35">
      <c r="A142" t="s">
        <v>441</v>
      </c>
      <c r="B142" t="s">
        <v>1265</v>
      </c>
      <c r="L142" t="s">
        <v>1720</v>
      </c>
    </row>
    <row r="143" spans="1:14" hidden="1" x14ac:dyDescent="0.35">
      <c r="A143" t="s">
        <v>799</v>
      </c>
      <c r="B143" t="s">
        <v>1622</v>
      </c>
      <c r="L143" t="s">
        <v>1720</v>
      </c>
    </row>
    <row r="144" spans="1:14" hidden="1" x14ac:dyDescent="0.35">
      <c r="A144" t="s">
        <v>662</v>
      </c>
      <c r="B144" t="s">
        <v>1486</v>
      </c>
      <c r="L144" t="s">
        <v>1720</v>
      </c>
    </row>
    <row r="145" spans="1:12" hidden="1" x14ac:dyDescent="0.35">
      <c r="A145" t="s">
        <v>285</v>
      </c>
      <c r="B145" t="s">
        <v>1110</v>
      </c>
      <c r="L145" t="s">
        <v>1720</v>
      </c>
    </row>
    <row r="146" spans="1:12" hidden="1" x14ac:dyDescent="0.35">
      <c r="A146" t="s">
        <v>46</v>
      </c>
      <c r="B146" t="s">
        <v>875</v>
      </c>
      <c r="L146" t="s">
        <v>1720</v>
      </c>
    </row>
    <row r="147" spans="1:12" hidden="1" x14ac:dyDescent="0.35">
      <c r="A147" t="s">
        <v>650</v>
      </c>
      <c r="B147" t="s">
        <v>1474</v>
      </c>
      <c r="L147" t="s">
        <v>1720</v>
      </c>
    </row>
    <row r="148" spans="1:12" hidden="1" x14ac:dyDescent="0.35">
      <c r="A148" t="s">
        <v>27</v>
      </c>
      <c r="B148" t="s">
        <v>856</v>
      </c>
      <c r="L148" t="s">
        <v>1720</v>
      </c>
    </row>
    <row r="149" spans="1:12" hidden="1" x14ac:dyDescent="0.35">
      <c r="A149" t="s">
        <v>199</v>
      </c>
      <c r="B149" t="s">
        <v>1027</v>
      </c>
      <c r="L149" t="s">
        <v>1720</v>
      </c>
    </row>
    <row r="150" spans="1:12" hidden="1" x14ac:dyDescent="0.35">
      <c r="A150" t="s">
        <v>679</v>
      </c>
      <c r="B150" t="s">
        <v>1503</v>
      </c>
      <c r="L150" t="s">
        <v>1720</v>
      </c>
    </row>
    <row r="151" spans="1:12" hidden="1" x14ac:dyDescent="0.35">
      <c r="A151" t="s">
        <v>680</v>
      </c>
      <c r="B151" t="s">
        <v>1504</v>
      </c>
      <c r="L151" t="s">
        <v>1720</v>
      </c>
    </row>
    <row r="152" spans="1:12" hidden="1" x14ac:dyDescent="0.35">
      <c r="A152" t="s">
        <v>681</v>
      </c>
      <c r="B152" t="s">
        <v>1505</v>
      </c>
      <c r="L152" t="s">
        <v>1720</v>
      </c>
    </row>
    <row r="153" spans="1:12" hidden="1" x14ac:dyDescent="0.35">
      <c r="A153" t="s">
        <v>387</v>
      </c>
      <c r="B153" t="s">
        <v>1211</v>
      </c>
      <c r="L153" t="s">
        <v>1720</v>
      </c>
    </row>
    <row r="154" spans="1:12" hidden="1" x14ac:dyDescent="0.35">
      <c r="A154" t="s">
        <v>371</v>
      </c>
      <c r="B154" t="s">
        <v>1195</v>
      </c>
      <c r="L154" t="s">
        <v>1720</v>
      </c>
    </row>
    <row r="155" spans="1:12" hidden="1" x14ac:dyDescent="0.35">
      <c r="A155" t="s">
        <v>788</v>
      </c>
      <c r="B155" t="s">
        <v>1611</v>
      </c>
      <c r="L155" t="s">
        <v>1720</v>
      </c>
    </row>
    <row r="156" spans="1:12" hidden="1" x14ac:dyDescent="0.35">
      <c r="A156" t="s">
        <v>482</v>
      </c>
      <c r="B156" t="s">
        <v>1306</v>
      </c>
      <c r="L156" t="s">
        <v>1720</v>
      </c>
    </row>
    <row r="157" spans="1:12" hidden="1" x14ac:dyDescent="0.35">
      <c r="A157" t="s">
        <v>172</v>
      </c>
      <c r="B157" t="s">
        <v>1001</v>
      </c>
      <c r="L157" t="s">
        <v>1720</v>
      </c>
    </row>
    <row r="158" spans="1:12" hidden="1" x14ac:dyDescent="0.35">
      <c r="A158" t="s">
        <v>226</v>
      </c>
      <c r="B158" t="s">
        <v>1053</v>
      </c>
      <c r="L158" t="s">
        <v>1720</v>
      </c>
    </row>
    <row r="159" spans="1:12" hidden="1" x14ac:dyDescent="0.35">
      <c r="A159" t="s">
        <v>498</v>
      </c>
      <c r="B159" t="s">
        <v>1322</v>
      </c>
      <c r="L159" t="s">
        <v>1720</v>
      </c>
    </row>
    <row r="160" spans="1:12" hidden="1" x14ac:dyDescent="0.35">
      <c r="A160" t="s">
        <v>667</v>
      </c>
      <c r="B160" t="s">
        <v>1491</v>
      </c>
      <c r="L160" t="s">
        <v>1720</v>
      </c>
    </row>
    <row r="161" spans="1:12" hidden="1" x14ac:dyDescent="0.35">
      <c r="A161" t="s">
        <v>445</v>
      </c>
      <c r="B161" t="s">
        <v>1269</v>
      </c>
      <c r="L161" t="s">
        <v>1720</v>
      </c>
    </row>
    <row r="162" spans="1:12" hidden="1" x14ac:dyDescent="0.35">
      <c r="A162" t="s">
        <v>41</v>
      </c>
      <c r="B162" t="s">
        <v>870</v>
      </c>
      <c r="L162" t="s">
        <v>1720</v>
      </c>
    </row>
    <row r="163" spans="1:12" hidden="1" x14ac:dyDescent="0.35">
      <c r="A163" t="s">
        <v>281</v>
      </c>
      <c r="B163" t="s">
        <v>1107</v>
      </c>
      <c r="L163" t="s">
        <v>1720</v>
      </c>
    </row>
    <row r="164" spans="1:12" hidden="1" x14ac:dyDescent="0.35">
      <c r="A164" t="s">
        <v>273</v>
      </c>
      <c r="B164" t="s">
        <v>1099</v>
      </c>
      <c r="L164" t="s">
        <v>1720</v>
      </c>
    </row>
    <row r="165" spans="1:12" hidden="1" x14ac:dyDescent="0.35">
      <c r="A165" t="s">
        <v>256</v>
      </c>
      <c r="B165" t="s">
        <v>1082</v>
      </c>
      <c r="L165" t="s">
        <v>1720</v>
      </c>
    </row>
    <row r="166" spans="1:12" hidden="1" x14ac:dyDescent="0.35">
      <c r="A166" t="s">
        <v>549</v>
      </c>
      <c r="B166" t="s">
        <v>1373</v>
      </c>
      <c r="L166" t="s">
        <v>1720</v>
      </c>
    </row>
    <row r="167" spans="1:12" hidden="1" x14ac:dyDescent="0.35">
      <c r="A167" t="s">
        <v>783</v>
      </c>
      <c r="B167" t="s">
        <v>1606</v>
      </c>
      <c r="L167" t="s">
        <v>1720</v>
      </c>
    </row>
    <row r="168" spans="1:12" hidden="1" x14ac:dyDescent="0.35">
      <c r="A168" t="s">
        <v>342</v>
      </c>
      <c r="B168" t="s">
        <v>1166</v>
      </c>
      <c r="L168" t="s">
        <v>1720</v>
      </c>
    </row>
    <row r="169" spans="1:12" hidden="1" x14ac:dyDescent="0.35">
      <c r="A169" t="s">
        <v>796</v>
      </c>
      <c r="B169" t="s">
        <v>1619</v>
      </c>
      <c r="L169" t="s">
        <v>1720</v>
      </c>
    </row>
    <row r="170" spans="1:12" hidden="1" x14ac:dyDescent="0.35">
      <c r="A170" t="s">
        <v>798</v>
      </c>
      <c r="B170" t="s">
        <v>1621</v>
      </c>
      <c r="L170" t="s">
        <v>1720</v>
      </c>
    </row>
    <row r="171" spans="1:12" hidden="1" x14ac:dyDescent="0.35">
      <c r="A171" t="s">
        <v>811</v>
      </c>
      <c r="B171" t="s">
        <v>1634</v>
      </c>
      <c r="L171" t="s">
        <v>1720</v>
      </c>
    </row>
    <row r="172" spans="1:12" hidden="1" x14ac:dyDescent="0.35">
      <c r="A172" t="s">
        <v>805</v>
      </c>
      <c r="B172" t="s">
        <v>1628</v>
      </c>
      <c r="L172" t="s">
        <v>1720</v>
      </c>
    </row>
    <row r="173" spans="1:12" hidden="1" x14ac:dyDescent="0.35">
      <c r="A173" t="s">
        <v>443</v>
      </c>
      <c r="B173" t="s">
        <v>1267</v>
      </c>
      <c r="L173" t="s">
        <v>1720</v>
      </c>
    </row>
    <row r="174" spans="1:12" hidden="1" x14ac:dyDescent="0.35">
      <c r="A174" t="s">
        <v>784</v>
      </c>
      <c r="B174" t="s">
        <v>1607</v>
      </c>
      <c r="L174" t="s">
        <v>1720</v>
      </c>
    </row>
    <row r="175" spans="1:12" hidden="1" x14ac:dyDescent="0.35">
      <c r="A175" t="s">
        <v>815</v>
      </c>
      <c r="B175" t="s">
        <v>1638</v>
      </c>
      <c r="L175" t="s">
        <v>1720</v>
      </c>
    </row>
    <row r="176" spans="1:12" hidden="1" x14ac:dyDescent="0.35">
      <c r="A176" t="s">
        <v>806</v>
      </c>
      <c r="B176" t="s">
        <v>1629</v>
      </c>
      <c r="L176" t="s">
        <v>1720</v>
      </c>
    </row>
    <row r="177" spans="1:14" hidden="1" x14ac:dyDescent="0.35">
      <c r="A177" t="s">
        <v>802</v>
      </c>
      <c r="B177" t="s">
        <v>1625</v>
      </c>
      <c r="L177" t="s">
        <v>1720</v>
      </c>
    </row>
    <row r="178" spans="1:14" hidden="1" x14ac:dyDescent="0.35">
      <c r="A178" t="s">
        <v>526</v>
      </c>
      <c r="B178" t="s">
        <v>1350</v>
      </c>
      <c r="L178" t="s">
        <v>1720</v>
      </c>
    </row>
    <row r="179" spans="1:14" hidden="1" x14ac:dyDescent="0.35">
      <c r="A179" t="s">
        <v>101</v>
      </c>
      <c r="B179" t="s">
        <v>930</v>
      </c>
      <c r="L179" t="s">
        <v>1720</v>
      </c>
    </row>
    <row r="180" spans="1:14" hidden="1" x14ac:dyDescent="0.35">
      <c r="A180" t="s">
        <v>552</v>
      </c>
      <c r="B180" t="s">
        <v>1376</v>
      </c>
      <c r="L180" t="s">
        <v>1720</v>
      </c>
    </row>
    <row r="181" spans="1:14" hidden="1" x14ac:dyDescent="0.35">
      <c r="A181" t="s">
        <v>39</v>
      </c>
      <c r="B181" t="s">
        <v>868</v>
      </c>
      <c r="L181" t="s">
        <v>1720</v>
      </c>
    </row>
    <row r="182" spans="1:14" x14ac:dyDescent="0.35">
      <c r="A182" t="s">
        <v>75</v>
      </c>
      <c r="B182" t="s">
        <v>904</v>
      </c>
      <c r="C182" t="s">
        <v>2259</v>
      </c>
      <c r="D182" t="s">
        <v>1721</v>
      </c>
      <c r="F182" t="s">
        <v>1802</v>
      </c>
      <c r="G182" t="s">
        <v>1750</v>
      </c>
      <c r="H182" t="s">
        <v>1773</v>
      </c>
      <c r="I182" t="s">
        <v>1748</v>
      </c>
      <c r="J182" t="s">
        <v>1749</v>
      </c>
      <c r="K182" t="s">
        <v>2335</v>
      </c>
      <c r="L182" t="s">
        <v>1720</v>
      </c>
      <c r="M182" s="57">
        <v>44581</v>
      </c>
      <c r="N182" t="s">
        <v>3480</v>
      </c>
    </row>
    <row r="183" spans="1:14" x14ac:dyDescent="0.35">
      <c r="A183" t="s">
        <v>75</v>
      </c>
      <c r="B183" t="s">
        <v>904</v>
      </c>
      <c r="C183" t="s">
        <v>2259</v>
      </c>
      <c r="D183" t="s">
        <v>1721</v>
      </c>
      <c r="F183" t="s">
        <v>1801</v>
      </c>
      <c r="G183" t="s">
        <v>1735</v>
      </c>
      <c r="H183" t="s">
        <v>1774</v>
      </c>
      <c r="I183" t="s">
        <v>1734</v>
      </c>
      <c r="J183" t="s">
        <v>1787</v>
      </c>
      <c r="K183" t="s">
        <v>2336</v>
      </c>
      <c r="L183" t="s">
        <v>1720</v>
      </c>
      <c r="M183" s="57">
        <v>44581</v>
      </c>
      <c r="N183" t="s">
        <v>3480</v>
      </c>
    </row>
    <row r="184" spans="1:14" x14ac:dyDescent="0.35">
      <c r="A184" t="s">
        <v>75</v>
      </c>
      <c r="B184" t="s">
        <v>904</v>
      </c>
      <c r="C184" t="s">
        <v>2259</v>
      </c>
      <c r="D184" t="s">
        <v>1724</v>
      </c>
      <c r="F184" t="s">
        <v>1802</v>
      </c>
      <c r="G184" t="s">
        <v>1726</v>
      </c>
      <c r="H184" t="s">
        <v>1737</v>
      </c>
      <c r="I184" t="s">
        <v>1730</v>
      </c>
      <c r="J184" t="s">
        <v>1732</v>
      </c>
      <c r="K184" t="s">
        <v>2292</v>
      </c>
      <c r="L184" t="s">
        <v>1720</v>
      </c>
      <c r="M184" s="57">
        <v>44581</v>
      </c>
      <c r="N184" t="s">
        <v>3481</v>
      </c>
    </row>
    <row r="185" spans="1:14" x14ac:dyDescent="0.35">
      <c r="A185" t="s">
        <v>75</v>
      </c>
      <c r="B185" t="s">
        <v>904</v>
      </c>
      <c r="C185" t="s">
        <v>2259</v>
      </c>
      <c r="D185" t="s">
        <v>1721</v>
      </c>
      <c r="F185" t="s">
        <v>1802</v>
      </c>
      <c r="G185" t="s">
        <v>1727</v>
      </c>
      <c r="H185" t="s">
        <v>1737</v>
      </c>
      <c r="I185" t="s">
        <v>1730</v>
      </c>
      <c r="J185" t="s">
        <v>1732</v>
      </c>
      <c r="K185" t="s">
        <v>2337</v>
      </c>
      <c r="L185" t="s">
        <v>1720</v>
      </c>
      <c r="M185" s="57">
        <v>44581</v>
      </c>
      <c r="N185" t="s">
        <v>3481</v>
      </c>
    </row>
    <row r="186" spans="1:14" x14ac:dyDescent="0.35">
      <c r="A186" t="s">
        <v>75</v>
      </c>
      <c r="B186" t="s">
        <v>904</v>
      </c>
      <c r="C186" t="s">
        <v>2261</v>
      </c>
      <c r="D186" t="s">
        <v>1721</v>
      </c>
      <c r="E186" t="s">
        <v>2294</v>
      </c>
      <c r="F186" t="s">
        <v>1802</v>
      </c>
      <c r="G186" t="s">
        <v>1757</v>
      </c>
      <c r="H186" t="s">
        <v>1788</v>
      </c>
      <c r="I186" t="s">
        <v>1755</v>
      </c>
      <c r="J186" t="s">
        <v>1756</v>
      </c>
      <c r="K186" t="s">
        <v>2338</v>
      </c>
      <c r="L186" t="s">
        <v>1720</v>
      </c>
      <c r="M186" s="57">
        <v>44581</v>
      </c>
      <c r="N186" t="s">
        <v>3480</v>
      </c>
    </row>
    <row r="187" spans="1:14" x14ac:dyDescent="0.35">
      <c r="A187" t="s">
        <v>75</v>
      </c>
      <c r="B187" t="s">
        <v>904</v>
      </c>
      <c r="C187" t="s">
        <v>2261</v>
      </c>
      <c r="D187" t="s">
        <v>1724</v>
      </c>
      <c r="E187" t="s">
        <v>2296</v>
      </c>
      <c r="F187" t="s">
        <v>1802</v>
      </c>
      <c r="G187" t="s">
        <v>1757</v>
      </c>
      <c r="H187" t="s">
        <v>1780</v>
      </c>
      <c r="I187" t="s">
        <v>1755</v>
      </c>
      <c r="J187" t="s">
        <v>1756</v>
      </c>
      <c r="K187" t="s">
        <v>2338</v>
      </c>
      <c r="L187" t="s">
        <v>1720</v>
      </c>
      <c r="M187" s="57">
        <v>44581</v>
      </c>
      <c r="N187" t="s">
        <v>3480</v>
      </c>
    </row>
    <row r="188" spans="1:14" x14ac:dyDescent="0.35">
      <c r="A188" t="s">
        <v>75</v>
      </c>
      <c r="B188" t="s">
        <v>904</v>
      </c>
      <c r="C188" t="s">
        <v>2261</v>
      </c>
      <c r="D188" t="s">
        <v>1721</v>
      </c>
      <c r="E188" t="s">
        <v>2298</v>
      </c>
      <c r="F188" t="s">
        <v>1802</v>
      </c>
      <c r="G188" t="s">
        <v>1760</v>
      </c>
      <c r="H188" t="s">
        <v>1850</v>
      </c>
      <c r="I188" t="s">
        <v>1758</v>
      </c>
      <c r="J188" t="s">
        <v>1759</v>
      </c>
      <c r="K188" t="s">
        <v>2339</v>
      </c>
      <c r="L188" t="s">
        <v>1720</v>
      </c>
      <c r="M188" s="57">
        <v>44581</v>
      </c>
      <c r="N188" t="s">
        <v>3480</v>
      </c>
    </row>
    <row r="189" spans="1:14" x14ac:dyDescent="0.35">
      <c r="A189" t="s">
        <v>75</v>
      </c>
      <c r="B189" t="s">
        <v>904</v>
      </c>
      <c r="C189" t="s">
        <v>2261</v>
      </c>
      <c r="D189" t="s">
        <v>1724</v>
      </c>
      <c r="E189" t="s">
        <v>2301</v>
      </c>
      <c r="F189" t="s">
        <v>1802</v>
      </c>
      <c r="G189" t="s">
        <v>1760</v>
      </c>
      <c r="H189" t="s">
        <v>1867</v>
      </c>
      <c r="I189" t="s">
        <v>1758</v>
      </c>
      <c r="J189" t="s">
        <v>1759</v>
      </c>
      <c r="K189" t="s">
        <v>2340</v>
      </c>
      <c r="L189" t="s">
        <v>1720</v>
      </c>
      <c r="M189" s="57">
        <v>44581</v>
      </c>
      <c r="N189" t="s">
        <v>3480</v>
      </c>
    </row>
    <row r="190" spans="1:14" x14ac:dyDescent="0.35">
      <c r="A190" t="s">
        <v>75</v>
      </c>
      <c r="B190" t="s">
        <v>904</v>
      </c>
      <c r="C190" t="s">
        <v>2261</v>
      </c>
      <c r="D190" t="s">
        <v>1724</v>
      </c>
      <c r="F190" t="s">
        <v>2308</v>
      </c>
      <c r="G190" t="s">
        <v>1762</v>
      </c>
      <c r="H190" t="s">
        <v>1781</v>
      </c>
      <c r="I190" t="s">
        <v>1731</v>
      </c>
      <c r="J190" t="s">
        <v>1733</v>
      </c>
      <c r="K190" t="s">
        <v>2341</v>
      </c>
      <c r="L190" t="s">
        <v>1720</v>
      </c>
      <c r="M190" s="57">
        <v>44581</v>
      </c>
      <c r="N190" t="s">
        <v>3480</v>
      </c>
    </row>
    <row r="191" spans="1:14" x14ac:dyDescent="0.35">
      <c r="A191" t="s">
        <v>75</v>
      </c>
      <c r="B191" t="s">
        <v>904</v>
      </c>
      <c r="C191" t="s">
        <v>2261</v>
      </c>
      <c r="D191" t="s">
        <v>1721</v>
      </c>
      <c r="E191" t="s">
        <v>2284</v>
      </c>
      <c r="F191" t="s">
        <v>1801</v>
      </c>
      <c r="G191" t="s">
        <v>1784</v>
      </c>
      <c r="H191" t="s">
        <v>1785</v>
      </c>
      <c r="I191" t="s">
        <v>1782</v>
      </c>
      <c r="J191" t="s">
        <v>1786</v>
      </c>
      <c r="K191" t="s">
        <v>2342</v>
      </c>
      <c r="L191" t="s">
        <v>1720</v>
      </c>
      <c r="M191" s="57">
        <v>44581</v>
      </c>
      <c r="N191" t="s">
        <v>3480</v>
      </c>
    </row>
    <row r="192" spans="1:14" x14ac:dyDescent="0.35">
      <c r="A192" t="s">
        <v>446</v>
      </c>
      <c r="B192" t="s">
        <v>1270</v>
      </c>
      <c r="C192" t="s">
        <v>2261</v>
      </c>
      <c r="D192" t="s">
        <v>1721</v>
      </c>
      <c r="E192" t="s">
        <v>2284</v>
      </c>
      <c r="F192" t="s">
        <v>2285</v>
      </c>
      <c r="G192" t="s">
        <v>1784</v>
      </c>
      <c r="H192" t="s">
        <v>1785</v>
      </c>
      <c r="I192" t="s">
        <v>1782</v>
      </c>
      <c r="J192" t="s">
        <v>1786</v>
      </c>
      <c r="K192" t="s">
        <v>2536</v>
      </c>
      <c r="L192" t="s">
        <v>1720</v>
      </c>
      <c r="M192" s="57">
        <v>44581</v>
      </c>
      <c r="N192" t="s">
        <v>3480</v>
      </c>
    </row>
    <row r="193" spans="1:14" hidden="1" x14ac:dyDescent="0.35">
      <c r="A193" t="s">
        <v>363</v>
      </c>
      <c r="B193" t="s">
        <v>1187</v>
      </c>
      <c r="L193" t="s">
        <v>1720</v>
      </c>
    </row>
    <row r="194" spans="1:14" hidden="1" x14ac:dyDescent="0.35">
      <c r="A194" t="s">
        <v>345</v>
      </c>
      <c r="B194" t="s">
        <v>1169</v>
      </c>
      <c r="L194" t="s">
        <v>1720</v>
      </c>
    </row>
    <row r="195" spans="1:14" hidden="1" x14ac:dyDescent="0.35">
      <c r="A195" t="s">
        <v>353</v>
      </c>
      <c r="B195" t="s">
        <v>1177</v>
      </c>
      <c r="L195" t="s">
        <v>1720</v>
      </c>
    </row>
    <row r="196" spans="1:14" hidden="1" x14ac:dyDescent="0.35">
      <c r="A196" t="s">
        <v>198</v>
      </c>
      <c r="B196" t="s">
        <v>1026</v>
      </c>
      <c r="L196" t="s">
        <v>1720</v>
      </c>
    </row>
    <row r="197" spans="1:14" hidden="1" x14ac:dyDescent="0.35">
      <c r="A197" t="s">
        <v>641</v>
      </c>
      <c r="B197" t="s">
        <v>1465</v>
      </c>
      <c r="L197" t="s">
        <v>1720</v>
      </c>
    </row>
    <row r="198" spans="1:14" hidden="1" x14ac:dyDescent="0.35">
      <c r="A198" t="s">
        <v>204</v>
      </c>
      <c r="B198" t="s">
        <v>1031</v>
      </c>
      <c r="L198" t="s">
        <v>1720</v>
      </c>
    </row>
    <row r="199" spans="1:14" x14ac:dyDescent="0.35">
      <c r="A199" t="s">
        <v>339</v>
      </c>
      <c r="B199" t="s">
        <v>1163</v>
      </c>
      <c r="C199" t="s">
        <v>2261</v>
      </c>
      <c r="D199" t="s">
        <v>1721</v>
      </c>
      <c r="F199" t="s">
        <v>1802</v>
      </c>
      <c r="G199" t="s">
        <v>1757</v>
      </c>
      <c r="H199" t="s">
        <v>1788</v>
      </c>
      <c r="I199" t="s">
        <v>1755</v>
      </c>
      <c r="J199" t="s">
        <v>1756</v>
      </c>
      <c r="K199" t="s">
        <v>2310</v>
      </c>
      <c r="L199" t="s">
        <v>1720</v>
      </c>
      <c r="M199" s="57">
        <v>44581</v>
      </c>
      <c r="N199" t="s">
        <v>3480</v>
      </c>
    </row>
    <row r="200" spans="1:14" x14ac:dyDescent="0.35">
      <c r="A200" t="s">
        <v>339</v>
      </c>
      <c r="B200" t="s">
        <v>1163</v>
      </c>
      <c r="C200" t="s">
        <v>2261</v>
      </c>
      <c r="D200" t="s">
        <v>1724</v>
      </c>
      <c r="F200" t="s">
        <v>1802</v>
      </c>
      <c r="G200" t="s">
        <v>1757</v>
      </c>
      <c r="H200" t="s">
        <v>1780</v>
      </c>
      <c r="I200" t="s">
        <v>1755</v>
      </c>
      <c r="J200" t="s">
        <v>1756</v>
      </c>
      <c r="K200" t="s">
        <v>2404</v>
      </c>
      <c r="L200" t="s">
        <v>1720</v>
      </c>
      <c r="M200" s="57">
        <v>44581</v>
      </c>
      <c r="N200" t="s">
        <v>3480</v>
      </c>
    </row>
    <row r="201" spans="1:14" hidden="1" x14ac:dyDescent="0.35">
      <c r="A201" t="s">
        <v>475</v>
      </c>
      <c r="B201" t="s">
        <v>1299</v>
      </c>
      <c r="L201" t="s">
        <v>1720</v>
      </c>
    </row>
    <row r="202" spans="1:14" hidden="1" x14ac:dyDescent="0.35">
      <c r="A202" t="s">
        <v>464</v>
      </c>
      <c r="B202" t="s">
        <v>1288</v>
      </c>
      <c r="L202" t="s">
        <v>1720</v>
      </c>
    </row>
    <row r="203" spans="1:14" hidden="1" x14ac:dyDescent="0.35">
      <c r="A203" t="s">
        <v>182</v>
      </c>
      <c r="B203" t="s">
        <v>1011</v>
      </c>
      <c r="L203" t="s">
        <v>1720</v>
      </c>
    </row>
    <row r="204" spans="1:14" hidden="1" x14ac:dyDescent="0.35">
      <c r="A204" t="s">
        <v>6</v>
      </c>
      <c r="B204" t="s">
        <v>835</v>
      </c>
      <c r="L204" t="s">
        <v>1720</v>
      </c>
    </row>
    <row r="205" spans="1:14" hidden="1" x14ac:dyDescent="0.35">
      <c r="A205" t="s">
        <v>1</v>
      </c>
      <c r="B205" t="s">
        <v>830</v>
      </c>
      <c r="L205" t="s">
        <v>1720</v>
      </c>
    </row>
    <row r="206" spans="1:14" hidden="1" x14ac:dyDescent="0.35">
      <c r="A206" t="s">
        <v>205</v>
      </c>
      <c r="B206" t="s">
        <v>1032</v>
      </c>
      <c r="L206" t="s">
        <v>1720</v>
      </c>
    </row>
    <row r="207" spans="1:14" x14ac:dyDescent="0.35">
      <c r="A207" t="s">
        <v>505</v>
      </c>
      <c r="B207" t="s">
        <v>1329</v>
      </c>
      <c r="C207" t="s">
        <v>2261</v>
      </c>
      <c r="D207" t="s">
        <v>1721</v>
      </c>
      <c r="F207" t="s">
        <v>1803</v>
      </c>
      <c r="G207" t="s">
        <v>1754</v>
      </c>
      <c r="H207" t="s">
        <v>1796</v>
      </c>
      <c r="I207" t="s">
        <v>1917</v>
      </c>
      <c r="J207" t="s">
        <v>1753</v>
      </c>
      <c r="K207" t="s">
        <v>2434</v>
      </c>
      <c r="L207" t="s">
        <v>1720</v>
      </c>
      <c r="M207" s="57">
        <v>44581</v>
      </c>
      <c r="N207" t="s">
        <v>3480</v>
      </c>
    </row>
    <row r="208" spans="1:14" x14ac:dyDescent="0.35">
      <c r="A208" t="s">
        <v>505</v>
      </c>
      <c r="B208" t="s">
        <v>1329</v>
      </c>
      <c r="C208" t="s">
        <v>2261</v>
      </c>
      <c r="D208" t="s">
        <v>1724</v>
      </c>
      <c r="F208" t="s">
        <v>1803</v>
      </c>
      <c r="G208" t="s">
        <v>1754</v>
      </c>
      <c r="H208" t="s">
        <v>1796</v>
      </c>
      <c r="I208" t="s">
        <v>1917</v>
      </c>
      <c r="J208" t="s">
        <v>1753</v>
      </c>
      <c r="K208" t="s">
        <v>2311</v>
      </c>
      <c r="L208" t="s">
        <v>1720</v>
      </c>
      <c r="M208" s="57">
        <v>44581</v>
      </c>
      <c r="N208" t="s">
        <v>3480</v>
      </c>
    </row>
    <row r="209" spans="1:14" x14ac:dyDescent="0.35">
      <c r="A209" t="s">
        <v>505</v>
      </c>
      <c r="B209" t="s">
        <v>1329</v>
      </c>
      <c r="C209" t="s">
        <v>2259</v>
      </c>
      <c r="D209" t="s">
        <v>1724</v>
      </c>
      <c r="F209" t="s">
        <v>1802</v>
      </c>
      <c r="G209" t="s">
        <v>1726</v>
      </c>
      <c r="H209" t="s">
        <v>1737</v>
      </c>
      <c r="I209" t="s">
        <v>1730</v>
      </c>
      <c r="J209" t="s">
        <v>1732</v>
      </c>
      <c r="K209" t="s">
        <v>2435</v>
      </c>
      <c r="L209" t="s">
        <v>1720</v>
      </c>
      <c r="M209" s="57">
        <v>44581</v>
      </c>
      <c r="N209" t="s">
        <v>3481</v>
      </c>
    </row>
    <row r="210" spans="1:14" x14ac:dyDescent="0.35">
      <c r="A210" t="s">
        <v>505</v>
      </c>
      <c r="B210" t="s">
        <v>1329</v>
      </c>
      <c r="C210" t="s">
        <v>2259</v>
      </c>
      <c r="D210" t="s">
        <v>1721</v>
      </c>
      <c r="F210" t="s">
        <v>1802</v>
      </c>
      <c r="G210" t="s">
        <v>1727</v>
      </c>
      <c r="H210" t="s">
        <v>1737</v>
      </c>
      <c r="I210" t="s">
        <v>1730</v>
      </c>
      <c r="J210" t="s">
        <v>1732</v>
      </c>
      <c r="K210" t="s">
        <v>2291</v>
      </c>
      <c r="L210" t="s">
        <v>1720</v>
      </c>
      <c r="M210" s="57">
        <v>44581</v>
      </c>
      <c r="N210" t="s">
        <v>3481</v>
      </c>
    </row>
    <row r="211" spans="1:14" x14ac:dyDescent="0.35">
      <c r="A211" t="s">
        <v>505</v>
      </c>
      <c r="B211" t="s">
        <v>1329</v>
      </c>
      <c r="C211" t="s">
        <v>2261</v>
      </c>
      <c r="D211" t="s">
        <v>1724</v>
      </c>
      <c r="F211" t="s">
        <v>1802</v>
      </c>
      <c r="G211" t="s">
        <v>1757</v>
      </c>
      <c r="H211" t="s">
        <v>1780</v>
      </c>
      <c r="I211" t="s">
        <v>1755</v>
      </c>
      <c r="J211" t="s">
        <v>1756</v>
      </c>
      <c r="K211" t="s">
        <v>2436</v>
      </c>
      <c r="L211" t="s">
        <v>1720</v>
      </c>
      <c r="M211" s="57">
        <v>44581</v>
      </c>
      <c r="N211" t="s">
        <v>3480</v>
      </c>
    </row>
    <row r="212" spans="1:14" hidden="1" x14ac:dyDescent="0.35">
      <c r="A212" t="s">
        <v>531</v>
      </c>
      <c r="B212" t="s">
        <v>1355</v>
      </c>
      <c r="L212" t="s">
        <v>1720</v>
      </c>
    </row>
    <row r="213" spans="1:14" hidden="1" x14ac:dyDescent="0.35">
      <c r="A213" t="s">
        <v>489</v>
      </c>
      <c r="B213" t="s">
        <v>1313</v>
      </c>
      <c r="L213" t="s">
        <v>1720</v>
      </c>
    </row>
    <row r="214" spans="1:14" hidden="1" x14ac:dyDescent="0.35">
      <c r="A214" t="s">
        <v>294</v>
      </c>
      <c r="B214" t="s">
        <v>1119</v>
      </c>
      <c r="L214" t="s">
        <v>1720</v>
      </c>
    </row>
    <row r="215" spans="1:14" hidden="1" x14ac:dyDescent="0.35">
      <c r="A215" t="s">
        <v>479</v>
      </c>
      <c r="B215" t="s">
        <v>1303</v>
      </c>
      <c r="L215" t="s">
        <v>1720</v>
      </c>
    </row>
    <row r="216" spans="1:14" x14ac:dyDescent="0.35">
      <c r="A216" t="s">
        <v>609</v>
      </c>
      <c r="B216" t="s">
        <v>1433</v>
      </c>
      <c r="C216" t="s">
        <v>2261</v>
      </c>
      <c r="D216" t="s">
        <v>1721</v>
      </c>
      <c r="F216" t="s">
        <v>1802</v>
      </c>
      <c r="G216" t="s">
        <v>1750</v>
      </c>
      <c r="H216" t="s">
        <v>1773</v>
      </c>
      <c r="I216" t="s">
        <v>1748</v>
      </c>
      <c r="J216" t="s">
        <v>1749</v>
      </c>
      <c r="K216" t="s">
        <v>2267</v>
      </c>
      <c r="L216" t="s">
        <v>1720</v>
      </c>
      <c r="M216" s="57">
        <v>44581</v>
      </c>
      <c r="N216" t="s">
        <v>3480</v>
      </c>
    </row>
    <row r="217" spans="1:14" x14ac:dyDescent="0.35">
      <c r="A217" t="s">
        <v>609</v>
      </c>
      <c r="B217" t="s">
        <v>1433</v>
      </c>
      <c r="C217" t="s">
        <v>2261</v>
      </c>
      <c r="D217" t="s">
        <v>1721</v>
      </c>
      <c r="F217" t="s">
        <v>1801</v>
      </c>
      <c r="G217" t="s">
        <v>1735</v>
      </c>
      <c r="H217" t="s">
        <v>1774</v>
      </c>
      <c r="I217" t="s">
        <v>1734</v>
      </c>
      <c r="J217" t="s">
        <v>1736</v>
      </c>
      <c r="K217" t="s">
        <v>2119</v>
      </c>
      <c r="L217" t="s">
        <v>1720</v>
      </c>
      <c r="M217" s="57">
        <v>44581</v>
      </c>
      <c r="N217" t="s">
        <v>3480</v>
      </c>
    </row>
    <row r="218" spans="1:14" hidden="1" x14ac:dyDescent="0.35">
      <c r="A218" t="s">
        <v>497</v>
      </c>
      <c r="B218" t="s">
        <v>1321</v>
      </c>
      <c r="L218" t="s">
        <v>1720</v>
      </c>
    </row>
    <row r="219" spans="1:14" hidden="1" x14ac:dyDescent="0.35">
      <c r="A219" t="s">
        <v>496</v>
      </c>
      <c r="B219" t="s">
        <v>1320</v>
      </c>
      <c r="L219" t="s">
        <v>1720</v>
      </c>
    </row>
    <row r="220" spans="1:14" x14ac:dyDescent="0.35">
      <c r="A220" t="s">
        <v>763</v>
      </c>
      <c r="B220" t="s">
        <v>1587</v>
      </c>
      <c r="C220" t="s">
        <v>2259</v>
      </c>
      <c r="D220" t="s">
        <v>1721</v>
      </c>
      <c r="E220" t="s">
        <v>2481</v>
      </c>
      <c r="F220" t="s">
        <v>1802</v>
      </c>
      <c r="G220" t="s">
        <v>1750</v>
      </c>
      <c r="H220" t="s">
        <v>1773</v>
      </c>
      <c r="I220" t="s">
        <v>1748</v>
      </c>
      <c r="J220" t="s">
        <v>1749</v>
      </c>
      <c r="K220" t="s">
        <v>2371</v>
      </c>
      <c r="L220" t="s">
        <v>1720</v>
      </c>
      <c r="M220" s="57">
        <v>44581</v>
      </c>
      <c r="N220" t="s">
        <v>3480</v>
      </c>
    </row>
    <row r="221" spans="1:14" x14ac:dyDescent="0.35">
      <c r="A221" t="s">
        <v>763</v>
      </c>
      <c r="B221" t="s">
        <v>1587</v>
      </c>
      <c r="C221" t="s">
        <v>2259</v>
      </c>
      <c r="D221" t="s">
        <v>1721</v>
      </c>
      <c r="F221" t="s">
        <v>1802</v>
      </c>
      <c r="G221" t="s">
        <v>1727</v>
      </c>
      <c r="H221" t="s">
        <v>1737</v>
      </c>
      <c r="I221" t="s">
        <v>1730</v>
      </c>
      <c r="J221" t="s">
        <v>1732</v>
      </c>
      <c r="K221" t="s">
        <v>2555</v>
      </c>
      <c r="L221" t="s">
        <v>1720</v>
      </c>
      <c r="M221" s="57">
        <v>44581</v>
      </c>
      <c r="N221" t="s">
        <v>3481</v>
      </c>
    </row>
    <row r="222" spans="1:14" x14ac:dyDescent="0.35">
      <c r="A222" t="s">
        <v>763</v>
      </c>
      <c r="B222" t="s">
        <v>1587</v>
      </c>
      <c r="C222" t="s">
        <v>2259</v>
      </c>
      <c r="D222" t="s">
        <v>1724</v>
      </c>
      <c r="F222" t="s">
        <v>1802</v>
      </c>
      <c r="G222" t="s">
        <v>1726</v>
      </c>
      <c r="H222" t="s">
        <v>1737</v>
      </c>
      <c r="I222" t="s">
        <v>1730</v>
      </c>
      <c r="J222" t="s">
        <v>1732</v>
      </c>
      <c r="K222" t="s">
        <v>2389</v>
      </c>
      <c r="L222" t="s">
        <v>1720</v>
      </c>
      <c r="M222" s="57">
        <v>44581</v>
      </c>
      <c r="N222" t="s">
        <v>3481</v>
      </c>
    </row>
    <row r="223" spans="1:14" x14ac:dyDescent="0.35">
      <c r="A223" t="s">
        <v>763</v>
      </c>
      <c r="B223" t="s">
        <v>1587</v>
      </c>
      <c r="C223" t="s">
        <v>2261</v>
      </c>
      <c r="D223" t="s">
        <v>1721</v>
      </c>
      <c r="F223" t="s">
        <v>1804</v>
      </c>
      <c r="G223" t="s">
        <v>1741</v>
      </c>
      <c r="H223" t="s">
        <v>1775</v>
      </c>
      <c r="I223" t="s">
        <v>1742</v>
      </c>
      <c r="J223" t="s">
        <v>1744</v>
      </c>
      <c r="K223" t="s">
        <v>2498</v>
      </c>
      <c r="L223" t="s">
        <v>1720</v>
      </c>
      <c r="M223" s="57">
        <v>44581</v>
      </c>
      <c r="N223" t="s">
        <v>3480</v>
      </c>
    </row>
    <row r="224" spans="1:14" x14ac:dyDescent="0.35">
      <c r="A224" t="s">
        <v>763</v>
      </c>
      <c r="B224" t="s">
        <v>1587</v>
      </c>
      <c r="C224" t="s">
        <v>2261</v>
      </c>
      <c r="D224" t="s">
        <v>1721</v>
      </c>
      <c r="F224" t="s">
        <v>1802</v>
      </c>
      <c r="G224" t="s">
        <v>1726</v>
      </c>
      <c r="H224" t="s">
        <v>1777</v>
      </c>
      <c r="I224" t="s">
        <v>1739</v>
      </c>
      <c r="J224" t="s">
        <v>1745</v>
      </c>
      <c r="K224" t="s">
        <v>2322</v>
      </c>
      <c r="L224" t="s">
        <v>1720</v>
      </c>
      <c r="M224" s="57">
        <v>44581</v>
      </c>
      <c r="N224" t="s">
        <v>3480</v>
      </c>
    </row>
    <row r="225" spans="1:14" x14ac:dyDescent="0.35">
      <c r="A225" t="s">
        <v>763</v>
      </c>
      <c r="B225" t="s">
        <v>1587</v>
      </c>
      <c r="C225" t="s">
        <v>2261</v>
      </c>
      <c r="D225" t="s">
        <v>1721</v>
      </c>
      <c r="E225" t="s">
        <v>2298</v>
      </c>
      <c r="F225" t="s">
        <v>1802</v>
      </c>
      <c r="G225" t="s">
        <v>1760</v>
      </c>
      <c r="H225" t="s">
        <v>1850</v>
      </c>
      <c r="I225" t="s">
        <v>1758</v>
      </c>
      <c r="J225" t="s">
        <v>1759</v>
      </c>
      <c r="K225" t="s">
        <v>2434</v>
      </c>
      <c r="L225" t="s">
        <v>1720</v>
      </c>
      <c r="M225" s="57">
        <v>44581</v>
      </c>
      <c r="N225" t="s">
        <v>3480</v>
      </c>
    </row>
    <row r="226" spans="1:14" x14ac:dyDescent="0.35">
      <c r="A226" t="s">
        <v>763</v>
      </c>
      <c r="B226" t="s">
        <v>1587</v>
      </c>
      <c r="C226" t="s">
        <v>2261</v>
      </c>
      <c r="D226" t="s">
        <v>1724</v>
      </c>
      <c r="E226" t="s">
        <v>2301</v>
      </c>
      <c r="F226" t="s">
        <v>1802</v>
      </c>
      <c r="G226" t="s">
        <v>1760</v>
      </c>
      <c r="H226" t="s">
        <v>1870</v>
      </c>
      <c r="I226" t="s">
        <v>1868</v>
      </c>
      <c r="J226" t="s">
        <v>1869</v>
      </c>
      <c r="K226" t="s">
        <v>2111</v>
      </c>
      <c r="L226" t="s">
        <v>1720</v>
      </c>
      <c r="M226" s="57">
        <v>44581</v>
      </c>
      <c r="N226" t="s">
        <v>3480</v>
      </c>
    </row>
    <row r="227" spans="1:14" x14ac:dyDescent="0.35">
      <c r="A227" t="s">
        <v>763</v>
      </c>
      <c r="B227" t="s">
        <v>1587</v>
      </c>
      <c r="C227" t="s">
        <v>2261</v>
      </c>
      <c r="D227" t="s">
        <v>1721</v>
      </c>
      <c r="E227" t="s">
        <v>2284</v>
      </c>
      <c r="F227" t="s">
        <v>1801</v>
      </c>
      <c r="G227" t="s">
        <v>1784</v>
      </c>
      <c r="H227" t="s">
        <v>1785</v>
      </c>
      <c r="I227" t="s">
        <v>1782</v>
      </c>
      <c r="J227" t="s">
        <v>1786</v>
      </c>
      <c r="K227" t="s">
        <v>2555</v>
      </c>
      <c r="L227" t="s">
        <v>1720</v>
      </c>
      <c r="M227" s="57">
        <v>44581</v>
      </c>
      <c r="N227" t="s">
        <v>3480</v>
      </c>
    </row>
    <row r="228" spans="1:14" x14ac:dyDescent="0.35">
      <c r="A228" t="s">
        <v>763</v>
      </c>
      <c r="B228" t="s">
        <v>1587</v>
      </c>
      <c r="C228" t="s">
        <v>2261</v>
      </c>
      <c r="D228" t="s">
        <v>1721</v>
      </c>
      <c r="F228" t="s">
        <v>2308</v>
      </c>
      <c r="G228" t="s">
        <v>1762</v>
      </c>
      <c r="H228" t="s">
        <v>1781</v>
      </c>
      <c r="I228" t="s">
        <v>1839</v>
      </c>
      <c r="J228" t="s">
        <v>1840</v>
      </c>
      <c r="K228" t="s">
        <v>2361</v>
      </c>
      <c r="L228" t="s">
        <v>1720</v>
      </c>
      <c r="M228" s="57">
        <v>44581</v>
      </c>
      <c r="N228" t="s">
        <v>3480</v>
      </c>
    </row>
    <row r="229" spans="1:14" x14ac:dyDescent="0.35">
      <c r="A229" t="s">
        <v>763</v>
      </c>
      <c r="B229" t="s">
        <v>1587</v>
      </c>
      <c r="C229" t="s">
        <v>2261</v>
      </c>
      <c r="D229" t="s">
        <v>1724</v>
      </c>
      <c r="F229" t="s">
        <v>2308</v>
      </c>
      <c r="G229" t="s">
        <v>1762</v>
      </c>
      <c r="H229" t="s">
        <v>1779</v>
      </c>
      <c r="I229" t="s">
        <v>2482</v>
      </c>
      <c r="J229" t="s">
        <v>2483</v>
      </c>
      <c r="K229" t="s">
        <v>2111</v>
      </c>
      <c r="L229" t="s">
        <v>1720</v>
      </c>
      <c r="M229" s="57">
        <v>44581</v>
      </c>
      <c r="N229" t="s">
        <v>3480</v>
      </c>
    </row>
    <row r="230" spans="1:14" x14ac:dyDescent="0.35">
      <c r="A230" t="s">
        <v>763</v>
      </c>
      <c r="B230" t="s">
        <v>1587</v>
      </c>
      <c r="C230" t="s">
        <v>2261</v>
      </c>
      <c r="D230" t="s">
        <v>1724</v>
      </c>
      <c r="E230" t="s">
        <v>2315</v>
      </c>
      <c r="F230" t="s">
        <v>1802</v>
      </c>
      <c r="G230" t="s">
        <v>2484</v>
      </c>
      <c r="H230" t="s">
        <v>1737</v>
      </c>
      <c r="I230" t="s">
        <v>1943</v>
      </c>
      <c r="J230" t="s">
        <v>1897</v>
      </c>
      <c r="K230" t="s">
        <v>2387</v>
      </c>
      <c r="L230" t="s">
        <v>1720</v>
      </c>
      <c r="M230" s="57">
        <v>44581</v>
      </c>
      <c r="N230" t="s">
        <v>3481</v>
      </c>
    </row>
    <row r="231" spans="1:14" x14ac:dyDescent="0.35">
      <c r="A231" t="s">
        <v>763</v>
      </c>
      <c r="B231" t="s">
        <v>1587</v>
      </c>
      <c r="C231" t="s">
        <v>2261</v>
      </c>
      <c r="D231" t="s">
        <v>1721</v>
      </c>
      <c r="E231" t="s">
        <v>2357</v>
      </c>
      <c r="F231" t="s">
        <v>1802</v>
      </c>
      <c r="G231" t="s">
        <v>2484</v>
      </c>
      <c r="H231" t="s">
        <v>1737</v>
      </c>
      <c r="I231" t="s">
        <v>1943</v>
      </c>
      <c r="J231" t="s">
        <v>1897</v>
      </c>
      <c r="K231" t="s">
        <v>2501</v>
      </c>
      <c r="L231" t="s">
        <v>1720</v>
      </c>
      <c r="M231" s="57">
        <v>44581</v>
      </c>
      <c r="N231" t="s">
        <v>3481</v>
      </c>
    </row>
    <row r="232" spans="1:14" x14ac:dyDescent="0.35">
      <c r="A232" t="s">
        <v>356</v>
      </c>
      <c r="B232" t="s">
        <v>1180</v>
      </c>
      <c r="C232" t="s">
        <v>2259</v>
      </c>
      <c r="D232" t="s">
        <v>1721</v>
      </c>
      <c r="F232" t="s">
        <v>1802</v>
      </c>
      <c r="G232" t="s">
        <v>1750</v>
      </c>
      <c r="H232" t="s">
        <v>1773</v>
      </c>
      <c r="I232" t="s">
        <v>1748</v>
      </c>
      <c r="J232" t="s">
        <v>1749</v>
      </c>
      <c r="K232" t="s">
        <v>2350</v>
      </c>
      <c r="L232" t="s">
        <v>1720</v>
      </c>
      <c r="M232" s="57">
        <v>44581</v>
      </c>
      <c r="N232" t="s">
        <v>3480</v>
      </c>
    </row>
    <row r="233" spans="1:14" x14ac:dyDescent="0.35">
      <c r="A233" t="s">
        <v>356</v>
      </c>
      <c r="B233" t="s">
        <v>1180</v>
      </c>
      <c r="C233" t="s">
        <v>2261</v>
      </c>
      <c r="D233" t="s">
        <v>1724</v>
      </c>
      <c r="E233" t="s">
        <v>2280</v>
      </c>
      <c r="F233" t="s">
        <v>1801</v>
      </c>
      <c r="G233" t="s">
        <v>1762</v>
      </c>
      <c r="H233" t="s">
        <v>2304</v>
      </c>
      <c r="I233" t="s">
        <v>1743</v>
      </c>
      <c r="J233" t="s">
        <v>1761</v>
      </c>
      <c r="K233" t="s">
        <v>2408</v>
      </c>
      <c r="L233" t="s">
        <v>1720</v>
      </c>
      <c r="M233" s="57">
        <v>44581</v>
      </c>
      <c r="N233" t="s">
        <v>3480</v>
      </c>
    </row>
    <row r="234" spans="1:14" x14ac:dyDescent="0.35">
      <c r="A234" t="s">
        <v>356</v>
      </c>
      <c r="B234" t="s">
        <v>1180</v>
      </c>
      <c r="C234" t="s">
        <v>2261</v>
      </c>
      <c r="D234" t="s">
        <v>1721</v>
      </c>
      <c r="E234" t="s">
        <v>2280</v>
      </c>
      <c r="F234" t="s">
        <v>1801</v>
      </c>
      <c r="G234" t="s">
        <v>1728</v>
      </c>
      <c r="H234" t="s">
        <v>1800</v>
      </c>
      <c r="I234" t="s">
        <v>1743</v>
      </c>
      <c r="J234" t="s">
        <v>1761</v>
      </c>
      <c r="K234" t="s">
        <v>2519</v>
      </c>
      <c r="L234" t="s">
        <v>1720</v>
      </c>
      <c r="M234" s="57">
        <v>44581</v>
      </c>
      <c r="N234" t="s">
        <v>3480</v>
      </c>
    </row>
    <row r="235" spans="1:14" hidden="1" x14ac:dyDescent="0.35">
      <c r="A235" t="s">
        <v>325</v>
      </c>
      <c r="B235" t="s">
        <v>1150</v>
      </c>
      <c r="L235" t="s">
        <v>1720</v>
      </c>
    </row>
    <row r="236" spans="1:14" hidden="1" x14ac:dyDescent="0.35">
      <c r="A236" t="s">
        <v>382</v>
      </c>
      <c r="B236" t="s">
        <v>1206</v>
      </c>
      <c r="L236" t="s">
        <v>1720</v>
      </c>
    </row>
    <row r="237" spans="1:14" hidden="1" x14ac:dyDescent="0.35">
      <c r="A237" t="s">
        <v>243</v>
      </c>
      <c r="B237" t="s">
        <v>1069</v>
      </c>
      <c r="L237" t="s">
        <v>1720</v>
      </c>
    </row>
    <row r="238" spans="1:14" hidden="1" x14ac:dyDescent="0.35">
      <c r="A238" t="s">
        <v>73</v>
      </c>
      <c r="B238" t="s">
        <v>902</v>
      </c>
      <c r="L238" t="s">
        <v>1720</v>
      </c>
    </row>
    <row r="239" spans="1:14" hidden="1" x14ac:dyDescent="0.35">
      <c r="A239" t="s">
        <v>397</v>
      </c>
      <c r="B239" t="s">
        <v>1221</v>
      </c>
      <c r="L239" t="s">
        <v>1720</v>
      </c>
    </row>
    <row r="240" spans="1:14" hidden="1" x14ac:dyDescent="0.35">
      <c r="A240" t="s">
        <v>463</v>
      </c>
      <c r="B240" t="s">
        <v>1287</v>
      </c>
      <c r="L240" t="s">
        <v>1720</v>
      </c>
    </row>
    <row r="241" spans="1:14" hidden="1" x14ac:dyDescent="0.35">
      <c r="A241" t="s">
        <v>283</v>
      </c>
      <c r="B241" t="s">
        <v>1109</v>
      </c>
      <c r="L241" t="s">
        <v>1720</v>
      </c>
    </row>
    <row r="242" spans="1:14" hidden="1" x14ac:dyDescent="0.35">
      <c r="A242" t="s">
        <v>45</v>
      </c>
      <c r="B242" t="s">
        <v>874</v>
      </c>
      <c r="L242" t="s">
        <v>1720</v>
      </c>
    </row>
    <row r="243" spans="1:14" hidden="1" x14ac:dyDescent="0.35">
      <c r="A243" t="s">
        <v>224</v>
      </c>
      <c r="B243" t="s">
        <v>1051</v>
      </c>
      <c r="L243" t="s">
        <v>1720</v>
      </c>
    </row>
    <row r="244" spans="1:14" hidden="1" x14ac:dyDescent="0.35">
      <c r="A244" t="s">
        <v>370</v>
      </c>
      <c r="B244" t="s">
        <v>1194</v>
      </c>
      <c r="L244" t="s">
        <v>1720</v>
      </c>
    </row>
    <row r="245" spans="1:14" hidden="1" x14ac:dyDescent="0.35">
      <c r="A245" t="s">
        <v>682</v>
      </c>
      <c r="B245" t="s">
        <v>1506</v>
      </c>
      <c r="L245" t="s">
        <v>1720</v>
      </c>
    </row>
    <row r="246" spans="1:14" hidden="1" x14ac:dyDescent="0.35">
      <c r="A246" t="s">
        <v>666</v>
      </c>
      <c r="B246" t="s">
        <v>1490</v>
      </c>
      <c r="L246" t="s">
        <v>1720</v>
      </c>
    </row>
    <row r="247" spans="1:14" hidden="1" x14ac:dyDescent="0.35">
      <c r="A247" t="s">
        <v>683</v>
      </c>
      <c r="B247" t="s">
        <v>1507</v>
      </c>
      <c r="L247" t="s">
        <v>1720</v>
      </c>
    </row>
    <row r="248" spans="1:14" hidden="1" x14ac:dyDescent="0.35">
      <c r="A248" t="s">
        <v>684</v>
      </c>
      <c r="B248" t="s">
        <v>1508</v>
      </c>
      <c r="L248" t="s">
        <v>1720</v>
      </c>
    </row>
    <row r="249" spans="1:14" x14ac:dyDescent="0.35">
      <c r="A249" t="s">
        <v>598</v>
      </c>
      <c r="B249" t="s">
        <v>1422</v>
      </c>
      <c r="C249" t="s">
        <v>2261</v>
      </c>
      <c r="D249" t="s">
        <v>1721</v>
      </c>
      <c r="F249" t="s">
        <v>1801</v>
      </c>
      <c r="G249" t="s">
        <v>1735</v>
      </c>
      <c r="H249" t="s">
        <v>1772</v>
      </c>
      <c r="I249" t="s">
        <v>1748</v>
      </c>
      <c r="J249" t="s">
        <v>1764</v>
      </c>
      <c r="K249" t="s">
        <v>2129</v>
      </c>
      <c r="L249" t="s">
        <v>1720</v>
      </c>
      <c r="M249" s="57">
        <v>44581</v>
      </c>
      <c r="N249" t="s">
        <v>3480</v>
      </c>
    </row>
    <row r="250" spans="1:14" x14ac:dyDescent="0.35">
      <c r="A250" t="s">
        <v>598</v>
      </c>
      <c r="B250" t="s">
        <v>1422</v>
      </c>
      <c r="C250" t="s">
        <v>2259</v>
      </c>
      <c r="D250" t="s">
        <v>1721</v>
      </c>
      <c r="F250" t="s">
        <v>1802</v>
      </c>
      <c r="G250" t="s">
        <v>1750</v>
      </c>
      <c r="H250" t="s">
        <v>1773</v>
      </c>
      <c r="I250" t="s">
        <v>1748</v>
      </c>
      <c r="J250" t="s">
        <v>1749</v>
      </c>
      <c r="K250" t="s">
        <v>2119</v>
      </c>
      <c r="L250" t="s">
        <v>1720</v>
      </c>
      <c r="M250" s="57">
        <v>44581</v>
      </c>
      <c r="N250" t="s">
        <v>3480</v>
      </c>
    </row>
    <row r="251" spans="1:14" x14ac:dyDescent="0.35">
      <c r="A251" t="s">
        <v>598</v>
      </c>
      <c r="B251" t="s">
        <v>1422</v>
      </c>
      <c r="C251" t="s">
        <v>2261</v>
      </c>
      <c r="D251" t="s">
        <v>1721</v>
      </c>
      <c r="F251" t="s">
        <v>1801</v>
      </c>
      <c r="G251" t="s">
        <v>1735</v>
      </c>
      <c r="H251" t="s">
        <v>1774</v>
      </c>
      <c r="I251" t="s">
        <v>1734</v>
      </c>
      <c r="J251" t="s">
        <v>1771</v>
      </c>
      <c r="K251" t="s">
        <v>2548</v>
      </c>
      <c r="L251" t="s">
        <v>1720</v>
      </c>
      <c r="M251" s="57">
        <v>44581</v>
      </c>
      <c r="N251" t="s">
        <v>3480</v>
      </c>
    </row>
    <row r="252" spans="1:14" x14ac:dyDescent="0.35">
      <c r="A252" t="s">
        <v>598</v>
      </c>
      <c r="B252" t="s">
        <v>1422</v>
      </c>
      <c r="C252" t="s">
        <v>2261</v>
      </c>
      <c r="D252" t="s">
        <v>1724</v>
      </c>
      <c r="F252" t="s">
        <v>1803</v>
      </c>
      <c r="G252" t="s">
        <v>1754</v>
      </c>
      <c r="H252" t="s">
        <v>1796</v>
      </c>
      <c r="I252" t="s">
        <v>1917</v>
      </c>
      <c r="J252" t="s">
        <v>1753</v>
      </c>
      <c r="K252" t="s">
        <v>2313</v>
      </c>
      <c r="L252" t="s">
        <v>1720</v>
      </c>
      <c r="M252" s="57">
        <v>44581</v>
      </c>
      <c r="N252" t="s">
        <v>3480</v>
      </c>
    </row>
    <row r="253" spans="1:14" x14ac:dyDescent="0.35">
      <c r="A253" t="s">
        <v>598</v>
      </c>
      <c r="B253" t="s">
        <v>1422</v>
      </c>
      <c r="C253" t="s">
        <v>2261</v>
      </c>
      <c r="D253" t="s">
        <v>1721</v>
      </c>
      <c r="F253" t="s">
        <v>1803</v>
      </c>
      <c r="G253" t="s">
        <v>1754</v>
      </c>
      <c r="H253" t="s">
        <v>1796</v>
      </c>
      <c r="I253" t="s">
        <v>1917</v>
      </c>
      <c r="J253" t="s">
        <v>1753</v>
      </c>
      <c r="K253" t="s">
        <v>2350</v>
      </c>
      <c r="L253" t="s">
        <v>1720</v>
      </c>
      <c r="M253" s="57">
        <v>44581</v>
      </c>
      <c r="N253" t="s">
        <v>3480</v>
      </c>
    </row>
    <row r="254" spans="1:14" x14ac:dyDescent="0.35">
      <c r="A254" t="s">
        <v>598</v>
      </c>
      <c r="B254" t="s">
        <v>1422</v>
      </c>
      <c r="C254" t="s">
        <v>2261</v>
      </c>
      <c r="D254" t="s">
        <v>1721</v>
      </c>
      <c r="F254" t="s">
        <v>1802</v>
      </c>
      <c r="G254" t="s">
        <v>1757</v>
      </c>
      <c r="H254" t="s">
        <v>1788</v>
      </c>
      <c r="I254" t="s">
        <v>1755</v>
      </c>
      <c r="J254" t="s">
        <v>1756</v>
      </c>
      <c r="K254" t="s">
        <v>2530</v>
      </c>
      <c r="L254" t="s">
        <v>1720</v>
      </c>
      <c r="M254" s="57">
        <v>44581</v>
      </c>
      <c r="N254" t="s">
        <v>3480</v>
      </c>
    </row>
    <row r="255" spans="1:14" x14ac:dyDescent="0.35">
      <c r="A255" t="s">
        <v>598</v>
      </c>
      <c r="B255" t="s">
        <v>1422</v>
      </c>
      <c r="C255" t="s">
        <v>2261</v>
      </c>
      <c r="D255" t="s">
        <v>1724</v>
      </c>
      <c r="F255" t="s">
        <v>1802</v>
      </c>
      <c r="G255" t="s">
        <v>1757</v>
      </c>
      <c r="H255" t="s">
        <v>1780</v>
      </c>
      <c r="I255" t="s">
        <v>1755</v>
      </c>
      <c r="J255" t="s">
        <v>1756</v>
      </c>
      <c r="K255" t="s">
        <v>2459</v>
      </c>
      <c r="L255" t="s">
        <v>1720</v>
      </c>
      <c r="M255" s="57">
        <v>44581</v>
      </c>
      <c r="N255" t="s">
        <v>3480</v>
      </c>
    </row>
    <row r="256" spans="1:14" x14ac:dyDescent="0.35">
      <c r="A256" t="s">
        <v>598</v>
      </c>
      <c r="B256" t="s">
        <v>1422</v>
      </c>
      <c r="C256" t="s">
        <v>2261</v>
      </c>
      <c r="D256" t="s">
        <v>1721</v>
      </c>
      <c r="E256" t="s">
        <v>2277</v>
      </c>
      <c r="F256" t="s">
        <v>1804</v>
      </c>
      <c r="G256" t="s">
        <v>1741</v>
      </c>
      <c r="H256" t="s">
        <v>1775</v>
      </c>
      <c r="I256" t="s">
        <v>1742</v>
      </c>
      <c r="J256" t="s">
        <v>1744</v>
      </c>
      <c r="K256" t="s">
        <v>2538</v>
      </c>
      <c r="L256" t="s">
        <v>1720</v>
      </c>
      <c r="M256" s="57">
        <v>44581</v>
      </c>
      <c r="N256" t="s">
        <v>3480</v>
      </c>
    </row>
    <row r="257" spans="1:14" x14ac:dyDescent="0.35">
      <c r="A257" t="s">
        <v>598</v>
      </c>
      <c r="B257" t="s">
        <v>1422</v>
      </c>
      <c r="C257" t="s">
        <v>2261</v>
      </c>
      <c r="D257" t="s">
        <v>1724</v>
      </c>
      <c r="F257" t="s">
        <v>1802</v>
      </c>
      <c r="G257" t="s">
        <v>1726</v>
      </c>
      <c r="H257" t="s">
        <v>1777</v>
      </c>
      <c r="I257" t="s">
        <v>1739</v>
      </c>
      <c r="J257" t="s">
        <v>1745</v>
      </c>
      <c r="K257" t="s">
        <v>2313</v>
      </c>
      <c r="L257" t="s">
        <v>1720</v>
      </c>
      <c r="M257" s="57">
        <v>44581</v>
      </c>
      <c r="N257" t="s">
        <v>3480</v>
      </c>
    </row>
    <row r="258" spans="1:14" x14ac:dyDescent="0.35">
      <c r="A258" t="s">
        <v>598</v>
      </c>
      <c r="B258" t="s">
        <v>1422</v>
      </c>
      <c r="C258" t="s">
        <v>2261</v>
      </c>
      <c r="D258" t="s">
        <v>1721</v>
      </c>
      <c r="F258" t="s">
        <v>1802</v>
      </c>
      <c r="G258" t="s">
        <v>1726</v>
      </c>
      <c r="H258" t="s">
        <v>1777</v>
      </c>
      <c r="I258" t="s">
        <v>1739</v>
      </c>
      <c r="J258" t="s">
        <v>1745</v>
      </c>
      <c r="K258" t="s">
        <v>2350</v>
      </c>
      <c r="L258" t="s">
        <v>1720</v>
      </c>
      <c r="M258" s="57">
        <v>44581</v>
      </c>
      <c r="N258" t="s">
        <v>3480</v>
      </c>
    </row>
    <row r="259" spans="1:14" x14ac:dyDescent="0.35">
      <c r="A259" t="s">
        <v>598</v>
      </c>
      <c r="B259" t="s">
        <v>1422</v>
      </c>
      <c r="C259" t="s">
        <v>2261</v>
      </c>
      <c r="D259" t="s">
        <v>1724</v>
      </c>
      <c r="E259" t="s">
        <v>2280</v>
      </c>
      <c r="F259" t="s">
        <v>1801</v>
      </c>
      <c r="G259" t="s">
        <v>1762</v>
      </c>
      <c r="H259" t="s">
        <v>2304</v>
      </c>
      <c r="I259" t="s">
        <v>1743</v>
      </c>
      <c r="J259" t="s">
        <v>1761</v>
      </c>
      <c r="K259" t="s">
        <v>2270</v>
      </c>
      <c r="L259" t="s">
        <v>1720</v>
      </c>
      <c r="M259" s="57">
        <v>44581</v>
      </c>
      <c r="N259" t="s">
        <v>3480</v>
      </c>
    </row>
    <row r="260" spans="1:14" x14ac:dyDescent="0.35">
      <c r="A260" t="s">
        <v>598</v>
      </c>
      <c r="B260" t="s">
        <v>1422</v>
      </c>
      <c r="C260" t="s">
        <v>2261</v>
      </c>
      <c r="D260" t="s">
        <v>1721</v>
      </c>
      <c r="E260" t="s">
        <v>2280</v>
      </c>
      <c r="F260" t="s">
        <v>1801</v>
      </c>
      <c r="G260" t="s">
        <v>1728</v>
      </c>
      <c r="H260" t="s">
        <v>1800</v>
      </c>
      <c r="I260" t="s">
        <v>1743</v>
      </c>
      <c r="J260" t="s">
        <v>1761</v>
      </c>
      <c r="K260" t="s">
        <v>2460</v>
      </c>
      <c r="L260" t="s">
        <v>1720</v>
      </c>
      <c r="M260" s="57">
        <v>44581</v>
      </c>
      <c r="N260" t="s">
        <v>3480</v>
      </c>
    </row>
    <row r="261" spans="1:14" hidden="1" x14ac:dyDescent="0.35">
      <c r="A261" t="s">
        <v>821</v>
      </c>
      <c r="B261" t="s">
        <v>1643</v>
      </c>
      <c r="L261" t="s">
        <v>1720</v>
      </c>
    </row>
    <row r="262" spans="1:14" hidden="1" x14ac:dyDescent="0.35">
      <c r="A262" t="s">
        <v>61</v>
      </c>
      <c r="B262" t="s">
        <v>890</v>
      </c>
      <c r="L262" t="s">
        <v>1720</v>
      </c>
    </row>
    <row r="263" spans="1:14" hidden="1" x14ac:dyDescent="0.35">
      <c r="A263" t="s">
        <v>574</v>
      </c>
      <c r="B263" t="s">
        <v>1398</v>
      </c>
      <c r="L263" t="s">
        <v>1720</v>
      </c>
    </row>
    <row r="264" spans="1:14" hidden="1" x14ac:dyDescent="0.35">
      <c r="A264" t="s">
        <v>426</v>
      </c>
      <c r="B264" t="s">
        <v>1250</v>
      </c>
      <c r="L264" t="s">
        <v>1720</v>
      </c>
    </row>
    <row r="265" spans="1:14" hidden="1" x14ac:dyDescent="0.35">
      <c r="A265" t="s">
        <v>530</v>
      </c>
      <c r="B265" t="s">
        <v>1354</v>
      </c>
      <c r="L265" t="s">
        <v>1720</v>
      </c>
    </row>
    <row r="266" spans="1:14" hidden="1" x14ac:dyDescent="0.35">
      <c r="A266" t="s">
        <v>280</v>
      </c>
      <c r="B266" t="s">
        <v>1106</v>
      </c>
      <c r="L266" t="s">
        <v>1720</v>
      </c>
    </row>
    <row r="267" spans="1:14" hidden="1" x14ac:dyDescent="0.35">
      <c r="A267" t="s">
        <v>348</v>
      </c>
      <c r="B267" t="s">
        <v>1172</v>
      </c>
      <c r="L267" t="s">
        <v>1720</v>
      </c>
    </row>
    <row r="268" spans="1:14" hidden="1" x14ac:dyDescent="0.35">
      <c r="A268" t="s">
        <v>380</v>
      </c>
      <c r="B268" t="s">
        <v>1204</v>
      </c>
      <c r="L268" t="s">
        <v>1720</v>
      </c>
    </row>
    <row r="269" spans="1:14" hidden="1" x14ac:dyDescent="0.35">
      <c r="A269" t="s">
        <v>559</v>
      </c>
      <c r="B269" t="s">
        <v>1383</v>
      </c>
      <c r="L269" t="s">
        <v>1720</v>
      </c>
    </row>
    <row r="270" spans="1:14" x14ac:dyDescent="0.35">
      <c r="A270" t="s">
        <v>470</v>
      </c>
      <c r="B270" t="s">
        <v>1294</v>
      </c>
      <c r="C270" t="s">
        <v>2261</v>
      </c>
      <c r="D270" t="s">
        <v>1721</v>
      </c>
      <c r="H270" t="s">
        <v>1725</v>
      </c>
      <c r="I270" t="s">
        <v>1729</v>
      </c>
      <c r="K270">
        <v>13</v>
      </c>
      <c r="L270" t="s">
        <v>1720</v>
      </c>
      <c r="M270" s="57">
        <v>44581</v>
      </c>
      <c r="N270" t="s">
        <v>3480</v>
      </c>
    </row>
    <row r="271" spans="1:14" x14ac:dyDescent="0.35">
      <c r="A271" t="s">
        <v>52</v>
      </c>
      <c r="B271" t="s">
        <v>881</v>
      </c>
      <c r="C271" t="s">
        <v>2261</v>
      </c>
      <c r="D271" t="s">
        <v>1721</v>
      </c>
      <c r="F271" t="s">
        <v>1802</v>
      </c>
      <c r="G271" t="s">
        <v>1821</v>
      </c>
      <c r="H271" t="s">
        <v>1813</v>
      </c>
      <c r="I271" t="s">
        <v>1822</v>
      </c>
      <c r="J271" t="s">
        <v>1811</v>
      </c>
      <c r="K271" t="s">
        <v>2494</v>
      </c>
      <c r="L271" t="s">
        <v>1720</v>
      </c>
      <c r="M271" s="57">
        <v>44581</v>
      </c>
      <c r="N271" t="s">
        <v>3480</v>
      </c>
    </row>
    <row r="272" spans="1:14" x14ac:dyDescent="0.35">
      <c r="A272" t="s">
        <v>52</v>
      </c>
      <c r="B272" t="s">
        <v>881</v>
      </c>
      <c r="C272" t="s">
        <v>2261</v>
      </c>
      <c r="D272" t="s">
        <v>1721</v>
      </c>
      <c r="F272" t="s">
        <v>2263</v>
      </c>
      <c r="G272" t="s">
        <v>1725</v>
      </c>
      <c r="H272" t="s">
        <v>1776</v>
      </c>
      <c r="I272" t="s">
        <v>1729</v>
      </c>
      <c r="J272" t="s">
        <v>1747</v>
      </c>
      <c r="K272" t="s">
        <v>2322</v>
      </c>
      <c r="L272" t="s">
        <v>1720</v>
      </c>
      <c r="M272" s="57">
        <v>44581</v>
      </c>
      <c r="N272" t="s">
        <v>3480</v>
      </c>
    </row>
    <row r="273" spans="1:14" x14ac:dyDescent="0.35">
      <c r="A273" t="s">
        <v>52</v>
      </c>
      <c r="B273" t="s">
        <v>881</v>
      </c>
      <c r="C273" t="s">
        <v>2261</v>
      </c>
      <c r="D273" t="s">
        <v>1721</v>
      </c>
      <c r="F273" t="s">
        <v>1804</v>
      </c>
      <c r="G273" t="s">
        <v>1741</v>
      </c>
      <c r="H273" t="s">
        <v>1775</v>
      </c>
      <c r="I273" t="s">
        <v>1742</v>
      </c>
      <c r="J273" t="s">
        <v>1744</v>
      </c>
      <c r="K273" t="s">
        <v>2494</v>
      </c>
      <c r="L273" t="s">
        <v>1720</v>
      </c>
      <c r="M273" s="57">
        <v>44581</v>
      </c>
      <c r="N273" t="s">
        <v>3480</v>
      </c>
    </row>
    <row r="274" spans="1:14" x14ac:dyDescent="0.35">
      <c r="A274" t="s">
        <v>52</v>
      </c>
      <c r="B274" t="s">
        <v>881</v>
      </c>
      <c r="C274" t="s">
        <v>2259</v>
      </c>
      <c r="D274" t="s">
        <v>1721</v>
      </c>
      <c r="F274" t="s">
        <v>1802</v>
      </c>
      <c r="G274" t="s">
        <v>1726</v>
      </c>
      <c r="H274" t="s">
        <v>1777</v>
      </c>
      <c r="I274" t="s">
        <v>1739</v>
      </c>
      <c r="J274" t="s">
        <v>1745</v>
      </c>
      <c r="K274" t="s">
        <v>2322</v>
      </c>
      <c r="L274" t="s">
        <v>1720</v>
      </c>
      <c r="M274" s="57">
        <v>44581</v>
      </c>
      <c r="N274" t="s">
        <v>3480</v>
      </c>
    </row>
    <row r="275" spans="1:14" x14ac:dyDescent="0.35">
      <c r="A275" t="s">
        <v>52</v>
      </c>
      <c r="B275" t="s">
        <v>881</v>
      </c>
      <c r="C275" t="s">
        <v>2261</v>
      </c>
      <c r="D275" t="s">
        <v>1721</v>
      </c>
      <c r="E275" t="s">
        <v>2323</v>
      </c>
      <c r="F275" t="s">
        <v>2308</v>
      </c>
      <c r="G275" t="s">
        <v>1760</v>
      </c>
      <c r="H275" t="s">
        <v>1779</v>
      </c>
      <c r="I275" t="s">
        <v>1731</v>
      </c>
      <c r="J275" t="s">
        <v>1778</v>
      </c>
      <c r="K275" t="s">
        <v>2322</v>
      </c>
      <c r="L275" t="s">
        <v>1720</v>
      </c>
      <c r="M275" s="57">
        <v>44581</v>
      </c>
      <c r="N275" t="s">
        <v>3480</v>
      </c>
    </row>
    <row r="276" spans="1:14" hidden="1" x14ac:dyDescent="0.35">
      <c r="A276" t="s">
        <v>11</v>
      </c>
      <c r="B276" t="s">
        <v>840</v>
      </c>
      <c r="L276" t="s">
        <v>1720</v>
      </c>
    </row>
    <row r="277" spans="1:14" hidden="1" x14ac:dyDescent="0.35">
      <c r="A277" t="s">
        <v>67</v>
      </c>
      <c r="B277" t="s">
        <v>896</v>
      </c>
      <c r="L277" t="s">
        <v>1720</v>
      </c>
    </row>
    <row r="278" spans="1:14" hidden="1" x14ac:dyDescent="0.35">
      <c r="A278" t="s">
        <v>568</v>
      </c>
      <c r="B278" t="s">
        <v>1392</v>
      </c>
      <c r="L278" t="s">
        <v>1720</v>
      </c>
    </row>
    <row r="279" spans="1:14" hidden="1" x14ac:dyDescent="0.35">
      <c r="A279" t="s">
        <v>85</v>
      </c>
      <c r="B279" t="s">
        <v>914</v>
      </c>
      <c r="L279" t="s">
        <v>1720</v>
      </c>
    </row>
    <row r="280" spans="1:14" hidden="1" x14ac:dyDescent="0.35">
      <c r="A280" t="s">
        <v>714</v>
      </c>
      <c r="B280" t="s">
        <v>1538</v>
      </c>
      <c r="L280" t="s">
        <v>1720</v>
      </c>
    </row>
    <row r="281" spans="1:14" hidden="1" x14ac:dyDescent="0.35">
      <c r="A281" t="s">
        <v>716</v>
      </c>
      <c r="B281" t="s">
        <v>1540</v>
      </c>
      <c r="L281" t="s">
        <v>1720</v>
      </c>
    </row>
    <row r="282" spans="1:14" hidden="1" x14ac:dyDescent="0.35">
      <c r="A282" t="s">
        <v>720</v>
      </c>
      <c r="B282" t="s">
        <v>1544</v>
      </c>
      <c r="L282" t="s">
        <v>1720</v>
      </c>
    </row>
    <row r="283" spans="1:14" hidden="1" x14ac:dyDescent="0.35">
      <c r="A283" t="s">
        <v>721</v>
      </c>
      <c r="B283" t="s">
        <v>1545</v>
      </c>
      <c r="L283" t="s">
        <v>1720</v>
      </c>
    </row>
    <row r="284" spans="1:14" hidden="1" x14ac:dyDescent="0.35">
      <c r="A284" t="s">
        <v>709</v>
      </c>
      <c r="B284" t="s">
        <v>1533</v>
      </c>
      <c r="L284" t="s">
        <v>1720</v>
      </c>
    </row>
    <row r="285" spans="1:14" hidden="1" x14ac:dyDescent="0.35">
      <c r="A285" t="s">
        <v>726</v>
      </c>
      <c r="B285" t="s">
        <v>1550</v>
      </c>
      <c r="L285" t="s">
        <v>1720</v>
      </c>
    </row>
    <row r="286" spans="1:14" hidden="1" x14ac:dyDescent="0.35">
      <c r="A286" t="s">
        <v>727</v>
      </c>
      <c r="B286" t="s">
        <v>1551</v>
      </c>
      <c r="L286" t="s">
        <v>1720</v>
      </c>
    </row>
    <row r="287" spans="1:14" hidden="1" x14ac:dyDescent="0.35">
      <c r="A287" t="s">
        <v>728</v>
      </c>
      <c r="B287" t="s">
        <v>1552</v>
      </c>
      <c r="L287" t="s">
        <v>1720</v>
      </c>
    </row>
    <row r="288" spans="1:14" hidden="1" x14ac:dyDescent="0.35">
      <c r="A288" t="s">
        <v>130</v>
      </c>
      <c r="B288" t="s">
        <v>959</v>
      </c>
      <c r="L288" t="s">
        <v>1720</v>
      </c>
    </row>
    <row r="289" spans="1:14" x14ac:dyDescent="0.35">
      <c r="A289" t="s">
        <v>407</v>
      </c>
      <c r="B289" t="s">
        <v>1231</v>
      </c>
      <c r="C289" t="s">
        <v>2259</v>
      </c>
      <c r="D289" t="s">
        <v>1721</v>
      </c>
      <c r="F289" t="s">
        <v>1802</v>
      </c>
      <c r="G289" t="s">
        <v>1737</v>
      </c>
      <c r="H289" t="s">
        <v>1737</v>
      </c>
      <c r="I289" t="s">
        <v>1738</v>
      </c>
      <c r="J289" t="s">
        <v>1740</v>
      </c>
      <c r="K289" t="s">
        <v>2417</v>
      </c>
      <c r="L289" t="s">
        <v>1720</v>
      </c>
      <c r="M289" s="57">
        <v>44581</v>
      </c>
      <c r="N289" t="s">
        <v>3481</v>
      </c>
    </row>
    <row r="290" spans="1:14" x14ac:dyDescent="0.35">
      <c r="A290" t="s">
        <v>407</v>
      </c>
      <c r="B290" t="s">
        <v>1231</v>
      </c>
      <c r="C290" t="s">
        <v>2259</v>
      </c>
      <c r="D290" t="s">
        <v>1724</v>
      </c>
      <c r="F290" t="s">
        <v>1802</v>
      </c>
      <c r="G290" t="s">
        <v>1737</v>
      </c>
      <c r="H290" t="s">
        <v>1737</v>
      </c>
      <c r="I290" t="s">
        <v>1738</v>
      </c>
      <c r="J290" t="s">
        <v>1740</v>
      </c>
      <c r="K290" t="s">
        <v>2534</v>
      </c>
      <c r="L290" t="s">
        <v>1720</v>
      </c>
      <c r="M290" s="57">
        <v>44581</v>
      </c>
      <c r="N290" t="s">
        <v>3481</v>
      </c>
    </row>
    <row r="291" spans="1:14" x14ac:dyDescent="0.35">
      <c r="A291" t="s">
        <v>407</v>
      </c>
      <c r="B291" t="s">
        <v>1231</v>
      </c>
      <c r="C291" t="s">
        <v>2259</v>
      </c>
      <c r="D291" t="s">
        <v>1721</v>
      </c>
      <c r="F291" t="s">
        <v>1802</v>
      </c>
      <c r="G291" t="s">
        <v>1726</v>
      </c>
      <c r="H291" t="s">
        <v>1777</v>
      </c>
      <c r="I291" t="s">
        <v>1739</v>
      </c>
      <c r="J291" t="s">
        <v>1745</v>
      </c>
      <c r="K291" t="s">
        <v>2418</v>
      </c>
      <c r="L291" t="s">
        <v>1720</v>
      </c>
      <c r="M291" s="57">
        <v>44581</v>
      </c>
      <c r="N291" t="s">
        <v>3480</v>
      </c>
    </row>
    <row r="292" spans="1:14" x14ac:dyDescent="0.35">
      <c r="A292" t="s">
        <v>233</v>
      </c>
      <c r="B292" t="s">
        <v>1060</v>
      </c>
      <c r="C292" t="s">
        <v>2261</v>
      </c>
      <c r="D292" t="s">
        <v>1721</v>
      </c>
      <c r="E292" t="s">
        <v>2277</v>
      </c>
      <c r="F292" t="s">
        <v>1804</v>
      </c>
      <c r="G292" t="s">
        <v>1741</v>
      </c>
      <c r="H292" t="s">
        <v>1775</v>
      </c>
      <c r="I292" t="s">
        <v>1742</v>
      </c>
      <c r="J292" t="s">
        <v>1744</v>
      </c>
      <c r="K292" t="s">
        <v>2520</v>
      </c>
      <c r="L292" t="s">
        <v>1720</v>
      </c>
      <c r="M292" s="57">
        <v>44581</v>
      </c>
      <c r="N292" t="s">
        <v>3480</v>
      </c>
    </row>
    <row r="293" spans="1:14" x14ac:dyDescent="0.35">
      <c r="A293" t="s">
        <v>233</v>
      </c>
      <c r="B293" t="s">
        <v>1060</v>
      </c>
      <c r="C293" t="s">
        <v>2261</v>
      </c>
      <c r="D293" t="s">
        <v>1724</v>
      </c>
      <c r="E293" t="s">
        <v>2280</v>
      </c>
      <c r="F293" t="s">
        <v>1801</v>
      </c>
      <c r="G293" t="s">
        <v>1762</v>
      </c>
      <c r="H293" t="s">
        <v>2304</v>
      </c>
      <c r="I293" t="s">
        <v>1743</v>
      </c>
      <c r="J293" t="s">
        <v>1761</v>
      </c>
      <c r="K293" t="s">
        <v>2397</v>
      </c>
      <c r="L293" t="s">
        <v>1720</v>
      </c>
      <c r="M293" s="57">
        <v>44581</v>
      </c>
      <c r="N293" t="s">
        <v>3480</v>
      </c>
    </row>
    <row r="294" spans="1:14" x14ac:dyDescent="0.35">
      <c r="A294" t="s">
        <v>233</v>
      </c>
      <c r="B294" t="s">
        <v>1060</v>
      </c>
      <c r="C294" t="s">
        <v>2261</v>
      </c>
      <c r="D294" t="s">
        <v>1721</v>
      </c>
      <c r="E294" t="s">
        <v>2280</v>
      </c>
      <c r="F294" t="s">
        <v>1801</v>
      </c>
      <c r="G294" t="s">
        <v>1728</v>
      </c>
      <c r="H294" t="s">
        <v>1800</v>
      </c>
      <c r="I294" t="s">
        <v>1743</v>
      </c>
      <c r="J294" t="s">
        <v>1761</v>
      </c>
      <c r="K294" t="s">
        <v>2521</v>
      </c>
      <c r="L294" t="s">
        <v>1720</v>
      </c>
      <c r="M294" s="57">
        <v>44581</v>
      </c>
      <c r="N294" t="s">
        <v>3480</v>
      </c>
    </row>
    <row r="295" spans="1:14" x14ac:dyDescent="0.35">
      <c r="A295" t="s">
        <v>233</v>
      </c>
      <c r="B295" t="s">
        <v>1060</v>
      </c>
      <c r="C295" t="s">
        <v>2259</v>
      </c>
      <c r="D295" t="s">
        <v>1721</v>
      </c>
      <c r="F295" t="s">
        <v>1802</v>
      </c>
      <c r="G295" t="s">
        <v>1750</v>
      </c>
      <c r="H295" t="s">
        <v>1773</v>
      </c>
      <c r="I295" t="s">
        <v>1748</v>
      </c>
      <c r="J295" t="s">
        <v>1749</v>
      </c>
      <c r="K295" t="s">
        <v>2350</v>
      </c>
      <c r="L295" t="s">
        <v>1720</v>
      </c>
      <c r="M295" s="57">
        <v>44581</v>
      </c>
      <c r="N295" t="s">
        <v>3480</v>
      </c>
    </row>
    <row r="296" spans="1:14" x14ac:dyDescent="0.35">
      <c r="A296" t="s">
        <v>233</v>
      </c>
      <c r="B296" t="s">
        <v>1060</v>
      </c>
      <c r="C296" t="s">
        <v>2261</v>
      </c>
      <c r="D296" t="s">
        <v>1721</v>
      </c>
      <c r="F296" t="s">
        <v>1801</v>
      </c>
      <c r="G296" t="s">
        <v>1735</v>
      </c>
      <c r="H296" t="s">
        <v>1772</v>
      </c>
      <c r="I296" t="s">
        <v>1748</v>
      </c>
      <c r="J296" t="s">
        <v>1764</v>
      </c>
      <c r="K296" t="s">
        <v>2350</v>
      </c>
      <c r="L296" t="s">
        <v>1720</v>
      </c>
      <c r="M296" s="57">
        <v>44581</v>
      </c>
      <c r="N296" t="s">
        <v>3480</v>
      </c>
    </row>
    <row r="297" spans="1:14" x14ac:dyDescent="0.35">
      <c r="A297" t="s">
        <v>233</v>
      </c>
      <c r="B297" t="s">
        <v>1060</v>
      </c>
      <c r="C297" t="s">
        <v>2261</v>
      </c>
      <c r="D297" t="s">
        <v>1721</v>
      </c>
      <c r="F297" t="s">
        <v>1801</v>
      </c>
      <c r="G297" t="s">
        <v>1735</v>
      </c>
      <c r="H297" t="s">
        <v>1774</v>
      </c>
      <c r="I297" t="s">
        <v>2398</v>
      </c>
      <c r="J297" t="s">
        <v>1771</v>
      </c>
      <c r="K297" t="s">
        <v>2522</v>
      </c>
      <c r="L297" t="s">
        <v>1720</v>
      </c>
      <c r="M297" s="57">
        <v>44581</v>
      </c>
      <c r="N297" t="s">
        <v>3480</v>
      </c>
    </row>
    <row r="298" spans="1:14" hidden="1" x14ac:dyDescent="0.35">
      <c r="A298" t="s">
        <v>703</v>
      </c>
      <c r="B298" t="s">
        <v>1527</v>
      </c>
      <c r="L298" t="s">
        <v>1720</v>
      </c>
    </row>
    <row r="299" spans="1:14" x14ac:dyDescent="0.35">
      <c r="A299" t="s">
        <v>286</v>
      </c>
      <c r="B299" t="s">
        <v>1111</v>
      </c>
      <c r="C299" t="s">
        <v>2259</v>
      </c>
      <c r="D299" t="s">
        <v>1721</v>
      </c>
      <c r="F299" t="s">
        <v>1801</v>
      </c>
      <c r="G299" t="s">
        <v>1735</v>
      </c>
      <c r="H299" t="s">
        <v>1772</v>
      </c>
      <c r="I299" t="s">
        <v>1748</v>
      </c>
      <c r="J299" t="s">
        <v>1764</v>
      </c>
      <c r="K299" t="s">
        <v>2322</v>
      </c>
      <c r="L299" t="s">
        <v>1720</v>
      </c>
      <c r="M299" s="57">
        <v>44573</v>
      </c>
      <c r="N299" t="s">
        <v>3480</v>
      </c>
    </row>
    <row r="300" spans="1:14" x14ac:dyDescent="0.35">
      <c r="A300" t="s">
        <v>286</v>
      </c>
      <c r="B300" t="s">
        <v>1111</v>
      </c>
      <c r="C300" t="s">
        <v>2261</v>
      </c>
      <c r="D300" t="s">
        <v>1721</v>
      </c>
      <c r="F300" t="s">
        <v>1801</v>
      </c>
      <c r="G300" t="s">
        <v>1735</v>
      </c>
      <c r="H300" t="s">
        <v>1774</v>
      </c>
      <c r="I300" t="s">
        <v>1734</v>
      </c>
      <c r="J300" t="s">
        <v>1771</v>
      </c>
      <c r="K300" t="s">
        <v>2523</v>
      </c>
      <c r="L300" t="s">
        <v>1720</v>
      </c>
      <c r="M300" s="57">
        <v>44573</v>
      </c>
      <c r="N300" t="s">
        <v>3480</v>
      </c>
    </row>
    <row r="301" spans="1:14" x14ac:dyDescent="0.35">
      <c r="A301" t="s">
        <v>286</v>
      </c>
      <c r="B301" t="s">
        <v>1111</v>
      </c>
      <c r="C301" t="s">
        <v>2261</v>
      </c>
      <c r="D301" t="s">
        <v>1724</v>
      </c>
      <c r="F301" t="s">
        <v>1803</v>
      </c>
      <c r="G301" t="s">
        <v>1754</v>
      </c>
      <c r="H301" t="s">
        <v>1796</v>
      </c>
      <c r="I301" t="s">
        <v>1917</v>
      </c>
      <c r="J301" t="s">
        <v>1753</v>
      </c>
      <c r="K301" t="s">
        <v>2350</v>
      </c>
      <c r="L301" t="s">
        <v>1720</v>
      </c>
      <c r="M301" s="57">
        <v>44573</v>
      </c>
      <c r="N301" t="s">
        <v>3480</v>
      </c>
    </row>
    <row r="302" spans="1:14" x14ac:dyDescent="0.35">
      <c r="A302" t="s">
        <v>286</v>
      </c>
      <c r="B302" t="s">
        <v>1111</v>
      </c>
      <c r="C302" t="s">
        <v>2261</v>
      </c>
      <c r="D302" t="s">
        <v>1721</v>
      </c>
      <c r="F302" t="s">
        <v>1803</v>
      </c>
      <c r="G302" t="s">
        <v>1754</v>
      </c>
      <c r="H302" t="s">
        <v>1796</v>
      </c>
      <c r="I302" t="s">
        <v>1917</v>
      </c>
      <c r="J302" t="s">
        <v>1753</v>
      </c>
      <c r="K302" t="s">
        <v>2401</v>
      </c>
      <c r="L302" t="s">
        <v>1720</v>
      </c>
      <c r="M302" s="57">
        <v>44573</v>
      </c>
      <c r="N302" t="s">
        <v>3480</v>
      </c>
    </row>
    <row r="303" spans="1:14" x14ac:dyDescent="0.35">
      <c r="A303" t="s">
        <v>286</v>
      </c>
      <c r="B303" t="s">
        <v>1111</v>
      </c>
      <c r="C303" t="s">
        <v>2259</v>
      </c>
      <c r="D303" t="s">
        <v>1724</v>
      </c>
      <c r="F303" t="s">
        <v>1802</v>
      </c>
      <c r="G303" t="s">
        <v>1726</v>
      </c>
      <c r="H303" t="s">
        <v>1777</v>
      </c>
      <c r="I303" t="s">
        <v>1739</v>
      </c>
      <c r="J303" t="s">
        <v>1745</v>
      </c>
      <c r="K303" t="s">
        <v>2350</v>
      </c>
      <c r="L303" t="s">
        <v>1720</v>
      </c>
      <c r="M303" s="57">
        <v>44573</v>
      </c>
      <c r="N303" t="s">
        <v>3480</v>
      </c>
    </row>
    <row r="304" spans="1:14" x14ac:dyDescent="0.35">
      <c r="A304" t="s">
        <v>286</v>
      </c>
      <c r="B304" t="s">
        <v>1111</v>
      </c>
      <c r="C304" t="s">
        <v>2259</v>
      </c>
      <c r="D304" t="s">
        <v>1721</v>
      </c>
      <c r="F304" t="s">
        <v>1802</v>
      </c>
      <c r="G304" t="s">
        <v>1726</v>
      </c>
      <c r="H304" t="s">
        <v>1777</v>
      </c>
      <c r="I304" t="s">
        <v>1739</v>
      </c>
      <c r="J304" t="s">
        <v>1745</v>
      </c>
      <c r="K304" t="s">
        <v>2401</v>
      </c>
      <c r="L304" t="s">
        <v>1720</v>
      </c>
      <c r="M304" s="57">
        <v>44573</v>
      </c>
      <c r="N304" t="s">
        <v>3480</v>
      </c>
    </row>
    <row r="305" spans="1:14" x14ac:dyDescent="0.35">
      <c r="A305" t="s">
        <v>286</v>
      </c>
      <c r="B305" t="s">
        <v>1111</v>
      </c>
      <c r="C305" t="s">
        <v>2261</v>
      </c>
      <c r="D305" t="s">
        <v>1724</v>
      </c>
      <c r="E305" t="s">
        <v>2280</v>
      </c>
      <c r="F305" t="s">
        <v>1801</v>
      </c>
      <c r="G305" t="s">
        <v>1762</v>
      </c>
      <c r="H305" t="s">
        <v>2304</v>
      </c>
      <c r="I305" t="s">
        <v>1743</v>
      </c>
      <c r="J305" t="s">
        <v>1761</v>
      </c>
      <c r="K305" t="s">
        <v>2386</v>
      </c>
      <c r="L305" t="s">
        <v>1720</v>
      </c>
      <c r="M305" s="57">
        <v>44573</v>
      </c>
      <c r="N305" t="s">
        <v>3480</v>
      </c>
    </row>
    <row r="306" spans="1:14" x14ac:dyDescent="0.35">
      <c r="A306" t="s">
        <v>286</v>
      </c>
      <c r="B306" t="s">
        <v>1111</v>
      </c>
      <c r="C306" t="s">
        <v>2261</v>
      </c>
      <c r="D306" t="s">
        <v>1721</v>
      </c>
      <c r="E306" t="s">
        <v>2280</v>
      </c>
      <c r="F306" t="s">
        <v>1801</v>
      </c>
      <c r="G306" t="s">
        <v>1728</v>
      </c>
      <c r="H306" t="s">
        <v>1800</v>
      </c>
      <c r="I306" t="s">
        <v>1743</v>
      </c>
      <c r="J306" t="s">
        <v>1761</v>
      </c>
      <c r="K306" t="s">
        <v>2524</v>
      </c>
      <c r="L306" t="s">
        <v>1720</v>
      </c>
      <c r="M306" s="57">
        <v>44573</v>
      </c>
      <c r="N306" t="s">
        <v>3480</v>
      </c>
    </row>
    <row r="307" spans="1:14" x14ac:dyDescent="0.35">
      <c r="A307" t="s">
        <v>451</v>
      </c>
      <c r="B307" t="s">
        <v>1275</v>
      </c>
      <c r="C307" t="s">
        <v>2261</v>
      </c>
      <c r="D307" t="s">
        <v>1721</v>
      </c>
      <c r="E307" t="s">
        <v>2423</v>
      </c>
      <c r="F307" t="s">
        <v>1803</v>
      </c>
      <c r="G307" t="s">
        <v>1754</v>
      </c>
      <c r="H307" t="s">
        <v>1796</v>
      </c>
      <c r="I307" t="s">
        <v>1917</v>
      </c>
      <c r="J307" t="s">
        <v>1753</v>
      </c>
      <c r="K307" t="s">
        <v>2325</v>
      </c>
      <c r="L307" t="s">
        <v>1720</v>
      </c>
      <c r="M307" s="57">
        <v>44573</v>
      </c>
      <c r="N307" t="s">
        <v>3480</v>
      </c>
    </row>
    <row r="308" spans="1:14" x14ac:dyDescent="0.35">
      <c r="A308" t="s">
        <v>451</v>
      </c>
      <c r="B308" t="s">
        <v>1275</v>
      </c>
      <c r="C308" t="s">
        <v>2261</v>
      </c>
      <c r="D308" t="s">
        <v>1721</v>
      </c>
      <c r="F308" t="s">
        <v>2308</v>
      </c>
      <c r="G308" t="s">
        <v>1728</v>
      </c>
      <c r="H308" t="s">
        <v>1779</v>
      </c>
      <c r="I308" t="s">
        <v>1731</v>
      </c>
      <c r="J308" t="s">
        <v>1733</v>
      </c>
      <c r="K308" t="s">
        <v>2540</v>
      </c>
      <c r="L308" t="s">
        <v>1720</v>
      </c>
      <c r="M308" s="57">
        <v>44573</v>
      </c>
      <c r="N308" t="s">
        <v>3480</v>
      </c>
    </row>
    <row r="309" spans="1:14" x14ac:dyDescent="0.35">
      <c r="A309" t="s">
        <v>451</v>
      </c>
      <c r="B309" t="s">
        <v>1275</v>
      </c>
      <c r="C309" t="s">
        <v>2259</v>
      </c>
      <c r="D309" t="s">
        <v>1721</v>
      </c>
      <c r="F309" t="s">
        <v>1802</v>
      </c>
      <c r="G309" t="s">
        <v>1726</v>
      </c>
      <c r="H309" t="s">
        <v>1777</v>
      </c>
      <c r="I309" t="s">
        <v>1739</v>
      </c>
      <c r="J309" t="s">
        <v>1745</v>
      </c>
      <c r="K309" t="s">
        <v>2325</v>
      </c>
      <c r="L309" t="s">
        <v>1720</v>
      </c>
      <c r="M309" s="57">
        <v>44573</v>
      </c>
      <c r="N309" t="s">
        <v>3480</v>
      </c>
    </row>
    <row r="310" spans="1:14" hidden="1" x14ac:dyDescent="0.35">
      <c r="A310" t="s">
        <v>790</v>
      </c>
      <c r="B310" t="s">
        <v>1613</v>
      </c>
      <c r="L310" t="s">
        <v>1720</v>
      </c>
    </row>
    <row r="311" spans="1:14" hidden="1" x14ac:dyDescent="0.35">
      <c r="A311" t="s">
        <v>794</v>
      </c>
      <c r="B311" t="s">
        <v>1617</v>
      </c>
      <c r="L311" t="s">
        <v>1720</v>
      </c>
    </row>
    <row r="312" spans="1:14" hidden="1" x14ac:dyDescent="0.35">
      <c r="A312" t="s">
        <v>467</v>
      </c>
      <c r="B312" t="s">
        <v>1291</v>
      </c>
      <c r="L312" t="s">
        <v>1720</v>
      </c>
    </row>
    <row r="313" spans="1:14" x14ac:dyDescent="0.35">
      <c r="A313" t="s">
        <v>469</v>
      </c>
      <c r="B313" t="s">
        <v>1293</v>
      </c>
      <c r="C313" t="s">
        <v>2261</v>
      </c>
      <c r="D313" t="s">
        <v>1721</v>
      </c>
      <c r="E313" t="s">
        <v>2431</v>
      </c>
      <c r="F313" t="s">
        <v>1803</v>
      </c>
      <c r="G313" t="s">
        <v>1754</v>
      </c>
      <c r="H313" t="s">
        <v>1796</v>
      </c>
      <c r="I313" t="s">
        <v>1917</v>
      </c>
      <c r="J313" t="s">
        <v>1753</v>
      </c>
      <c r="K313" t="s">
        <v>2537</v>
      </c>
      <c r="L313" t="s">
        <v>1720</v>
      </c>
      <c r="M313" s="57">
        <v>44573</v>
      </c>
      <c r="N313" t="s">
        <v>3480</v>
      </c>
    </row>
    <row r="314" spans="1:14" x14ac:dyDescent="0.35">
      <c r="A314" t="s">
        <v>469</v>
      </c>
      <c r="B314" t="s">
        <v>1293</v>
      </c>
      <c r="C314" t="s">
        <v>2261</v>
      </c>
      <c r="D314" t="s">
        <v>1721</v>
      </c>
      <c r="E314" t="s">
        <v>2277</v>
      </c>
      <c r="F314" t="s">
        <v>1804</v>
      </c>
      <c r="G314" t="s">
        <v>1741</v>
      </c>
      <c r="H314" t="s">
        <v>1775</v>
      </c>
      <c r="I314" t="s">
        <v>1742</v>
      </c>
      <c r="J314" t="s">
        <v>1744</v>
      </c>
      <c r="K314" t="s">
        <v>2543</v>
      </c>
      <c r="L314" t="s">
        <v>1720</v>
      </c>
      <c r="M314" s="57">
        <v>44573</v>
      </c>
      <c r="N314" t="s">
        <v>3480</v>
      </c>
    </row>
    <row r="315" spans="1:14" x14ac:dyDescent="0.35">
      <c r="A315" t="s">
        <v>469</v>
      </c>
      <c r="B315" t="s">
        <v>1293</v>
      </c>
      <c r="C315" t="s">
        <v>2259</v>
      </c>
      <c r="D315" t="s">
        <v>1721</v>
      </c>
      <c r="F315" t="s">
        <v>1802</v>
      </c>
      <c r="G315" t="s">
        <v>1726</v>
      </c>
      <c r="H315" t="s">
        <v>1777</v>
      </c>
      <c r="I315" t="s">
        <v>1739</v>
      </c>
      <c r="J315" t="s">
        <v>1745</v>
      </c>
      <c r="K315" t="s">
        <v>2512</v>
      </c>
      <c r="L315" t="s">
        <v>1720</v>
      </c>
      <c r="M315" s="57">
        <v>44573</v>
      </c>
      <c r="N315" t="s">
        <v>3480</v>
      </c>
    </row>
    <row r="316" spans="1:14" x14ac:dyDescent="0.35">
      <c r="A316" t="s">
        <v>469</v>
      </c>
      <c r="B316" t="s">
        <v>1293</v>
      </c>
      <c r="C316" t="s">
        <v>2261</v>
      </c>
      <c r="D316" t="s">
        <v>1721</v>
      </c>
      <c r="F316" t="s">
        <v>2308</v>
      </c>
      <c r="G316" t="s">
        <v>1728</v>
      </c>
      <c r="H316" t="s">
        <v>1779</v>
      </c>
      <c r="I316" t="s">
        <v>1731</v>
      </c>
      <c r="J316" t="s">
        <v>1733</v>
      </c>
      <c r="K316" t="s">
        <v>2432</v>
      </c>
      <c r="L316" t="s">
        <v>1720</v>
      </c>
      <c r="M316" s="57">
        <v>44573</v>
      </c>
      <c r="N316" t="s">
        <v>3480</v>
      </c>
    </row>
    <row r="317" spans="1:14" x14ac:dyDescent="0.35">
      <c r="A317" t="s">
        <v>449</v>
      </c>
      <c r="B317" t="s">
        <v>1273</v>
      </c>
      <c r="C317" t="s">
        <v>2261</v>
      </c>
      <c r="D317" t="s">
        <v>1721</v>
      </c>
      <c r="E317" t="s">
        <v>2423</v>
      </c>
      <c r="F317" t="s">
        <v>1803</v>
      </c>
      <c r="G317" t="s">
        <v>1754</v>
      </c>
      <c r="H317" t="s">
        <v>1796</v>
      </c>
      <c r="I317" t="s">
        <v>1917</v>
      </c>
      <c r="J317" t="s">
        <v>1753</v>
      </c>
      <c r="K317" t="s">
        <v>2325</v>
      </c>
      <c r="L317" t="s">
        <v>1720</v>
      </c>
      <c r="M317" s="57">
        <v>44581</v>
      </c>
      <c r="N317" t="s">
        <v>3480</v>
      </c>
    </row>
    <row r="318" spans="1:14" x14ac:dyDescent="0.35">
      <c r="A318" t="s">
        <v>449</v>
      </c>
      <c r="B318" t="s">
        <v>1273</v>
      </c>
      <c r="C318" t="s">
        <v>2261</v>
      </c>
      <c r="D318" t="s">
        <v>1721</v>
      </c>
      <c r="E318" t="s">
        <v>2277</v>
      </c>
      <c r="F318" t="s">
        <v>1804</v>
      </c>
      <c r="G318" t="s">
        <v>1741</v>
      </c>
      <c r="H318" t="s">
        <v>1775</v>
      </c>
      <c r="I318" t="s">
        <v>1742</v>
      </c>
      <c r="J318" t="s">
        <v>1744</v>
      </c>
      <c r="K318" t="s">
        <v>2537</v>
      </c>
      <c r="L318" t="s">
        <v>1720</v>
      </c>
      <c r="M318" s="57">
        <v>44581</v>
      </c>
      <c r="N318" t="s">
        <v>3480</v>
      </c>
    </row>
    <row r="319" spans="1:14" x14ac:dyDescent="0.35">
      <c r="A319" t="s">
        <v>449</v>
      </c>
      <c r="B319" t="s">
        <v>1273</v>
      </c>
      <c r="C319" t="s">
        <v>2259</v>
      </c>
      <c r="D319" t="s">
        <v>1721</v>
      </c>
      <c r="F319" t="s">
        <v>1802</v>
      </c>
      <c r="G319" t="s">
        <v>1726</v>
      </c>
      <c r="H319" t="s">
        <v>1777</v>
      </c>
      <c r="I319" t="s">
        <v>1739</v>
      </c>
      <c r="J319" t="s">
        <v>1745</v>
      </c>
      <c r="K319" t="s">
        <v>2325</v>
      </c>
      <c r="L319" t="s">
        <v>1720</v>
      </c>
      <c r="M319" s="57">
        <v>44581</v>
      </c>
      <c r="N319" t="s">
        <v>3480</v>
      </c>
    </row>
    <row r="320" spans="1:14" x14ac:dyDescent="0.35">
      <c r="A320" t="s">
        <v>449</v>
      </c>
      <c r="B320" t="s">
        <v>1273</v>
      </c>
      <c r="C320" t="s">
        <v>2259</v>
      </c>
      <c r="D320" t="s">
        <v>1721</v>
      </c>
      <c r="F320" t="s">
        <v>1802</v>
      </c>
      <c r="G320" t="s">
        <v>1750</v>
      </c>
      <c r="H320" t="s">
        <v>1773</v>
      </c>
      <c r="I320" t="s">
        <v>1748</v>
      </c>
      <c r="J320" t="s">
        <v>1749</v>
      </c>
      <c r="K320" t="s">
        <v>2119</v>
      </c>
      <c r="L320" t="s">
        <v>1720</v>
      </c>
      <c r="M320" s="57">
        <v>44581</v>
      </c>
      <c r="N320" t="s">
        <v>3480</v>
      </c>
    </row>
    <row r="321" spans="1:14" hidden="1" x14ac:dyDescent="0.35">
      <c r="A321" t="s">
        <v>414</v>
      </c>
      <c r="B321" t="s">
        <v>1238</v>
      </c>
      <c r="L321" t="s">
        <v>1720</v>
      </c>
    </row>
    <row r="322" spans="1:14" hidden="1" x14ac:dyDescent="0.35">
      <c r="A322" t="s">
        <v>827</v>
      </c>
      <c r="B322" t="s">
        <v>1649</v>
      </c>
      <c r="L322" t="s">
        <v>1720</v>
      </c>
    </row>
    <row r="323" spans="1:14" hidden="1" x14ac:dyDescent="0.35">
      <c r="A323" t="s">
        <v>804</v>
      </c>
      <c r="B323" t="s">
        <v>1627</v>
      </c>
      <c r="L323" t="s">
        <v>1720</v>
      </c>
    </row>
    <row r="324" spans="1:14" x14ac:dyDescent="0.35">
      <c r="A324" t="s">
        <v>451</v>
      </c>
      <c r="B324" t="s">
        <v>1603</v>
      </c>
      <c r="C324" t="s">
        <v>2261</v>
      </c>
      <c r="D324" t="s">
        <v>1721</v>
      </c>
      <c r="E324" t="s">
        <v>2423</v>
      </c>
      <c r="F324" t="s">
        <v>1803</v>
      </c>
      <c r="G324" t="s">
        <v>1754</v>
      </c>
      <c r="H324" t="s">
        <v>1796</v>
      </c>
      <c r="I324" t="s">
        <v>1917</v>
      </c>
      <c r="J324" t="s">
        <v>1753</v>
      </c>
      <c r="K324" t="s">
        <v>2325</v>
      </c>
      <c r="L324" t="s">
        <v>1720</v>
      </c>
      <c r="M324" s="57">
        <v>44573</v>
      </c>
      <c r="N324" t="s">
        <v>3480</v>
      </c>
    </row>
    <row r="325" spans="1:14" x14ac:dyDescent="0.35">
      <c r="A325" t="s">
        <v>451</v>
      </c>
      <c r="B325" t="s">
        <v>1603</v>
      </c>
      <c r="C325" t="s">
        <v>2261</v>
      </c>
      <c r="D325" t="s">
        <v>1721</v>
      </c>
      <c r="F325" t="s">
        <v>2308</v>
      </c>
      <c r="G325" t="s">
        <v>1728</v>
      </c>
      <c r="H325" t="s">
        <v>1779</v>
      </c>
      <c r="I325" t="s">
        <v>1731</v>
      </c>
      <c r="J325" t="s">
        <v>1733</v>
      </c>
      <c r="K325" t="s">
        <v>2540</v>
      </c>
      <c r="L325" t="s">
        <v>1720</v>
      </c>
      <c r="M325" s="57">
        <v>44573</v>
      </c>
      <c r="N325" t="s">
        <v>3480</v>
      </c>
    </row>
    <row r="326" spans="1:14" x14ac:dyDescent="0.35">
      <c r="A326" t="s">
        <v>451</v>
      </c>
      <c r="B326" t="s">
        <v>1603</v>
      </c>
      <c r="C326" t="s">
        <v>2259</v>
      </c>
      <c r="D326" t="s">
        <v>1721</v>
      </c>
      <c r="F326" t="s">
        <v>1802</v>
      </c>
      <c r="G326" t="s">
        <v>1726</v>
      </c>
      <c r="H326" t="s">
        <v>1777</v>
      </c>
      <c r="I326" t="s">
        <v>1739</v>
      </c>
      <c r="J326" t="s">
        <v>1745</v>
      </c>
      <c r="K326" t="s">
        <v>2325</v>
      </c>
      <c r="L326" t="s">
        <v>1720</v>
      </c>
      <c r="M326" s="57">
        <v>44573</v>
      </c>
      <c r="N326" t="s">
        <v>3480</v>
      </c>
    </row>
    <row r="327" spans="1:14" hidden="1" x14ac:dyDescent="0.35">
      <c r="A327" t="s">
        <v>603</v>
      </c>
      <c r="B327" t="s">
        <v>1427</v>
      </c>
      <c r="L327" t="s">
        <v>1720</v>
      </c>
    </row>
    <row r="328" spans="1:14" hidden="1" x14ac:dyDescent="0.35">
      <c r="A328" t="s">
        <v>14</v>
      </c>
      <c r="B328" t="s">
        <v>843</v>
      </c>
      <c r="L328" t="s">
        <v>1720</v>
      </c>
    </row>
    <row r="329" spans="1:14" hidden="1" x14ac:dyDescent="0.35">
      <c r="A329" t="s">
        <v>780</v>
      </c>
      <c r="B329" t="s">
        <v>843</v>
      </c>
      <c r="L329" t="s">
        <v>1720</v>
      </c>
    </row>
    <row r="330" spans="1:14" hidden="1" x14ac:dyDescent="0.35">
      <c r="A330" t="s">
        <v>773</v>
      </c>
      <c r="B330" t="s">
        <v>1597</v>
      </c>
      <c r="L330" t="s">
        <v>1720</v>
      </c>
    </row>
    <row r="331" spans="1:14" hidden="1" x14ac:dyDescent="0.35">
      <c r="A331" t="s">
        <v>34</v>
      </c>
      <c r="B331" t="s">
        <v>863</v>
      </c>
      <c r="L331" t="s">
        <v>1720</v>
      </c>
    </row>
    <row r="332" spans="1:14" hidden="1" x14ac:dyDescent="0.35">
      <c r="A332" t="s">
        <v>55</v>
      </c>
      <c r="B332" t="s">
        <v>884</v>
      </c>
      <c r="L332" t="s">
        <v>1720</v>
      </c>
    </row>
    <row r="333" spans="1:14" x14ac:dyDescent="0.35">
      <c r="A333" t="s">
        <v>355</v>
      </c>
      <c r="B333" t="s">
        <v>1179</v>
      </c>
      <c r="C333" t="s">
        <v>2259</v>
      </c>
      <c r="D333" t="s">
        <v>1721</v>
      </c>
      <c r="F333" t="s">
        <v>1802</v>
      </c>
      <c r="G333" t="s">
        <v>1750</v>
      </c>
      <c r="H333" t="s">
        <v>1773</v>
      </c>
      <c r="I333" t="s">
        <v>1748</v>
      </c>
      <c r="J333" t="s">
        <v>1749</v>
      </c>
      <c r="K333" t="s">
        <v>2350</v>
      </c>
      <c r="L333" t="s">
        <v>1720</v>
      </c>
      <c r="M333" s="57">
        <v>44581</v>
      </c>
      <c r="N333" t="s">
        <v>3480</v>
      </c>
    </row>
    <row r="334" spans="1:14" x14ac:dyDescent="0.35">
      <c r="A334" t="s">
        <v>355</v>
      </c>
      <c r="B334" t="s">
        <v>1179</v>
      </c>
      <c r="C334" t="s">
        <v>2261</v>
      </c>
      <c r="D334" t="s">
        <v>1721</v>
      </c>
      <c r="E334" t="s">
        <v>2284</v>
      </c>
      <c r="F334" t="s">
        <v>2285</v>
      </c>
      <c r="G334" t="s">
        <v>1784</v>
      </c>
      <c r="H334" t="s">
        <v>1785</v>
      </c>
      <c r="I334" t="s">
        <v>1782</v>
      </c>
      <c r="J334" t="s">
        <v>1786</v>
      </c>
      <c r="K334" t="s">
        <v>2409</v>
      </c>
      <c r="L334" t="s">
        <v>1720</v>
      </c>
      <c r="M334" s="57">
        <v>44581</v>
      </c>
      <c r="N334" t="s">
        <v>3480</v>
      </c>
    </row>
    <row r="335" spans="1:14" x14ac:dyDescent="0.35">
      <c r="A335" t="s">
        <v>355</v>
      </c>
      <c r="B335" t="s">
        <v>1179</v>
      </c>
      <c r="C335" t="s">
        <v>2261</v>
      </c>
      <c r="D335" t="s">
        <v>1724</v>
      </c>
      <c r="E335" t="s">
        <v>2280</v>
      </c>
      <c r="F335" t="s">
        <v>1801</v>
      </c>
      <c r="G335" t="s">
        <v>1762</v>
      </c>
      <c r="H335" t="s">
        <v>2304</v>
      </c>
      <c r="I335" t="s">
        <v>1743</v>
      </c>
      <c r="J335" t="s">
        <v>1761</v>
      </c>
      <c r="K335" t="s">
        <v>2408</v>
      </c>
      <c r="L335" t="s">
        <v>1720</v>
      </c>
      <c r="M335" s="57">
        <v>44581</v>
      </c>
      <c r="N335" t="s">
        <v>3480</v>
      </c>
    </row>
    <row r="336" spans="1:14" x14ac:dyDescent="0.35">
      <c r="A336" t="s">
        <v>355</v>
      </c>
      <c r="B336" t="s">
        <v>1179</v>
      </c>
      <c r="C336" t="s">
        <v>2261</v>
      </c>
      <c r="D336" t="s">
        <v>1721</v>
      </c>
      <c r="E336" t="s">
        <v>2280</v>
      </c>
      <c r="F336" t="s">
        <v>1801</v>
      </c>
      <c r="G336" t="s">
        <v>1728</v>
      </c>
      <c r="H336" t="s">
        <v>1800</v>
      </c>
      <c r="I336" t="s">
        <v>1743</v>
      </c>
      <c r="J336" t="s">
        <v>1761</v>
      </c>
      <c r="K336" t="s">
        <v>2519</v>
      </c>
      <c r="L336" t="s">
        <v>1720</v>
      </c>
      <c r="M336" s="57">
        <v>44581</v>
      </c>
      <c r="N336" t="s">
        <v>3480</v>
      </c>
    </row>
    <row r="337" spans="1:14" hidden="1" x14ac:dyDescent="0.35">
      <c r="A337" t="s">
        <v>322</v>
      </c>
      <c r="B337" t="s">
        <v>1147</v>
      </c>
      <c r="L337" t="s">
        <v>1720</v>
      </c>
    </row>
    <row r="338" spans="1:14" hidden="1" x14ac:dyDescent="0.35">
      <c r="A338" t="s">
        <v>72</v>
      </c>
      <c r="B338" t="s">
        <v>901</v>
      </c>
      <c r="L338" t="s">
        <v>1720</v>
      </c>
    </row>
    <row r="339" spans="1:14" hidden="1" x14ac:dyDescent="0.35">
      <c r="A339" t="s">
        <v>309</v>
      </c>
      <c r="B339" t="s">
        <v>1134</v>
      </c>
      <c r="L339" t="s">
        <v>1720</v>
      </c>
    </row>
    <row r="340" spans="1:14" hidden="1" x14ac:dyDescent="0.35">
      <c r="A340" t="s">
        <v>77</v>
      </c>
      <c r="B340" t="s">
        <v>906</v>
      </c>
      <c r="L340" t="s">
        <v>1720</v>
      </c>
    </row>
    <row r="341" spans="1:14" x14ac:dyDescent="0.35">
      <c r="A341" t="s">
        <v>32</v>
      </c>
      <c r="B341" t="s">
        <v>861</v>
      </c>
      <c r="C341" t="s">
        <v>2259</v>
      </c>
      <c r="D341" t="s">
        <v>1721</v>
      </c>
      <c r="F341" t="s">
        <v>1802</v>
      </c>
      <c r="G341" t="s">
        <v>1727</v>
      </c>
      <c r="H341" t="s">
        <v>1737</v>
      </c>
      <c r="I341" t="s">
        <v>1730</v>
      </c>
      <c r="J341" t="s">
        <v>1732</v>
      </c>
      <c r="K341" t="s">
        <v>2270</v>
      </c>
      <c r="L341" t="s">
        <v>1720</v>
      </c>
      <c r="M341" s="57">
        <v>44581</v>
      </c>
      <c r="N341" t="s">
        <v>3481</v>
      </c>
    </row>
    <row r="342" spans="1:14" x14ac:dyDescent="0.35">
      <c r="A342" t="s">
        <v>32</v>
      </c>
      <c r="B342" t="s">
        <v>861</v>
      </c>
      <c r="C342" t="s">
        <v>2259</v>
      </c>
      <c r="D342" t="s">
        <v>1724</v>
      </c>
      <c r="F342" t="s">
        <v>1802</v>
      </c>
      <c r="G342" t="s">
        <v>1726</v>
      </c>
      <c r="H342" t="s">
        <v>1737</v>
      </c>
      <c r="I342" t="s">
        <v>1730</v>
      </c>
      <c r="J342" t="s">
        <v>1732</v>
      </c>
      <c r="K342" t="s">
        <v>2275</v>
      </c>
      <c r="L342" t="s">
        <v>1720</v>
      </c>
      <c r="M342" s="57">
        <v>44581</v>
      </c>
      <c r="N342" t="s">
        <v>3481</v>
      </c>
    </row>
    <row r="343" spans="1:14" x14ac:dyDescent="0.35">
      <c r="A343" t="s">
        <v>32</v>
      </c>
      <c r="B343" t="s">
        <v>861</v>
      </c>
      <c r="C343" t="s">
        <v>2261</v>
      </c>
      <c r="D343" t="s">
        <v>1721</v>
      </c>
      <c r="E343" t="s">
        <v>2277</v>
      </c>
      <c r="F343" t="s">
        <v>1804</v>
      </c>
      <c r="G343" t="s">
        <v>1741</v>
      </c>
      <c r="H343" t="s">
        <v>1775</v>
      </c>
      <c r="I343" t="s">
        <v>1742</v>
      </c>
      <c r="J343" t="s">
        <v>1744</v>
      </c>
      <c r="K343" t="s">
        <v>2276</v>
      </c>
      <c r="L343" t="s">
        <v>1720</v>
      </c>
      <c r="M343" s="57">
        <v>44581</v>
      </c>
      <c r="N343" t="s">
        <v>3480</v>
      </c>
    </row>
    <row r="344" spans="1:14" x14ac:dyDescent="0.35">
      <c r="A344" t="s">
        <v>32</v>
      </c>
      <c r="B344" t="s">
        <v>861</v>
      </c>
      <c r="C344" t="s">
        <v>2259</v>
      </c>
      <c r="D344" t="s">
        <v>1721</v>
      </c>
      <c r="F344" t="s">
        <v>1802</v>
      </c>
      <c r="G344" t="s">
        <v>1726</v>
      </c>
      <c r="H344" t="s">
        <v>1777</v>
      </c>
      <c r="I344" t="s">
        <v>1739</v>
      </c>
      <c r="J344" t="s">
        <v>1745</v>
      </c>
      <c r="K344" t="s">
        <v>2278</v>
      </c>
      <c r="L344" t="s">
        <v>1720</v>
      </c>
      <c r="M344" s="57">
        <v>44581</v>
      </c>
      <c r="N344" t="s">
        <v>3480</v>
      </c>
    </row>
    <row r="345" spans="1:14" x14ac:dyDescent="0.35">
      <c r="A345" t="s">
        <v>32</v>
      </c>
      <c r="B345" t="s">
        <v>861</v>
      </c>
      <c r="C345" t="s">
        <v>2261</v>
      </c>
      <c r="D345" t="s">
        <v>1721</v>
      </c>
      <c r="E345" t="s">
        <v>2280</v>
      </c>
      <c r="F345" t="s">
        <v>1801</v>
      </c>
      <c r="G345" t="s">
        <v>1728</v>
      </c>
      <c r="H345" t="s">
        <v>1800</v>
      </c>
      <c r="I345" t="s">
        <v>1743</v>
      </c>
      <c r="J345" t="s">
        <v>1746</v>
      </c>
      <c r="K345" t="s">
        <v>2279</v>
      </c>
      <c r="L345" t="s">
        <v>1720</v>
      </c>
      <c r="M345" s="57">
        <v>44581</v>
      </c>
      <c r="N345" t="s">
        <v>3480</v>
      </c>
    </row>
    <row r="346" spans="1:14" x14ac:dyDescent="0.35">
      <c r="A346" t="s">
        <v>87</v>
      </c>
      <c r="B346" t="s">
        <v>916</v>
      </c>
      <c r="C346" t="s">
        <v>2259</v>
      </c>
      <c r="D346" t="s">
        <v>1721</v>
      </c>
      <c r="F346" t="s">
        <v>1802</v>
      </c>
      <c r="G346" t="s">
        <v>1727</v>
      </c>
      <c r="H346" t="s">
        <v>1737</v>
      </c>
      <c r="I346" t="s">
        <v>1730</v>
      </c>
      <c r="J346" t="s">
        <v>1732</v>
      </c>
      <c r="K346" t="s">
        <v>2314</v>
      </c>
      <c r="L346" t="s">
        <v>1720</v>
      </c>
      <c r="M346" s="57">
        <v>44581</v>
      </c>
      <c r="N346" t="s">
        <v>3481</v>
      </c>
    </row>
    <row r="347" spans="1:14" x14ac:dyDescent="0.35">
      <c r="A347" t="s">
        <v>87</v>
      </c>
      <c r="B347" t="s">
        <v>916</v>
      </c>
      <c r="C347" t="s">
        <v>2259</v>
      </c>
      <c r="D347" t="s">
        <v>1724</v>
      </c>
      <c r="F347" t="s">
        <v>1802</v>
      </c>
      <c r="G347" t="s">
        <v>1726</v>
      </c>
      <c r="H347" t="s">
        <v>1737</v>
      </c>
      <c r="I347" t="s">
        <v>1730</v>
      </c>
      <c r="J347" t="s">
        <v>1732</v>
      </c>
      <c r="K347" t="s">
        <v>2343</v>
      </c>
      <c r="L347" t="s">
        <v>1720</v>
      </c>
      <c r="M347" s="57">
        <v>44581</v>
      </c>
      <c r="N347" t="s">
        <v>3481</v>
      </c>
    </row>
    <row r="348" spans="1:14" x14ac:dyDescent="0.35">
      <c r="A348" t="s">
        <v>87</v>
      </c>
      <c r="B348" t="s">
        <v>916</v>
      </c>
      <c r="C348" t="s">
        <v>2261</v>
      </c>
      <c r="D348" t="s">
        <v>1721</v>
      </c>
      <c r="E348" t="s">
        <v>2277</v>
      </c>
      <c r="F348" t="s">
        <v>1804</v>
      </c>
      <c r="G348" t="s">
        <v>1741</v>
      </c>
      <c r="H348" t="s">
        <v>1775</v>
      </c>
      <c r="I348" t="s">
        <v>1742</v>
      </c>
      <c r="J348" t="s">
        <v>1744</v>
      </c>
      <c r="K348" t="s">
        <v>2147</v>
      </c>
      <c r="L348" t="s">
        <v>1720</v>
      </c>
      <c r="M348" s="57">
        <v>44581</v>
      </c>
      <c r="N348" t="s">
        <v>3480</v>
      </c>
    </row>
    <row r="349" spans="1:14" x14ac:dyDescent="0.35">
      <c r="A349" t="s">
        <v>360</v>
      </c>
      <c r="B349" t="s">
        <v>1184</v>
      </c>
      <c r="C349" t="s">
        <v>2261</v>
      </c>
      <c r="D349" t="s">
        <v>1721</v>
      </c>
      <c r="F349" t="s">
        <v>1801</v>
      </c>
      <c r="G349" t="s">
        <v>1735</v>
      </c>
      <c r="H349" t="s">
        <v>1774</v>
      </c>
      <c r="I349" t="s">
        <v>1734</v>
      </c>
      <c r="J349" t="s">
        <v>1736</v>
      </c>
      <c r="K349" t="s">
        <v>2147</v>
      </c>
      <c r="L349" t="s">
        <v>1720</v>
      </c>
      <c r="M349" s="57">
        <v>44581</v>
      </c>
      <c r="N349" t="s">
        <v>3480</v>
      </c>
    </row>
    <row r="350" spans="1:14" x14ac:dyDescent="0.35">
      <c r="A350" t="s">
        <v>122</v>
      </c>
      <c r="B350" t="s">
        <v>951</v>
      </c>
      <c r="C350" t="s">
        <v>2261</v>
      </c>
      <c r="D350" t="s">
        <v>1724</v>
      </c>
      <c r="F350" t="s">
        <v>1802</v>
      </c>
      <c r="G350" t="s">
        <v>1757</v>
      </c>
      <c r="H350" t="s">
        <v>1780</v>
      </c>
      <c r="I350" t="s">
        <v>1755</v>
      </c>
      <c r="J350" t="s">
        <v>1756</v>
      </c>
      <c r="K350" t="s">
        <v>2359</v>
      </c>
      <c r="L350" t="s">
        <v>1720</v>
      </c>
      <c r="M350" s="57">
        <v>44581</v>
      </c>
      <c r="N350" t="s">
        <v>3480</v>
      </c>
    </row>
    <row r="351" spans="1:14" x14ac:dyDescent="0.35">
      <c r="A351" t="s">
        <v>122</v>
      </c>
      <c r="B351" t="s">
        <v>951</v>
      </c>
      <c r="C351" t="s">
        <v>2259</v>
      </c>
      <c r="D351" t="s">
        <v>1721</v>
      </c>
      <c r="E351" t="s">
        <v>1807</v>
      </c>
      <c r="F351" t="s">
        <v>1802</v>
      </c>
      <c r="G351" t="s">
        <v>1737</v>
      </c>
      <c r="H351" t="s">
        <v>1737</v>
      </c>
      <c r="I351" t="s">
        <v>1738</v>
      </c>
      <c r="J351" t="s">
        <v>2030</v>
      </c>
      <c r="K351" t="s">
        <v>2360</v>
      </c>
      <c r="L351" t="s">
        <v>1720</v>
      </c>
      <c r="M351" s="57">
        <v>44581</v>
      </c>
      <c r="N351" t="s">
        <v>3481</v>
      </c>
    </row>
    <row r="352" spans="1:14" x14ac:dyDescent="0.35">
      <c r="A352" t="s">
        <v>122</v>
      </c>
      <c r="B352" t="s">
        <v>951</v>
      </c>
      <c r="C352" t="s">
        <v>2259</v>
      </c>
      <c r="D352" t="s">
        <v>1724</v>
      </c>
      <c r="E352" t="s">
        <v>1807</v>
      </c>
      <c r="F352" t="s">
        <v>1802</v>
      </c>
      <c r="G352" t="s">
        <v>1737</v>
      </c>
      <c r="H352" t="s">
        <v>1737</v>
      </c>
      <c r="I352" t="s">
        <v>1738</v>
      </c>
      <c r="J352" t="s">
        <v>2030</v>
      </c>
      <c r="K352" t="s">
        <v>2503</v>
      </c>
      <c r="L352" t="s">
        <v>1720</v>
      </c>
      <c r="M352" s="57">
        <v>44581</v>
      </c>
      <c r="N352" t="s">
        <v>3481</v>
      </c>
    </row>
    <row r="353" spans="1:14" x14ac:dyDescent="0.35">
      <c r="A353" t="s">
        <v>122</v>
      </c>
      <c r="B353" t="s">
        <v>951</v>
      </c>
      <c r="C353" t="s">
        <v>2261</v>
      </c>
      <c r="D353" t="s">
        <v>1721</v>
      </c>
      <c r="E353" t="s">
        <v>2363</v>
      </c>
      <c r="F353" t="s">
        <v>1802</v>
      </c>
      <c r="G353" t="s">
        <v>1760</v>
      </c>
      <c r="H353" t="s">
        <v>1850</v>
      </c>
      <c r="I353" t="s">
        <v>1758</v>
      </c>
      <c r="J353" t="s">
        <v>1759</v>
      </c>
      <c r="K353" t="s">
        <v>2362</v>
      </c>
      <c r="L353" t="s">
        <v>1720</v>
      </c>
      <c r="M353" s="57">
        <v>44581</v>
      </c>
      <c r="N353" t="s">
        <v>3480</v>
      </c>
    </row>
    <row r="354" spans="1:14" x14ac:dyDescent="0.35">
      <c r="A354" t="s">
        <v>122</v>
      </c>
      <c r="B354" t="s">
        <v>951</v>
      </c>
      <c r="C354" t="s">
        <v>2261</v>
      </c>
      <c r="D354" t="s">
        <v>1724</v>
      </c>
      <c r="E354" t="s">
        <v>2363</v>
      </c>
      <c r="F354" t="s">
        <v>1802</v>
      </c>
      <c r="G354" t="s">
        <v>1760</v>
      </c>
      <c r="H354" t="s">
        <v>1867</v>
      </c>
      <c r="I354" t="s">
        <v>1758</v>
      </c>
      <c r="J354" t="s">
        <v>1759</v>
      </c>
      <c r="K354" t="s">
        <v>2364</v>
      </c>
      <c r="L354" t="s">
        <v>1720</v>
      </c>
      <c r="M354" s="57">
        <v>44581</v>
      </c>
      <c r="N354" t="s">
        <v>3480</v>
      </c>
    </row>
    <row r="355" spans="1:14" x14ac:dyDescent="0.35">
      <c r="A355" t="s">
        <v>122</v>
      </c>
      <c r="B355" t="s">
        <v>951</v>
      </c>
      <c r="C355" t="s">
        <v>2261</v>
      </c>
      <c r="D355" t="s">
        <v>1721</v>
      </c>
      <c r="E355" t="s">
        <v>2284</v>
      </c>
      <c r="F355" t="s">
        <v>2285</v>
      </c>
      <c r="G355" t="s">
        <v>1784</v>
      </c>
      <c r="H355" t="s">
        <v>1785</v>
      </c>
      <c r="I355" t="s">
        <v>2366</v>
      </c>
      <c r="J355" t="s">
        <v>1795</v>
      </c>
      <c r="K355" t="s">
        <v>2365</v>
      </c>
      <c r="L355" t="s">
        <v>1720</v>
      </c>
      <c r="M355" s="57">
        <v>44581</v>
      </c>
      <c r="N355" t="s">
        <v>3480</v>
      </c>
    </row>
    <row r="356" spans="1:14" x14ac:dyDescent="0.35">
      <c r="A356" t="s">
        <v>122</v>
      </c>
      <c r="B356" t="s">
        <v>951</v>
      </c>
      <c r="C356" t="s">
        <v>2261</v>
      </c>
      <c r="D356" t="s">
        <v>1724</v>
      </c>
      <c r="E356" t="s">
        <v>2280</v>
      </c>
      <c r="F356" t="s">
        <v>1801</v>
      </c>
      <c r="G356" t="s">
        <v>1762</v>
      </c>
      <c r="H356" t="s">
        <v>2304</v>
      </c>
      <c r="I356" t="s">
        <v>1743</v>
      </c>
      <c r="J356" t="s">
        <v>1761</v>
      </c>
      <c r="K356" t="s">
        <v>2504</v>
      </c>
      <c r="L356" t="s">
        <v>1720</v>
      </c>
      <c r="M356" s="57">
        <v>44581</v>
      </c>
      <c r="N356" t="s">
        <v>3480</v>
      </c>
    </row>
    <row r="357" spans="1:14" x14ac:dyDescent="0.35">
      <c r="A357" t="s">
        <v>122</v>
      </c>
      <c r="B357" t="s">
        <v>951</v>
      </c>
      <c r="C357" t="s">
        <v>2261</v>
      </c>
      <c r="D357" t="s">
        <v>1721</v>
      </c>
      <c r="E357" t="s">
        <v>2280</v>
      </c>
      <c r="F357" t="s">
        <v>1801</v>
      </c>
      <c r="G357" t="s">
        <v>1728</v>
      </c>
      <c r="H357" t="s">
        <v>1800</v>
      </c>
      <c r="I357" t="s">
        <v>1743</v>
      </c>
      <c r="J357" t="s">
        <v>1761</v>
      </c>
      <c r="K357" t="s">
        <v>2365</v>
      </c>
      <c r="L357" t="s">
        <v>1720</v>
      </c>
      <c r="M357" s="57">
        <v>44581</v>
      </c>
      <c r="N357" t="s">
        <v>3480</v>
      </c>
    </row>
    <row r="358" spans="1:14" x14ac:dyDescent="0.35">
      <c r="A358" t="s">
        <v>122</v>
      </c>
      <c r="B358" t="s">
        <v>951</v>
      </c>
      <c r="C358" t="s">
        <v>2261</v>
      </c>
      <c r="D358" t="s">
        <v>1721</v>
      </c>
      <c r="E358" t="s">
        <v>2277</v>
      </c>
      <c r="F358" t="s">
        <v>1804</v>
      </c>
      <c r="G358" t="s">
        <v>1741</v>
      </c>
      <c r="H358" t="s">
        <v>1775</v>
      </c>
      <c r="I358" t="s">
        <v>1742</v>
      </c>
      <c r="J358" t="s">
        <v>1744</v>
      </c>
      <c r="K358" t="s">
        <v>2335</v>
      </c>
      <c r="L358" t="s">
        <v>1720</v>
      </c>
      <c r="M358" s="57">
        <v>44581</v>
      </c>
      <c r="N358" t="s">
        <v>3480</v>
      </c>
    </row>
    <row r="359" spans="1:14" x14ac:dyDescent="0.35">
      <c r="A359" t="s">
        <v>492</v>
      </c>
      <c r="B359" t="s">
        <v>1316</v>
      </c>
      <c r="C359" t="s">
        <v>2259</v>
      </c>
      <c r="D359" t="s">
        <v>1721</v>
      </c>
      <c r="F359" t="s">
        <v>1802</v>
      </c>
      <c r="G359" t="s">
        <v>1750</v>
      </c>
      <c r="H359" t="s">
        <v>1773</v>
      </c>
      <c r="I359" t="s">
        <v>1748</v>
      </c>
      <c r="J359" t="s">
        <v>1749</v>
      </c>
      <c r="K359" t="s">
        <v>2415</v>
      </c>
      <c r="L359" t="s">
        <v>1720</v>
      </c>
      <c r="M359" s="57">
        <v>44581</v>
      </c>
      <c r="N359" t="s">
        <v>3480</v>
      </c>
    </row>
    <row r="360" spans="1:14" x14ac:dyDescent="0.35">
      <c r="A360" t="s">
        <v>492</v>
      </c>
      <c r="B360" t="s">
        <v>1316</v>
      </c>
      <c r="C360" t="s">
        <v>2261</v>
      </c>
      <c r="D360" t="s">
        <v>1721</v>
      </c>
      <c r="F360" t="s">
        <v>1801</v>
      </c>
      <c r="G360" t="s">
        <v>1735</v>
      </c>
      <c r="H360" t="s">
        <v>1774</v>
      </c>
      <c r="I360" t="s">
        <v>1734</v>
      </c>
      <c r="J360" t="s">
        <v>1805</v>
      </c>
      <c r="K360" t="s">
        <v>2147</v>
      </c>
      <c r="L360" t="s">
        <v>1720</v>
      </c>
      <c r="M360" s="57">
        <v>44581</v>
      </c>
      <c r="N360" t="s">
        <v>3480</v>
      </c>
    </row>
    <row r="361" spans="1:14" x14ac:dyDescent="0.35">
      <c r="A361" t="s">
        <v>492</v>
      </c>
      <c r="B361" t="s">
        <v>1316</v>
      </c>
      <c r="C361" t="s">
        <v>2259</v>
      </c>
      <c r="D361" t="s">
        <v>1724</v>
      </c>
      <c r="F361" t="s">
        <v>1802</v>
      </c>
      <c r="G361" t="s">
        <v>1726</v>
      </c>
      <c r="H361" t="s">
        <v>1777</v>
      </c>
      <c r="I361" t="s">
        <v>1739</v>
      </c>
      <c r="J361" t="s">
        <v>1745</v>
      </c>
      <c r="K361" t="s">
        <v>2328</v>
      </c>
      <c r="L361" t="s">
        <v>1720</v>
      </c>
      <c r="M361" s="57">
        <v>44581</v>
      </c>
      <c r="N361" t="s">
        <v>3480</v>
      </c>
    </row>
    <row r="362" spans="1:14" x14ac:dyDescent="0.35">
      <c r="A362" t="s">
        <v>492</v>
      </c>
      <c r="B362" t="s">
        <v>1316</v>
      </c>
      <c r="C362" t="s">
        <v>2259</v>
      </c>
      <c r="D362" t="s">
        <v>1721</v>
      </c>
      <c r="F362" t="s">
        <v>1802</v>
      </c>
      <c r="G362" t="s">
        <v>1726</v>
      </c>
      <c r="H362" t="s">
        <v>1777</v>
      </c>
      <c r="I362" t="s">
        <v>1739</v>
      </c>
      <c r="J362" t="s">
        <v>1745</v>
      </c>
      <c r="K362" t="s">
        <v>2292</v>
      </c>
      <c r="L362" t="s">
        <v>1720</v>
      </c>
      <c r="M362" s="57">
        <v>44581</v>
      </c>
      <c r="N362" t="s">
        <v>3480</v>
      </c>
    </row>
    <row r="363" spans="1:14" hidden="1" x14ac:dyDescent="0.35">
      <c r="A363" t="s">
        <v>386</v>
      </c>
      <c r="B363" t="s">
        <v>1210</v>
      </c>
      <c r="L363" t="s">
        <v>1720</v>
      </c>
    </row>
    <row r="364" spans="1:14" hidden="1" x14ac:dyDescent="0.35">
      <c r="A364" t="s">
        <v>336</v>
      </c>
      <c r="B364" t="s">
        <v>1161</v>
      </c>
      <c r="L364" t="s">
        <v>1720</v>
      </c>
    </row>
    <row r="365" spans="1:14" hidden="1" x14ac:dyDescent="0.35">
      <c r="A365" t="s">
        <v>337</v>
      </c>
      <c r="B365" t="s">
        <v>1161</v>
      </c>
      <c r="L365" t="s">
        <v>1720</v>
      </c>
    </row>
    <row r="366" spans="1:14" hidden="1" x14ac:dyDescent="0.35">
      <c r="A366" t="s">
        <v>754</v>
      </c>
      <c r="B366" t="s">
        <v>1578</v>
      </c>
      <c r="L366" t="s">
        <v>1720</v>
      </c>
    </row>
    <row r="367" spans="1:14" hidden="1" x14ac:dyDescent="0.35">
      <c r="A367" t="s">
        <v>584</v>
      </c>
      <c r="B367" t="s">
        <v>1408</v>
      </c>
      <c r="L367" t="s">
        <v>1720</v>
      </c>
    </row>
    <row r="368" spans="1:14" hidden="1" x14ac:dyDescent="0.35">
      <c r="A368" t="s">
        <v>104</v>
      </c>
      <c r="B368" t="s">
        <v>933</v>
      </c>
      <c r="L368" t="s">
        <v>1720</v>
      </c>
    </row>
    <row r="369" spans="1:14" hidden="1" x14ac:dyDescent="0.35">
      <c r="A369" t="s">
        <v>346</v>
      </c>
      <c r="B369" t="s">
        <v>1170</v>
      </c>
      <c r="L369" t="s">
        <v>1720</v>
      </c>
    </row>
    <row r="370" spans="1:14" x14ac:dyDescent="0.35">
      <c r="A370" t="s">
        <v>456</v>
      </c>
      <c r="B370" t="s">
        <v>1280</v>
      </c>
      <c r="C370" t="s">
        <v>2259</v>
      </c>
      <c r="D370" t="s">
        <v>1721</v>
      </c>
      <c r="E370" t="s">
        <v>1807</v>
      </c>
      <c r="F370" t="s">
        <v>1802</v>
      </c>
      <c r="G370" t="s">
        <v>1737</v>
      </c>
      <c r="H370" t="s">
        <v>1737</v>
      </c>
      <c r="I370" t="s">
        <v>1738</v>
      </c>
      <c r="J370" t="s">
        <v>1806</v>
      </c>
      <c r="K370" t="s">
        <v>2429</v>
      </c>
      <c r="L370" t="s">
        <v>1720</v>
      </c>
      <c r="M370" s="57">
        <v>44581</v>
      </c>
      <c r="N370" t="s">
        <v>3481</v>
      </c>
    </row>
    <row r="371" spans="1:14" x14ac:dyDescent="0.35">
      <c r="A371" t="s">
        <v>456</v>
      </c>
      <c r="B371" t="s">
        <v>1280</v>
      </c>
      <c r="C371" t="s">
        <v>2259</v>
      </c>
      <c r="D371" t="s">
        <v>1724</v>
      </c>
      <c r="E371" t="s">
        <v>1807</v>
      </c>
      <c r="F371" t="s">
        <v>1802</v>
      </c>
      <c r="G371" t="s">
        <v>1737</v>
      </c>
      <c r="H371" t="s">
        <v>1737</v>
      </c>
      <c r="I371" t="s">
        <v>1738</v>
      </c>
      <c r="J371" t="s">
        <v>1806</v>
      </c>
      <c r="K371" t="s">
        <v>2345</v>
      </c>
      <c r="L371" t="s">
        <v>1720</v>
      </c>
      <c r="M371" s="57">
        <v>44581</v>
      </c>
      <c r="N371" t="s">
        <v>3481</v>
      </c>
    </row>
    <row r="372" spans="1:14" hidden="1" x14ac:dyDescent="0.35">
      <c r="A372" t="s">
        <v>793</v>
      </c>
      <c r="B372" t="s">
        <v>1616</v>
      </c>
      <c r="L372" t="s">
        <v>1720</v>
      </c>
    </row>
    <row r="373" spans="1:14" hidden="1" x14ac:dyDescent="0.35">
      <c r="A373" t="s">
        <v>217</v>
      </c>
      <c r="B373" t="s">
        <v>1044</v>
      </c>
      <c r="L373" t="s">
        <v>1720</v>
      </c>
    </row>
    <row r="374" spans="1:14" hidden="1" x14ac:dyDescent="0.35">
      <c r="A374" t="s">
        <v>118</v>
      </c>
      <c r="B374" t="s">
        <v>947</v>
      </c>
      <c r="L374" t="s">
        <v>1720</v>
      </c>
    </row>
    <row r="375" spans="1:14" x14ac:dyDescent="0.35">
      <c r="A375" t="s">
        <v>764</v>
      </c>
      <c r="B375" t="s">
        <v>1588</v>
      </c>
      <c r="C375" t="s">
        <v>2259</v>
      </c>
      <c r="D375" t="s">
        <v>1721</v>
      </c>
      <c r="F375" t="s">
        <v>1802</v>
      </c>
      <c r="G375" t="s">
        <v>1750</v>
      </c>
      <c r="H375" t="s">
        <v>1773</v>
      </c>
      <c r="I375" t="s">
        <v>1748</v>
      </c>
      <c r="J375" t="s">
        <v>1749</v>
      </c>
      <c r="K375" t="s">
        <v>2485</v>
      </c>
      <c r="L375" t="s">
        <v>1720</v>
      </c>
      <c r="M375" s="57">
        <v>44581</v>
      </c>
      <c r="N375" t="s">
        <v>3480</v>
      </c>
    </row>
    <row r="376" spans="1:14" x14ac:dyDescent="0.35">
      <c r="A376" t="s">
        <v>764</v>
      </c>
      <c r="B376" t="s">
        <v>1588</v>
      </c>
      <c r="C376" t="s">
        <v>2261</v>
      </c>
      <c r="D376" t="s">
        <v>1721</v>
      </c>
      <c r="F376" t="s">
        <v>1801</v>
      </c>
      <c r="G376" t="s">
        <v>1735</v>
      </c>
      <c r="H376" t="s">
        <v>1774</v>
      </c>
      <c r="I376" t="s">
        <v>1734</v>
      </c>
      <c r="J376" t="s">
        <v>1736</v>
      </c>
      <c r="K376" t="s">
        <v>2430</v>
      </c>
      <c r="L376" t="s">
        <v>1720</v>
      </c>
      <c r="M376" s="57">
        <v>44581</v>
      </c>
      <c r="N376" t="s">
        <v>3480</v>
      </c>
    </row>
    <row r="377" spans="1:14" hidden="1" x14ac:dyDescent="0.35">
      <c r="A377" t="s">
        <v>755</v>
      </c>
      <c r="B377" t="s">
        <v>1579</v>
      </c>
      <c r="L377" t="s">
        <v>1720</v>
      </c>
    </row>
    <row r="378" spans="1:14" hidden="1" x14ac:dyDescent="0.35">
      <c r="A378" t="s">
        <v>372</v>
      </c>
      <c r="B378" t="s">
        <v>1196</v>
      </c>
      <c r="L378" t="s">
        <v>1720</v>
      </c>
    </row>
    <row r="379" spans="1:14" hidden="1" x14ac:dyDescent="0.35">
      <c r="A379" t="s">
        <v>326</v>
      </c>
      <c r="B379" t="s">
        <v>1151</v>
      </c>
      <c r="L379" t="s">
        <v>1720</v>
      </c>
    </row>
    <row r="380" spans="1:14" x14ac:dyDescent="0.35">
      <c r="A380" t="s">
        <v>175</v>
      </c>
      <c r="B380" t="s">
        <v>1004</v>
      </c>
      <c r="C380" t="s">
        <v>2261</v>
      </c>
      <c r="D380" t="s">
        <v>1721</v>
      </c>
      <c r="F380" t="s">
        <v>1802</v>
      </c>
      <c r="G380" t="s">
        <v>1750</v>
      </c>
      <c r="H380" t="s">
        <v>1773</v>
      </c>
      <c r="I380" t="s">
        <v>1748</v>
      </c>
      <c r="J380" t="s">
        <v>1749</v>
      </c>
      <c r="K380" t="s">
        <v>2114</v>
      </c>
      <c r="L380" t="s">
        <v>1720</v>
      </c>
      <c r="M380" s="57">
        <v>44581</v>
      </c>
      <c r="N380" t="s">
        <v>3480</v>
      </c>
    </row>
    <row r="381" spans="1:14" x14ac:dyDescent="0.35">
      <c r="A381" t="s">
        <v>175</v>
      </c>
      <c r="B381" t="s">
        <v>1004</v>
      </c>
      <c r="C381" t="s">
        <v>2261</v>
      </c>
      <c r="D381" t="s">
        <v>1721</v>
      </c>
      <c r="F381" t="s">
        <v>2308</v>
      </c>
      <c r="G381" t="s">
        <v>1728</v>
      </c>
      <c r="H381" t="s">
        <v>1779</v>
      </c>
      <c r="I381" t="s">
        <v>1765</v>
      </c>
      <c r="J381" t="s">
        <v>1766</v>
      </c>
      <c r="K381" t="s">
        <v>2516</v>
      </c>
      <c r="L381" t="s">
        <v>1720</v>
      </c>
      <c r="M381" s="57">
        <v>44581</v>
      </c>
      <c r="N381" t="s">
        <v>3480</v>
      </c>
    </row>
    <row r="382" spans="1:14" x14ac:dyDescent="0.35">
      <c r="A382" t="s">
        <v>175</v>
      </c>
      <c r="B382" t="s">
        <v>1004</v>
      </c>
      <c r="C382" t="s">
        <v>2261</v>
      </c>
      <c r="D382" t="s">
        <v>1724</v>
      </c>
      <c r="F382" t="s">
        <v>1801</v>
      </c>
      <c r="G382" t="s">
        <v>1808</v>
      </c>
      <c r="H382" t="s">
        <v>1809</v>
      </c>
      <c r="I382" t="s">
        <v>1734</v>
      </c>
      <c r="J382" t="s">
        <v>1736</v>
      </c>
      <c r="K382" t="s">
        <v>2384</v>
      </c>
      <c r="L382" t="s">
        <v>1720</v>
      </c>
      <c r="M382" s="57">
        <v>44581</v>
      </c>
      <c r="N382" t="s">
        <v>3480</v>
      </c>
    </row>
    <row r="383" spans="1:14" x14ac:dyDescent="0.35">
      <c r="A383" t="s">
        <v>175</v>
      </c>
      <c r="B383" t="s">
        <v>1004</v>
      </c>
      <c r="C383" t="s">
        <v>2261</v>
      </c>
      <c r="D383" t="s">
        <v>1721</v>
      </c>
      <c r="F383" t="s">
        <v>1801</v>
      </c>
      <c r="G383" t="s">
        <v>1735</v>
      </c>
      <c r="H383" t="s">
        <v>1774</v>
      </c>
      <c r="I383" t="s">
        <v>1734</v>
      </c>
      <c r="J383" t="s">
        <v>1771</v>
      </c>
      <c r="K383" t="s">
        <v>2276</v>
      </c>
      <c r="L383" t="s">
        <v>1720</v>
      </c>
      <c r="M383" s="57">
        <v>44581</v>
      </c>
      <c r="N383" t="s">
        <v>3480</v>
      </c>
    </row>
    <row r="384" spans="1:14" x14ac:dyDescent="0.35">
      <c r="A384" t="s">
        <v>175</v>
      </c>
      <c r="B384" t="s">
        <v>1004</v>
      </c>
      <c r="C384" t="s">
        <v>2261</v>
      </c>
      <c r="D384" t="s">
        <v>1721</v>
      </c>
      <c r="F384" t="s">
        <v>1804</v>
      </c>
      <c r="G384" t="s">
        <v>1741</v>
      </c>
      <c r="H384" t="s">
        <v>1775</v>
      </c>
      <c r="I384" t="s">
        <v>1742</v>
      </c>
      <c r="J384" t="s">
        <v>1744</v>
      </c>
      <c r="K384" t="s">
        <v>2276</v>
      </c>
      <c r="L384" t="s">
        <v>1720</v>
      </c>
      <c r="M384" s="57">
        <v>44581</v>
      </c>
      <c r="N384" t="s">
        <v>3480</v>
      </c>
    </row>
    <row r="385" spans="1:14" x14ac:dyDescent="0.35">
      <c r="A385" t="s">
        <v>50</v>
      </c>
      <c r="B385" t="s">
        <v>879</v>
      </c>
      <c r="C385" t="s">
        <v>2259</v>
      </c>
      <c r="D385" t="s">
        <v>1721</v>
      </c>
      <c r="F385" t="s">
        <v>1802</v>
      </c>
      <c r="G385" t="s">
        <v>1726</v>
      </c>
      <c r="H385" t="s">
        <v>1737</v>
      </c>
      <c r="I385" t="s">
        <v>1730</v>
      </c>
      <c r="J385" t="s">
        <v>1732</v>
      </c>
      <c r="K385" t="s">
        <v>2129</v>
      </c>
      <c r="L385" t="s">
        <v>1720</v>
      </c>
      <c r="M385" s="57">
        <v>44581</v>
      </c>
      <c r="N385" t="s">
        <v>3481</v>
      </c>
    </row>
    <row r="386" spans="1:14" x14ac:dyDescent="0.35">
      <c r="A386" t="s">
        <v>50</v>
      </c>
      <c r="B386" t="s">
        <v>879</v>
      </c>
      <c r="C386" t="s">
        <v>2259</v>
      </c>
      <c r="D386" t="s">
        <v>1724</v>
      </c>
      <c r="F386" t="s">
        <v>1802</v>
      </c>
      <c r="G386" t="s">
        <v>1726</v>
      </c>
      <c r="H386" t="s">
        <v>1737</v>
      </c>
      <c r="I386" t="s">
        <v>1730</v>
      </c>
      <c r="J386" t="s">
        <v>1732</v>
      </c>
      <c r="K386" t="s">
        <v>2317</v>
      </c>
      <c r="L386" t="s">
        <v>1720</v>
      </c>
      <c r="M386" s="57">
        <v>44581</v>
      </c>
      <c r="N386" t="s">
        <v>3481</v>
      </c>
    </row>
    <row r="387" spans="1:14" x14ac:dyDescent="0.35">
      <c r="A387" t="s">
        <v>636</v>
      </c>
      <c r="B387" t="s">
        <v>1460</v>
      </c>
      <c r="C387" t="s">
        <v>2259</v>
      </c>
      <c r="D387" t="s">
        <v>1721</v>
      </c>
      <c r="F387" t="s">
        <v>1802</v>
      </c>
      <c r="G387" t="s">
        <v>1726</v>
      </c>
      <c r="H387" t="s">
        <v>1777</v>
      </c>
      <c r="I387" t="s">
        <v>1739</v>
      </c>
      <c r="J387" t="s">
        <v>1745</v>
      </c>
      <c r="K387" t="s">
        <v>2350</v>
      </c>
      <c r="L387" t="s">
        <v>1720</v>
      </c>
      <c r="M387" s="57">
        <v>44581</v>
      </c>
      <c r="N387" t="s">
        <v>3480</v>
      </c>
    </row>
    <row r="388" spans="1:14" x14ac:dyDescent="0.35">
      <c r="A388" t="s">
        <v>636</v>
      </c>
      <c r="B388" t="s">
        <v>1460</v>
      </c>
      <c r="C388" t="s">
        <v>2259</v>
      </c>
      <c r="D388" t="s">
        <v>1724</v>
      </c>
      <c r="F388" t="s">
        <v>1802</v>
      </c>
      <c r="G388" t="s">
        <v>1726</v>
      </c>
      <c r="H388" t="s">
        <v>1777</v>
      </c>
      <c r="I388" t="s">
        <v>1739</v>
      </c>
      <c r="J388" t="s">
        <v>1745</v>
      </c>
      <c r="K388" t="s">
        <v>2119</v>
      </c>
      <c r="L388" t="s">
        <v>1720</v>
      </c>
      <c r="M388" s="57">
        <v>44581</v>
      </c>
      <c r="N388" t="s">
        <v>3480</v>
      </c>
    </row>
    <row r="389" spans="1:14" x14ac:dyDescent="0.35">
      <c r="A389" t="s">
        <v>510</v>
      </c>
      <c r="B389" t="s">
        <v>1334</v>
      </c>
      <c r="C389" t="s">
        <v>2261</v>
      </c>
      <c r="D389" t="s">
        <v>1721</v>
      </c>
      <c r="F389" t="s">
        <v>2263</v>
      </c>
      <c r="G389" t="s">
        <v>1725</v>
      </c>
      <c r="H389" t="s">
        <v>1776</v>
      </c>
      <c r="I389" t="s">
        <v>1729</v>
      </c>
      <c r="J389" t="s">
        <v>1747</v>
      </c>
      <c r="K389" t="s">
        <v>2437</v>
      </c>
      <c r="L389" t="s">
        <v>1720</v>
      </c>
      <c r="M389" s="57">
        <v>44581</v>
      </c>
      <c r="N389" t="s">
        <v>3480</v>
      </c>
    </row>
    <row r="390" spans="1:14" x14ac:dyDescent="0.35">
      <c r="A390" t="s">
        <v>510</v>
      </c>
      <c r="B390" t="s">
        <v>1334</v>
      </c>
      <c r="C390" t="s">
        <v>2259</v>
      </c>
      <c r="D390" t="s">
        <v>1721</v>
      </c>
      <c r="F390" t="s">
        <v>1802</v>
      </c>
      <c r="G390" t="s">
        <v>1750</v>
      </c>
      <c r="H390" t="s">
        <v>1773</v>
      </c>
      <c r="I390" t="s">
        <v>1748</v>
      </c>
      <c r="J390" t="s">
        <v>1749</v>
      </c>
      <c r="K390" t="s">
        <v>2438</v>
      </c>
      <c r="L390" t="s">
        <v>1720</v>
      </c>
      <c r="M390" s="57">
        <v>44581</v>
      </c>
      <c r="N390" t="s">
        <v>3480</v>
      </c>
    </row>
    <row r="391" spans="1:14" x14ac:dyDescent="0.35">
      <c r="A391" t="s">
        <v>510</v>
      </c>
      <c r="B391" t="s">
        <v>1334</v>
      </c>
      <c r="C391" t="s">
        <v>2261</v>
      </c>
      <c r="D391" t="s">
        <v>1721</v>
      </c>
      <c r="F391" t="s">
        <v>1801</v>
      </c>
      <c r="G391" t="s">
        <v>1735</v>
      </c>
      <c r="H391" t="s">
        <v>1774</v>
      </c>
      <c r="I391" t="s">
        <v>1734</v>
      </c>
      <c r="J391" t="s">
        <v>1771</v>
      </c>
      <c r="K391" t="s">
        <v>2333</v>
      </c>
      <c r="L391" t="s">
        <v>1720</v>
      </c>
      <c r="M391" s="57">
        <v>44581</v>
      </c>
      <c r="N391" t="s">
        <v>3480</v>
      </c>
    </row>
    <row r="392" spans="1:14" x14ac:dyDescent="0.35">
      <c r="A392" t="s">
        <v>510</v>
      </c>
      <c r="B392" t="s">
        <v>1334</v>
      </c>
      <c r="C392" t="s">
        <v>2261</v>
      </c>
      <c r="D392" t="s">
        <v>1721</v>
      </c>
      <c r="F392" t="s">
        <v>1802</v>
      </c>
      <c r="G392" t="s">
        <v>1812</v>
      </c>
      <c r="H392" t="s">
        <v>1813</v>
      </c>
      <c r="I392" t="s">
        <v>1810</v>
      </c>
      <c r="J392" t="s">
        <v>1811</v>
      </c>
      <c r="K392" t="s">
        <v>2119</v>
      </c>
      <c r="L392" t="s">
        <v>1720</v>
      </c>
      <c r="M392" s="57">
        <v>44581</v>
      </c>
      <c r="N392" t="s">
        <v>3480</v>
      </c>
    </row>
    <row r="393" spans="1:14" hidden="1" x14ac:dyDescent="0.35">
      <c r="A393" t="s">
        <v>157</v>
      </c>
      <c r="B393" t="s">
        <v>986</v>
      </c>
      <c r="L393" t="s">
        <v>1720</v>
      </c>
    </row>
    <row r="394" spans="1:14" hidden="1" x14ac:dyDescent="0.35">
      <c r="A394" t="s">
        <v>97</v>
      </c>
      <c r="B394" t="s">
        <v>926</v>
      </c>
      <c r="L394" t="s">
        <v>1720</v>
      </c>
    </row>
    <row r="395" spans="1:14" hidden="1" x14ac:dyDescent="0.35">
      <c r="A395" t="s">
        <v>254</v>
      </c>
      <c r="B395" t="s">
        <v>1080</v>
      </c>
      <c r="L395" t="s">
        <v>1720</v>
      </c>
    </row>
    <row r="396" spans="1:14" hidden="1" x14ac:dyDescent="0.35">
      <c r="A396" t="s">
        <v>246</v>
      </c>
      <c r="B396" t="s">
        <v>1072</v>
      </c>
      <c r="L396" t="s">
        <v>1720</v>
      </c>
    </row>
    <row r="397" spans="1:14" hidden="1" x14ac:dyDescent="0.35">
      <c r="A397" t="s">
        <v>491</v>
      </c>
      <c r="B397" t="s">
        <v>1315</v>
      </c>
      <c r="L397" t="s">
        <v>1720</v>
      </c>
    </row>
    <row r="398" spans="1:14" hidden="1" x14ac:dyDescent="0.35">
      <c r="A398" t="s">
        <v>569</v>
      </c>
      <c r="B398" t="s">
        <v>1393</v>
      </c>
      <c r="L398" t="s">
        <v>1720</v>
      </c>
    </row>
    <row r="399" spans="1:14" hidden="1" x14ac:dyDescent="0.35">
      <c r="A399" t="s">
        <v>524</v>
      </c>
      <c r="B399" t="s">
        <v>1348</v>
      </c>
      <c r="L399" t="s">
        <v>1720</v>
      </c>
    </row>
    <row r="400" spans="1:14" hidden="1" x14ac:dyDescent="0.35">
      <c r="A400" t="s">
        <v>69</v>
      </c>
      <c r="B400" t="s">
        <v>898</v>
      </c>
      <c r="L400" t="s">
        <v>1720</v>
      </c>
    </row>
    <row r="401" spans="1:14" hidden="1" x14ac:dyDescent="0.35">
      <c r="A401" t="s">
        <v>658</v>
      </c>
      <c r="B401" t="s">
        <v>1482</v>
      </c>
      <c r="L401" t="s">
        <v>1720</v>
      </c>
    </row>
    <row r="402" spans="1:14" hidden="1" x14ac:dyDescent="0.35">
      <c r="A402" t="s">
        <v>229</v>
      </c>
      <c r="B402" t="s">
        <v>1056</v>
      </c>
      <c r="L402" t="s">
        <v>1720</v>
      </c>
    </row>
    <row r="403" spans="1:14" hidden="1" x14ac:dyDescent="0.35">
      <c r="A403" t="s">
        <v>36</v>
      </c>
      <c r="B403" t="s">
        <v>865</v>
      </c>
      <c r="L403" t="s">
        <v>1720</v>
      </c>
    </row>
    <row r="404" spans="1:14" hidden="1" x14ac:dyDescent="0.35">
      <c r="A404" t="s">
        <v>573</v>
      </c>
      <c r="B404" t="s">
        <v>1397</v>
      </c>
      <c r="L404" t="s">
        <v>1720</v>
      </c>
    </row>
    <row r="405" spans="1:14" x14ac:dyDescent="0.35">
      <c r="A405" t="s">
        <v>775</v>
      </c>
      <c r="B405" t="s">
        <v>1599</v>
      </c>
      <c r="C405" t="s">
        <v>2261</v>
      </c>
      <c r="D405" t="s">
        <v>1721</v>
      </c>
      <c r="F405" t="s">
        <v>1802</v>
      </c>
      <c r="G405" t="s">
        <v>1750</v>
      </c>
      <c r="H405" t="s">
        <v>1773</v>
      </c>
      <c r="I405" t="s">
        <v>1748</v>
      </c>
      <c r="J405" t="s">
        <v>1749</v>
      </c>
      <c r="K405" t="s">
        <v>2114</v>
      </c>
      <c r="L405" t="s">
        <v>1720</v>
      </c>
      <c r="M405" s="57">
        <v>44581</v>
      </c>
      <c r="N405" t="s">
        <v>3480</v>
      </c>
    </row>
    <row r="406" spans="1:14" x14ac:dyDescent="0.35">
      <c r="A406" t="s">
        <v>775</v>
      </c>
      <c r="B406" t="s">
        <v>1599</v>
      </c>
      <c r="C406" t="s">
        <v>2261</v>
      </c>
      <c r="D406" t="s">
        <v>1721</v>
      </c>
      <c r="F406" t="s">
        <v>1801</v>
      </c>
      <c r="G406" t="s">
        <v>1735</v>
      </c>
      <c r="H406" t="s">
        <v>1774</v>
      </c>
      <c r="I406" t="s">
        <v>1734</v>
      </c>
      <c r="J406" t="s">
        <v>1736</v>
      </c>
      <c r="K406" t="s">
        <v>2380</v>
      </c>
      <c r="L406" t="s">
        <v>1720</v>
      </c>
      <c r="M406" s="57">
        <v>44581</v>
      </c>
      <c r="N406" t="s">
        <v>3480</v>
      </c>
    </row>
    <row r="407" spans="1:14" x14ac:dyDescent="0.35">
      <c r="A407" t="s">
        <v>775</v>
      </c>
      <c r="B407" t="s">
        <v>1599</v>
      </c>
      <c r="C407" t="s">
        <v>2259</v>
      </c>
      <c r="D407" t="s">
        <v>1724</v>
      </c>
      <c r="F407" t="s">
        <v>1802</v>
      </c>
      <c r="G407" t="s">
        <v>1726</v>
      </c>
      <c r="H407" t="s">
        <v>1777</v>
      </c>
      <c r="I407" t="s">
        <v>1739</v>
      </c>
      <c r="J407" t="s">
        <v>1745</v>
      </c>
      <c r="K407" t="s">
        <v>2119</v>
      </c>
      <c r="L407" t="s">
        <v>1720</v>
      </c>
      <c r="M407" s="57">
        <v>44581</v>
      </c>
      <c r="N407" t="s">
        <v>3480</v>
      </c>
    </row>
    <row r="408" spans="1:14" x14ac:dyDescent="0.35">
      <c r="A408" t="s">
        <v>775</v>
      </c>
      <c r="B408" t="s">
        <v>1599</v>
      </c>
      <c r="C408" t="s">
        <v>2259</v>
      </c>
      <c r="D408" t="s">
        <v>1721</v>
      </c>
      <c r="F408" t="s">
        <v>1802</v>
      </c>
      <c r="G408" t="s">
        <v>1726</v>
      </c>
      <c r="H408" t="s">
        <v>1777</v>
      </c>
      <c r="I408" t="s">
        <v>1739</v>
      </c>
      <c r="J408" t="s">
        <v>1745</v>
      </c>
      <c r="K408" t="s">
        <v>2350</v>
      </c>
      <c r="L408" t="s">
        <v>1720</v>
      </c>
      <c r="M408" s="57">
        <v>44581</v>
      </c>
      <c r="N408" t="s">
        <v>3480</v>
      </c>
    </row>
    <row r="409" spans="1:14" hidden="1" x14ac:dyDescent="0.35">
      <c r="A409" t="s">
        <v>210</v>
      </c>
      <c r="B409" t="s">
        <v>1037</v>
      </c>
      <c r="L409" t="s">
        <v>1720</v>
      </c>
    </row>
    <row r="410" spans="1:14" hidden="1" x14ac:dyDescent="0.35">
      <c r="A410" t="s">
        <v>566</v>
      </c>
      <c r="B410" t="s">
        <v>1390</v>
      </c>
      <c r="L410" t="s">
        <v>1720</v>
      </c>
    </row>
    <row r="411" spans="1:14" hidden="1" x14ac:dyDescent="0.35">
      <c r="A411" t="s">
        <v>22</v>
      </c>
      <c r="B411" t="s">
        <v>851</v>
      </c>
      <c r="L411" t="s">
        <v>1720</v>
      </c>
    </row>
    <row r="412" spans="1:14" x14ac:dyDescent="0.35">
      <c r="A412" t="s">
        <v>379</v>
      </c>
      <c r="B412" t="s">
        <v>1203</v>
      </c>
      <c r="C412" t="s">
        <v>2261</v>
      </c>
      <c r="D412" t="s">
        <v>1721</v>
      </c>
      <c r="F412" t="s">
        <v>2263</v>
      </c>
      <c r="G412" t="s">
        <v>1725</v>
      </c>
      <c r="H412" t="s">
        <v>1776</v>
      </c>
      <c r="I412" t="s">
        <v>1729</v>
      </c>
      <c r="J412" t="s">
        <v>1747</v>
      </c>
      <c r="K412" t="s">
        <v>2322</v>
      </c>
      <c r="L412" t="s">
        <v>1720</v>
      </c>
      <c r="M412" s="57">
        <v>44581</v>
      </c>
      <c r="N412" t="s">
        <v>3480</v>
      </c>
    </row>
    <row r="413" spans="1:14" x14ac:dyDescent="0.35">
      <c r="A413" t="s">
        <v>379</v>
      </c>
      <c r="B413" t="s">
        <v>1203</v>
      </c>
      <c r="C413" t="s">
        <v>2261</v>
      </c>
      <c r="D413" t="s">
        <v>1721</v>
      </c>
      <c r="F413" t="s">
        <v>1802</v>
      </c>
      <c r="G413" t="s">
        <v>1750</v>
      </c>
      <c r="H413" t="s">
        <v>1773</v>
      </c>
      <c r="I413" t="s">
        <v>1748</v>
      </c>
      <c r="J413" t="s">
        <v>1749</v>
      </c>
      <c r="K413" t="s">
        <v>2530</v>
      </c>
      <c r="L413" t="s">
        <v>1720</v>
      </c>
      <c r="M413" s="57">
        <v>44581</v>
      </c>
      <c r="N413" t="s">
        <v>3480</v>
      </c>
    </row>
    <row r="414" spans="1:14" x14ac:dyDescent="0.35">
      <c r="A414" t="s">
        <v>379</v>
      </c>
      <c r="B414" t="s">
        <v>1203</v>
      </c>
      <c r="C414" t="s">
        <v>2259</v>
      </c>
      <c r="D414" t="s">
        <v>1721</v>
      </c>
      <c r="F414" t="s">
        <v>1801</v>
      </c>
      <c r="G414" t="s">
        <v>1735</v>
      </c>
      <c r="H414" t="s">
        <v>1774</v>
      </c>
      <c r="I414" t="s">
        <v>1734</v>
      </c>
      <c r="J414" t="s">
        <v>1814</v>
      </c>
      <c r="K414" t="s">
        <v>2531</v>
      </c>
      <c r="L414" t="s">
        <v>1720</v>
      </c>
      <c r="M414" s="57">
        <v>44581</v>
      </c>
      <c r="N414" t="s">
        <v>3480</v>
      </c>
    </row>
    <row r="415" spans="1:14" x14ac:dyDescent="0.35">
      <c r="A415" t="s">
        <v>379</v>
      </c>
      <c r="B415" t="s">
        <v>1203</v>
      </c>
      <c r="C415" t="s">
        <v>2261</v>
      </c>
      <c r="D415" t="s">
        <v>1724</v>
      </c>
      <c r="F415" t="s">
        <v>1801</v>
      </c>
      <c r="G415" t="s">
        <v>1808</v>
      </c>
      <c r="H415" t="s">
        <v>1809</v>
      </c>
      <c r="I415" t="s">
        <v>1734</v>
      </c>
      <c r="J415" t="s">
        <v>1736</v>
      </c>
      <c r="K415" t="s">
        <v>2392</v>
      </c>
      <c r="L415" t="s">
        <v>1720</v>
      </c>
      <c r="M415" s="57">
        <v>44581</v>
      </c>
      <c r="N415" t="s">
        <v>3480</v>
      </c>
    </row>
    <row r="416" spans="1:14" x14ac:dyDescent="0.35">
      <c r="A416" t="s">
        <v>379</v>
      </c>
      <c r="B416" t="s">
        <v>1203</v>
      </c>
      <c r="C416" t="s">
        <v>2261</v>
      </c>
      <c r="D416" t="s">
        <v>1721</v>
      </c>
      <c r="F416" t="s">
        <v>1801</v>
      </c>
      <c r="G416" t="s">
        <v>1735</v>
      </c>
      <c r="H416" t="s">
        <v>1774</v>
      </c>
      <c r="I416" t="s">
        <v>1734</v>
      </c>
      <c r="J416" t="s">
        <v>1736</v>
      </c>
      <c r="K416" t="s">
        <v>2512</v>
      </c>
      <c r="L416" t="s">
        <v>1720</v>
      </c>
      <c r="M416" s="57">
        <v>44581</v>
      </c>
      <c r="N416" t="s">
        <v>3480</v>
      </c>
    </row>
    <row r="417" spans="1:14" x14ac:dyDescent="0.35">
      <c r="A417" t="s">
        <v>379</v>
      </c>
      <c r="B417" t="s">
        <v>1203</v>
      </c>
      <c r="C417" t="s">
        <v>2261</v>
      </c>
      <c r="D417" t="s">
        <v>1724</v>
      </c>
      <c r="F417" t="s">
        <v>1803</v>
      </c>
      <c r="G417" t="s">
        <v>1754</v>
      </c>
      <c r="H417" t="s">
        <v>1796</v>
      </c>
      <c r="I417" t="s">
        <v>1917</v>
      </c>
      <c r="J417" t="s">
        <v>1753</v>
      </c>
      <c r="K417" t="s">
        <v>2350</v>
      </c>
      <c r="L417" t="s">
        <v>1720</v>
      </c>
      <c r="M417" s="57">
        <v>44581</v>
      </c>
      <c r="N417" t="s">
        <v>3480</v>
      </c>
    </row>
    <row r="418" spans="1:14" x14ac:dyDescent="0.35">
      <c r="A418" t="s">
        <v>379</v>
      </c>
      <c r="B418" t="s">
        <v>1203</v>
      </c>
      <c r="C418" t="s">
        <v>2261</v>
      </c>
      <c r="D418" t="s">
        <v>1721</v>
      </c>
      <c r="F418" t="s">
        <v>1803</v>
      </c>
      <c r="G418" t="s">
        <v>1754</v>
      </c>
      <c r="H418" t="s">
        <v>1796</v>
      </c>
      <c r="I418" t="s">
        <v>1917</v>
      </c>
      <c r="J418" t="s">
        <v>1753</v>
      </c>
      <c r="K418" t="s">
        <v>2325</v>
      </c>
      <c r="L418" t="s">
        <v>1720</v>
      </c>
      <c r="M418" s="57">
        <v>44581</v>
      </c>
      <c r="N418" t="s">
        <v>3480</v>
      </c>
    </row>
    <row r="419" spans="1:14" x14ac:dyDescent="0.35">
      <c r="A419" t="s">
        <v>379</v>
      </c>
      <c r="B419" t="s">
        <v>1203</v>
      </c>
      <c r="C419" t="s">
        <v>2259</v>
      </c>
      <c r="D419" t="s">
        <v>1724</v>
      </c>
      <c r="F419" t="s">
        <v>1802</v>
      </c>
      <c r="G419" t="s">
        <v>1726</v>
      </c>
      <c r="H419" t="s">
        <v>1737</v>
      </c>
      <c r="I419" t="s">
        <v>1730</v>
      </c>
      <c r="J419" t="s">
        <v>1732</v>
      </c>
      <c r="K419" t="s">
        <v>2521</v>
      </c>
      <c r="L419" t="s">
        <v>1720</v>
      </c>
      <c r="M419" s="57">
        <v>44581</v>
      </c>
      <c r="N419" t="s">
        <v>3481</v>
      </c>
    </row>
    <row r="420" spans="1:14" x14ac:dyDescent="0.35">
      <c r="A420" t="s">
        <v>379</v>
      </c>
      <c r="B420" t="s">
        <v>1203</v>
      </c>
      <c r="C420" t="s">
        <v>2261</v>
      </c>
      <c r="D420" t="s">
        <v>1724</v>
      </c>
      <c r="F420" t="s">
        <v>1802</v>
      </c>
      <c r="G420" t="s">
        <v>1757</v>
      </c>
      <c r="H420" t="s">
        <v>1780</v>
      </c>
      <c r="I420" t="s">
        <v>1755</v>
      </c>
      <c r="J420" t="s">
        <v>1756</v>
      </c>
      <c r="K420" t="s">
        <v>2406</v>
      </c>
      <c r="L420" t="s">
        <v>1720</v>
      </c>
      <c r="M420" s="57">
        <v>44581</v>
      </c>
      <c r="N420" t="s">
        <v>3480</v>
      </c>
    </row>
    <row r="421" spans="1:14" x14ac:dyDescent="0.35">
      <c r="A421" t="s">
        <v>379</v>
      </c>
      <c r="B421" t="s">
        <v>1203</v>
      </c>
      <c r="C421" t="s">
        <v>2261</v>
      </c>
      <c r="D421" t="s">
        <v>1721</v>
      </c>
      <c r="F421" t="s">
        <v>1804</v>
      </c>
      <c r="G421" t="s">
        <v>1741</v>
      </c>
      <c r="H421" t="s">
        <v>1775</v>
      </c>
      <c r="I421" t="s">
        <v>1742</v>
      </c>
      <c r="J421" t="s">
        <v>1744</v>
      </c>
      <c r="K421" t="s">
        <v>2498</v>
      </c>
      <c r="L421" t="s">
        <v>1720</v>
      </c>
      <c r="M421" s="57">
        <v>44581</v>
      </c>
      <c r="N421" t="s">
        <v>3480</v>
      </c>
    </row>
    <row r="422" spans="1:14" x14ac:dyDescent="0.35">
      <c r="A422" t="s">
        <v>379</v>
      </c>
      <c r="B422" t="s">
        <v>1203</v>
      </c>
      <c r="C422" t="s">
        <v>2261</v>
      </c>
      <c r="D422" t="s">
        <v>1721</v>
      </c>
      <c r="F422" t="s">
        <v>1802</v>
      </c>
      <c r="G422" t="s">
        <v>1815</v>
      </c>
      <c r="H422" t="s">
        <v>1816</v>
      </c>
      <c r="I422" t="s">
        <v>1817</v>
      </c>
      <c r="J422" t="s">
        <v>1818</v>
      </c>
      <c r="K422" t="s">
        <v>2531</v>
      </c>
      <c r="L422" t="s">
        <v>1720</v>
      </c>
      <c r="M422" s="57">
        <v>44581</v>
      </c>
      <c r="N422" t="s">
        <v>3480</v>
      </c>
    </row>
    <row r="423" spans="1:14" x14ac:dyDescent="0.35">
      <c r="A423" t="s">
        <v>379</v>
      </c>
      <c r="B423" t="s">
        <v>1203</v>
      </c>
      <c r="C423" t="s">
        <v>2261</v>
      </c>
      <c r="D423" t="s">
        <v>1724</v>
      </c>
      <c r="F423" t="s">
        <v>1802</v>
      </c>
      <c r="G423" t="s">
        <v>1726</v>
      </c>
      <c r="H423" t="s">
        <v>1777</v>
      </c>
      <c r="I423" t="s">
        <v>1739</v>
      </c>
      <c r="J423" t="s">
        <v>1745</v>
      </c>
      <c r="K423" t="s">
        <v>2322</v>
      </c>
      <c r="L423" t="s">
        <v>1720</v>
      </c>
      <c r="M423" s="57">
        <v>44581</v>
      </c>
      <c r="N423" t="s">
        <v>3480</v>
      </c>
    </row>
    <row r="424" spans="1:14" x14ac:dyDescent="0.35">
      <c r="A424" t="s">
        <v>379</v>
      </c>
      <c r="B424" t="s">
        <v>1203</v>
      </c>
      <c r="C424" t="s">
        <v>2261</v>
      </c>
      <c r="D424" t="s">
        <v>1721</v>
      </c>
      <c r="F424" t="s">
        <v>1802</v>
      </c>
      <c r="G424" t="s">
        <v>1726</v>
      </c>
      <c r="H424" t="s">
        <v>1777</v>
      </c>
      <c r="I424" t="s">
        <v>1739</v>
      </c>
      <c r="J424" t="s">
        <v>1745</v>
      </c>
      <c r="K424" t="s">
        <v>2512</v>
      </c>
      <c r="L424" t="s">
        <v>1720</v>
      </c>
      <c r="M424" s="57">
        <v>44581</v>
      </c>
      <c r="N424" t="s">
        <v>3480</v>
      </c>
    </row>
    <row r="425" spans="1:14" x14ac:dyDescent="0.35">
      <c r="A425" t="s">
        <v>379</v>
      </c>
      <c r="B425" t="s">
        <v>1203</v>
      </c>
      <c r="C425" t="s">
        <v>2261</v>
      </c>
      <c r="D425" t="s">
        <v>1721</v>
      </c>
      <c r="E425" t="s">
        <v>2411</v>
      </c>
      <c r="F425" t="s">
        <v>1802</v>
      </c>
      <c r="G425" t="s">
        <v>1760</v>
      </c>
      <c r="H425" t="s">
        <v>1788</v>
      </c>
      <c r="I425" t="s">
        <v>1758</v>
      </c>
      <c r="J425" t="s">
        <v>2412</v>
      </c>
      <c r="K425" t="s">
        <v>2532</v>
      </c>
      <c r="L425" t="s">
        <v>1720</v>
      </c>
      <c r="M425" s="57">
        <v>44581</v>
      </c>
      <c r="N425" t="s">
        <v>3480</v>
      </c>
    </row>
    <row r="426" spans="1:14" x14ac:dyDescent="0.35">
      <c r="A426" t="s">
        <v>379</v>
      </c>
      <c r="B426" t="s">
        <v>1203</v>
      </c>
      <c r="C426" t="s">
        <v>2261</v>
      </c>
      <c r="D426" t="s">
        <v>1724</v>
      </c>
      <c r="E426" t="s">
        <v>2413</v>
      </c>
      <c r="F426" t="s">
        <v>1802</v>
      </c>
      <c r="G426" t="s">
        <v>1760</v>
      </c>
      <c r="H426" t="s">
        <v>1870</v>
      </c>
      <c r="I426" t="s">
        <v>1758</v>
      </c>
      <c r="J426" t="s">
        <v>2414</v>
      </c>
      <c r="K426" t="s">
        <v>2533</v>
      </c>
      <c r="L426" t="s">
        <v>1720</v>
      </c>
      <c r="M426" s="57">
        <v>44581</v>
      </c>
      <c r="N426" t="s">
        <v>3480</v>
      </c>
    </row>
    <row r="427" spans="1:14" x14ac:dyDescent="0.35">
      <c r="A427" t="s">
        <v>379</v>
      </c>
      <c r="B427" t="s">
        <v>1203</v>
      </c>
      <c r="C427" t="s">
        <v>2261</v>
      </c>
      <c r="D427" t="s">
        <v>1724</v>
      </c>
      <c r="F427" t="s">
        <v>2308</v>
      </c>
      <c r="G427" t="s">
        <v>1762</v>
      </c>
      <c r="H427" t="s">
        <v>1781</v>
      </c>
      <c r="I427" t="s">
        <v>1819</v>
      </c>
      <c r="J427" t="s">
        <v>1820</v>
      </c>
      <c r="K427" t="s">
        <v>2533</v>
      </c>
      <c r="L427" t="s">
        <v>1720</v>
      </c>
      <c r="M427" s="57">
        <v>44581</v>
      </c>
      <c r="N427" t="s">
        <v>3480</v>
      </c>
    </row>
    <row r="428" spans="1:14" x14ac:dyDescent="0.35">
      <c r="A428" t="s">
        <v>379</v>
      </c>
      <c r="B428" t="s">
        <v>1203</v>
      </c>
      <c r="C428" t="s">
        <v>2261</v>
      </c>
      <c r="D428" t="s">
        <v>1721</v>
      </c>
      <c r="F428" t="s">
        <v>2308</v>
      </c>
      <c r="G428" t="s">
        <v>1728</v>
      </c>
      <c r="H428" t="s">
        <v>1779</v>
      </c>
      <c r="I428" t="s">
        <v>1819</v>
      </c>
      <c r="J428" t="s">
        <v>1820</v>
      </c>
      <c r="K428" t="s">
        <v>2532</v>
      </c>
      <c r="L428" t="s">
        <v>1720</v>
      </c>
      <c r="M428" s="57">
        <v>44581</v>
      </c>
      <c r="N428" t="s">
        <v>3480</v>
      </c>
    </row>
    <row r="429" spans="1:14" hidden="1" x14ac:dyDescent="0.35">
      <c r="A429" t="s">
        <v>242</v>
      </c>
      <c r="B429" t="s">
        <v>1068</v>
      </c>
      <c r="L429" t="s">
        <v>1720</v>
      </c>
    </row>
    <row r="430" spans="1:14" hidden="1" x14ac:dyDescent="0.35">
      <c r="A430" t="s">
        <v>776</v>
      </c>
      <c r="B430" t="s">
        <v>1600</v>
      </c>
      <c r="L430" t="s">
        <v>1720</v>
      </c>
    </row>
    <row r="431" spans="1:14" hidden="1" x14ac:dyDescent="0.35">
      <c r="A431" t="s">
        <v>169</v>
      </c>
      <c r="B431" t="s">
        <v>998</v>
      </c>
      <c r="L431" t="s">
        <v>1720</v>
      </c>
    </row>
    <row r="432" spans="1:14" hidden="1" x14ac:dyDescent="0.35">
      <c r="A432" t="s">
        <v>477</v>
      </c>
      <c r="B432" t="s">
        <v>1301</v>
      </c>
      <c r="L432" t="s">
        <v>1720</v>
      </c>
    </row>
    <row r="433" spans="1:14" hidden="1" x14ac:dyDescent="0.35">
      <c r="A433" t="s">
        <v>103</v>
      </c>
      <c r="B433" t="s">
        <v>932</v>
      </c>
      <c r="L433" t="s">
        <v>1720</v>
      </c>
    </row>
    <row r="434" spans="1:14" hidden="1" x14ac:dyDescent="0.35">
      <c r="A434" t="s">
        <v>42</v>
      </c>
      <c r="B434" t="s">
        <v>871</v>
      </c>
      <c r="L434" t="s">
        <v>1720</v>
      </c>
    </row>
    <row r="435" spans="1:14" hidden="1" x14ac:dyDescent="0.35">
      <c r="A435" t="s">
        <v>218</v>
      </c>
      <c r="B435" t="s">
        <v>1045</v>
      </c>
      <c r="L435" t="s">
        <v>1720</v>
      </c>
    </row>
    <row r="436" spans="1:14" x14ac:dyDescent="0.35">
      <c r="A436" t="s">
        <v>435</v>
      </c>
      <c r="B436" t="s">
        <v>1259</v>
      </c>
      <c r="C436" t="s">
        <v>2259</v>
      </c>
      <c r="D436" t="s">
        <v>1721</v>
      </c>
      <c r="F436" t="s">
        <v>1802</v>
      </c>
      <c r="G436" t="s">
        <v>1750</v>
      </c>
      <c r="H436" t="s">
        <v>1773</v>
      </c>
      <c r="I436" t="s">
        <v>1748</v>
      </c>
      <c r="J436" t="s">
        <v>1749</v>
      </c>
      <c r="K436" t="s">
        <v>2119</v>
      </c>
      <c r="L436" t="s">
        <v>1720</v>
      </c>
      <c r="M436" s="57">
        <v>44581</v>
      </c>
      <c r="N436" t="s">
        <v>3480</v>
      </c>
    </row>
    <row r="437" spans="1:14" x14ac:dyDescent="0.35">
      <c r="A437" t="s">
        <v>435</v>
      </c>
      <c r="B437" t="s">
        <v>1259</v>
      </c>
      <c r="C437" t="s">
        <v>2261</v>
      </c>
      <c r="D437" t="s">
        <v>1721</v>
      </c>
      <c r="E437" t="s">
        <v>2277</v>
      </c>
      <c r="F437" t="s">
        <v>1804</v>
      </c>
      <c r="G437" t="s">
        <v>1741</v>
      </c>
      <c r="H437" t="s">
        <v>1775</v>
      </c>
      <c r="I437" t="s">
        <v>1742</v>
      </c>
      <c r="J437" t="s">
        <v>1744</v>
      </c>
      <c r="K437" t="s">
        <v>2535</v>
      </c>
      <c r="L437" t="s">
        <v>1720</v>
      </c>
      <c r="M437" s="57">
        <v>44581</v>
      </c>
      <c r="N437" t="s">
        <v>3480</v>
      </c>
    </row>
    <row r="438" spans="1:14" hidden="1" x14ac:dyDescent="0.35">
      <c r="A438" t="s">
        <v>818</v>
      </c>
      <c r="B438" t="s">
        <v>1641</v>
      </c>
      <c r="L438" t="s">
        <v>1720</v>
      </c>
    </row>
    <row r="439" spans="1:14" hidden="1" x14ac:dyDescent="0.35">
      <c r="A439" t="s">
        <v>126</v>
      </c>
      <c r="B439" t="s">
        <v>955</v>
      </c>
      <c r="L439" t="s">
        <v>1720</v>
      </c>
    </row>
    <row r="440" spans="1:14" hidden="1" x14ac:dyDescent="0.35">
      <c r="A440" t="s">
        <v>269</v>
      </c>
      <c r="B440" t="s">
        <v>1095</v>
      </c>
      <c r="L440" t="s">
        <v>1720</v>
      </c>
    </row>
    <row r="441" spans="1:14" hidden="1" x14ac:dyDescent="0.35">
      <c r="A441" t="s">
        <v>56</v>
      </c>
      <c r="B441" t="s">
        <v>885</v>
      </c>
      <c r="L441" t="s">
        <v>1720</v>
      </c>
    </row>
    <row r="442" spans="1:14" hidden="1" x14ac:dyDescent="0.35">
      <c r="A442" t="s">
        <v>277</v>
      </c>
      <c r="B442" t="s">
        <v>1103</v>
      </c>
      <c r="L442" t="s">
        <v>1720</v>
      </c>
    </row>
    <row r="443" spans="1:14" hidden="1" x14ac:dyDescent="0.35">
      <c r="A443" t="s">
        <v>276</v>
      </c>
      <c r="B443" t="s">
        <v>1102</v>
      </c>
      <c r="L443" t="s">
        <v>1720</v>
      </c>
    </row>
    <row r="444" spans="1:14" hidden="1" x14ac:dyDescent="0.35">
      <c r="A444" t="s">
        <v>202</v>
      </c>
      <c r="B444" t="s">
        <v>1030</v>
      </c>
      <c r="L444" t="s">
        <v>1720</v>
      </c>
    </row>
    <row r="445" spans="1:14" hidden="1" x14ac:dyDescent="0.35">
      <c r="A445" t="s">
        <v>685</v>
      </c>
      <c r="B445" t="s">
        <v>1509</v>
      </c>
      <c r="L445" t="s">
        <v>1720</v>
      </c>
    </row>
    <row r="446" spans="1:14" hidden="1" x14ac:dyDescent="0.35">
      <c r="A446" t="s">
        <v>686</v>
      </c>
      <c r="B446" t="s">
        <v>1510</v>
      </c>
      <c r="L446" t="s">
        <v>1720</v>
      </c>
    </row>
    <row r="447" spans="1:14" hidden="1" x14ac:dyDescent="0.35">
      <c r="A447" t="s">
        <v>480</v>
      </c>
      <c r="B447" t="s">
        <v>1304</v>
      </c>
      <c r="L447" t="s">
        <v>1720</v>
      </c>
    </row>
    <row r="448" spans="1:14" hidden="1" x14ac:dyDescent="0.35">
      <c r="A448" t="s">
        <v>429</v>
      </c>
      <c r="B448" t="s">
        <v>1253</v>
      </c>
      <c r="L448" t="s">
        <v>1720</v>
      </c>
    </row>
    <row r="449" spans="1:14" hidden="1" x14ac:dyDescent="0.35">
      <c r="A449" t="s">
        <v>44</v>
      </c>
      <c r="B449" t="s">
        <v>873</v>
      </c>
      <c r="L449" t="s">
        <v>1720</v>
      </c>
    </row>
    <row r="450" spans="1:14" hidden="1" x14ac:dyDescent="0.35">
      <c r="A450" t="s">
        <v>308</v>
      </c>
      <c r="B450" t="s">
        <v>1133</v>
      </c>
      <c r="L450" t="s">
        <v>1720</v>
      </c>
    </row>
    <row r="451" spans="1:14" hidden="1" x14ac:dyDescent="0.35">
      <c r="A451" t="s">
        <v>173</v>
      </c>
      <c r="B451" t="s">
        <v>1002</v>
      </c>
      <c r="L451" t="s">
        <v>1720</v>
      </c>
    </row>
    <row r="452" spans="1:14" hidden="1" x14ac:dyDescent="0.35">
      <c r="A452" t="s">
        <v>618</v>
      </c>
      <c r="B452" t="s">
        <v>1442</v>
      </c>
      <c r="L452" t="s">
        <v>1720</v>
      </c>
    </row>
    <row r="453" spans="1:14" hidden="1" x14ac:dyDescent="0.35">
      <c r="A453" t="s">
        <v>416</v>
      </c>
      <c r="B453" t="s">
        <v>1240</v>
      </c>
      <c r="L453" t="s">
        <v>1720</v>
      </c>
    </row>
    <row r="454" spans="1:14" hidden="1" x14ac:dyDescent="0.35">
      <c r="A454" t="s">
        <v>756</v>
      </c>
      <c r="B454" t="s">
        <v>1580</v>
      </c>
      <c r="L454" t="s">
        <v>1720</v>
      </c>
    </row>
    <row r="455" spans="1:14" hidden="1" x14ac:dyDescent="0.35">
      <c r="A455" t="s">
        <v>219</v>
      </c>
      <c r="B455" t="s">
        <v>1046</v>
      </c>
      <c r="L455" t="s">
        <v>1720</v>
      </c>
    </row>
    <row r="456" spans="1:14" hidden="1" x14ac:dyDescent="0.35">
      <c r="A456" t="s">
        <v>687</v>
      </c>
      <c r="B456" t="s">
        <v>1511</v>
      </c>
      <c r="L456" t="s">
        <v>1720</v>
      </c>
    </row>
    <row r="457" spans="1:14" hidden="1" x14ac:dyDescent="0.35">
      <c r="A457" t="s">
        <v>113</v>
      </c>
      <c r="B457" t="s">
        <v>942</v>
      </c>
      <c r="L457" t="s">
        <v>1720</v>
      </c>
    </row>
    <row r="458" spans="1:14" hidden="1" x14ac:dyDescent="0.35">
      <c r="A458" t="s">
        <v>688</v>
      </c>
      <c r="B458" t="s">
        <v>1512</v>
      </c>
      <c r="L458" t="s">
        <v>1720</v>
      </c>
    </row>
    <row r="459" spans="1:14" hidden="1" x14ac:dyDescent="0.35">
      <c r="A459" t="s">
        <v>330</v>
      </c>
      <c r="B459" t="s">
        <v>1155</v>
      </c>
      <c r="L459" t="s">
        <v>1720</v>
      </c>
    </row>
    <row r="460" spans="1:14" hidden="1" x14ac:dyDescent="0.35">
      <c r="A460" t="s">
        <v>260</v>
      </c>
      <c r="B460" t="s">
        <v>1086</v>
      </c>
      <c r="L460" t="s">
        <v>1720</v>
      </c>
    </row>
    <row r="461" spans="1:14" hidden="1" x14ac:dyDescent="0.35">
      <c r="A461" t="s">
        <v>295</v>
      </c>
      <c r="B461" t="s">
        <v>1120</v>
      </c>
      <c r="L461" t="s">
        <v>1720</v>
      </c>
    </row>
    <row r="462" spans="1:14" hidden="1" x14ac:dyDescent="0.35">
      <c r="A462" t="s">
        <v>194</v>
      </c>
      <c r="B462" t="s">
        <v>1022</v>
      </c>
      <c r="L462" t="s">
        <v>1720</v>
      </c>
    </row>
    <row r="463" spans="1:14" x14ac:dyDescent="0.35">
      <c r="A463" t="s">
        <v>2</v>
      </c>
      <c r="B463" t="s">
        <v>831</v>
      </c>
      <c r="C463" t="s">
        <v>2259</v>
      </c>
      <c r="D463" t="s">
        <v>1721</v>
      </c>
      <c r="F463" t="s">
        <v>1802</v>
      </c>
      <c r="G463" t="s">
        <v>1848</v>
      </c>
      <c r="H463" t="s">
        <v>1722</v>
      </c>
      <c r="I463" t="s">
        <v>1865</v>
      </c>
      <c r="J463" t="s">
        <v>1723</v>
      </c>
      <c r="K463" t="s">
        <v>2260</v>
      </c>
      <c r="L463" t="s">
        <v>1720</v>
      </c>
      <c r="M463" s="57">
        <v>44581</v>
      </c>
      <c r="N463" t="s">
        <v>3480</v>
      </c>
    </row>
    <row r="464" spans="1:14" hidden="1" x14ac:dyDescent="0.35">
      <c r="A464" t="s">
        <v>436</v>
      </c>
      <c r="B464" t="s">
        <v>1260</v>
      </c>
      <c r="L464" t="s">
        <v>1720</v>
      </c>
    </row>
    <row r="465" spans="1:14" hidden="1" x14ac:dyDescent="0.35">
      <c r="A465" t="s">
        <v>654</v>
      </c>
      <c r="B465" t="s">
        <v>1478</v>
      </c>
      <c r="L465" t="s">
        <v>1720</v>
      </c>
    </row>
    <row r="466" spans="1:14" hidden="1" x14ac:dyDescent="0.35">
      <c r="A466" t="s">
        <v>591</v>
      </c>
      <c r="B466" t="s">
        <v>1415</v>
      </c>
      <c r="L466" t="s">
        <v>1720</v>
      </c>
    </row>
    <row r="467" spans="1:14" hidden="1" x14ac:dyDescent="0.35">
      <c r="A467" t="s">
        <v>7</v>
      </c>
      <c r="B467" t="s">
        <v>836</v>
      </c>
      <c r="L467" t="s">
        <v>1720</v>
      </c>
    </row>
    <row r="468" spans="1:14" hidden="1" x14ac:dyDescent="0.35">
      <c r="A468" t="s">
        <v>290</v>
      </c>
      <c r="B468" t="s">
        <v>1115</v>
      </c>
      <c r="L468" t="s">
        <v>1720</v>
      </c>
    </row>
    <row r="469" spans="1:14" hidden="1" x14ac:dyDescent="0.35">
      <c r="A469" t="s">
        <v>152</v>
      </c>
      <c r="B469" t="s">
        <v>981</v>
      </c>
      <c r="L469" t="s">
        <v>1720</v>
      </c>
    </row>
    <row r="470" spans="1:14" hidden="1" x14ac:dyDescent="0.35">
      <c r="A470" t="s">
        <v>427</v>
      </c>
      <c r="B470" t="s">
        <v>1251</v>
      </c>
      <c r="L470" t="s">
        <v>1720</v>
      </c>
    </row>
    <row r="471" spans="1:14" hidden="1" x14ac:dyDescent="0.35">
      <c r="A471" t="s">
        <v>689</v>
      </c>
      <c r="B471" t="s">
        <v>1513</v>
      </c>
      <c r="L471" t="s">
        <v>1720</v>
      </c>
    </row>
    <row r="472" spans="1:14" hidden="1" x14ac:dyDescent="0.35">
      <c r="A472" t="s">
        <v>785</v>
      </c>
      <c r="B472" t="s">
        <v>1608</v>
      </c>
      <c r="L472" t="s">
        <v>1720</v>
      </c>
    </row>
    <row r="473" spans="1:14" hidden="1" x14ac:dyDescent="0.35">
      <c r="A473" t="s">
        <v>825</v>
      </c>
      <c r="B473" t="s">
        <v>1647</v>
      </c>
      <c r="L473" t="s">
        <v>1720</v>
      </c>
    </row>
    <row r="474" spans="1:14" hidden="1" x14ac:dyDescent="0.35">
      <c r="A474" t="s">
        <v>581</v>
      </c>
      <c r="B474" t="s">
        <v>1405</v>
      </c>
      <c r="L474" t="s">
        <v>1720</v>
      </c>
    </row>
    <row r="475" spans="1:14" x14ac:dyDescent="0.35">
      <c r="A475" t="s">
        <v>558</v>
      </c>
      <c r="B475" t="s">
        <v>1382</v>
      </c>
      <c r="C475" t="s">
        <v>2261</v>
      </c>
      <c r="D475" t="s">
        <v>1721</v>
      </c>
      <c r="E475" t="s">
        <v>2277</v>
      </c>
      <c r="F475" t="s">
        <v>1804</v>
      </c>
      <c r="G475" t="s">
        <v>1741</v>
      </c>
      <c r="H475" t="s">
        <v>1775</v>
      </c>
      <c r="I475" t="s">
        <v>1742</v>
      </c>
      <c r="J475" t="s">
        <v>1744</v>
      </c>
      <c r="K475" t="s">
        <v>2330</v>
      </c>
      <c r="L475" t="s">
        <v>1720</v>
      </c>
      <c r="M475" s="57">
        <v>44581</v>
      </c>
      <c r="N475" t="s">
        <v>3480</v>
      </c>
    </row>
    <row r="476" spans="1:14" hidden="1" x14ac:dyDescent="0.35">
      <c r="A476" t="s">
        <v>180</v>
      </c>
      <c r="B476" t="s">
        <v>1009</v>
      </c>
      <c r="L476" t="s">
        <v>1720</v>
      </c>
    </row>
    <row r="477" spans="1:14" hidden="1" x14ac:dyDescent="0.35">
      <c r="A477" t="s">
        <v>656</v>
      </c>
      <c r="B477" t="s">
        <v>1480</v>
      </c>
      <c r="L477" t="s">
        <v>1720</v>
      </c>
    </row>
    <row r="478" spans="1:14" x14ac:dyDescent="0.35">
      <c r="A478" t="s">
        <v>354</v>
      </c>
      <c r="B478" t="s">
        <v>1178</v>
      </c>
      <c r="C478" t="s">
        <v>2259</v>
      </c>
      <c r="D478" t="s">
        <v>1721</v>
      </c>
      <c r="F478" t="s">
        <v>1802</v>
      </c>
      <c r="G478" t="s">
        <v>1848</v>
      </c>
      <c r="H478" t="s">
        <v>1851</v>
      </c>
      <c r="I478" t="s">
        <v>1852</v>
      </c>
      <c r="J478" t="s">
        <v>1853</v>
      </c>
      <c r="K478" t="s">
        <v>2407</v>
      </c>
      <c r="L478" t="s">
        <v>1720</v>
      </c>
      <c r="M478" s="57">
        <v>44581</v>
      </c>
      <c r="N478" t="s">
        <v>3480</v>
      </c>
    </row>
    <row r="479" spans="1:14" x14ac:dyDescent="0.35">
      <c r="A479" t="s">
        <v>354</v>
      </c>
      <c r="B479" t="s">
        <v>1178</v>
      </c>
      <c r="C479" t="s">
        <v>2259</v>
      </c>
      <c r="D479" t="s">
        <v>1721</v>
      </c>
      <c r="F479" t="s">
        <v>1802</v>
      </c>
      <c r="G479" t="s">
        <v>1750</v>
      </c>
      <c r="H479" t="s">
        <v>1773</v>
      </c>
      <c r="I479" t="s">
        <v>1748</v>
      </c>
      <c r="J479" t="s">
        <v>1749</v>
      </c>
      <c r="K479" t="s">
        <v>2350</v>
      </c>
      <c r="L479" t="s">
        <v>1720</v>
      </c>
      <c r="M479" s="57">
        <v>44581</v>
      </c>
      <c r="N479" t="s">
        <v>3480</v>
      </c>
    </row>
    <row r="480" spans="1:14" x14ac:dyDescent="0.35">
      <c r="A480" t="s">
        <v>354</v>
      </c>
      <c r="B480" t="s">
        <v>1178</v>
      </c>
      <c r="C480" t="s">
        <v>2261</v>
      </c>
      <c r="D480" t="s">
        <v>1724</v>
      </c>
      <c r="E480" t="s">
        <v>2280</v>
      </c>
      <c r="F480" t="s">
        <v>1801</v>
      </c>
      <c r="G480" t="s">
        <v>1762</v>
      </c>
      <c r="H480" t="s">
        <v>2304</v>
      </c>
      <c r="I480" t="s">
        <v>1743</v>
      </c>
      <c r="J480" t="s">
        <v>1761</v>
      </c>
      <c r="K480" t="s">
        <v>2408</v>
      </c>
      <c r="L480" t="s">
        <v>1720</v>
      </c>
      <c r="M480" s="57">
        <v>44581</v>
      </c>
      <c r="N480" t="s">
        <v>3480</v>
      </c>
    </row>
    <row r="481" spans="1:14" x14ac:dyDescent="0.35">
      <c r="A481" t="s">
        <v>354</v>
      </c>
      <c r="B481" t="s">
        <v>1178</v>
      </c>
      <c r="C481" t="s">
        <v>2261</v>
      </c>
      <c r="D481" t="s">
        <v>1721</v>
      </c>
      <c r="E481" t="s">
        <v>2280</v>
      </c>
      <c r="F481" t="s">
        <v>1801</v>
      </c>
      <c r="G481" t="s">
        <v>1728</v>
      </c>
      <c r="H481" t="s">
        <v>1800</v>
      </c>
      <c r="I481" t="s">
        <v>1743</v>
      </c>
      <c r="J481" t="s">
        <v>1761</v>
      </c>
      <c r="K481" t="s">
        <v>2519</v>
      </c>
      <c r="L481" t="s">
        <v>1720</v>
      </c>
      <c r="M481" s="57">
        <v>44581</v>
      </c>
      <c r="N481" t="s">
        <v>3480</v>
      </c>
    </row>
    <row r="482" spans="1:14" hidden="1" x14ac:dyDescent="0.35">
      <c r="A482" t="s">
        <v>734</v>
      </c>
      <c r="B482" t="s">
        <v>1558</v>
      </c>
      <c r="L482" t="s">
        <v>1720</v>
      </c>
    </row>
    <row r="483" spans="1:14" hidden="1" x14ac:dyDescent="0.35">
      <c r="A483" t="s">
        <v>579</v>
      </c>
      <c r="B483" t="s">
        <v>1403</v>
      </c>
      <c r="L483" t="s">
        <v>1720</v>
      </c>
    </row>
    <row r="484" spans="1:14" hidden="1" x14ac:dyDescent="0.35">
      <c r="A484" t="s">
        <v>306</v>
      </c>
      <c r="B484" t="s">
        <v>1131</v>
      </c>
      <c r="L484" t="s">
        <v>1720</v>
      </c>
    </row>
    <row r="485" spans="1:14" hidden="1" x14ac:dyDescent="0.35">
      <c r="A485" t="s">
        <v>177</v>
      </c>
      <c r="B485" t="s">
        <v>1006</v>
      </c>
      <c r="L485" t="s">
        <v>1720</v>
      </c>
    </row>
    <row r="486" spans="1:14" hidden="1" x14ac:dyDescent="0.35">
      <c r="A486" t="s">
        <v>630</v>
      </c>
      <c r="B486" t="s">
        <v>1454</v>
      </c>
      <c r="L486" t="s">
        <v>1720</v>
      </c>
    </row>
    <row r="487" spans="1:14" hidden="1" x14ac:dyDescent="0.35">
      <c r="A487" t="s">
        <v>417</v>
      </c>
      <c r="B487" t="s">
        <v>1241</v>
      </c>
      <c r="L487" t="s">
        <v>1720</v>
      </c>
    </row>
    <row r="488" spans="1:14" hidden="1" x14ac:dyDescent="0.35">
      <c r="A488" t="s">
        <v>48</v>
      </c>
      <c r="B488" t="s">
        <v>877</v>
      </c>
      <c r="L488" t="s">
        <v>1720</v>
      </c>
    </row>
    <row r="489" spans="1:14" hidden="1" x14ac:dyDescent="0.35">
      <c r="A489" t="s">
        <v>625</v>
      </c>
      <c r="B489" t="s">
        <v>1449</v>
      </c>
      <c r="L489" t="s">
        <v>1720</v>
      </c>
    </row>
    <row r="490" spans="1:14" hidden="1" x14ac:dyDescent="0.35">
      <c r="A490" t="s">
        <v>292</v>
      </c>
      <c r="B490" t="s">
        <v>1117</v>
      </c>
      <c r="L490" t="s">
        <v>1720</v>
      </c>
    </row>
    <row r="491" spans="1:14" hidden="1" x14ac:dyDescent="0.35">
      <c r="A491" t="s">
        <v>583</v>
      </c>
      <c r="B491" t="s">
        <v>1407</v>
      </c>
      <c r="L491" t="s">
        <v>1720</v>
      </c>
    </row>
    <row r="492" spans="1:14" x14ac:dyDescent="0.35">
      <c r="A492" t="s">
        <v>606</v>
      </c>
      <c r="B492" t="s">
        <v>1430</v>
      </c>
      <c r="C492" t="s">
        <v>2261</v>
      </c>
      <c r="D492" t="s">
        <v>1721</v>
      </c>
      <c r="F492" t="s">
        <v>1801</v>
      </c>
      <c r="G492" t="s">
        <v>1735</v>
      </c>
      <c r="H492" t="s">
        <v>1774</v>
      </c>
      <c r="I492" t="s">
        <v>1734</v>
      </c>
      <c r="J492" t="s">
        <v>1771</v>
      </c>
      <c r="K492" t="s">
        <v>2286</v>
      </c>
      <c r="L492" t="s">
        <v>1720</v>
      </c>
      <c r="M492" s="57">
        <v>44581</v>
      </c>
      <c r="N492" t="s">
        <v>3480</v>
      </c>
    </row>
    <row r="493" spans="1:14" x14ac:dyDescent="0.35">
      <c r="A493" t="s">
        <v>606</v>
      </c>
      <c r="B493" t="s">
        <v>1430</v>
      </c>
      <c r="C493" t="s">
        <v>2259</v>
      </c>
      <c r="D493" t="s">
        <v>1724</v>
      </c>
      <c r="F493" t="s">
        <v>1802</v>
      </c>
      <c r="G493" t="s">
        <v>1726</v>
      </c>
      <c r="H493" t="s">
        <v>1737</v>
      </c>
      <c r="I493" t="s">
        <v>1730</v>
      </c>
      <c r="J493" t="s">
        <v>1732</v>
      </c>
      <c r="K493" t="s">
        <v>2463</v>
      </c>
      <c r="L493" t="s">
        <v>1720</v>
      </c>
      <c r="M493" s="57">
        <v>44581</v>
      </c>
      <c r="N493" t="s">
        <v>3481</v>
      </c>
    </row>
    <row r="494" spans="1:14" x14ac:dyDescent="0.35">
      <c r="A494" t="s">
        <v>606</v>
      </c>
      <c r="B494" t="s">
        <v>1430</v>
      </c>
      <c r="C494" t="s">
        <v>2261</v>
      </c>
      <c r="D494" t="s">
        <v>1721</v>
      </c>
      <c r="F494" t="s">
        <v>1802</v>
      </c>
      <c r="G494" t="s">
        <v>1821</v>
      </c>
      <c r="H494" t="s">
        <v>1813</v>
      </c>
      <c r="I494" t="s">
        <v>1822</v>
      </c>
      <c r="J494" t="s">
        <v>1811</v>
      </c>
      <c r="K494" t="s">
        <v>2456</v>
      </c>
      <c r="L494" t="s">
        <v>1720</v>
      </c>
      <c r="M494" s="57">
        <v>44581</v>
      </c>
      <c r="N494" t="s">
        <v>3480</v>
      </c>
    </row>
    <row r="495" spans="1:14" x14ac:dyDescent="0.35">
      <c r="A495" t="s">
        <v>606</v>
      </c>
      <c r="B495" t="s">
        <v>1430</v>
      </c>
      <c r="C495" t="s">
        <v>2261</v>
      </c>
      <c r="D495" t="s">
        <v>1724</v>
      </c>
      <c r="E495" t="s">
        <v>2301</v>
      </c>
      <c r="F495" t="s">
        <v>1802</v>
      </c>
      <c r="G495" t="s">
        <v>1760</v>
      </c>
      <c r="H495" t="s">
        <v>1867</v>
      </c>
      <c r="I495" t="s">
        <v>1758</v>
      </c>
      <c r="J495" t="s">
        <v>1759</v>
      </c>
      <c r="K495" t="s">
        <v>2464</v>
      </c>
      <c r="L495" t="s">
        <v>1720</v>
      </c>
      <c r="M495" s="57">
        <v>44581</v>
      </c>
      <c r="N495" t="s">
        <v>3480</v>
      </c>
    </row>
    <row r="496" spans="1:14" x14ac:dyDescent="0.35">
      <c r="A496" t="s">
        <v>606</v>
      </c>
      <c r="B496" t="s">
        <v>1430</v>
      </c>
      <c r="C496" t="s">
        <v>2259</v>
      </c>
      <c r="D496" t="s">
        <v>1721</v>
      </c>
      <c r="F496" t="s">
        <v>1802</v>
      </c>
      <c r="G496" t="s">
        <v>1750</v>
      </c>
      <c r="H496" t="s">
        <v>1773</v>
      </c>
      <c r="I496" t="s">
        <v>1748</v>
      </c>
      <c r="J496" t="s">
        <v>1749</v>
      </c>
      <c r="K496" t="s">
        <v>2458</v>
      </c>
      <c r="L496" t="s">
        <v>1720</v>
      </c>
      <c r="M496" s="57">
        <v>44581</v>
      </c>
      <c r="N496" t="s">
        <v>3480</v>
      </c>
    </row>
    <row r="497" spans="1:14" x14ac:dyDescent="0.35">
      <c r="A497" t="s">
        <v>606</v>
      </c>
      <c r="B497" t="s">
        <v>1430</v>
      </c>
      <c r="C497" t="s">
        <v>2261</v>
      </c>
      <c r="D497" t="s">
        <v>1721</v>
      </c>
      <c r="F497" t="s">
        <v>1802</v>
      </c>
      <c r="G497" t="s">
        <v>1735</v>
      </c>
      <c r="H497" t="s">
        <v>1774</v>
      </c>
      <c r="I497" t="s">
        <v>1734</v>
      </c>
      <c r="J497" t="s">
        <v>1891</v>
      </c>
      <c r="K497" t="s">
        <v>2286</v>
      </c>
      <c r="L497" t="s">
        <v>1720</v>
      </c>
      <c r="M497" s="57">
        <v>44581</v>
      </c>
      <c r="N497" t="s">
        <v>3480</v>
      </c>
    </row>
    <row r="498" spans="1:14" x14ac:dyDescent="0.35">
      <c r="A498" t="s">
        <v>606</v>
      </c>
      <c r="B498" t="s">
        <v>1430</v>
      </c>
      <c r="C498" t="s">
        <v>2261</v>
      </c>
      <c r="D498" t="s">
        <v>1721</v>
      </c>
      <c r="F498" t="s">
        <v>1803</v>
      </c>
      <c r="G498" t="s">
        <v>1754</v>
      </c>
      <c r="H498" t="s">
        <v>1796</v>
      </c>
      <c r="I498" t="s">
        <v>1917</v>
      </c>
      <c r="J498" t="s">
        <v>1753</v>
      </c>
      <c r="K498" t="s">
        <v>2430</v>
      </c>
      <c r="L498" t="s">
        <v>1720</v>
      </c>
      <c r="M498" s="57">
        <v>44581</v>
      </c>
      <c r="N498" t="s">
        <v>3480</v>
      </c>
    </row>
    <row r="499" spans="1:14" x14ac:dyDescent="0.35">
      <c r="A499" t="s">
        <v>606</v>
      </c>
      <c r="B499" t="s">
        <v>1430</v>
      </c>
      <c r="C499" t="s">
        <v>2261</v>
      </c>
      <c r="D499" t="s">
        <v>1721</v>
      </c>
      <c r="F499" t="s">
        <v>1804</v>
      </c>
      <c r="G499" t="s">
        <v>1741</v>
      </c>
      <c r="H499" t="s">
        <v>1775</v>
      </c>
      <c r="I499" t="s">
        <v>1742</v>
      </c>
      <c r="J499" t="s">
        <v>1744</v>
      </c>
      <c r="K499" t="s">
        <v>2456</v>
      </c>
      <c r="L499" t="s">
        <v>1720</v>
      </c>
      <c r="M499" s="57">
        <v>44581</v>
      </c>
      <c r="N499" t="s">
        <v>3480</v>
      </c>
    </row>
    <row r="500" spans="1:14" x14ac:dyDescent="0.35">
      <c r="A500" t="s">
        <v>606</v>
      </c>
      <c r="B500" t="s">
        <v>1430</v>
      </c>
      <c r="C500" t="s">
        <v>2259</v>
      </c>
      <c r="D500" t="s">
        <v>1721</v>
      </c>
      <c r="F500" t="s">
        <v>1802</v>
      </c>
      <c r="G500" t="s">
        <v>1726</v>
      </c>
      <c r="H500" t="s">
        <v>1777</v>
      </c>
      <c r="I500" t="s">
        <v>1739</v>
      </c>
      <c r="J500" t="s">
        <v>1745</v>
      </c>
      <c r="K500" t="s">
        <v>2430</v>
      </c>
      <c r="L500" t="s">
        <v>1720</v>
      </c>
      <c r="M500" s="57">
        <v>44581</v>
      </c>
      <c r="N500" t="s">
        <v>3480</v>
      </c>
    </row>
    <row r="501" spans="1:14" x14ac:dyDescent="0.35">
      <c r="A501" t="s">
        <v>606</v>
      </c>
      <c r="B501" t="s">
        <v>1430</v>
      </c>
      <c r="C501" t="s">
        <v>2261</v>
      </c>
      <c r="D501" t="s">
        <v>1724</v>
      </c>
      <c r="E501" t="s">
        <v>2461</v>
      </c>
      <c r="F501" t="s">
        <v>2308</v>
      </c>
      <c r="G501" t="s">
        <v>1762</v>
      </c>
      <c r="H501" t="s">
        <v>1781</v>
      </c>
      <c r="I501" t="s">
        <v>1731</v>
      </c>
      <c r="J501" t="s">
        <v>1733</v>
      </c>
      <c r="K501" t="s">
        <v>2465</v>
      </c>
      <c r="L501" t="s">
        <v>1720</v>
      </c>
      <c r="M501" s="57">
        <v>44581</v>
      </c>
      <c r="N501" t="s">
        <v>3480</v>
      </c>
    </row>
    <row r="502" spans="1:14" x14ac:dyDescent="0.35">
      <c r="A502" t="s">
        <v>606</v>
      </c>
      <c r="B502" t="s">
        <v>1430</v>
      </c>
      <c r="C502" t="s">
        <v>2261</v>
      </c>
      <c r="D502" t="s">
        <v>1721</v>
      </c>
      <c r="F502" t="s">
        <v>2308</v>
      </c>
      <c r="G502" t="s">
        <v>1728</v>
      </c>
      <c r="H502" t="s">
        <v>1779</v>
      </c>
      <c r="I502" t="s">
        <v>1731</v>
      </c>
      <c r="J502" t="s">
        <v>1733</v>
      </c>
      <c r="K502" t="s">
        <v>2434</v>
      </c>
      <c r="L502" t="s">
        <v>1720</v>
      </c>
      <c r="M502" s="57">
        <v>44581</v>
      </c>
      <c r="N502" t="s">
        <v>3480</v>
      </c>
    </row>
    <row r="503" spans="1:14" x14ac:dyDescent="0.35">
      <c r="A503" t="s">
        <v>606</v>
      </c>
      <c r="B503" t="s">
        <v>1430</v>
      </c>
      <c r="C503" t="s">
        <v>2261</v>
      </c>
      <c r="D503" t="s">
        <v>1724</v>
      </c>
      <c r="E503" t="s">
        <v>2280</v>
      </c>
      <c r="F503" t="s">
        <v>1801</v>
      </c>
      <c r="G503" t="s">
        <v>1762</v>
      </c>
      <c r="H503" t="s">
        <v>2304</v>
      </c>
      <c r="I503" t="s">
        <v>1743</v>
      </c>
      <c r="J503" t="s">
        <v>1761</v>
      </c>
      <c r="K503" t="s">
        <v>2466</v>
      </c>
      <c r="L503" t="s">
        <v>1720</v>
      </c>
      <c r="M503" s="57">
        <v>44581</v>
      </c>
      <c r="N503" t="s">
        <v>3480</v>
      </c>
    </row>
    <row r="504" spans="1:14" x14ac:dyDescent="0.35">
      <c r="A504" t="s">
        <v>606</v>
      </c>
      <c r="B504" t="s">
        <v>1430</v>
      </c>
      <c r="C504" t="s">
        <v>2261</v>
      </c>
      <c r="D504" t="s">
        <v>1721</v>
      </c>
      <c r="E504" t="s">
        <v>2280</v>
      </c>
      <c r="F504" t="s">
        <v>1801</v>
      </c>
      <c r="G504" t="s">
        <v>1728</v>
      </c>
      <c r="H504" t="s">
        <v>1800</v>
      </c>
      <c r="I504" t="s">
        <v>1743</v>
      </c>
      <c r="J504" t="s">
        <v>1761</v>
      </c>
      <c r="K504" t="s">
        <v>2111</v>
      </c>
      <c r="L504" t="s">
        <v>1720</v>
      </c>
      <c r="M504" s="57">
        <v>44581</v>
      </c>
      <c r="N504" t="s">
        <v>3480</v>
      </c>
    </row>
    <row r="505" spans="1:14" hidden="1" x14ac:dyDescent="0.35">
      <c r="A505" t="s">
        <v>301</v>
      </c>
      <c r="B505" t="s">
        <v>1126</v>
      </c>
      <c r="L505" t="s">
        <v>1720</v>
      </c>
    </row>
    <row r="506" spans="1:14" x14ac:dyDescent="0.35">
      <c r="A506" t="s">
        <v>349</v>
      </c>
      <c r="B506" t="s">
        <v>1173</v>
      </c>
      <c r="C506" t="s">
        <v>2261</v>
      </c>
      <c r="D506" t="s">
        <v>1721</v>
      </c>
      <c r="F506" t="s">
        <v>2263</v>
      </c>
      <c r="G506" t="s">
        <v>1725</v>
      </c>
      <c r="H506" t="s">
        <v>1776</v>
      </c>
      <c r="I506" t="s">
        <v>1729</v>
      </c>
      <c r="J506" t="s">
        <v>1747</v>
      </c>
      <c r="K506" t="s">
        <v>2322</v>
      </c>
      <c r="L506" t="s">
        <v>1720</v>
      </c>
      <c r="M506" s="57">
        <v>44581</v>
      </c>
      <c r="N506" t="s">
        <v>3480</v>
      </c>
    </row>
    <row r="507" spans="1:14" x14ac:dyDescent="0.35">
      <c r="A507" t="s">
        <v>349</v>
      </c>
      <c r="B507" t="s">
        <v>1173</v>
      </c>
      <c r="C507" t="s">
        <v>2259</v>
      </c>
      <c r="D507" t="s">
        <v>1721</v>
      </c>
      <c r="F507" t="s">
        <v>1802</v>
      </c>
      <c r="G507" t="s">
        <v>1750</v>
      </c>
      <c r="H507" t="s">
        <v>1773</v>
      </c>
      <c r="I507" t="s">
        <v>1748</v>
      </c>
      <c r="J507" t="s">
        <v>1749</v>
      </c>
      <c r="K507" t="s">
        <v>2325</v>
      </c>
      <c r="L507" t="s">
        <v>1720</v>
      </c>
      <c r="M507" s="57">
        <v>44581</v>
      </c>
      <c r="N507" t="s">
        <v>3480</v>
      </c>
    </row>
    <row r="508" spans="1:14" x14ac:dyDescent="0.35">
      <c r="A508" t="s">
        <v>349</v>
      </c>
      <c r="B508" t="s">
        <v>1173</v>
      </c>
      <c r="C508" t="s">
        <v>2259</v>
      </c>
      <c r="D508" t="s">
        <v>1721</v>
      </c>
      <c r="F508" t="s">
        <v>1802</v>
      </c>
      <c r="G508" t="s">
        <v>1727</v>
      </c>
      <c r="H508" t="s">
        <v>1737</v>
      </c>
      <c r="I508" t="s">
        <v>1730</v>
      </c>
      <c r="J508" t="s">
        <v>1732</v>
      </c>
      <c r="K508" t="s">
        <v>2518</v>
      </c>
      <c r="L508" t="s">
        <v>1720</v>
      </c>
      <c r="M508" s="57">
        <v>44581</v>
      </c>
      <c r="N508" t="s">
        <v>3481</v>
      </c>
    </row>
    <row r="509" spans="1:14" x14ac:dyDescent="0.35">
      <c r="A509" t="s">
        <v>349</v>
      </c>
      <c r="B509" t="s">
        <v>1173</v>
      </c>
      <c r="C509" t="s">
        <v>2259</v>
      </c>
      <c r="D509" t="s">
        <v>1724</v>
      </c>
      <c r="F509" t="s">
        <v>1802</v>
      </c>
      <c r="G509" t="s">
        <v>1726</v>
      </c>
      <c r="H509" t="s">
        <v>1737</v>
      </c>
      <c r="I509" t="s">
        <v>1730</v>
      </c>
      <c r="J509" t="s">
        <v>1732</v>
      </c>
      <c r="K509" t="s">
        <v>2507</v>
      </c>
      <c r="L509" t="s">
        <v>1720</v>
      </c>
      <c r="M509" s="57">
        <v>44581</v>
      </c>
      <c r="N509" t="s">
        <v>3481</v>
      </c>
    </row>
    <row r="510" spans="1:14" x14ac:dyDescent="0.35">
      <c r="A510" t="s">
        <v>349</v>
      </c>
      <c r="B510" t="s">
        <v>1173</v>
      </c>
      <c r="C510" t="s">
        <v>2259</v>
      </c>
      <c r="D510" t="s">
        <v>1721</v>
      </c>
      <c r="F510" t="s">
        <v>1802</v>
      </c>
      <c r="G510" t="s">
        <v>1812</v>
      </c>
      <c r="H510" t="s">
        <v>1813</v>
      </c>
      <c r="I510" t="s">
        <v>1822</v>
      </c>
      <c r="J510" t="s">
        <v>1811</v>
      </c>
      <c r="K510" t="s">
        <v>2394</v>
      </c>
      <c r="L510" t="s">
        <v>1720</v>
      </c>
      <c r="M510" s="57">
        <v>44581</v>
      </c>
      <c r="N510" t="s">
        <v>3480</v>
      </c>
    </row>
    <row r="511" spans="1:14" x14ac:dyDescent="0.35">
      <c r="A511" t="s">
        <v>349</v>
      </c>
      <c r="B511" t="s">
        <v>1173</v>
      </c>
      <c r="C511" t="s">
        <v>2261</v>
      </c>
      <c r="D511" t="s">
        <v>1721</v>
      </c>
      <c r="F511" t="s">
        <v>1804</v>
      </c>
      <c r="G511" t="s">
        <v>1741</v>
      </c>
      <c r="H511" t="s">
        <v>1775</v>
      </c>
      <c r="I511" t="s">
        <v>1742</v>
      </c>
      <c r="J511" t="s">
        <v>1744</v>
      </c>
      <c r="K511" t="s">
        <v>2394</v>
      </c>
      <c r="L511" t="s">
        <v>1720</v>
      </c>
      <c r="M511" s="57">
        <v>44581</v>
      </c>
      <c r="N511" t="s">
        <v>3480</v>
      </c>
    </row>
    <row r="512" spans="1:14" x14ac:dyDescent="0.35">
      <c r="A512" t="s">
        <v>349</v>
      </c>
      <c r="B512" t="s">
        <v>1173</v>
      </c>
      <c r="C512" t="s">
        <v>2259</v>
      </c>
      <c r="D512" t="s">
        <v>1724</v>
      </c>
      <c r="F512" t="s">
        <v>1802</v>
      </c>
      <c r="G512" t="s">
        <v>1726</v>
      </c>
      <c r="H512" t="s">
        <v>1777</v>
      </c>
      <c r="I512" t="s">
        <v>1739</v>
      </c>
      <c r="J512" t="s">
        <v>1745</v>
      </c>
      <c r="K512" t="s">
        <v>2350</v>
      </c>
      <c r="L512" t="s">
        <v>1720</v>
      </c>
      <c r="M512" s="57">
        <v>44581</v>
      </c>
      <c r="N512" t="s">
        <v>3480</v>
      </c>
    </row>
    <row r="513" spans="1:14" x14ac:dyDescent="0.35">
      <c r="A513" t="s">
        <v>349</v>
      </c>
      <c r="B513" t="s">
        <v>1173</v>
      </c>
      <c r="C513" t="s">
        <v>2259</v>
      </c>
      <c r="D513" t="s">
        <v>1721</v>
      </c>
      <c r="F513" t="s">
        <v>1802</v>
      </c>
      <c r="G513" t="s">
        <v>1726</v>
      </c>
      <c r="H513" t="s">
        <v>1777</v>
      </c>
      <c r="I513" t="s">
        <v>1739</v>
      </c>
      <c r="J513" t="s">
        <v>1745</v>
      </c>
      <c r="K513" t="s">
        <v>2325</v>
      </c>
      <c r="L513" t="s">
        <v>1720</v>
      </c>
      <c r="M513" s="57">
        <v>44581</v>
      </c>
      <c r="N513" t="s">
        <v>3480</v>
      </c>
    </row>
    <row r="514" spans="1:14" x14ac:dyDescent="0.35">
      <c r="A514" t="s">
        <v>349</v>
      </c>
      <c r="B514" t="s">
        <v>1173</v>
      </c>
      <c r="C514" t="s">
        <v>2261</v>
      </c>
      <c r="D514" t="s">
        <v>1724</v>
      </c>
      <c r="E514" t="s">
        <v>2353</v>
      </c>
      <c r="F514" t="s">
        <v>2308</v>
      </c>
      <c r="G514" t="s">
        <v>1762</v>
      </c>
      <c r="H514" t="s">
        <v>1781</v>
      </c>
      <c r="I514" t="s">
        <v>1731</v>
      </c>
      <c r="J514" t="s">
        <v>1823</v>
      </c>
      <c r="K514" t="s">
        <v>2406</v>
      </c>
      <c r="L514" t="s">
        <v>1720</v>
      </c>
      <c r="M514" s="57">
        <v>44581</v>
      </c>
      <c r="N514" t="s">
        <v>3480</v>
      </c>
    </row>
    <row r="515" spans="1:14" x14ac:dyDescent="0.35">
      <c r="A515" t="s">
        <v>349</v>
      </c>
      <c r="B515" t="s">
        <v>1173</v>
      </c>
      <c r="C515" t="s">
        <v>2261</v>
      </c>
      <c r="D515" t="s">
        <v>1721</v>
      </c>
      <c r="E515" t="s">
        <v>2354</v>
      </c>
      <c r="F515" t="s">
        <v>2308</v>
      </c>
      <c r="G515" t="s">
        <v>1728</v>
      </c>
      <c r="H515" t="s">
        <v>1779</v>
      </c>
      <c r="I515" t="s">
        <v>1731</v>
      </c>
      <c r="J515" t="s">
        <v>1823</v>
      </c>
      <c r="K515" t="s">
        <v>2406</v>
      </c>
      <c r="L515" t="s">
        <v>1720</v>
      </c>
      <c r="M515" s="57">
        <v>44581</v>
      </c>
      <c r="N515" t="s">
        <v>3480</v>
      </c>
    </row>
    <row r="516" spans="1:14" x14ac:dyDescent="0.35">
      <c r="A516" t="s">
        <v>349</v>
      </c>
      <c r="B516" t="s">
        <v>1173</v>
      </c>
      <c r="C516" t="s">
        <v>2261</v>
      </c>
      <c r="D516" t="s">
        <v>1721</v>
      </c>
      <c r="E516" t="s">
        <v>2280</v>
      </c>
      <c r="F516" t="s">
        <v>1801</v>
      </c>
      <c r="G516" t="s">
        <v>1728</v>
      </c>
      <c r="H516" t="s">
        <v>1800</v>
      </c>
      <c r="I516" t="s">
        <v>1763</v>
      </c>
      <c r="J516" t="s">
        <v>1746</v>
      </c>
      <c r="K516" t="s">
        <v>2510</v>
      </c>
      <c r="L516" t="s">
        <v>1720</v>
      </c>
      <c r="M516" s="57">
        <v>44581</v>
      </c>
      <c r="N516" t="s">
        <v>3480</v>
      </c>
    </row>
    <row r="517" spans="1:14" hidden="1" x14ac:dyDescent="0.35">
      <c r="A517" t="s">
        <v>9</v>
      </c>
      <c r="B517" t="s">
        <v>838</v>
      </c>
      <c r="L517" t="s">
        <v>1720</v>
      </c>
    </row>
    <row r="518" spans="1:14" x14ac:dyDescent="0.35">
      <c r="A518" t="s">
        <v>255</v>
      </c>
      <c r="B518" t="s">
        <v>1081</v>
      </c>
      <c r="C518" t="s">
        <v>2261</v>
      </c>
      <c r="D518" t="s">
        <v>1721</v>
      </c>
      <c r="E518" t="s">
        <v>2277</v>
      </c>
      <c r="F518" t="s">
        <v>1804</v>
      </c>
      <c r="G518" t="s">
        <v>1741</v>
      </c>
      <c r="H518" t="s">
        <v>1775</v>
      </c>
      <c r="I518" t="s">
        <v>1742</v>
      </c>
      <c r="J518" t="s">
        <v>1744</v>
      </c>
      <c r="K518" t="s">
        <v>2512</v>
      </c>
      <c r="L518" t="s">
        <v>1720</v>
      </c>
      <c r="M518" s="57">
        <v>44581</v>
      </c>
      <c r="N518" t="s">
        <v>3480</v>
      </c>
    </row>
    <row r="519" spans="1:14" hidden="1" x14ac:dyDescent="0.35">
      <c r="A519" t="s">
        <v>787</v>
      </c>
      <c r="B519" t="s">
        <v>1610</v>
      </c>
      <c r="L519" t="s">
        <v>1720</v>
      </c>
    </row>
    <row r="520" spans="1:14" x14ac:dyDescent="0.35">
      <c r="A520" t="s">
        <v>826</v>
      </c>
      <c r="B520" t="s">
        <v>1648</v>
      </c>
      <c r="C520" t="s">
        <v>2259</v>
      </c>
      <c r="D520" t="s">
        <v>1721</v>
      </c>
      <c r="F520" t="s">
        <v>1802</v>
      </c>
      <c r="G520" t="s">
        <v>1727</v>
      </c>
      <c r="H520" t="s">
        <v>1737</v>
      </c>
      <c r="I520" t="s">
        <v>1730</v>
      </c>
      <c r="J520" t="s">
        <v>1732</v>
      </c>
      <c r="K520" t="s">
        <v>2129</v>
      </c>
      <c r="L520" t="s">
        <v>1720</v>
      </c>
      <c r="M520" s="57">
        <v>44581</v>
      </c>
      <c r="N520" t="s">
        <v>3481</v>
      </c>
    </row>
    <row r="521" spans="1:14" x14ac:dyDescent="0.35">
      <c r="A521" t="s">
        <v>826</v>
      </c>
      <c r="B521" t="s">
        <v>1648</v>
      </c>
      <c r="C521" t="s">
        <v>2259</v>
      </c>
      <c r="D521" t="s">
        <v>1724</v>
      </c>
      <c r="F521" t="s">
        <v>1802</v>
      </c>
      <c r="G521" t="s">
        <v>1726</v>
      </c>
      <c r="H521" t="s">
        <v>1737</v>
      </c>
      <c r="I521" t="s">
        <v>1730</v>
      </c>
      <c r="J521" t="s">
        <v>1732</v>
      </c>
      <c r="K521" t="s">
        <v>2317</v>
      </c>
      <c r="L521" t="s">
        <v>1720</v>
      </c>
      <c r="M521" s="57">
        <v>44581</v>
      </c>
      <c r="N521" t="s">
        <v>3481</v>
      </c>
    </row>
    <row r="522" spans="1:14" x14ac:dyDescent="0.35">
      <c r="A522" t="s">
        <v>826</v>
      </c>
      <c r="B522" t="s">
        <v>1648</v>
      </c>
      <c r="C522" t="s">
        <v>2261</v>
      </c>
      <c r="D522" t="s">
        <v>1721</v>
      </c>
      <c r="E522" t="s">
        <v>2277</v>
      </c>
      <c r="F522" t="s">
        <v>1804</v>
      </c>
      <c r="G522" t="s">
        <v>1741</v>
      </c>
      <c r="H522" t="s">
        <v>1775</v>
      </c>
      <c r="I522" t="s">
        <v>1742</v>
      </c>
      <c r="J522" t="s">
        <v>1744</v>
      </c>
      <c r="K522" t="s">
        <v>2434</v>
      </c>
      <c r="L522" t="s">
        <v>1720</v>
      </c>
      <c r="M522" s="57">
        <v>44581</v>
      </c>
      <c r="N522" t="s">
        <v>3480</v>
      </c>
    </row>
    <row r="523" spans="1:14" x14ac:dyDescent="0.35">
      <c r="A523" t="s">
        <v>826</v>
      </c>
      <c r="B523" t="s">
        <v>1648</v>
      </c>
      <c r="C523" t="s">
        <v>2261</v>
      </c>
      <c r="D523" t="s">
        <v>1724</v>
      </c>
      <c r="E523" t="s">
        <v>2280</v>
      </c>
      <c r="F523" t="s">
        <v>1801</v>
      </c>
      <c r="G523" t="s">
        <v>1762</v>
      </c>
      <c r="H523" t="s">
        <v>2304</v>
      </c>
      <c r="I523" t="s">
        <v>1743</v>
      </c>
      <c r="J523" t="s">
        <v>1761</v>
      </c>
      <c r="K523" t="s">
        <v>2487</v>
      </c>
      <c r="L523" t="s">
        <v>1720</v>
      </c>
      <c r="M523" s="57">
        <v>44581</v>
      </c>
      <c r="N523" t="s">
        <v>3480</v>
      </c>
    </row>
    <row r="524" spans="1:14" x14ac:dyDescent="0.35">
      <c r="A524" t="s">
        <v>826</v>
      </c>
      <c r="B524" t="s">
        <v>1648</v>
      </c>
      <c r="C524" t="s">
        <v>2261</v>
      </c>
      <c r="D524" t="s">
        <v>1721</v>
      </c>
      <c r="E524" t="s">
        <v>2280</v>
      </c>
      <c r="F524" t="s">
        <v>1801</v>
      </c>
      <c r="G524" t="s">
        <v>1728</v>
      </c>
      <c r="H524" t="s">
        <v>1800</v>
      </c>
      <c r="I524" t="s">
        <v>1763</v>
      </c>
      <c r="J524" t="s">
        <v>1746</v>
      </c>
      <c r="K524" t="s">
        <v>2488</v>
      </c>
      <c r="L524" t="s">
        <v>1720</v>
      </c>
      <c r="M524" s="57">
        <v>44581</v>
      </c>
      <c r="N524" t="s">
        <v>3480</v>
      </c>
    </row>
    <row r="525" spans="1:14" hidden="1" x14ac:dyDescent="0.35">
      <c r="A525" t="s">
        <v>565</v>
      </c>
      <c r="B525" t="s">
        <v>1389</v>
      </c>
      <c r="L525" t="s">
        <v>1720</v>
      </c>
    </row>
    <row r="526" spans="1:14" hidden="1" x14ac:dyDescent="0.35">
      <c r="A526" t="s">
        <v>565</v>
      </c>
      <c r="B526" t="s">
        <v>1389</v>
      </c>
      <c r="L526" t="s">
        <v>1720</v>
      </c>
    </row>
    <row r="527" spans="1:14" x14ac:dyDescent="0.35">
      <c r="A527" t="s">
        <v>468</v>
      </c>
      <c r="B527" t="s">
        <v>1292</v>
      </c>
      <c r="C527" t="s">
        <v>2259</v>
      </c>
      <c r="D527" t="s">
        <v>1721</v>
      </c>
      <c r="F527" t="s">
        <v>1802</v>
      </c>
      <c r="G527" t="s">
        <v>1750</v>
      </c>
      <c r="H527" t="s">
        <v>1773</v>
      </c>
      <c r="I527" t="s">
        <v>1748</v>
      </c>
      <c r="J527" t="s">
        <v>1749</v>
      </c>
      <c r="K527" t="s">
        <v>2292</v>
      </c>
      <c r="L527" t="s">
        <v>1720</v>
      </c>
      <c r="M527" s="57">
        <v>44581</v>
      </c>
      <c r="N527" t="s">
        <v>3480</v>
      </c>
    </row>
    <row r="528" spans="1:14" x14ac:dyDescent="0.35">
      <c r="A528" t="s">
        <v>468</v>
      </c>
      <c r="B528" t="s">
        <v>1292</v>
      </c>
      <c r="C528" t="s">
        <v>2261</v>
      </c>
      <c r="D528" t="s">
        <v>1721</v>
      </c>
      <c r="F528" t="s">
        <v>1801</v>
      </c>
      <c r="G528" t="s">
        <v>1735</v>
      </c>
      <c r="H528" t="s">
        <v>1774</v>
      </c>
      <c r="I528" t="s">
        <v>1734</v>
      </c>
      <c r="J528" t="s">
        <v>1805</v>
      </c>
      <c r="K528" t="s">
        <v>2267</v>
      </c>
      <c r="L528" t="s">
        <v>1720</v>
      </c>
      <c r="M528" s="57">
        <v>44581</v>
      </c>
      <c r="N528" t="s">
        <v>3480</v>
      </c>
    </row>
    <row r="529" spans="1:14" x14ac:dyDescent="0.35">
      <c r="A529" t="s">
        <v>468</v>
      </c>
      <c r="B529" t="s">
        <v>1292</v>
      </c>
      <c r="C529" t="s">
        <v>2261</v>
      </c>
      <c r="D529" t="s">
        <v>1721</v>
      </c>
      <c r="F529" t="s">
        <v>1804</v>
      </c>
      <c r="G529" t="s">
        <v>1741</v>
      </c>
      <c r="H529" t="s">
        <v>1775</v>
      </c>
      <c r="I529" t="s">
        <v>1742</v>
      </c>
      <c r="J529" t="s">
        <v>1744</v>
      </c>
      <c r="K529" t="s">
        <v>2330</v>
      </c>
      <c r="L529" t="s">
        <v>1720</v>
      </c>
      <c r="M529" s="57">
        <v>44581</v>
      </c>
      <c r="N529" t="s">
        <v>3480</v>
      </c>
    </row>
    <row r="530" spans="1:14" x14ac:dyDescent="0.35">
      <c r="A530" t="s">
        <v>287</v>
      </c>
      <c r="B530" t="s">
        <v>1112</v>
      </c>
      <c r="C530" t="s">
        <v>2259</v>
      </c>
      <c r="D530" t="s">
        <v>1721</v>
      </c>
      <c r="F530" t="s">
        <v>1802</v>
      </c>
      <c r="G530" t="s">
        <v>1728</v>
      </c>
      <c r="H530" t="s">
        <v>1800</v>
      </c>
      <c r="I530" t="s">
        <v>1763</v>
      </c>
      <c r="J530" t="s">
        <v>1746</v>
      </c>
      <c r="K530" t="s">
        <v>2525</v>
      </c>
      <c r="L530" t="s">
        <v>1720</v>
      </c>
      <c r="M530" s="57">
        <v>44581</v>
      </c>
      <c r="N530" t="s">
        <v>3480</v>
      </c>
    </row>
    <row r="531" spans="1:14" x14ac:dyDescent="0.35">
      <c r="A531" t="s">
        <v>287</v>
      </c>
      <c r="B531" t="s">
        <v>1112</v>
      </c>
      <c r="C531" t="s">
        <v>2259</v>
      </c>
      <c r="D531" t="s">
        <v>1721</v>
      </c>
      <c r="E531" t="s">
        <v>2402</v>
      </c>
      <c r="F531" t="s">
        <v>1802</v>
      </c>
      <c r="G531" t="s">
        <v>1727</v>
      </c>
      <c r="H531" t="s">
        <v>1737</v>
      </c>
      <c r="I531" t="s">
        <v>1730</v>
      </c>
      <c r="J531" t="s">
        <v>1732</v>
      </c>
      <c r="K531" t="s">
        <v>2526</v>
      </c>
      <c r="L531" t="s">
        <v>1720</v>
      </c>
      <c r="M531" s="57">
        <v>44581</v>
      </c>
      <c r="N531" t="s">
        <v>3481</v>
      </c>
    </row>
    <row r="532" spans="1:14" x14ac:dyDescent="0.35">
      <c r="A532" t="s">
        <v>287</v>
      </c>
      <c r="B532" t="s">
        <v>1112</v>
      </c>
      <c r="C532" t="s">
        <v>2259</v>
      </c>
      <c r="D532" t="s">
        <v>1724</v>
      </c>
      <c r="E532" t="s">
        <v>2402</v>
      </c>
      <c r="F532" t="s">
        <v>1802</v>
      </c>
      <c r="G532" t="s">
        <v>1726</v>
      </c>
      <c r="H532" t="s">
        <v>1737</v>
      </c>
      <c r="I532" t="s">
        <v>1730</v>
      </c>
      <c r="J532" t="s">
        <v>1732</v>
      </c>
      <c r="K532" t="s">
        <v>2527</v>
      </c>
      <c r="L532" t="s">
        <v>1720</v>
      </c>
      <c r="M532" s="57">
        <v>44581</v>
      </c>
      <c r="N532" t="s">
        <v>3481</v>
      </c>
    </row>
    <row r="533" spans="1:14" x14ac:dyDescent="0.35">
      <c r="A533" t="s">
        <v>287</v>
      </c>
      <c r="B533" t="s">
        <v>1112</v>
      </c>
      <c r="C533" t="s">
        <v>2261</v>
      </c>
      <c r="D533" t="s">
        <v>1721</v>
      </c>
      <c r="F533" t="s">
        <v>1804</v>
      </c>
      <c r="G533" t="s">
        <v>1741</v>
      </c>
      <c r="H533" t="s">
        <v>1775</v>
      </c>
      <c r="I533" t="s">
        <v>1742</v>
      </c>
      <c r="J533" t="s">
        <v>1744</v>
      </c>
      <c r="K533" t="s">
        <v>2528</v>
      </c>
      <c r="L533" t="s">
        <v>1720</v>
      </c>
      <c r="M533" s="57">
        <v>44581</v>
      </c>
      <c r="N533" t="s">
        <v>3480</v>
      </c>
    </row>
    <row r="534" spans="1:14" x14ac:dyDescent="0.35">
      <c r="A534" t="s">
        <v>287</v>
      </c>
      <c r="B534" t="s">
        <v>1112</v>
      </c>
      <c r="C534" t="s">
        <v>2259</v>
      </c>
      <c r="D534" t="s">
        <v>1721</v>
      </c>
      <c r="F534" t="s">
        <v>1802</v>
      </c>
      <c r="G534" t="s">
        <v>1726</v>
      </c>
      <c r="H534" t="s">
        <v>1777</v>
      </c>
      <c r="I534" t="s">
        <v>1739</v>
      </c>
      <c r="J534" t="s">
        <v>1745</v>
      </c>
      <c r="K534" t="s">
        <v>2322</v>
      </c>
      <c r="L534" t="s">
        <v>1720</v>
      </c>
      <c r="M534" s="57">
        <v>44581</v>
      </c>
      <c r="N534" t="s">
        <v>3480</v>
      </c>
    </row>
    <row r="535" spans="1:14" hidden="1" x14ac:dyDescent="0.35">
      <c r="A535" t="s">
        <v>596</v>
      </c>
      <c r="B535" t="s">
        <v>1420</v>
      </c>
      <c r="L535" t="s">
        <v>1720</v>
      </c>
    </row>
    <row r="536" spans="1:14" hidden="1" x14ac:dyDescent="0.35">
      <c r="A536" t="s">
        <v>777</v>
      </c>
      <c r="B536" t="s">
        <v>1601</v>
      </c>
      <c r="L536" t="s">
        <v>1720</v>
      </c>
    </row>
    <row r="537" spans="1:14" x14ac:dyDescent="0.35">
      <c r="A537" t="s">
        <v>176</v>
      </c>
      <c r="B537" t="s">
        <v>1005</v>
      </c>
      <c r="C537" t="s">
        <v>2261</v>
      </c>
      <c r="D537" t="s">
        <v>1721</v>
      </c>
      <c r="F537" t="s">
        <v>1802</v>
      </c>
      <c r="G537" t="s">
        <v>1726</v>
      </c>
      <c r="H537" t="s">
        <v>1777</v>
      </c>
      <c r="I537" t="s">
        <v>1739</v>
      </c>
      <c r="J537" t="s">
        <v>1745</v>
      </c>
      <c r="K537" t="s">
        <v>2498</v>
      </c>
      <c r="L537" t="s">
        <v>1720</v>
      </c>
      <c r="M537" s="57">
        <v>44581</v>
      </c>
      <c r="N537" t="s">
        <v>3480</v>
      </c>
    </row>
    <row r="538" spans="1:14" hidden="1" x14ac:dyDescent="0.35">
      <c r="A538" t="s">
        <v>516</v>
      </c>
      <c r="B538" t="s">
        <v>1340</v>
      </c>
      <c r="L538" t="s">
        <v>1720</v>
      </c>
    </row>
    <row r="539" spans="1:14" hidden="1" x14ac:dyDescent="0.35">
      <c r="A539" t="s">
        <v>534</v>
      </c>
      <c r="B539" t="s">
        <v>1358</v>
      </c>
      <c r="L539" t="s">
        <v>1720</v>
      </c>
    </row>
    <row r="540" spans="1:14" x14ac:dyDescent="0.35">
      <c r="A540" t="s">
        <v>190</v>
      </c>
      <c r="B540" t="s">
        <v>1018</v>
      </c>
      <c r="C540" t="s">
        <v>2259</v>
      </c>
      <c r="D540" t="s">
        <v>1721</v>
      </c>
      <c r="E540" t="s">
        <v>2385</v>
      </c>
      <c r="F540" t="s">
        <v>1802</v>
      </c>
      <c r="G540" t="s">
        <v>1750</v>
      </c>
      <c r="H540" t="s">
        <v>1773</v>
      </c>
      <c r="I540" t="s">
        <v>1748</v>
      </c>
      <c r="J540" t="s">
        <v>1749</v>
      </c>
      <c r="K540" t="s">
        <v>2371</v>
      </c>
      <c r="L540" t="s">
        <v>1720</v>
      </c>
      <c r="M540" s="57">
        <v>44581</v>
      </c>
      <c r="N540" t="s">
        <v>3480</v>
      </c>
    </row>
    <row r="541" spans="1:14" x14ac:dyDescent="0.35">
      <c r="A541" t="s">
        <v>190</v>
      </c>
      <c r="B541" t="s">
        <v>1018</v>
      </c>
      <c r="C541" t="s">
        <v>2259</v>
      </c>
      <c r="D541" t="s">
        <v>1721</v>
      </c>
      <c r="F541" t="s">
        <v>1802</v>
      </c>
      <c r="G541" t="s">
        <v>1727</v>
      </c>
      <c r="H541" t="s">
        <v>1824</v>
      </c>
      <c r="I541" t="s">
        <v>1825</v>
      </c>
      <c r="J541" t="s">
        <v>1826</v>
      </c>
      <c r="K541" t="s">
        <v>2517</v>
      </c>
      <c r="L541" t="s">
        <v>1720</v>
      </c>
      <c r="M541" s="57">
        <v>44581</v>
      </c>
      <c r="N541" t="s">
        <v>3480</v>
      </c>
    </row>
    <row r="542" spans="1:14" x14ac:dyDescent="0.35">
      <c r="A542" t="s">
        <v>190</v>
      </c>
      <c r="B542" t="s">
        <v>1018</v>
      </c>
      <c r="C542" t="s">
        <v>2259</v>
      </c>
      <c r="D542" t="s">
        <v>1724</v>
      </c>
      <c r="F542" t="s">
        <v>1802</v>
      </c>
      <c r="G542" t="s">
        <v>1726</v>
      </c>
      <c r="H542" t="s">
        <v>1824</v>
      </c>
      <c r="I542" t="s">
        <v>1730</v>
      </c>
      <c r="J542" t="s">
        <v>1827</v>
      </c>
      <c r="K542" t="s">
        <v>2386</v>
      </c>
      <c r="L542" t="s">
        <v>1720</v>
      </c>
      <c r="M542" s="57">
        <v>44581</v>
      </c>
      <c r="N542" t="s">
        <v>3480</v>
      </c>
    </row>
    <row r="543" spans="1:14" x14ac:dyDescent="0.35">
      <c r="A543" t="s">
        <v>190</v>
      </c>
      <c r="B543" t="s">
        <v>1018</v>
      </c>
      <c r="C543" t="s">
        <v>2261</v>
      </c>
      <c r="D543" t="s">
        <v>1721</v>
      </c>
      <c r="F543" t="s">
        <v>1804</v>
      </c>
      <c r="G543" t="s">
        <v>1741</v>
      </c>
      <c r="H543" t="s">
        <v>1775</v>
      </c>
      <c r="I543" t="s">
        <v>1742</v>
      </c>
      <c r="J543" t="s">
        <v>1744</v>
      </c>
      <c r="K543" t="s">
        <v>2498</v>
      </c>
      <c r="L543" t="s">
        <v>1720</v>
      </c>
      <c r="M543" s="57">
        <v>44581</v>
      </c>
      <c r="N543" t="s">
        <v>3480</v>
      </c>
    </row>
    <row r="544" spans="1:14" x14ac:dyDescent="0.35">
      <c r="A544" t="s">
        <v>190</v>
      </c>
      <c r="B544" t="s">
        <v>1018</v>
      </c>
      <c r="C544" t="s">
        <v>2259</v>
      </c>
      <c r="D544" t="s">
        <v>1721</v>
      </c>
      <c r="F544" t="s">
        <v>1802</v>
      </c>
      <c r="G544" t="s">
        <v>1726</v>
      </c>
      <c r="H544" t="s">
        <v>1777</v>
      </c>
      <c r="I544" t="s">
        <v>1739</v>
      </c>
      <c r="J544" t="s">
        <v>1745</v>
      </c>
      <c r="K544" t="s">
        <v>2325</v>
      </c>
      <c r="L544" t="s">
        <v>1720</v>
      </c>
      <c r="M544" s="57">
        <v>44581</v>
      </c>
      <c r="N544" t="s">
        <v>3480</v>
      </c>
    </row>
    <row r="545" spans="1:14" x14ac:dyDescent="0.35">
      <c r="A545" t="s">
        <v>190</v>
      </c>
      <c r="B545" t="s">
        <v>1018</v>
      </c>
      <c r="C545" t="s">
        <v>2261</v>
      </c>
      <c r="D545" t="s">
        <v>1724</v>
      </c>
      <c r="E545" t="s">
        <v>2388</v>
      </c>
      <c r="F545" t="s">
        <v>1802</v>
      </c>
      <c r="G545" t="s">
        <v>1760</v>
      </c>
      <c r="H545" t="s">
        <v>1870</v>
      </c>
      <c r="I545" t="s">
        <v>1758</v>
      </c>
      <c r="J545" t="s">
        <v>1871</v>
      </c>
      <c r="K545" t="s">
        <v>2387</v>
      </c>
      <c r="L545" t="s">
        <v>1720</v>
      </c>
      <c r="M545" s="57">
        <v>44581</v>
      </c>
      <c r="N545" t="s">
        <v>3480</v>
      </c>
    </row>
    <row r="546" spans="1:14" x14ac:dyDescent="0.35">
      <c r="A546" t="s">
        <v>190</v>
      </c>
      <c r="B546" t="s">
        <v>1018</v>
      </c>
      <c r="C546" t="s">
        <v>2261</v>
      </c>
      <c r="D546" t="s">
        <v>1724</v>
      </c>
      <c r="E546" t="s">
        <v>2353</v>
      </c>
      <c r="F546" t="s">
        <v>2308</v>
      </c>
      <c r="G546" t="s">
        <v>1762</v>
      </c>
      <c r="H546" t="s">
        <v>1781</v>
      </c>
      <c r="I546" t="s">
        <v>1731</v>
      </c>
      <c r="J546" t="s">
        <v>1828</v>
      </c>
      <c r="K546" t="s">
        <v>2386</v>
      </c>
      <c r="L546" t="s">
        <v>1720</v>
      </c>
      <c r="M546" s="57">
        <v>44581</v>
      </c>
      <c r="N546" t="s">
        <v>3480</v>
      </c>
    </row>
    <row r="547" spans="1:14" x14ac:dyDescent="0.35">
      <c r="A547" t="s">
        <v>190</v>
      </c>
      <c r="B547" t="s">
        <v>1018</v>
      </c>
      <c r="C547" t="s">
        <v>2261</v>
      </c>
      <c r="D547" t="s">
        <v>1721</v>
      </c>
      <c r="E547" t="s">
        <v>2354</v>
      </c>
      <c r="F547" t="s">
        <v>2308</v>
      </c>
      <c r="G547" t="s">
        <v>1728</v>
      </c>
      <c r="H547" t="s">
        <v>1779</v>
      </c>
      <c r="I547" t="s">
        <v>1731</v>
      </c>
      <c r="J547" t="s">
        <v>1828</v>
      </c>
      <c r="K547" t="s">
        <v>2517</v>
      </c>
      <c r="L547" t="s">
        <v>1720</v>
      </c>
      <c r="M547" s="57">
        <v>44581</v>
      </c>
      <c r="N547" t="s">
        <v>3480</v>
      </c>
    </row>
    <row r="548" spans="1:14" x14ac:dyDescent="0.35">
      <c r="A548" t="s">
        <v>60</v>
      </c>
      <c r="B548" t="s">
        <v>889</v>
      </c>
      <c r="C548" t="s">
        <v>2261</v>
      </c>
      <c r="D548" t="s">
        <v>1721</v>
      </c>
      <c r="F548" t="s">
        <v>2263</v>
      </c>
      <c r="G548" t="s">
        <v>1725</v>
      </c>
      <c r="H548" t="s">
        <v>1776</v>
      </c>
      <c r="I548" t="s">
        <v>1729</v>
      </c>
      <c r="J548" t="s">
        <v>1747</v>
      </c>
      <c r="K548" t="s">
        <v>2328</v>
      </c>
      <c r="L548" t="s">
        <v>1720</v>
      </c>
      <c r="M548" s="57">
        <v>44581</v>
      </c>
      <c r="N548" t="s">
        <v>3480</v>
      </c>
    </row>
    <row r="549" spans="1:14" x14ac:dyDescent="0.35">
      <c r="A549" t="s">
        <v>60</v>
      </c>
      <c r="B549" t="s">
        <v>889</v>
      </c>
      <c r="C549" t="s">
        <v>2259</v>
      </c>
      <c r="D549" t="s">
        <v>1721</v>
      </c>
      <c r="F549" t="s">
        <v>1802</v>
      </c>
      <c r="G549" t="s">
        <v>1727</v>
      </c>
      <c r="H549" t="s">
        <v>1737</v>
      </c>
      <c r="I549" t="s">
        <v>1730</v>
      </c>
      <c r="J549" t="s">
        <v>1732</v>
      </c>
      <c r="K549" t="s">
        <v>2319</v>
      </c>
      <c r="L549" t="s">
        <v>1720</v>
      </c>
      <c r="M549" s="57">
        <v>44581</v>
      </c>
      <c r="N549" t="s">
        <v>3481</v>
      </c>
    </row>
    <row r="550" spans="1:14" x14ac:dyDescent="0.35">
      <c r="A550" t="s">
        <v>60</v>
      </c>
      <c r="B550" t="s">
        <v>889</v>
      </c>
      <c r="C550" t="s">
        <v>2259</v>
      </c>
      <c r="D550" t="s">
        <v>1724</v>
      </c>
      <c r="F550" t="s">
        <v>1802</v>
      </c>
      <c r="G550" t="s">
        <v>1726</v>
      </c>
      <c r="H550" t="s">
        <v>1737</v>
      </c>
      <c r="I550" t="s">
        <v>1730</v>
      </c>
      <c r="J550" t="s">
        <v>1732</v>
      </c>
      <c r="K550" t="s">
        <v>2329</v>
      </c>
      <c r="L550" t="s">
        <v>1720</v>
      </c>
      <c r="M550" s="57">
        <v>44581</v>
      </c>
      <c r="N550" t="s">
        <v>3481</v>
      </c>
    </row>
    <row r="551" spans="1:14" x14ac:dyDescent="0.35">
      <c r="A551" t="s">
        <v>60</v>
      </c>
      <c r="B551" t="s">
        <v>889</v>
      </c>
      <c r="C551" t="s">
        <v>2261</v>
      </c>
      <c r="D551" t="s">
        <v>1721</v>
      </c>
      <c r="F551" t="s">
        <v>1804</v>
      </c>
      <c r="G551" t="s">
        <v>1741</v>
      </c>
      <c r="H551" t="s">
        <v>1775</v>
      </c>
      <c r="I551" t="s">
        <v>1742</v>
      </c>
      <c r="J551" t="s">
        <v>1744</v>
      </c>
      <c r="K551" t="s">
        <v>2276</v>
      </c>
      <c r="L551" t="s">
        <v>1720</v>
      </c>
      <c r="M551" s="57">
        <v>44581</v>
      </c>
      <c r="N551" t="s">
        <v>3480</v>
      </c>
    </row>
    <row r="552" spans="1:14" x14ac:dyDescent="0.35">
      <c r="A552" t="s">
        <v>60</v>
      </c>
      <c r="B552" t="s">
        <v>889</v>
      </c>
      <c r="C552" t="s">
        <v>2259</v>
      </c>
      <c r="D552" t="s">
        <v>1724</v>
      </c>
      <c r="F552" t="s">
        <v>1802</v>
      </c>
      <c r="G552" t="s">
        <v>1726</v>
      </c>
      <c r="H552" t="s">
        <v>1777</v>
      </c>
      <c r="I552" t="s">
        <v>1739</v>
      </c>
      <c r="J552" t="s">
        <v>1745</v>
      </c>
      <c r="K552" t="s">
        <v>2328</v>
      </c>
      <c r="L552" t="s">
        <v>1720</v>
      </c>
      <c r="M552" s="57">
        <v>44581</v>
      </c>
      <c r="N552" t="s">
        <v>3480</v>
      </c>
    </row>
    <row r="553" spans="1:14" x14ac:dyDescent="0.35">
      <c r="A553" t="s">
        <v>60</v>
      </c>
      <c r="B553" t="s">
        <v>889</v>
      </c>
      <c r="C553" t="s">
        <v>2259</v>
      </c>
      <c r="D553" t="s">
        <v>1721</v>
      </c>
      <c r="F553" t="s">
        <v>1802</v>
      </c>
      <c r="G553" t="s">
        <v>1726</v>
      </c>
      <c r="H553" t="s">
        <v>1777</v>
      </c>
      <c r="I553" t="s">
        <v>1739</v>
      </c>
      <c r="J553" t="s">
        <v>1745</v>
      </c>
      <c r="K553" t="s">
        <v>2330</v>
      </c>
      <c r="L553" t="s">
        <v>1720</v>
      </c>
      <c r="M553" s="57">
        <v>44581</v>
      </c>
      <c r="N553" t="s">
        <v>3480</v>
      </c>
    </row>
    <row r="554" spans="1:14" x14ac:dyDescent="0.35">
      <c r="A554" t="s">
        <v>60</v>
      </c>
      <c r="B554" t="s">
        <v>889</v>
      </c>
      <c r="C554" t="s">
        <v>2261</v>
      </c>
      <c r="D554" t="s">
        <v>1721</v>
      </c>
      <c r="E554" t="s">
        <v>2298</v>
      </c>
      <c r="F554" t="s">
        <v>1802</v>
      </c>
      <c r="G554" t="s">
        <v>1760</v>
      </c>
      <c r="H554" t="s">
        <v>1850</v>
      </c>
      <c r="I554" t="s">
        <v>1758</v>
      </c>
      <c r="J554" t="s">
        <v>1759</v>
      </c>
      <c r="K554" t="s">
        <v>2331</v>
      </c>
      <c r="L554" t="s">
        <v>1720</v>
      </c>
      <c r="M554" s="57">
        <v>44581</v>
      </c>
      <c r="N554" t="s">
        <v>3480</v>
      </c>
    </row>
    <row r="555" spans="1:14" x14ac:dyDescent="0.35">
      <c r="A555" t="s">
        <v>60</v>
      </c>
      <c r="B555" t="s">
        <v>889</v>
      </c>
      <c r="C555" t="s">
        <v>2261</v>
      </c>
      <c r="D555" t="s">
        <v>1724</v>
      </c>
      <c r="E555" t="s">
        <v>2301</v>
      </c>
      <c r="F555" t="s">
        <v>1802</v>
      </c>
      <c r="G555" t="s">
        <v>1760</v>
      </c>
      <c r="H555" t="s">
        <v>1867</v>
      </c>
      <c r="I555" t="s">
        <v>1758</v>
      </c>
      <c r="J555" t="s">
        <v>1759</v>
      </c>
      <c r="K555" t="s">
        <v>2332</v>
      </c>
      <c r="L555" t="s">
        <v>1720</v>
      </c>
      <c r="M555" s="57">
        <v>44581</v>
      </c>
      <c r="N555" t="s">
        <v>3480</v>
      </c>
    </row>
    <row r="556" spans="1:14" x14ac:dyDescent="0.35">
      <c r="A556" t="s">
        <v>60</v>
      </c>
      <c r="B556" t="s">
        <v>889</v>
      </c>
      <c r="C556" t="s">
        <v>2261</v>
      </c>
      <c r="D556" t="s">
        <v>1721</v>
      </c>
      <c r="E556" t="s">
        <v>2284</v>
      </c>
      <c r="F556" t="s">
        <v>2285</v>
      </c>
      <c r="G556" t="s">
        <v>1784</v>
      </c>
      <c r="H556" t="s">
        <v>1785</v>
      </c>
      <c r="I556" t="s">
        <v>1782</v>
      </c>
      <c r="J556" t="s">
        <v>1786</v>
      </c>
      <c r="K556" t="s">
        <v>2319</v>
      </c>
      <c r="L556" t="s">
        <v>1720</v>
      </c>
      <c r="M556" s="57">
        <v>44581</v>
      </c>
      <c r="N556" t="s">
        <v>3480</v>
      </c>
    </row>
    <row r="557" spans="1:14" x14ac:dyDescent="0.35">
      <c r="A557" t="s">
        <v>60</v>
      </c>
      <c r="B557" t="s">
        <v>889</v>
      </c>
      <c r="C557" t="s">
        <v>2261</v>
      </c>
      <c r="D557" t="s">
        <v>1724</v>
      </c>
      <c r="E557" t="s">
        <v>2280</v>
      </c>
      <c r="F557" t="s">
        <v>1801</v>
      </c>
      <c r="G557" t="s">
        <v>1762</v>
      </c>
      <c r="H557" t="s">
        <v>2304</v>
      </c>
      <c r="I557" t="s">
        <v>1743</v>
      </c>
      <c r="J557" t="s">
        <v>1761</v>
      </c>
      <c r="K557" t="s">
        <v>2495</v>
      </c>
      <c r="L557" t="s">
        <v>1720</v>
      </c>
      <c r="M557" s="57">
        <v>44581</v>
      </c>
      <c r="N557" t="s">
        <v>3480</v>
      </c>
    </row>
    <row r="558" spans="1:14" x14ac:dyDescent="0.35">
      <c r="A558" t="s">
        <v>60</v>
      </c>
      <c r="B558" t="s">
        <v>889</v>
      </c>
      <c r="C558" t="s">
        <v>2261</v>
      </c>
      <c r="D558" t="s">
        <v>1721</v>
      </c>
      <c r="E558" t="s">
        <v>2280</v>
      </c>
      <c r="F558" t="s">
        <v>1801</v>
      </c>
      <c r="G558" t="s">
        <v>1728</v>
      </c>
      <c r="H558" t="s">
        <v>1800</v>
      </c>
      <c r="I558" t="s">
        <v>1763</v>
      </c>
      <c r="J558" t="s">
        <v>1746</v>
      </c>
      <c r="K558" t="s">
        <v>2334</v>
      </c>
      <c r="L558" t="s">
        <v>1720</v>
      </c>
      <c r="M558" s="57">
        <v>44581</v>
      </c>
      <c r="N558" t="s">
        <v>3480</v>
      </c>
    </row>
    <row r="559" spans="1:14" hidden="1" x14ac:dyDescent="0.35">
      <c r="A559" t="s">
        <v>675</v>
      </c>
      <c r="B559" t="s">
        <v>1499</v>
      </c>
      <c r="L559" t="s">
        <v>1720</v>
      </c>
    </row>
    <row r="560" spans="1:14" x14ac:dyDescent="0.35">
      <c r="A560" t="s">
        <v>333</v>
      </c>
      <c r="B560" t="s">
        <v>1158</v>
      </c>
      <c r="C560" t="s">
        <v>2261</v>
      </c>
      <c r="D560" t="s">
        <v>1721</v>
      </c>
      <c r="F560" t="s">
        <v>1802</v>
      </c>
      <c r="G560" t="s">
        <v>1726</v>
      </c>
      <c r="H560" t="s">
        <v>1777</v>
      </c>
      <c r="I560" t="s">
        <v>1739</v>
      </c>
      <c r="J560" t="s">
        <v>1745</v>
      </c>
      <c r="K560" t="s">
        <v>2498</v>
      </c>
      <c r="L560" t="s">
        <v>1720</v>
      </c>
      <c r="M560" s="57">
        <v>44581</v>
      </c>
      <c r="N560" t="s">
        <v>3480</v>
      </c>
    </row>
    <row r="561" spans="1:14" x14ac:dyDescent="0.35">
      <c r="A561" t="s">
        <v>333</v>
      </c>
      <c r="B561" t="s">
        <v>1158</v>
      </c>
      <c r="C561" t="s">
        <v>2261</v>
      </c>
      <c r="D561" t="s">
        <v>1724</v>
      </c>
      <c r="F561" t="s">
        <v>1802</v>
      </c>
      <c r="G561" t="s">
        <v>1726</v>
      </c>
      <c r="H561" t="s">
        <v>1777</v>
      </c>
      <c r="I561" t="s">
        <v>1739</v>
      </c>
      <c r="J561" t="s">
        <v>1745</v>
      </c>
      <c r="K561" t="s">
        <v>2523</v>
      </c>
      <c r="L561" t="s">
        <v>1720</v>
      </c>
      <c r="M561" s="57">
        <v>44581</v>
      </c>
      <c r="N561" t="s">
        <v>3480</v>
      </c>
    </row>
    <row r="562" spans="1:14" hidden="1" x14ac:dyDescent="0.35">
      <c r="A562" t="s">
        <v>628</v>
      </c>
      <c r="B562" t="s">
        <v>1452</v>
      </c>
      <c r="L562" t="s">
        <v>1720</v>
      </c>
    </row>
    <row r="563" spans="1:14" hidden="1" x14ac:dyDescent="0.35">
      <c r="A563" t="s">
        <v>690</v>
      </c>
      <c r="B563" t="s">
        <v>1514</v>
      </c>
      <c r="L563" t="s">
        <v>1720</v>
      </c>
    </row>
    <row r="564" spans="1:14" hidden="1" x14ac:dyDescent="0.35">
      <c r="A564" t="s">
        <v>234</v>
      </c>
      <c r="B564" t="s">
        <v>1061</v>
      </c>
      <c r="L564" t="s">
        <v>1720</v>
      </c>
    </row>
    <row r="565" spans="1:14" hidden="1" x14ac:dyDescent="0.35">
      <c r="A565" t="s">
        <v>49</v>
      </c>
      <c r="B565" t="s">
        <v>878</v>
      </c>
      <c r="L565" t="s">
        <v>1720</v>
      </c>
    </row>
    <row r="566" spans="1:14" hidden="1" x14ac:dyDescent="0.35">
      <c r="A566" t="s">
        <v>452</v>
      </c>
      <c r="B566" t="s">
        <v>1276</v>
      </c>
      <c r="L566" t="s">
        <v>1720</v>
      </c>
    </row>
    <row r="567" spans="1:14" x14ac:dyDescent="0.35">
      <c r="A567" t="s">
        <v>191</v>
      </c>
      <c r="B567" t="s">
        <v>1019</v>
      </c>
      <c r="C567" t="s">
        <v>2261</v>
      </c>
      <c r="D567" t="s">
        <v>1721</v>
      </c>
      <c r="F567" t="s">
        <v>2263</v>
      </c>
      <c r="G567" t="s">
        <v>1725</v>
      </c>
      <c r="H567" t="s">
        <v>1776</v>
      </c>
      <c r="I567" t="s">
        <v>1729</v>
      </c>
      <c r="J567" t="s">
        <v>1747</v>
      </c>
      <c r="K567" t="s">
        <v>2389</v>
      </c>
      <c r="L567" t="s">
        <v>1720</v>
      </c>
      <c r="M567" s="57">
        <v>44581</v>
      </c>
      <c r="N567" t="s">
        <v>3480</v>
      </c>
    </row>
    <row r="568" spans="1:14" x14ac:dyDescent="0.35">
      <c r="A568" t="s">
        <v>191</v>
      </c>
      <c r="B568" t="s">
        <v>1019</v>
      </c>
      <c r="C568" t="s">
        <v>2259</v>
      </c>
      <c r="D568" t="s">
        <v>1721</v>
      </c>
      <c r="F568" t="s">
        <v>1802</v>
      </c>
      <c r="G568" t="s">
        <v>1750</v>
      </c>
      <c r="H568" t="s">
        <v>1773</v>
      </c>
      <c r="I568" t="s">
        <v>1748</v>
      </c>
      <c r="J568" t="s">
        <v>1749</v>
      </c>
      <c r="K568" t="s">
        <v>2297</v>
      </c>
      <c r="L568" t="s">
        <v>1720</v>
      </c>
      <c r="M568" s="57">
        <v>44581</v>
      </c>
      <c r="N568" t="s">
        <v>3480</v>
      </c>
    </row>
    <row r="569" spans="1:14" x14ac:dyDescent="0.35">
      <c r="A569" t="s">
        <v>191</v>
      </c>
      <c r="B569" t="s">
        <v>1019</v>
      </c>
      <c r="C569" t="s">
        <v>2261</v>
      </c>
      <c r="D569" t="s">
        <v>1721</v>
      </c>
      <c r="F569" t="s">
        <v>1801</v>
      </c>
      <c r="G569" t="s">
        <v>1735</v>
      </c>
      <c r="H569" t="s">
        <v>1774</v>
      </c>
      <c r="I569" t="s">
        <v>1734</v>
      </c>
      <c r="J569" t="s">
        <v>1767</v>
      </c>
      <c r="K569" t="s">
        <v>2390</v>
      </c>
      <c r="L569" t="s">
        <v>1720</v>
      </c>
      <c r="M569" s="57">
        <v>44581</v>
      </c>
      <c r="N569" t="s">
        <v>3480</v>
      </c>
    </row>
    <row r="570" spans="1:14" x14ac:dyDescent="0.35">
      <c r="A570" t="s">
        <v>191</v>
      </c>
      <c r="B570" t="s">
        <v>1019</v>
      </c>
      <c r="C570" t="s">
        <v>2259</v>
      </c>
      <c r="D570" t="s">
        <v>1721</v>
      </c>
      <c r="F570" t="s">
        <v>1802</v>
      </c>
      <c r="G570" t="s">
        <v>1726</v>
      </c>
      <c r="H570" t="s">
        <v>1777</v>
      </c>
      <c r="I570" t="s">
        <v>1739</v>
      </c>
      <c r="J570" t="s">
        <v>1745</v>
      </c>
      <c r="K570" t="s">
        <v>2119</v>
      </c>
      <c r="L570" t="s">
        <v>1720</v>
      </c>
      <c r="M570" s="57">
        <v>44581</v>
      </c>
      <c r="N570" t="s">
        <v>3480</v>
      </c>
    </row>
    <row r="571" spans="1:14" hidden="1" x14ac:dyDescent="0.35">
      <c r="A571" t="s">
        <v>154</v>
      </c>
      <c r="B571" t="s">
        <v>983</v>
      </c>
      <c r="L571" t="s">
        <v>1720</v>
      </c>
    </row>
    <row r="572" spans="1:14" hidden="1" x14ac:dyDescent="0.35">
      <c r="A572" t="s">
        <v>213</v>
      </c>
      <c r="B572" t="s">
        <v>1040</v>
      </c>
      <c r="L572" t="s">
        <v>1720</v>
      </c>
    </row>
    <row r="573" spans="1:14" hidden="1" x14ac:dyDescent="0.35">
      <c r="A573" t="s">
        <v>522</v>
      </c>
      <c r="B573" t="s">
        <v>1346</v>
      </c>
      <c r="L573" t="s">
        <v>1720</v>
      </c>
    </row>
    <row r="574" spans="1:14" hidden="1" x14ac:dyDescent="0.35">
      <c r="A574" t="s">
        <v>374</v>
      </c>
      <c r="B574" t="s">
        <v>1198</v>
      </c>
      <c r="L574" t="s">
        <v>1720</v>
      </c>
    </row>
    <row r="575" spans="1:14" hidden="1" x14ac:dyDescent="0.35">
      <c r="A575" t="s">
        <v>409</v>
      </c>
      <c r="B575" t="s">
        <v>1233</v>
      </c>
      <c r="L575" t="s">
        <v>1720</v>
      </c>
    </row>
    <row r="576" spans="1:14" x14ac:dyDescent="0.35">
      <c r="A576" t="s">
        <v>352</v>
      </c>
      <c r="B576" t="s">
        <v>1176</v>
      </c>
      <c r="C576" t="s">
        <v>2261</v>
      </c>
      <c r="D576" t="s">
        <v>1721</v>
      </c>
      <c r="F576" t="s">
        <v>1803</v>
      </c>
      <c r="G576" t="s">
        <v>1754</v>
      </c>
      <c r="H576" t="s">
        <v>1796</v>
      </c>
      <c r="I576" t="s">
        <v>1917</v>
      </c>
      <c r="J576" t="s">
        <v>1753</v>
      </c>
      <c r="K576" t="s">
        <v>2276</v>
      </c>
      <c r="L576" t="s">
        <v>1720</v>
      </c>
      <c r="M576" s="57">
        <v>44581</v>
      </c>
      <c r="N576" t="s">
        <v>3480</v>
      </c>
    </row>
    <row r="577" spans="1:14" x14ac:dyDescent="0.35">
      <c r="A577" t="s">
        <v>352</v>
      </c>
      <c r="B577" t="s">
        <v>1176</v>
      </c>
      <c r="C577" t="s">
        <v>2261</v>
      </c>
      <c r="D577" t="s">
        <v>1724</v>
      </c>
      <c r="F577" t="s">
        <v>1803</v>
      </c>
      <c r="G577" t="s">
        <v>1754</v>
      </c>
      <c r="H577" t="s">
        <v>1796</v>
      </c>
      <c r="I577" t="s">
        <v>1917</v>
      </c>
      <c r="J577" t="s">
        <v>1753</v>
      </c>
      <c r="K577" t="s">
        <v>2333</v>
      </c>
      <c r="L577" t="s">
        <v>1720</v>
      </c>
      <c r="M577" s="57">
        <v>44581</v>
      </c>
      <c r="N577" t="s">
        <v>3480</v>
      </c>
    </row>
    <row r="578" spans="1:14" x14ac:dyDescent="0.35">
      <c r="A578" t="s">
        <v>352</v>
      </c>
      <c r="B578" t="s">
        <v>1176</v>
      </c>
      <c r="C578" t="s">
        <v>2261</v>
      </c>
      <c r="D578" t="s">
        <v>1721</v>
      </c>
      <c r="F578" t="s">
        <v>1804</v>
      </c>
      <c r="G578" t="s">
        <v>1741</v>
      </c>
      <c r="H578" t="s">
        <v>1775</v>
      </c>
      <c r="I578" t="s">
        <v>1742</v>
      </c>
      <c r="J578" t="s">
        <v>1744</v>
      </c>
      <c r="K578" t="s">
        <v>2405</v>
      </c>
      <c r="L578" t="s">
        <v>1720</v>
      </c>
      <c r="M578" s="57">
        <v>44581</v>
      </c>
      <c r="N578" t="s">
        <v>3480</v>
      </c>
    </row>
    <row r="579" spans="1:14" x14ac:dyDescent="0.35">
      <c r="A579" t="s">
        <v>352</v>
      </c>
      <c r="B579" t="s">
        <v>1176</v>
      </c>
      <c r="C579" t="s">
        <v>2261</v>
      </c>
      <c r="D579" t="s">
        <v>1724</v>
      </c>
      <c r="F579" t="s">
        <v>1802</v>
      </c>
      <c r="G579" t="s">
        <v>1726</v>
      </c>
      <c r="H579" t="s">
        <v>1777</v>
      </c>
      <c r="I579" t="s">
        <v>1739</v>
      </c>
      <c r="J579" t="s">
        <v>1745</v>
      </c>
      <c r="K579" t="s">
        <v>2314</v>
      </c>
      <c r="L579" t="s">
        <v>1720</v>
      </c>
      <c r="M579" s="57">
        <v>44581</v>
      </c>
      <c r="N579" t="s">
        <v>3480</v>
      </c>
    </row>
    <row r="580" spans="1:14" x14ac:dyDescent="0.35">
      <c r="A580" t="s">
        <v>352</v>
      </c>
      <c r="B580" t="s">
        <v>1176</v>
      </c>
      <c r="C580" t="s">
        <v>2261</v>
      </c>
      <c r="D580" t="s">
        <v>1721</v>
      </c>
      <c r="F580" t="s">
        <v>1802</v>
      </c>
      <c r="G580" t="s">
        <v>1726</v>
      </c>
      <c r="H580" t="s">
        <v>1777</v>
      </c>
      <c r="I580" t="s">
        <v>1739</v>
      </c>
      <c r="J580" t="s">
        <v>1745</v>
      </c>
      <c r="K580" t="s">
        <v>2114</v>
      </c>
      <c r="L580" t="s">
        <v>1720</v>
      </c>
      <c r="M580" s="57">
        <v>44581</v>
      </c>
      <c r="N580" t="s">
        <v>3480</v>
      </c>
    </row>
    <row r="581" spans="1:14" hidden="1" x14ac:dyDescent="0.35">
      <c r="A581" t="s">
        <v>201</v>
      </c>
      <c r="B581" t="s">
        <v>1029</v>
      </c>
      <c r="L581" t="s">
        <v>1720</v>
      </c>
    </row>
    <row r="582" spans="1:14" hidden="1" x14ac:dyDescent="0.35">
      <c r="A582" t="s">
        <v>40</v>
      </c>
      <c r="B582" t="s">
        <v>869</v>
      </c>
      <c r="L582" t="s">
        <v>1720</v>
      </c>
    </row>
    <row r="583" spans="1:14" hidden="1" x14ac:dyDescent="0.35">
      <c r="A583" t="s">
        <v>419</v>
      </c>
      <c r="B583" t="s">
        <v>1243</v>
      </c>
      <c r="L583" t="s">
        <v>1720</v>
      </c>
    </row>
    <row r="584" spans="1:14" hidden="1" x14ac:dyDescent="0.35">
      <c r="A584" t="s">
        <v>735</v>
      </c>
      <c r="B584" t="s">
        <v>1559</v>
      </c>
      <c r="L584" t="s">
        <v>1720</v>
      </c>
    </row>
    <row r="585" spans="1:14" hidden="1" x14ac:dyDescent="0.35">
      <c r="A585" t="s">
        <v>608</v>
      </c>
      <c r="B585" t="s">
        <v>1432</v>
      </c>
      <c r="L585" t="s">
        <v>1720</v>
      </c>
    </row>
    <row r="586" spans="1:14" hidden="1" x14ac:dyDescent="0.35">
      <c r="A586" t="s">
        <v>553</v>
      </c>
      <c r="B586" t="s">
        <v>1377</v>
      </c>
      <c r="L586" t="s">
        <v>1720</v>
      </c>
    </row>
    <row r="587" spans="1:14" hidden="1" x14ac:dyDescent="0.35">
      <c r="A587" t="s">
        <v>511</v>
      </c>
      <c r="B587" t="s">
        <v>1335</v>
      </c>
      <c r="L587" t="s">
        <v>1720</v>
      </c>
    </row>
    <row r="588" spans="1:14" hidden="1" x14ac:dyDescent="0.35">
      <c r="A588" t="s">
        <v>133</v>
      </c>
      <c r="B588" t="s">
        <v>962</v>
      </c>
      <c r="L588" t="s">
        <v>1720</v>
      </c>
    </row>
    <row r="589" spans="1:14" hidden="1" x14ac:dyDescent="0.35">
      <c r="A589" t="s">
        <v>120</v>
      </c>
      <c r="B589" t="s">
        <v>949</v>
      </c>
      <c r="L589" t="s">
        <v>1720</v>
      </c>
    </row>
    <row r="590" spans="1:14" hidden="1" x14ac:dyDescent="0.35">
      <c r="A590" t="s">
        <v>117</v>
      </c>
      <c r="B590" t="s">
        <v>946</v>
      </c>
      <c r="L590" t="s">
        <v>1720</v>
      </c>
    </row>
    <row r="591" spans="1:14" ht="16.5" customHeight="1" x14ac:dyDescent="0.35">
      <c r="A591" t="s">
        <v>12</v>
      </c>
      <c r="B591" t="s">
        <v>841</v>
      </c>
      <c r="C591" t="s">
        <v>2259</v>
      </c>
      <c r="D591" t="s">
        <v>1721</v>
      </c>
      <c r="H591" s="50" t="s">
        <v>1774</v>
      </c>
      <c r="I591" t="s">
        <v>1734</v>
      </c>
      <c r="J591" t="s">
        <v>1771</v>
      </c>
      <c r="K591">
        <v>0.02</v>
      </c>
      <c r="L591" t="s">
        <v>1720</v>
      </c>
      <c r="M591" s="57">
        <v>44581</v>
      </c>
      <c r="N591" t="s">
        <v>3480</v>
      </c>
    </row>
    <row r="592" spans="1:14" x14ac:dyDescent="0.35">
      <c r="A592" t="s">
        <v>350</v>
      </c>
      <c r="B592" t="s">
        <v>1174</v>
      </c>
      <c r="C592" t="s">
        <v>2259</v>
      </c>
      <c r="D592" t="s">
        <v>1721</v>
      </c>
      <c r="H592" t="s">
        <v>1774</v>
      </c>
      <c r="I592" t="s">
        <v>1734</v>
      </c>
      <c r="J592" t="s">
        <v>1771</v>
      </c>
      <c r="K592">
        <v>0.02</v>
      </c>
      <c r="L592" t="s">
        <v>1720</v>
      </c>
      <c r="M592" s="57">
        <v>44581</v>
      </c>
      <c r="N592" t="s">
        <v>3480</v>
      </c>
    </row>
    <row r="593" spans="1:14" x14ac:dyDescent="0.35">
      <c r="A593" t="s">
        <v>643</v>
      </c>
      <c r="B593" t="s">
        <v>1467</v>
      </c>
      <c r="C593" t="s">
        <v>2261</v>
      </c>
      <c r="D593" t="s">
        <v>1721</v>
      </c>
      <c r="H593" t="s">
        <v>1785</v>
      </c>
      <c r="I593" t="s">
        <v>1782</v>
      </c>
      <c r="J593" t="s">
        <v>1786</v>
      </c>
      <c r="K593">
        <v>2.2200000000000002</v>
      </c>
      <c r="L593" t="s">
        <v>1720</v>
      </c>
      <c r="M593" s="57">
        <v>44581</v>
      </c>
      <c r="N593" t="s">
        <v>3480</v>
      </c>
    </row>
    <row r="594" spans="1:14" x14ac:dyDescent="0.35">
      <c r="A594" t="s">
        <v>142</v>
      </c>
      <c r="B594" t="s">
        <v>971</v>
      </c>
      <c r="C594" t="s">
        <v>2261</v>
      </c>
      <c r="D594" t="s">
        <v>1721</v>
      </c>
      <c r="F594" t="s">
        <v>2263</v>
      </c>
      <c r="G594" t="s">
        <v>1725</v>
      </c>
      <c r="H594" t="s">
        <v>1776</v>
      </c>
      <c r="I594" t="s">
        <v>1729</v>
      </c>
      <c r="J594" t="s">
        <v>1747</v>
      </c>
      <c r="K594" t="s">
        <v>2322</v>
      </c>
      <c r="L594" t="s">
        <v>1720</v>
      </c>
      <c r="M594" s="57">
        <v>44581</v>
      </c>
      <c r="N594" t="s">
        <v>3480</v>
      </c>
    </row>
    <row r="595" spans="1:14" x14ac:dyDescent="0.35">
      <c r="A595" t="s">
        <v>142</v>
      </c>
      <c r="B595" t="s">
        <v>971</v>
      </c>
      <c r="C595" t="s">
        <v>2259</v>
      </c>
      <c r="D595" t="s">
        <v>1721</v>
      </c>
      <c r="F595" t="s">
        <v>1802</v>
      </c>
      <c r="G595" t="s">
        <v>1750</v>
      </c>
      <c r="H595" t="s">
        <v>1773</v>
      </c>
      <c r="I595" t="s">
        <v>1748</v>
      </c>
      <c r="J595" t="s">
        <v>1749</v>
      </c>
      <c r="K595" t="s">
        <v>2509</v>
      </c>
      <c r="L595" t="s">
        <v>1720</v>
      </c>
      <c r="M595" s="57">
        <v>44581</v>
      </c>
      <c r="N595" t="s">
        <v>3480</v>
      </c>
    </row>
    <row r="596" spans="1:14" x14ac:dyDescent="0.35">
      <c r="A596" t="s">
        <v>142</v>
      </c>
      <c r="B596" t="s">
        <v>971</v>
      </c>
      <c r="C596" t="s">
        <v>2259</v>
      </c>
      <c r="D596" t="s">
        <v>1724</v>
      </c>
      <c r="E596" t="s">
        <v>2353</v>
      </c>
      <c r="F596" t="s">
        <v>1802</v>
      </c>
      <c r="G596" t="s">
        <v>1829</v>
      </c>
      <c r="H596" t="s">
        <v>1830</v>
      </c>
      <c r="I596" t="s">
        <v>1831</v>
      </c>
      <c r="J596" t="s">
        <v>1832</v>
      </c>
      <c r="K596" t="s">
        <v>2510</v>
      </c>
      <c r="L596" t="s">
        <v>1720</v>
      </c>
      <c r="M596" s="57">
        <v>44581</v>
      </c>
      <c r="N596" t="s">
        <v>3480</v>
      </c>
    </row>
    <row r="597" spans="1:14" x14ac:dyDescent="0.35">
      <c r="A597" t="s">
        <v>142</v>
      </c>
      <c r="B597" t="s">
        <v>971</v>
      </c>
      <c r="C597" t="s">
        <v>2259</v>
      </c>
      <c r="D597" t="s">
        <v>1721</v>
      </c>
      <c r="E597" t="s">
        <v>2354</v>
      </c>
      <c r="F597" t="s">
        <v>1802</v>
      </c>
      <c r="G597" t="s">
        <v>1829</v>
      </c>
      <c r="H597" t="s">
        <v>1830</v>
      </c>
      <c r="I597" t="s">
        <v>1831</v>
      </c>
      <c r="J597" t="s">
        <v>1832</v>
      </c>
      <c r="K597" t="s">
        <v>2511</v>
      </c>
      <c r="L597" t="s">
        <v>1720</v>
      </c>
      <c r="M597" s="57">
        <v>44581</v>
      </c>
      <c r="N597" t="s">
        <v>3480</v>
      </c>
    </row>
    <row r="598" spans="1:14" x14ac:dyDescent="0.35">
      <c r="A598" t="s">
        <v>142</v>
      </c>
      <c r="B598" t="s">
        <v>971</v>
      </c>
      <c r="C598" t="s">
        <v>2259</v>
      </c>
      <c r="D598" t="s">
        <v>1724</v>
      </c>
      <c r="E598" t="s">
        <v>2353</v>
      </c>
      <c r="F598" t="s">
        <v>1802</v>
      </c>
      <c r="G598" t="s">
        <v>1799</v>
      </c>
      <c r="H598" t="s">
        <v>1737</v>
      </c>
      <c r="I598" t="s">
        <v>1797</v>
      </c>
      <c r="J598" t="s">
        <v>1798</v>
      </c>
      <c r="K598" t="s">
        <v>2379</v>
      </c>
      <c r="L598" t="s">
        <v>1720</v>
      </c>
      <c r="M598" s="57">
        <v>44581</v>
      </c>
      <c r="N598" t="s">
        <v>3481</v>
      </c>
    </row>
    <row r="599" spans="1:14" x14ac:dyDescent="0.35">
      <c r="A599" t="s">
        <v>142</v>
      </c>
      <c r="B599" t="s">
        <v>971</v>
      </c>
      <c r="C599" t="s">
        <v>2261</v>
      </c>
      <c r="D599" t="s">
        <v>1721</v>
      </c>
      <c r="F599" t="s">
        <v>1804</v>
      </c>
      <c r="G599" t="s">
        <v>1741</v>
      </c>
      <c r="H599" t="s">
        <v>1775</v>
      </c>
      <c r="I599" t="s">
        <v>1742</v>
      </c>
      <c r="J599" t="s">
        <v>1744</v>
      </c>
      <c r="K599" t="s">
        <v>2512</v>
      </c>
      <c r="L599" t="s">
        <v>1720</v>
      </c>
      <c r="M599" s="57">
        <v>44581</v>
      </c>
      <c r="N599" t="s">
        <v>3480</v>
      </c>
    </row>
    <row r="600" spans="1:14" x14ac:dyDescent="0.35">
      <c r="A600" t="s">
        <v>142</v>
      </c>
      <c r="B600" t="s">
        <v>971</v>
      </c>
      <c r="C600" t="s">
        <v>2259</v>
      </c>
      <c r="D600" t="s">
        <v>1721</v>
      </c>
      <c r="F600" t="s">
        <v>1802</v>
      </c>
      <c r="G600" t="s">
        <v>1726</v>
      </c>
      <c r="H600" t="s">
        <v>1777</v>
      </c>
      <c r="I600" t="s">
        <v>1739</v>
      </c>
      <c r="J600" t="s">
        <v>1745</v>
      </c>
      <c r="K600" t="s">
        <v>2494</v>
      </c>
      <c r="L600" t="s">
        <v>1720</v>
      </c>
      <c r="M600" s="57">
        <v>44581</v>
      </c>
      <c r="N600" t="s">
        <v>3480</v>
      </c>
    </row>
    <row r="601" spans="1:14" x14ac:dyDescent="0.35">
      <c r="A601" t="s">
        <v>142</v>
      </c>
      <c r="B601" t="s">
        <v>971</v>
      </c>
      <c r="C601" t="s">
        <v>2261</v>
      </c>
      <c r="D601" t="s">
        <v>1724</v>
      </c>
      <c r="E601" t="s">
        <v>2356</v>
      </c>
      <c r="F601" t="s">
        <v>1802</v>
      </c>
      <c r="G601" t="s">
        <v>1760</v>
      </c>
      <c r="H601" t="s">
        <v>1870</v>
      </c>
      <c r="I601" t="s">
        <v>1758</v>
      </c>
      <c r="J601" t="s">
        <v>1871</v>
      </c>
      <c r="K601" t="s">
        <v>2380</v>
      </c>
      <c r="L601" t="s">
        <v>1720</v>
      </c>
      <c r="M601" s="57">
        <v>44581</v>
      </c>
      <c r="N601" t="s">
        <v>3480</v>
      </c>
    </row>
    <row r="602" spans="1:14" x14ac:dyDescent="0.35">
      <c r="A602" t="s">
        <v>142</v>
      </c>
      <c r="B602" t="s">
        <v>971</v>
      </c>
      <c r="C602" t="s">
        <v>2261</v>
      </c>
      <c r="D602" t="s">
        <v>1724</v>
      </c>
      <c r="F602" t="s">
        <v>2308</v>
      </c>
      <c r="G602" t="s">
        <v>1762</v>
      </c>
      <c r="H602" t="s">
        <v>1781</v>
      </c>
      <c r="I602" t="s">
        <v>1819</v>
      </c>
      <c r="J602" t="s">
        <v>1833</v>
      </c>
      <c r="K602" t="s">
        <v>2513</v>
      </c>
      <c r="L602" t="s">
        <v>1720</v>
      </c>
      <c r="M602" s="57">
        <v>44581</v>
      </c>
      <c r="N602" t="s">
        <v>3480</v>
      </c>
    </row>
    <row r="603" spans="1:14" x14ac:dyDescent="0.35">
      <c r="A603" t="s">
        <v>142</v>
      </c>
      <c r="B603" t="s">
        <v>971</v>
      </c>
      <c r="C603" t="s">
        <v>2381</v>
      </c>
      <c r="D603" t="s">
        <v>1721</v>
      </c>
      <c r="E603" t="s">
        <v>2382</v>
      </c>
      <c r="F603" t="s">
        <v>2308</v>
      </c>
      <c r="G603" t="s">
        <v>1728</v>
      </c>
      <c r="H603" t="s">
        <v>1779</v>
      </c>
      <c r="I603" t="s">
        <v>1819</v>
      </c>
      <c r="J603" t="s">
        <v>2383</v>
      </c>
      <c r="K603" t="s">
        <v>2514</v>
      </c>
      <c r="L603" t="s">
        <v>1720</v>
      </c>
      <c r="M603" s="57">
        <v>44581</v>
      </c>
      <c r="N603" t="s">
        <v>3480</v>
      </c>
    </row>
    <row r="604" spans="1:14" x14ac:dyDescent="0.35">
      <c r="A604" t="s">
        <v>142</v>
      </c>
      <c r="B604" t="s">
        <v>971</v>
      </c>
      <c r="C604" t="s">
        <v>2261</v>
      </c>
      <c r="D604" t="s">
        <v>1721</v>
      </c>
      <c r="E604" t="s">
        <v>2354</v>
      </c>
      <c r="F604" t="s">
        <v>2308</v>
      </c>
      <c r="G604" t="s">
        <v>1728</v>
      </c>
      <c r="H604" t="s">
        <v>1779</v>
      </c>
      <c r="I604" t="s">
        <v>1834</v>
      </c>
      <c r="J604" t="s">
        <v>1835</v>
      </c>
      <c r="K604" t="s">
        <v>2515</v>
      </c>
      <c r="L604" t="s">
        <v>1720</v>
      </c>
      <c r="M604" s="57">
        <v>44581</v>
      </c>
      <c r="N604" t="s">
        <v>3480</v>
      </c>
    </row>
    <row r="605" spans="1:14" hidden="1" x14ac:dyDescent="0.35">
      <c r="A605" t="s">
        <v>765</v>
      </c>
      <c r="B605" t="s">
        <v>1589</v>
      </c>
      <c r="L605" t="s">
        <v>1720</v>
      </c>
    </row>
    <row r="606" spans="1:14" hidden="1" x14ac:dyDescent="0.35">
      <c r="A606" t="s">
        <v>691</v>
      </c>
      <c r="B606" t="s">
        <v>1515</v>
      </c>
      <c r="L606" t="s">
        <v>1720</v>
      </c>
    </row>
    <row r="607" spans="1:14" hidden="1" x14ac:dyDescent="0.35">
      <c r="A607" t="s">
        <v>668</v>
      </c>
      <c r="B607" t="s">
        <v>1492</v>
      </c>
      <c r="L607" t="s">
        <v>1720</v>
      </c>
    </row>
    <row r="608" spans="1:14" hidden="1" x14ac:dyDescent="0.35">
      <c r="A608" t="s">
        <v>119</v>
      </c>
      <c r="B608" t="s">
        <v>948</v>
      </c>
      <c r="L608" t="s">
        <v>1720</v>
      </c>
    </row>
    <row r="609" spans="1:12" hidden="1" x14ac:dyDescent="0.35">
      <c r="A609" t="s">
        <v>669</v>
      </c>
      <c r="B609" t="s">
        <v>1493</v>
      </c>
      <c r="L609" t="s">
        <v>1720</v>
      </c>
    </row>
    <row r="610" spans="1:12" hidden="1" x14ac:dyDescent="0.35">
      <c r="A610" t="s">
        <v>677</v>
      </c>
      <c r="B610" t="s">
        <v>1501</v>
      </c>
      <c r="L610" t="s">
        <v>1720</v>
      </c>
    </row>
    <row r="611" spans="1:12" hidden="1" x14ac:dyDescent="0.35">
      <c r="A611" t="s">
        <v>617</v>
      </c>
      <c r="B611" t="s">
        <v>1441</v>
      </c>
      <c r="L611" t="s">
        <v>1720</v>
      </c>
    </row>
    <row r="612" spans="1:12" hidden="1" x14ac:dyDescent="0.35">
      <c r="A612" t="s">
        <v>434</v>
      </c>
      <c r="B612" t="s">
        <v>1258</v>
      </c>
      <c r="L612" t="s">
        <v>1720</v>
      </c>
    </row>
    <row r="613" spans="1:12" hidden="1" x14ac:dyDescent="0.35">
      <c r="A613" t="s">
        <v>670</v>
      </c>
      <c r="B613" t="s">
        <v>1494</v>
      </c>
      <c r="L613" t="s">
        <v>1720</v>
      </c>
    </row>
    <row r="614" spans="1:12" hidden="1" x14ac:dyDescent="0.35">
      <c r="A614" t="s">
        <v>671</v>
      </c>
      <c r="B614" t="s">
        <v>1495</v>
      </c>
      <c r="L614" t="s">
        <v>1720</v>
      </c>
    </row>
    <row r="615" spans="1:12" hidden="1" x14ac:dyDescent="0.35">
      <c r="A615" t="s">
        <v>215</v>
      </c>
      <c r="B615" t="s">
        <v>1042</v>
      </c>
      <c r="L615" t="s">
        <v>1720</v>
      </c>
    </row>
    <row r="616" spans="1:12" hidden="1" x14ac:dyDescent="0.35">
      <c r="A616" t="s">
        <v>547</v>
      </c>
      <c r="B616" t="s">
        <v>1371</v>
      </c>
      <c r="L616" t="s">
        <v>1720</v>
      </c>
    </row>
    <row r="617" spans="1:12" hidden="1" x14ac:dyDescent="0.35">
      <c r="A617" t="s">
        <v>567</v>
      </c>
      <c r="B617" t="s">
        <v>1391</v>
      </c>
      <c r="L617" t="s">
        <v>1720</v>
      </c>
    </row>
    <row r="618" spans="1:12" hidden="1" x14ac:dyDescent="0.35">
      <c r="A618" t="s">
        <v>484</v>
      </c>
      <c r="B618" t="s">
        <v>1308</v>
      </c>
      <c r="L618" t="s">
        <v>1720</v>
      </c>
    </row>
    <row r="619" spans="1:12" hidden="1" x14ac:dyDescent="0.35">
      <c r="A619" t="s">
        <v>771</v>
      </c>
      <c r="B619" t="s">
        <v>1595</v>
      </c>
      <c r="L619" t="s">
        <v>1720</v>
      </c>
    </row>
    <row r="620" spans="1:12" hidden="1" x14ac:dyDescent="0.35">
      <c r="A620" t="s">
        <v>311</v>
      </c>
      <c r="B620" t="s">
        <v>1136</v>
      </c>
      <c r="L620" t="s">
        <v>1720</v>
      </c>
    </row>
    <row r="621" spans="1:12" hidden="1" x14ac:dyDescent="0.35">
      <c r="A621" t="s">
        <v>692</v>
      </c>
      <c r="B621" t="s">
        <v>1516</v>
      </c>
      <c r="L621" t="s">
        <v>1720</v>
      </c>
    </row>
    <row r="622" spans="1:12" hidden="1" x14ac:dyDescent="0.35">
      <c r="A622" t="s">
        <v>513</v>
      </c>
      <c r="B622" t="s">
        <v>1337</v>
      </c>
      <c r="L622" t="s">
        <v>1720</v>
      </c>
    </row>
    <row r="623" spans="1:12" hidden="1" x14ac:dyDescent="0.35">
      <c r="A623" t="s">
        <v>501</v>
      </c>
      <c r="B623" t="s">
        <v>1325</v>
      </c>
      <c r="L623" t="s">
        <v>1720</v>
      </c>
    </row>
    <row r="624" spans="1:12" hidden="1" x14ac:dyDescent="0.35">
      <c r="A624" t="s">
        <v>645</v>
      </c>
      <c r="B624" t="s">
        <v>1469</v>
      </c>
      <c r="L624" t="s">
        <v>1720</v>
      </c>
    </row>
    <row r="625" spans="1:12" hidden="1" x14ac:dyDescent="0.35">
      <c r="A625" t="s">
        <v>109</v>
      </c>
      <c r="B625" t="s">
        <v>938</v>
      </c>
      <c r="L625" t="s">
        <v>1720</v>
      </c>
    </row>
    <row r="626" spans="1:12" hidden="1" x14ac:dyDescent="0.35">
      <c r="A626" t="s">
        <v>430</v>
      </c>
      <c r="B626" t="s">
        <v>1254</v>
      </c>
      <c r="L626" t="s">
        <v>1720</v>
      </c>
    </row>
    <row r="627" spans="1:12" hidden="1" x14ac:dyDescent="0.35">
      <c r="A627" t="s">
        <v>357</v>
      </c>
      <c r="B627" t="s">
        <v>1181</v>
      </c>
      <c r="L627" t="s">
        <v>1720</v>
      </c>
    </row>
    <row r="628" spans="1:12" hidden="1" x14ac:dyDescent="0.35">
      <c r="A628" t="s">
        <v>358</v>
      </c>
      <c r="B628" t="s">
        <v>1182</v>
      </c>
      <c r="L628" t="s">
        <v>1720</v>
      </c>
    </row>
    <row r="629" spans="1:12" hidden="1" x14ac:dyDescent="0.35">
      <c r="A629" t="s">
        <v>562</v>
      </c>
      <c r="B629" t="s">
        <v>1386</v>
      </c>
      <c r="L629" t="s">
        <v>1720</v>
      </c>
    </row>
    <row r="630" spans="1:12" hidden="1" x14ac:dyDescent="0.35">
      <c r="A630" t="s">
        <v>293</v>
      </c>
      <c r="B630" t="s">
        <v>1118</v>
      </c>
      <c r="L630" t="s">
        <v>1720</v>
      </c>
    </row>
    <row r="631" spans="1:12" hidden="1" x14ac:dyDescent="0.35">
      <c r="A631" t="s">
        <v>376</v>
      </c>
      <c r="B631" t="s">
        <v>1200</v>
      </c>
      <c r="L631" t="s">
        <v>1720</v>
      </c>
    </row>
    <row r="632" spans="1:12" hidden="1" x14ac:dyDescent="0.35">
      <c r="A632" t="s">
        <v>302</v>
      </c>
      <c r="B632" t="s">
        <v>1127</v>
      </c>
      <c r="L632" t="s">
        <v>1720</v>
      </c>
    </row>
    <row r="633" spans="1:12" hidden="1" x14ac:dyDescent="0.35">
      <c r="A633" t="s">
        <v>156</v>
      </c>
      <c r="B633" t="s">
        <v>985</v>
      </c>
      <c r="L633" t="s">
        <v>1720</v>
      </c>
    </row>
    <row r="634" spans="1:12" hidden="1" x14ac:dyDescent="0.35">
      <c r="A634" t="s">
        <v>70</v>
      </c>
      <c r="B634" t="s">
        <v>899</v>
      </c>
      <c r="L634" t="s">
        <v>1720</v>
      </c>
    </row>
    <row r="635" spans="1:12" hidden="1" x14ac:dyDescent="0.35">
      <c r="A635" t="s">
        <v>3</v>
      </c>
      <c r="B635" t="s">
        <v>832</v>
      </c>
      <c r="L635" t="s">
        <v>1720</v>
      </c>
    </row>
    <row r="636" spans="1:12" hidden="1" x14ac:dyDescent="0.35">
      <c r="A636" t="s">
        <v>599</v>
      </c>
      <c r="B636" t="s">
        <v>1423</v>
      </c>
      <c r="L636" t="s">
        <v>1720</v>
      </c>
    </row>
    <row r="637" spans="1:12" hidden="1" x14ac:dyDescent="0.35">
      <c r="A637" t="s">
        <v>453</v>
      </c>
      <c r="B637" t="s">
        <v>1277</v>
      </c>
      <c r="L637" t="s">
        <v>1720</v>
      </c>
    </row>
    <row r="638" spans="1:12" hidden="1" x14ac:dyDescent="0.35">
      <c r="A638" t="s">
        <v>601</v>
      </c>
      <c r="B638" t="s">
        <v>1425</v>
      </c>
      <c r="L638" t="s">
        <v>1720</v>
      </c>
    </row>
    <row r="639" spans="1:12" hidden="1" x14ac:dyDescent="0.35">
      <c r="A639" t="s">
        <v>600</v>
      </c>
      <c r="B639" t="s">
        <v>1424</v>
      </c>
      <c r="L639" t="s">
        <v>1720</v>
      </c>
    </row>
    <row r="640" spans="1:12" hidden="1" x14ac:dyDescent="0.35">
      <c r="A640" t="s">
        <v>454</v>
      </c>
      <c r="B640" t="s">
        <v>1278</v>
      </c>
      <c r="L640" t="s">
        <v>1720</v>
      </c>
    </row>
    <row r="641" spans="1:14" hidden="1" x14ac:dyDescent="0.35">
      <c r="A641" t="s">
        <v>251</v>
      </c>
      <c r="B641" t="s">
        <v>1077</v>
      </c>
      <c r="L641" t="s">
        <v>1720</v>
      </c>
    </row>
    <row r="642" spans="1:14" hidden="1" x14ac:dyDescent="0.35">
      <c r="A642" t="s">
        <v>131</v>
      </c>
      <c r="B642" t="s">
        <v>960</v>
      </c>
      <c r="L642" t="s">
        <v>1720</v>
      </c>
    </row>
    <row r="643" spans="1:14" hidden="1" x14ac:dyDescent="0.35">
      <c r="A643" t="s">
        <v>392</v>
      </c>
      <c r="B643" t="s">
        <v>1216</v>
      </c>
      <c r="L643" t="s">
        <v>1720</v>
      </c>
    </row>
    <row r="644" spans="1:14" hidden="1" x14ac:dyDescent="0.35">
      <c r="A644" t="s">
        <v>54</v>
      </c>
      <c r="B644" t="s">
        <v>883</v>
      </c>
      <c r="L644" t="s">
        <v>1720</v>
      </c>
    </row>
    <row r="645" spans="1:14" hidden="1" x14ac:dyDescent="0.35">
      <c r="A645" t="s">
        <v>693</v>
      </c>
      <c r="B645" t="s">
        <v>1517</v>
      </c>
      <c r="L645" t="s">
        <v>1720</v>
      </c>
    </row>
    <row r="646" spans="1:14" hidden="1" x14ac:dyDescent="0.35">
      <c r="A646" t="s">
        <v>0</v>
      </c>
      <c r="B646" t="s">
        <v>829</v>
      </c>
      <c r="L646" t="s">
        <v>1720</v>
      </c>
    </row>
    <row r="647" spans="1:14" hidden="1" x14ac:dyDescent="0.35">
      <c r="A647" t="s">
        <v>320</v>
      </c>
      <c r="B647" t="s">
        <v>1145</v>
      </c>
      <c r="L647" t="s">
        <v>1720</v>
      </c>
    </row>
    <row r="648" spans="1:14" hidden="1" x14ac:dyDescent="0.35">
      <c r="A648" t="s">
        <v>437</v>
      </c>
      <c r="B648" t="s">
        <v>1261</v>
      </c>
      <c r="L648" t="s">
        <v>1720</v>
      </c>
    </row>
    <row r="649" spans="1:14" x14ac:dyDescent="0.35">
      <c r="A649" t="s">
        <v>450</v>
      </c>
      <c r="B649" t="s">
        <v>1274</v>
      </c>
      <c r="C649" t="s">
        <v>2261</v>
      </c>
      <c r="D649" t="s">
        <v>1721</v>
      </c>
      <c r="F649" t="s">
        <v>1801</v>
      </c>
      <c r="G649" t="s">
        <v>1735</v>
      </c>
      <c r="H649" t="s">
        <v>1772</v>
      </c>
      <c r="I649" t="s">
        <v>1748</v>
      </c>
      <c r="J649" t="s">
        <v>1764</v>
      </c>
      <c r="K649" t="s">
        <v>2129</v>
      </c>
      <c r="L649" t="s">
        <v>1720</v>
      </c>
      <c r="M649" s="57">
        <v>44581</v>
      </c>
      <c r="N649" t="s">
        <v>3480</v>
      </c>
    </row>
    <row r="650" spans="1:14" x14ac:dyDescent="0.35">
      <c r="A650" t="s">
        <v>450</v>
      </c>
      <c r="B650" t="s">
        <v>1274</v>
      </c>
      <c r="C650" t="s">
        <v>2259</v>
      </c>
      <c r="D650" t="s">
        <v>1721</v>
      </c>
      <c r="F650" t="s">
        <v>1802</v>
      </c>
      <c r="G650" t="s">
        <v>1750</v>
      </c>
      <c r="H650" t="s">
        <v>1773</v>
      </c>
      <c r="I650" t="s">
        <v>1748</v>
      </c>
      <c r="J650" t="s">
        <v>1749</v>
      </c>
      <c r="K650" t="s">
        <v>2114</v>
      </c>
      <c r="L650" t="s">
        <v>1720</v>
      </c>
      <c r="M650" s="57">
        <v>44581</v>
      </c>
      <c r="N650" t="s">
        <v>3480</v>
      </c>
    </row>
    <row r="651" spans="1:14" x14ac:dyDescent="0.35">
      <c r="A651" t="s">
        <v>450</v>
      </c>
      <c r="B651" t="s">
        <v>1274</v>
      </c>
      <c r="C651" t="s">
        <v>2261</v>
      </c>
      <c r="D651" t="s">
        <v>1721</v>
      </c>
      <c r="F651" t="s">
        <v>1801</v>
      </c>
      <c r="G651" t="s">
        <v>1735</v>
      </c>
      <c r="H651" t="s">
        <v>1774</v>
      </c>
      <c r="I651" t="s">
        <v>1734</v>
      </c>
      <c r="J651" t="s">
        <v>1771</v>
      </c>
      <c r="K651" t="s">
        <v>2371</v>
      </c>
      <c r="L651" t="s">
        <v>1720</v>
      </c>
      <c r="M651" s="57">
        <v>44581</v>
      </c>
      <c r="N651" t="s">
        <v>3480</v>
      </c>
    </row>
    <row r="652" spans="1:14" x14ac:dyDescent="0.35">
      <c r="A652" t="s">
        <v>450</v>
      </c>
      <c r="B652" t="s">
        <v>1274</v>
      </c>
      <c r="C652" t="s">
        <v>2261</v>
      </c>
      <c r="D652" t="s">
        <v>1724</v>
      </c>
      <c r="F652" t="s">
        <v>1803</v>
      </c>
      <c r="G652" t="s">
        <v>1754</v>
      </c>
      <c r="H652" t="s">
        <v>1796</v>
      </c>
      <c r="I652" t="s">
        <v>1917</v>
      </c>
      <c r="J652" t="s">
        <v>1753</v>
      </c>
      <c r="K652" t="s">
        <v>2119</v>
      </c>
      <c r="L652" t="s">
        <v>1720</v>
      </c>
      <c r="M652" s="57">
        <v>44581</v>
      </c>
      <c r="N652" t="s">
        <v>3480</v>
      </c>
    </row>
    <row r="653" spans="1:14" x14ac:dyDescent="0.35">
      <c r="A653" t="s">
        <v>450</v>
      </c>
      <c r="B653" t="s">
        <v>1274</v>
      </c>
      <c r="C653" t="s">
        <v>2261</v>
      </c>
      <c r="D653" t="s">
        <v>1721</v>
      </c>
      <c r="F653" t="s">
        <v>1803</v>
      </c>
      <c r="G653" t="s">
        <v>1754</v>
      </c>
      <c r="H653" t="s">
        <v>1796</v>
      </c>
      <c r="I653" t="s">
        <v>1917</v>
      </c>
      <c r="J653" t="s">
        <v>1753</v>
      </c>
      <c r="K653" t="s">
        <v>2350</v>
      </c>
      <c r="L653" t="s">
        <v>1720</v>
      </c>
      <c r="M653" s="57">
        <v>44581</v>
      </c>
      <c r="N653" t="s">
        <v>3480</v>
      </c>
    </row>
    <row r="654" spans="1:14" x14ac:dyDescent="0.35">
      <c r="A654" t="s">
        <v>450</v>
      </c>
      <c r="B654" t="s">
        <v>1274</v>
      </c>
      <c r="C654" t="s">
        <v>2259</v>
      </c>
      <c r="D654" t="s">
        <v>1721</v>
      </c>
      <c r="F654" t="s">
        <v>1802</v>
      </c>
      <c r="G654" t="s">
        <v>1727</v>
      </c>
      <c r="H654" t="s">
        <v>1737</v>
      </c>
      <c r="I654" t="s">
        <v>1730</v>
      </c>
      <c r="J654" t="s">
        <v>1732</v>
      </c>
      <c r="K654" t="s">
        <v>2405</v>
      </c>
      <c r="L654" t="s">
        <v>1720</v>
      </c>
      <c r="M654" s="57">
        <v>44581</v>
      </c>
      <c r="N654" t="s">
        <v>3481</v>
      </c>
    </row>
    <row r="655" spans="1:14" x14ac:dyDescent="0.35">
      <c r="A655" t="s">
        <v>450</v>
      </c>
      <c r="B655" t="s">
        <v>1274</v>
      </c>
      <c r="C655" t="s">
        <v>2259</v>
      </c>
      <c r="D655" t="s">
        <v>1724</v>
      </c>
      <c r="F655" t="s">
        <v>1802</v>
      </c>
      <c r="G655" t="s">
        <v>1726</v>
      </c>
      <c r="H655" t="s">
        <v>1737</v>
      </c>
      <c r="I655" t="s">
        <v>1730</v>
      </c>
      <c r="J655" t="s">
        <v>1732</v>
      </c>
      <c r="K655" t="s">
        <v>2279</v>
      </c>
      <c r="L655" t="s">
        <v>1720</v>
      </c>
      <c r="M655" s="57">
        <v>44581</v>
      </c>
      <c r="N655" t="s">
        <v>3481</v>
      </c>
    </row>
    <row r="656" spans="1:14" x14ac:dyDescent="0.35">
      <c r="A656" t="s">
        <v>450</v>
      </c>
      <c r="B656" t="s">
        <v>1274</v>
      </c>
      <c r="C656" t="s">
        <v>2261</v>
      </c>
      <c r="D656" t="s">
        <v>1721</v>
      </c>
      <c r="E656" t="s">
        <v>2294</v>
      </c>
      <c r="F656" t="s">
        <v>1802</v>
      </c>
      <c r="G656" t="s">
        <v>1757</v>
      </c>
      <c r="H656" t="s">
        <v>1788</v>
      </c>
      <c r="I656" t="s">
        <v>1755</v>
      </c>
      <c r="J656" t="s">
        <v>1756</v>
      </c>
      <c r="K656" t="s">
        <v>2424</v>
      </c>
      <c r="L656" t="s">
        <v>1720</v>
      </c>
      <c r="M656" s="57">
        <v>44581</v>
      </c>
      <c r="N656" t="s">
        <v>3480</v>
      </c>
    </row>
    <row r="657" spans="1:14" x14ac:dyDescent="0.35">
      <c r="A657" t="s">
        <v>450</v>
      </c>
      <c r="B657" t="s">
        <v>1274</v>
      </c>
      <c r="C657" t="s">
        <v>2261</v>
      </c>
      <c r="D657" t="s">
        <v>1724</v>
      </c>
      <c r="F657" t="s">
        <v>1802</v>
      </c>
      <c r="G657" t="s">
        <v>1757</v>
      </c>
      <c r="H657" t="s">
        <v>1780</v>
      </c>
      <c r="I657" t="s">
        <v>1755</v>
      </c>
      <c r="J657" t="s">
        <v>1756</v>
      </c>
      <c r="K657" t="s">
        <v>2425</v>
      </c>
      <c r="L657" t="s">
        <v>1720</v>
      </c>
      <c r="M657" s="57">
        <v>44581</v>
      </c>
      <c r="N657" t="s">
        <v>3480</v>
      </c>
    </row>
    <row r="658" spans="1:14" x14ac:dyDescent="0.35">
      <c r="A658" t="s">
        <v>450</v>
      </c>
      <c r="B658" t="s">
        <v>1274</v>
      </c>
      <c r="C658" t="s">
        <v>2261</v>
      </c>
      <c r="D658" t="s">
        <v>1721</v>
      </c>
      <c r="E658" t="s">
        <v>2277</v>
      </c>
      <c r="F658" t="s">
        <v>1804</v>
      </c>
      <c r="G658" t="s">
        <v>1741</v>
      </c>
      <c r="H658" t="s">
        <v>1775</v>
      </c>
      <c r="I658" t="s">
        <v>1742</v>
      </c>
      <c r="J658" t="s">
        <v>1744</v>
      </c>
      <c r="K658" t="s">
        <v>2538</v>
      </c>
      <c r="L658" t="s">
        <v>1720</v>
      </c>
      <c r="M658" s="57">
        <v>44581</v>
      </c>
      <c r="N658" t="s">
        <v>3480</v>
      </c>
    </row>
    <row r="659" spans="1:14" x14ac:dyDescent="0.35">
      <c r="A659" t="s">
        <v>450</v>
      </c>
      <c r="B659" t="s">
        <v>1274</v>
      </c>
      <c r="C659" t="s">
        <v>2261</v>
      </c>
      <c r="D659" t="s">
        <v>1724</v>
      </c>
      <c r="F659" t="s">
        <v>1802</v>
      </c>
      <c r="G659" t="s">
        <v>1726</v>
      </c>
      <c r="H659" t="s">
        <v>1777</v>
      </c>
      <c r="I659" t="s">
        <v>1739</v>
      </c>
      <c r="J659" t="s">
        <v>1745</v>
      </c>
      <c r="K659" t="s">
        <v>2350</v>
      </c>
      <c r="L659" t="s">
        <v>1720</v>
      </c>
      <c r="M659" s="57">
        <v>44581</v>
      </c>
      <c r="N659" t="s">
        <v>3480</v>
      </c>
    </row>
    <row r="660" spans="1:14" x14ac:dyDescent="0.35">
      <c r="A660" t="s">
        <v>450</v>
      </c>
      <c r="B660" t="s">
        <v>1274</v>
      </c>
      <c r="C660" t="s">
        <v>2261</v>
      </c>
      <c r="D660" t="s">
        <v>1721</v>
      </c>
      <c r="F660" t="s">
        <v>1802</v>
      </c>
      <c r="G660" t="s">
        <v>1726</v>
      </c>
      <c r="H660" t="s">
        <v>1777</v>
      </c>
      <c r="I660" t="s">
        <v>1739</v>
      </c>
      <c r="J660" t="s">
        <v>1745</v>
      </c>
      <c r="K660" t="s">
        <v>2392</v>
      </c>
      <c r="L660" t="s">
        <v>1720</v>
      </c>
      <c r="M660" s="57">
        <v>44581</v>
      </c>
      <c r="N660" t="s">
        <v>3480</v>
      </c>
    </row>
    <row r="661" spans="1:14" x14ac:dyDescent="0.35">
      <c r="A661" t="s">
        <v>450</v>
      </c>
      <c r="B661" t="s">
        <v>1274</v>
      </c>
      <c r="C661" t="s">
        <v>2261</v>
      </c>
      <c r="D661" t="s">
        <v>1721</v>
      </c>
      <c r="E661" t="s">
        <v>2298</v>
      </c>
      <c r="F661" t="s">
        <v>1802</v>
      </c>
      <c r="G661" t="s">
        <v>1760</v>
      </c>
      <c r="H661" t="s">
        <v>1850</v>
      </c>
      <c r="I661" t="s">
        <v>1758</v>
      </c>
      <c r="J661" t="s">
        <v>1759</v>
      </c>
      <c r="K661" t="s">
        <v>2539</v>
      </c>
      <c r="L661" t="s">
        <v>1720</v>
      </c>
      <c r="M661" s="57">
        <v>44581</v>
      </c>
      <c r="N661" t="s">
        <v>3480</v>
      </c>
    </row>
    <row r="662" spans="1:14" x14ac:dyDescent="0.35">
      <c r="A662" t="s">
        <v>450</v>
      </c>
      <c r="B662" t="s">
        <v>1274</v>
      </c>
      <c r="C662" t="s">
        <v>2261</v>
      </c>
      <c r="D662" t="s">
        <v>1724</v>
      </c>
      <c r="E662" t="s">
        <v>2301</v>
      </c>
      <c r="F662" t="s">
        <v>1802</v>
      </c>
      <c r="G662" t="s">
        <v>1760</v>
      </c>
      <c r="H662" t="s">
        <v>1867</v>
      </c>
      <c r="I662" t="s">
        <v>1758</v>
      </c>
      <c r="J662" t="s">
        <v>1759</v>
      </c>
      <c r="K662" t="s">
        <v>2426</v>
      </c>
      <c r="L662" t="s">
        <v>1720</v>
      </c>
      <c r="M662" s="57">
        <v>44581</v>
      </c>
      <c r="N662" t="s">
        <v>3480</v>
      </c>
    </row>
    <row r="663" spans="1:14" x14ac:dyDescent="0.35">
      <c r="A663" t="s">
        <v>450</v>
      </c>
      <c r="B663" t="s">
        <v>1274</v>
      </c>
      <c r="C663" t="s">
        <v>2261</v>
      </c>
      <c r="D663" t="s">
        <v>1724</v>
      </c>
      <c r="E663" t="s">
        <v>2280</v>
      </c>
      <c r="F663" t="s">
        <v>1801</v>
      </c>
      <c r="G663" t="s">
        <v>1762</v>
      </c>
      <c r="H663" t="s">
        <v>2304</v>
      </c>
      <c r="I663" t="s">
        <v>1743</v>
      </c>
      <c r="J663" t="s">
        <v>1761</v>
      </c>
      <c r="K663" t="s">
        <v>2427</v>
      </c>
      <c r="L663" t="s">
        <v>1720</v>
      </c>
      <c r="M663" s="57">
        <v>44581</v>
      </c>
      <c r="N663" t="s">
        <v>3480</v>
      </c>
    </row>
    <row r="664" spans="1:14" x14ac:dyDescent="0.35">
      <c r="A664" t="s">
        <v>450</v>
      </c>
      <c r="B664" t="s">
        <v>1274</v>
      </c>
      <c r="C664" t="s">
        <v>2261</v>
      </c>
      <c r="D664" t="s">
        <v>1721</v>
      </c>
      <c r="E664" t="s">
        <v>2280</v>
      </c>
      <c r="F664" t="s">
        <v>1801</v>
      </c>
      <c r="G664" t="s">
        <v>1728</v>
      </c>
      <c r="H664" t="s">
        <v>1800</v>
      </c>
      <c r="I664" t="s">
        <v>1743</v>
      </c>
      <c r="J664" t="s">
        <v>1761</v>
      </c>
      <c r="K664" t="s">
        <v>2428</v>
      </c>
      <c r="L664" t="s">
        <v>1720</v>
      </c>
      <c r="M664" s="57">
        <v>44581</v>
      </c>
      <c r="N664" t="s">
        <v>3480</v>
      </c>
    </row>
    <row r="665" spans="1:14" hidden="1" x14ac:dyDescent="0.35">
      <c r="A665" t="s">
        <v>347</v>
      </c>
      <c r="B665" t="s">
        <v>1171</v>
      </c>
      <c r="L665" t="s">
        <v>1720</v>
      </c>
    </row>
    <row r="666" spans="1:14" hidden="1" x14ac:dyDescent="0.35">
      <c r="A666" t="s">
        <v>801</v>
      </c>
      <c r="B666" t="s">
        <v>1624</v>
      </c>
      <c r="L666" t="s">
        <v>1720</v>
      </c>
    </row>
    <row r="667" spans="1:14" x14ac:dyDescent="0.35">
      <c r="A667" t="s">
        <v>51</v>
      </c>
      <c r="B667" t="s">
        <v>880</v>
      </c>
      <c r="C667" t="s">
        <v>2259</v>
      </c>
      <c r="D667" t="s">
        <v>1721</v>
      </c>
      <c r="F667" t="s">
        <v>1801</v>
      </c>
      <c r="G667" t="s">
        <v>1735</v>
      </c>
      <c r="H667" t="s">
        <v>1772</v>
      </c>
      <c r="I667" t="s">
        <v>1748</v>
      </c>
      <c r="J667" t="s">
        <v>1764</v>
      </c>
      <c r="K667" t="s">
        <v>2305</v>
      </c>
      <c r="L667" t="s">
        <v>1720</v>
      </c>
      <c r="M667" s="57">
        <v>44581</v>
      </c>
      <c r="N667" t="s">
        <v>3480</v>
      </c>
    </row>
    <row r="668" spans="1:14" x14ac:dyDescent="0.35">
      <c r="A668" t="s">
        <v>51</v>
      </c>
      <c r="B668" t="s">
        <v>880</v>
      </c>
      <c r="C668" t="s">
        <v>2259</v>
      </c>
      <c r="D668" t="s">
        <v>1721</v>
      </c>
      <c r="F668" t="s">
        <v>1802</v>
      </c>
      <c r="G668" t="s">
        <v>1750</v>
      </c>
      <c r="H668" t="s">
        <v>1773</v>
      </c>
      <c r="I668" t="s">
        <v>1748</v>
      </c>
      <c r="J668" t="s">
        <v>1749</v>
      </c>
      <c r="K668" t="s">
        <v>2318</v>
      </c>
      <c r="L668" t="s">
        <v>1720</v>
      </c>
      <c r="M668" s="57">
        <v>44581</v>
      </c>
      <c r="N668" t="s">
        <v>3480</v>
      </c>
    </row>
    <row r="669" spans="1:14" x14ac:dyDescent="0.35">
      <c r="A669" t="s">
        <v>51</v>
      </c>
      <c r="B669" t="s">
        <v>880</v>
      </c>
      <c r="C669" t="s">
        <v>2261</v>
      </c>
      <c r="D669" t="s">
        <v>1721</v>
      </c>
      <c r="F669" t="s">
        <v>1801</v>
      </c>
      <c r="G669" t="s">
        <v>1735</v>
      </c>
      <c r="H669" t="s">
        <v>1774</v>
      </c>
      <c r="I669" t="s">
        <v>1734</v>
      </c>
      <c r="J669" t="s">
        <v>1771</v>
      </c>
      <c r="K669" t="s">
        <v>2111</v>
      </c>
      <c r="L669" t="s">
        <v>1720</v>
      </c>
      <c r="M669" s="57">
        <v>44581</v>
      </c>
      <c r="N669" t="s">
        <v>3480</v>
      </c>
    </row>
    <row r="670" spans="1:14" x14ac:dyDescent="0.35">
      <c r="A670" t="s">
        <v>51</v>
      </c>
      <c r="B670" t="s">
        <v>880</v>
      </c>
      <c r="C670" t="s">
        <v>2259</v>
      </c>
      <c r="D670" t="s">
        <v>1721</v>
      </c>
      <c r="F670" t="s">
        <v>1802</v>
      </c>
      <c r="G670" t="s">
        <v>1727</v>
      </c>
      <c r="H670" t="s">
        <v>1737</v>
      </c>
      <c r="I670" t="s">
        <v>1730</v>
      </c>
      <c r="J670" t="s">
        <v>1732</v>
      </c>
      <c r="K670" t="s">
        <v>2305</v>
      </c>
      <c r="L670" t="s">
        <v>1720</v>
      </c>
      <c r="M670" s="57">
        <v>44581</v>
      </c>
      <c r="N670" t="s">
        <v>3481</v>
      </c>
    </row>
    <row r="671" spans="1:14" x14ac:dyDescent="0.35">
      <c r="A671" t="s">
        <v>51</v>
      </c>
      <c r="B671" t="s">
        <v>880</v>
      </c>
      <c r="C671" t="s">
        <v>2259</v>
      </c>
      <c r="D671" t="s">
        <v>1724</v>
      </c>
      <c r="F671" t="s">
        <v>1802</v>
      </c>
      <c r="G671" t="s">
        <v>1726</v>
      </c>
      <c r="H671" t="s">
        <v>1737</v>
      </c>
      <c r="I671" t="s">
        <v>1730</v>
      </c>
      <c r="J671" t="s">
        <v>1732</v>
      </c>
      <c r="K671" t="s">
        <v>2319</v>
      </c>
      <c r="L671" t="s">
        <v>1720</v>
      </c>
      <c r="M671" s="57">
        <v>44581</v>
      </c>
      <c r="N671" t="s">
        <v>3481</v>
      </c>
    </row>
    <row r="672" spans="1:14" x14ac:dyDescent="0.35">
      <c r="A672" t="s">
        <v>51</v>
      </c>
      <c r="B672" t="s">
        <v>880</v>
      </c>
      <c r="C672" t="s">
        <v>2261</v>
      </c>
      <c r="D672" t="s">
        <v>1721</v>
      </c>
      <c r="E672" t="s">
        <v>2277</v>
      </c>
      <c r="F672" t="s">
        <v>1804</v>
      </c>
      <c r="G672" t="s">
        <v>1741</v>
      </c>
      <c r="H672" t="s">
        <v>1775</v>
      </c>
      <c r="I672" t="s">
        <v>1742</v>
      </c>
      <c r="J672" t="s">
        <v>1744</v>
      </c>
      <c r="K672" t="s">
        <v>2276</v>
      </c>
      <c r="L672" t="s">
        <v>1720</v>
      </c>
      <c r="M672" s="57">
        <v>44581</v>
      </c>
      <c r="N672" t="s">
        <v>3480</v>
      </c>
    </row>
    <row r="673" spans="1:14" x14ac:dyDescent="0.35">
      <c r="A673" t="s">
        <v>51</v>
      </c>
      <c r="B673" t="s">
        <v>880</v>
      </c>
      <c r="C673" t="s">
        <v>2261</v>
      </c>
      <c r="D673" t="s">
        <v>1724</v>
      </c>
      <c r="E673" t="s">
        <v>2280</v>
      </c>
      <c r="F673" t="s">
        <v>1801</v>
      </c>
      <c r="G673" t="s">
        <v>1762</v>
      </c>
      <c r="H673" t="s">
        <v>2304</v>
      </c>
      <c r="I673" t="s">
        <v>1743</v>
      </c>
      <c r="J673" t="s">
        <v>1761</v>
      </c>
      <c r="K673" t="s">
        <v>2320</v>
      </c>
      <c r="L673" t="s">
        <v>1720</v>
      </c>
      <c r="M673" s="57">
        <v>44581</v>
      </c>
      <c r="N673" t="s">
        <v>3480</v>
      </c>
    </row>
    <row r="674" spans="1:14" x14ac:dyDescent="0.35">
      <c r="A674" t="s">
        <v>51</v>
      </c>
      <c r="B674" t="s">
        <v>880</v>
      </c>
      <c r="C674" t="s">
        <v>2261</v>
      </c>
      <c r="D674" t="s">
        <v>1721</v>
      </c>
      <c r="E674" t="s">
        <v>2280</v>
      </c>
      <c r="F674" t="s">
        <v>1801</v>
      </c>
      <c r="G674" t="s">
        <v>1728</v>
      </c>
      <c r="H674" t="s">
        <v>1800</v>
      </c>
      <c r="I674" t="s">
        <v>1743</v>
      </c>
      <c r="J674" t="s">
        <v>1761</v>
      </c>
      <c r="K674" t="s">
        <v>2321</v>
      </c>
      <c r="L674" t="s">
        <v>1720</v>
      </c>
      <c r="M674" s="57">
        <v>44581</v>
      </c>
      <c r="N674" t="s">
        <v>3480</v>
      </c>
    </row>
    <row r="675" spans="1:14" hidden="1" x14ac:dyDescent="0.35">
      <c r="A675" t="s">
        <v>247</v>
      </c>
      <c r="B675" t="s">
        <v>1073</v>
      </c>
      <c r="L675" t="s">
        <v>1720</v>
      </c>
    </row>
    <row r="676" spans="1:14" hidden="1" x14ac:dyDescent="0.35">
      <c r="A676" t="s">
        <v>274</v>
      </c>
      <c r="B676" t="s">
        <v>1100</v>
      </c>
      <c r="L676" t="s">
        <v>1720</v>
      </c>
    </row>
    <row r="677" spans="1:14" hidden="1" x14ac:dyDescent="0.35">
      <c r="A677" t="s">
        <v>564</v>
      </c>
      <c r="B677" t="s">
        <v>1388</v>
      </c>
      <c r="L677" t="s">
        <v>1720</v>
      </c>
    </row>
    <row r="678" spans="1:14" hidden="1" x14ac:dyDescent="0.35">
      <c r="A678" t="s">
        <v>86</v>
      </c>
      <c r="B678" t="s">
        <v>915</v>
      </c>
      <c r="L678" t="s">
        <v>1720</v>
      </c>
    </row>
    <row r="679" spans="1:14" hidden="1" x14ac:dyDescent="0.35">
      <c r="A679" t="s">
        <v>767</v>
      </c>
      <c r="B679" t="s">
        <v>1591</v>
      </c>
      <c r="L679" t="s">
        <v>1720</v>
      </c>
    </row>
    <row r="680" spans="1:14" hidden="1" x14ac:dyDescent="0.35">
      <c r="A680" t="s">
        <v>24</v>
      </c>
      <c r="B680" t="s">
        <v>853</v>
      </c>
      <c r="L680" t="s">
        <v>1720</v>
      </c>
    </row>
    <row r="681" spans="1:14" hidden="1" x14ac:dyDescent="0.35">
      <c r="A681" t="s">
        <v>248</v>
      </c>
      <c r="B681" t="s">
        <v>1074</v>
      </c>
      <c r="L681" t="s">
        <v>1720</v>
      </c>
    </row>
    <row r="682" spans="1:14" hidden="1" x14ac:dyDescent="0.35">
      <c r="A682" t="s">
        <v>21</v>
      </c>
      <c r="B682" t="s">
        <v>850</v>
      </c>
      <c r="L682" t="s">
        <v>1720</v>
      </c>
    </row>
    <row r="683" spans="1:14" hidden="1" x14ac:dyDescent="0.35">
      <c r="A683" t="s">
        <v>250</v>
      </c>
      <c r="B683" t="s">
        <v>1076</v>
      </c>
      <c r="L683" t="s">
        <v>1720</v>
      </c>
    </row>
    <row r="684" spans="1:14" hidden="1" x14ac:dyDescent="0.35">
      <c r="A684" t="s">
        <v>197</v>
      </c>
      <c r="B684" t="s">
        <v>1025</v>
      </c>
      <c r="L684" t="s">
        <v>1720</v>
      </c>
    </row>
    <row r="685" spans="1:14" hidden="1" x14ac:dyDescent="0.35">
      <c r="A685" t="s">
        <v>404</v>
      </c>
      <c r="B685" t="s">
        <v>1228</v>
      </c>
      <c r="L685" t="s">
        <v>1720</v>
      </c>
    </row>
    <row r="686" spans="1:14" hidden="1" x14ac:dyDescent="0.35">
      <c r="A686" t="s">
        <v>442</v>
      </c>
      <c r="B686" t="s">
        <v>1266</v>
      </c>
      <c r="L686" t="s">
        <v>1720</v>
      </c>
    </row>
    <row r="687" spans="1:14" hidden="1" x14ac:dyDescent="0.35">
      <c r="A687" t="s">
        <v>26</v>
      </c>
      <c r="B687" t="s">
        <v>855</v>
      </c>
      <c r="L687" t="s">
        <v>1720</v>
      </c>
    </row>
    <row r="688" spans="1:14" hidden="1" x14ac:dyDescent="0.35">
      <c r="A688" t="s">
        <v>381</v>
      </c>
      <c r="B688" t="s">
        <v>1205</v>
      </c>
      <c r="L688" t="s">
        <v>1720</v>
      </c>
    </row>
    <row r="689" spans="1:14" hidden="1" x14ac:dyDescent="0.35">
      <c r="A689" t="s">
        <v>648</v>
      </c>
      <c r="B689" t="s">
        <v>1472</v>
      </c>
      <c r="L689" t="s">
        <v>1720</v>
      </c>
    </row>
    <row r="690" spans="1:14" hidden="1" x14ac:dyDescent="0.35">
      <c r="A690" t="s">
        <v>582</v>
      </c>
      <c r="B690" t="s">
        <v>1406</v>
      </c>
      <c r="L690" t="s">
        <v>1720</v>
      </c>
    </row>
    <row r="691" spans="1:14" hidden="1" x14ac:dyDescent="0.35">
      <c r="A691" t="s">
        <v>31</v>
      </c>
      <c r="B691" t="s">
        <v>860</v>
      </c>
      <c r="L691" t="s">
        <v>1720</v>
      </c>
    </row>
    <row r="692" spans="1:14" hidden="1" x14ac:dyDescent="0.35">
      <c r="A692" t="s">
        <v>532</v>
      </c>
      <c r="B692" t="s">
        <v>1356</v>
      </c>
      <c r="L692" t="s">
        <v>1720</v>
      </c>
    </row>
    <row r="693" spans="1:14" hidden="1" x14ac:dyDescent="0.35">
      <c r="A693" t="s">
        <v>655</v>
      </c>
      <c r="B693" t="s">
        <v>1479</v>
      </c>
      <c r="L693" t="s">
        <v>1720</v>
      </c>
    </row>
    <row r="694" spans="1:14" x14ac:dyDescent="0.35">
      <c r="A694" t="s">
        <v>115</v>
      </c>
      <c r="B694" t="s">
        <v>944</v>
      </c>
      <c r="C694" t="s">
        <v>2261</v>
      </c>
      <c r="D694" t="s">
        <v>1721</v>
      </c>
      <c r="F694" t="s">
        <v>2263</v>
      </c>
      <c r="G694" t="s">
        <v>1725</v>
      </c>
      <c r="H694" t="s">
        <v>1776</v>
      </c>
      <c r="I694" t="s">
        <v>1729</v>
      </c>
      <c r="J694" t="s">
        <v>1747</v>
      </c>
      <c r="K694" t="s">
        <v>2322</v>
      </c>
      <c r="L694" t="s">
        <v>1720</v>
      </c>
      <c r="M694" s="57">
        <v>44581</v>
      </c>
      <c r="N694" t="s">
        <v>3480</v>
      </c>
    </row>
    <row r="695" spans="1:14" x14ac:dyDescent="0.35">
      <c r="A695" t="s">
        <v>115</v>
      </c>
      <c r="B695" t="s">
        <v>944</v>
      </c>
      <c r="C695" t="s">
        <v>2259</v>
      </c>
      <c r="D695" t="s">
        <v>1721</v>
      </c>
      <c r="F695" t="s">
        <v>1802</v>
      </c>
      <c r="G695" t="s">
        <v>1750</v>
      </c>
      <c r="H695" t="s">
        <v>1773</v>
      </c>
      <c r="I695" t="s">
        <v>1748</v>
      </c>
      <c r="J695" t="s">
        <v>1749</v>
      </c>
      <c r="K695" t="s">
        <v>2350</v>
      </c>
      <c r="L695" t="s">
        <v>1720</v>
      </c>
      <c r="M695" s="57">
        <v>44581</v>
      </c>
      <c r="N695" t="s">
        <v>3480</v>
      </c>
    </row>
    <row r="696" spans="1:14" x14ac:dyDescent="0.35">
      <c r="A696" t="s">
        <v>115</v>
      </c>
      <c r="B696" t="s">
        <v>944</v>
      </c>
      <c r="C696" t="s">
        <v>2259</v>
      </c>
      <c r="D696" t="s">
        <v>1721</v>
      </c>
      <c r="F696" t="s">
        <v>1802</v>
      </c>
      <c r="G696" t="s">
        <v>1727</v>
      </c>
      <c r="H696" t="s">
        <v>1737</v>
      </c>
      <c r="I696" t="s">
        <v>1730</v>
      </c>
      <c r="J696" t="s">
        <v>1732</v>
      </c>
      <c r="K696" t="s">
        <v>2499</v>
      </c>
      <c r="L696" t="s">
        <v>1720</v>
      </c>
      <c r="M696" s="57">
        <v>44581</v>
      </c>
      <c r="N696" t="s">
        <v>3481</v>
      </c>
    </row>
    <row r="697" spans="1:14" x14ac:dyDescent="0.35">
      <c r="A697" t="s">
        <v>115</v>
      </c>
      <c r="B697" t="s">
        <v>944</v>
      </c>
      <c r="C697" t="s">
        <v>2259</v>
      </c>
      <c r="D697" t="s">
        <v>1724</v>
      </c>
      <c r="F697" t="s">
        <v>1802</v>
      </c>
      <c r="G697" t="s">
        <v>1726</v>
      </c>
      <c r="H697" t="s">
        <v>1737</v>
      </c>
      <c r="I697" t="s">
        <v>1730</v>
      </c>
      <c r="J697" t="s">
        <v>1732</v>
      </c>
      <c r="K697" t="s">
        <v>2351</v>
      </c>
      <c r="L697" t="s">
        <v>1720</v>
      </c>
      <c r="M697" s="57">
        <v>44581</v>
      </c>
      <c r="N697" t="s">
        <v>3481</v>
      </c>
    </row>
    <row r="698" spans="1:14" x14ac:dyDescent="0.35">
      <c r="A698" t="s">
        <v>115</v>
      </c>
      <c r="B698" t="s">
        <v>944</v>
      </c>
      <c r="C698" t="s">
        <v>2259</v>
      </c>
      <c r="D698" t="s">
        <v>1724</v>
      </c>
      <c r="E698" t="s">
        <v>2353</v>
      </c>
      <c r="F698" t="s">
        <v>1802</v>
      </c>
      <c r="G698" t="s">
        <v>1799</v>
      </c>
      <c r="H698" t="s">
        <v>1779</v>
      </c>
      <c r="I698" t="s">
        <v>1797</v>
      </c>
      <c r="J698" t="s">
        <v>1836</v>
      </c>
      <c r="K698" t="s">
        <v>2352</v>
      </c>
      <c r="L698" t="s">
        <v>1720</v>
      </c>
      <c r="M698" s="57">
        <v>44581</v>
      </c>
      <c r="N698" t="s">
        <v>3480</v>
      </c>
    </row>
    <row r="699" spans="1:14" x14ac:dyDescent="0.35">
      <c r="A699" t="s">
        <v>115</v>
      </c>
      <c r="B699" t="s">
        <v>944</v>
      </c>
      <c r="C699" t="s">
        <v>2259</v>
      </c>
      <c r="D699" t="s">
        <v>1721</v>
      </c>
      <c r="E699" t="s">
        <v>2354</v>
      </c>
      <c r="F699" t="s">
        <v>1802</v>
      </c>
      <c r="G699" t="s">
        <v>1799</v>
      </c>
      <c r="H699" t="s">
        <v>1779</v>
      </c>
      <c r="I699" t="s">
        <v>1797</v>
      </c>
      <c r="J699" t="s">
        <v>1836</v>
      </c>
      <c r="K699" t="s">
        <v>2500</v>
      </c>
      <c r="L699" t="s">
        <v>1720</v>
      </c>
      <c r="M699" s="57">
        <v>44581</v>
      </c>
      <c r="N699" t="s">
        <v>3480</v>
      </c>
    </row>
    <row r="700" spans="1:14" x14ac:dyDescent="0.35">
      <c r="A700" t="s">
        <v>115</v>
      </c>
      <c r="B700" t="s">
        <v>944</v>
      </c>
      <c r="C700" t="s">
        <v>2261</v>
      </c>
      <c r="D700" t="s">
        <v>1724</v>
      </c>
      <c r="E700" t="s">
        <v>2356</v>
      </c>
      <c r="F700" t="s">
        <v>1802</v>
      </c>
      <c r="G700" t="s">
        <v>1760</v>
      </c>
      <c r="H700" t="s">
        <v>1870</v>
      </c>
      <c r="I700" t="s">
        <v>1758</v>
      </c>
      <c r="J700" t="s">
        <v>1873</v>
      </c>
      <c r="K700" t="s">
        <v>2355</v>
      </c>
      <c r="L700" t="s">
        <v>1720</v>
      </c>
      <c r="M700" s="57">
        <v>44581</v>
      </c>
      <c r="N700" t="s">
        <v>3480</v>
      </c>
    </row>
    <row r="701" spans="1:14" x14ac:dyDescent="0.35">
      <c r="A701" t="s">
        <v>115</v>
      </c>
      <c r="B701" t="s">
        <v>944</v>
      </c>
      <c r="C701" t="s">
        <v>2259</v>
      </c>
      <c r="D701" t="s">
        <v>1721</v>
      </c>
      <c r="F701" t="s">
        <v>1802</v>
      </c>
      <c r="G701" t="s">
        <v>1760</v>
      </c>
      <c r="H701" t="s">
        <v>1842</v>
      </c>
      <c r="I701" t="s">
        <v>1837</v>
      </c>
      <c r="J701" t="s">
        <v>1838</v>
      </c>
      <c r="K701" t="s">
        <v>2501</v>
      </c>
      <c r="L701" t="s">
        <v>1720</v>
      </c>
      <c r="M701" s="57">
        <v>44581</v>
      </c>
      <c r="N701" t="s">
        <v>3480</v>
      </c>
    </row>
    <row r="702" spans="1:14" x14ac:dyDescent="0.35">
      <c r="A702" t="s">
        <v>115</v>
      </c>
      <c r="B702" t="s">
        <v>944</v>
      </c>
      <c r="C702" t="s">
        <v>2261</v>
      </c>
      <c r="D702" t="s">
        <v>1724</v>
      </c>
      <c r="F702" t="s">
        <v>2308</v>
      </c>
      <c r="G702" t="s">
        <v>1762</v>
      </c>
      <c r="H702" t="s">
        <v>1781</v>
      </c>
      <c r="I702" t="s">
        <v>1839</v>
      </c>
      <c r="J702" t="s">
        <v>1840</v>
      </c>
      <c r="K702" t="s">
        <v>2355</v>
      </c>
      <c r="L702" t="s">
        <v>1720</v>
      </c>
      <c r="M702" s="57">
        <v>44581</v>
      </c>
      <c r="N702" t="s">
        <v>3480</v>
      </c>
    </row>
    <row r="703" spans="1:14" x14ac:dyDescent="0.35">
      <c r="A703" t="s">
        <v>115</v>
      </c>
      <c r="B703" t="s">
        <v>944</v>
      </c>
      <c r="C703" t="s">
        <v>2261</v>
      </c>
      <c r="D703" t="s">
        <v>1721</v>
      </c>
      <c r="E703" t="s">
        <v>2357</v>
      </c>
      <c r="F703" t="s">
        <v>2308</v>
      </c>
      <c r="G703" t="s">
        <v>1728</v>
      </c>
      <c r="H703" t="s">
        <v>1779</v>
      </c>
      <c r="I703" t="s">
        <v>1839</v>
      </c>
      <c r="J703" t="s">
        <v>1841</v>
      </c>
      <c r="K703" t="s">
        <v>2500</v>
      </c>
      <c r="L703" t="s">
        <v>1720</v>
      </c>
      <c r="M703" s="57">
        <v>44581</v>
      </c>
      <c r="N703" t="s">
        <v>3480</v>
      </c>
    </row>
    <row r="704" spans="1:14" x14ac:dyDescent="0.35">
      <c r="A704" t="s">
        <v>115</v>
      </c>
      <c r="B704" t="s">
        <v>944</v>
      </c>
      <c r="C704" t="s">
        <v>2261</v>
      </c>
      <c r="D704" t="s">
        <v>1724</v>
      </c>
      <c r="E704" t="s">
        <v>2280</v>
      </c>
      <c r="F704" t="s">
        <v>1801</v>
      </c>
      <c r="G704" t="s">
        <v>1762</v>
      </c>
      <c r="H704" t="s">
        <v>2304</v>
      </c>
      <c r="I704" t="s">
        <v>1743</v>
      </c>
      <c r="J704" t="s">
        <v>1761</v>
      </c>
      <c r="K704" t="s">
        <v>2358</v>
      </c>
      <c r="L704" t="s">
        <v>1720</v>
      </c>
      <c r="M704" s="57">
        <v>44581</v>
      </c>
      <c r="N704" t="s">
        <v>3480</v>
      </c>
    </row>
    <row r="705" spans="1:14" x14ac:dyDescent="0.35">
      <c r="A705" t="s">
        <v>115</v>
      </c>
      <c r="B705" t="s">
        <v>944</v>
      </c>
      <c r="C705" t="s">
        <v>2261</v>
      </c>
      <c r="D705" t="s">
        <v>1721</v>
      </c>
      <c r="E705" t="s">
        <v>2280</v>
      </c>
      <c r="F705" t="s">
        <v>1801</v>
      </c>
      <c r="G705" t="s">
        <v>1728</v>
      </c>
      <c r="H705" t="s">
        <v>1800</v>
      </c>
      <c r="I705" t="s">
        <v>1743</v>
      </c>
      <c r="J705" t="s">
        <v>1761</v>
      </c>
      <c r="K705" t="s">
        <v>2502</v>
      </c>
      <c r="L705" t="s">
        <v>1720</v>
      </c>
      <c r="M705" s="57">
        <v>44581</v>
      </c>
      <c r="N705" t="s">
        <v>3480</v>
      </c>
    </row>
    <row r="706" spans="1:14" x14ac:dyDescent="0.35">
      <c r="A706" t="s">
        <v>115</v>
      </c>
      <c r="B706" t="s">
        <v>944</v>
      </c>
      <c r="C706" t="s">
        <v>2261</v>
      </c>
      <c r="D706" t="s">
        <v>1721</v>
      </c>
      <c r="F706" t="s">
        <v>1804</v>
      </c>
      <c r="G706" t="s">
        <v>1741</v>
      </c>
      <c r="H706" t="s">
        <v>1775</v>
      </c>
      <c r="I706" t="s">
        <v>1742</v>
      </c>
      <c r="J706" t="s">
        <v>1744</v>
      </c>
      <c r="K706" t="s">
        <v>2498</v>
      </c>
      <c r="L706" t="s">
        <v>1720</v>
      </c>
      <c r="M706" s="57">
        <v>44581</v>
      </c>
      <c r="N706" t="s">
        <v>3480</v>
      </c>
    </row>
    <row r="707" spans="1:14" x14ac:dyDescent="0.35">
      <c r="A707" t="s">
        <v>647</v>
      </c>
      <c r="B707" t="s">
        <v>1471</v>
      </c>
      <c r="C707" t="s">
        <v>2259</v>
      </c>
      <c r="D707" t="s">
        <v>1721</v>
      </c>
      <c r="F707" t="s">
        <v>1802</v>
      </c>
      <c r="G707" t="s">
        <v>1750</v>
      </c>
      <c r="H707" t="s">
        <v>1773</v>
      </c>
      <c r="I707" t="s">
        <v>1748</v>
      </c>
      <c r="J707" t="s">
        <v>1749</v>
      </c>
      <c r="K707" t="s">
        <v>2350</v>
      </c>
      <c r="L707" t="s">
        <v>1720</v>
      </c>
      <c r="M707" s="57">
        <v>44581</v>
      </c>
      <c r="N707" t="s">
        <v>3480</v>
      </c>
    </row>
    <row r="708" spans="1:14" x14ac:dyDescent="0.35">
      <c r="A708" t="s">
        <v>647</v>
      </c>
      <c r="B708" t="s">
        <v>1471</v>
      </c>
      <c r="C708" t="s">
        <v>2261</v>
      </c>
      <c r="D708" t="s">
        <v>1724</v>
      </c>
      <c r="F708" t="s">
        <v>1802</v>
      </c>
      <c r="G708" t="s">
        <v>1757</v>
      </c>
      <c r="H708" t="s">
        <v>1780</v>
      </c>
      <c r="I708" t="s">
        <v>1755</v>
      </c>
      <c r="J708" t="s">
        <v>1756</v>
      </c>
      <c r="K708" t="s">
        <v>2480</v>
      </c>
      <c r="L708" t="s">
        <v>1720</v>
      </c>
      <c r="M708" s="57">
        <v>44581</v>
      </c>
      <c r="N708" t="s">
        <v>3480</v>
      </c>
    </row>
    <row r="709" spans="1:14" x14ac:dyDescent="0.35">
      <c r="A709" t="s">
        <v>647</v>
      </c>
      <c r="B709" t="s">
        <v>1471</v>
      </c>
      <c r="C709" t="s">
        <v>2259</v>
      </c>
      <c r="D709" t="s">
        <v>1724</v>
      </c>
      <c r="E709" t="s">
        <v>2353</v>
      </c>
      <c r="F709" t="s">
        <v>1802</v>
      </c>
      <c r="G709" t="s">
        <v>1799</v>
      </c>
      <c r="H709" t="s">
        <v>1779</v>
      </c>
      <c r="I709" t="s">
        <v>1797</v>
      </c>
      <c r="J709" t="s">
        <v>1836</v>
      </c>
      <c r="K709" t="s">
        <v>2352</v>
      </c>
      <c r="L709" t="s">
        <v>1720</v>
      </c>
      <c r="M709" s="57">
        <v>44581</v>
      </c>
      <c r="N709" t="s">
        <v>3480</v>
      </c>
    </row>
    <row r="710" spans="1:14" x14ac:dyDescent="0.35">
      <c r="A710" t="s">
        <v>647</v>
      </c>
      <c r="B710" t="s">
        <v>1471</v>
      </c>
      <c r="C710" t="s">
        <v>2259</v>
      </c>
      <c r="D710" t="s">
        <v>1721</v>
      </c>
      <c r="E710" t="s">
        <v>2354</v>
      </c>
      <c r="F710" t="s">
        <v>1802</v>
      </c>
      <c r="G710" t="s">
        <v>1799</v>
      </c>
      <c r="H710" t="s">
        <v>1779</v>
      </c>
      <c r="I710" t="s">
        <v>1797</v>
      </c>
      <c r="J710" t="s">
        <v>1836</v>
      </c>
      <c r="K710" t="s">
        <v>2500</v>
      </c>
      <c r="L710" t="s">
        <v>1720</v>
      </c>
      <c r="M710" s="57">
        <v>44581</v>
      </c>
      <c r="N710" t="s">
        <v>3480</v>
      </c>
    </row>
    <row r="711" spans="1:14" x14ac:dyDescent="0.35">
      <c r="A711" t="s">
        <v>647</v>
      </c>
      <c r="B711" t="s">
        <v>1471</v>
      </c>
      <c r="C711" t="s">
        <v>2261</v>
      </c>
      <c r="D711" t="s">
        <v>1724</v>
      </c>
      <c r="E711" t="s">
        <v>2301</v>
      </c>
      <c r="F711" t="s">
        <v>1802</v>
      </c>
      <c r="G711" t="s">
        <v>1760</v>
      </c>
      <c r="H711" t="s">
        <v>1870</v>
      </c>
      <c r="I711" t="s">
        <v>1758</v>
      </c>
      <c r="J711" t="s">
        <v>1874</v>
      </c>
      <c r="K711" t="s">
        <v>2355</v>
      </c>
      <c r="L711" t="s">
        <v>1720</v>
      </c>
      <c r="M711" s="57">
        <v>44581</v>
      </c>
      <c r="N711" t="s">
        <v>3480</v>
      </c>
    </row>
    <row r="712" spans="1:14" x14ac:dyDescent="0.35">
      <c r="A712" t="s">
        <v>647</v>
      </c>
      <c r="B712" t="s">
        <v>1471</v>
      </c>
      <c r="C712" t="s">
        <v>2259</v>
      </c>
      <c r="D712" t="s">
        <v>1721</v>
      </c>
      <c r="F712" t="s">
        <v>1802</v>
      </c>
      <c r="G712" t="s">
        <v>1760</v>
      </c>
      <c r="H712" t="s">
        <v>1842</v>
      </c>
      <c r="I712" t="s">
        <v>1837</v>
      </c>
      <c r="J712" t="s">
        <v>1838</v>
      </c>
      <c r="K712" t="s">
        <v>2501</v>
      </c>
      <c r="L712" t="s">
        <v>1720</v>
      </c>
      <c r="M712" s="57">
        <v>44581</v>
      </c>
      <c r="N712" t="s">
        <v>3480</v>
      </c>
    </row>
    <row r="713" spans="1:14" x14ac:dyDescent="0.35">
      <c r="A713" t="s">
        <v>647</v>
      </c>
      <c r="B713" t="s">
        <v>1471</v>
      </c>
      <c r="C713" t="s">
        <v>2261</v>
      </c>
      <c r="D713" t="s">
        <v>1724</v>
      </c>
      <c r="F713" t="s">
        <v>2308</v>
      </c>
      <c r="G713" t="s">
        <v>1762</v>
      </c>
      <c r="H713" t="s">
        <v>1781</v>
      </c>
      <c r="I713" t="s">
        <v>1819</v>
      </c>
      <c r="J713" t="s">
        <v>1820</v>
      </c>
      <c r="K713" t="s">
        <v>2355</v>
      </c>
      <c r="L713" t="s">
        <v>1720</v>
      </c>
      <c r="M713" s="57">
        <v>44581</v>
      </c>
      <c r="N713" t="s">
        <v>3480</v>
      </c>
    </row>
    <row r="714" spans="1:14" x14ac:dyDescent="0.35">
      <c r="A714" t="s">
        <v>647</v>
      </c>
      <c r="B714" t="s">
        <v>1471</v>
      </c>
      <c r="C714" t="s">
        <v>2261</v>
      </c>
      <c r="D714" t="s">
        <v>1721</v>
      </c>
      <c r="F714" t="s">
        <v>2308</v>
      </c>
      <c r="G714" t="s">
        <v>1728</v>
      </c>
      <c r="H714" t="s">
        <v>1779</v>
      </c>
      <c r="I714" t="s">
        <v>1819</v>
      </c>
      <c r="J714" t="s">
        <v>1843</v>
      </c>
      <c r="K714" t="s">
        <v>2500</v>
      </c>
      <c r="L714" t="s">
        <v>1720</v>
      </c>
      <c r="M714" s="57">
        <v>44581</v>
      </c>
      <c r="N714" t="s">
        <v>3480</v>
      </c>
    </row>
    <row r="715" spans="1:14" x14ac:dyDescent="0.35">
      <c r="A715" t="s">
        <v>605</v>
      </c>
      <c r="B715" t="s">
        <v>1429</v>
      </c>
      <c r="C715" t="s">
        <v>2261</v>
      </c>
      <c r="D715" t="s">
        <v>1724</v>
      </c>
      <c r="F715" t="s">
        <v>1803</v>
      </c>
      <c r="G715" t="s">
        <v>1754</v>
      </c>
      <c r="H715" t="s">
        <v>1796</v>
      </c>
      <c r="I715" t="s">
        <v>1917</v>
      </c>
      <c r="J715" t="s">
        <v>1753</v>
      </c>
      <c r="K715" t="s">
        <v>2401</v>
      </c>
      <c r="L715" t="s">
        <v>1720</v>
      </c>
      <c r="M715" s="57">
        <v>44581</v>
      </c>
      <c r="N715" t="s">
        <v>3480</v>
      </c>
    </row>
    <row r="716" spans="1:14" x14ac:dyDescent="0.35">
      <c r="A716" t="s">
        <v>605</v>
      </c>
      <c r="B716" t="s">
        <v>1429</v>
      </c>
      <c r="C716" t="s">
        <v>2261</v>
      </c>
      <c r="D716" t="s">
        <v>1721</v>
      </c>
      <c r="F716" t="s">
        <v>1803</v>
      </c>
      <c r="G716" t="s">
        <v>1754</v>
      </c>
      <c r="H716" t="s">
        <v>1796</v>
      </c>
      <c r="I716" t="s">
        <v>1917</v>
      </c>
      <c r="J716" t="s">
        <v>1753</v>
      </c>
      <c r="K716" t="s">
        <v>2322</v>
      </c>
      <c r="L716" t="s">
        <v>1720</v>
      </c>
      <c r="M716" s="57">
        <v>44581</v>
      </c>
      <c r="N716" t="s">
        <v>3480</v>
      </c>
    </row>
    <row r="717" spans="1:14" x14ac:dyDescent="0.35">
      <c r="A717" t="s">
        <v>605</v>
      </c>
      <c r="B717" t="s">
        <v>1429</v>
      </c>
      <c r="C717" t="s">
        <v>2261</v>
      </c>
      <c r="D717" t="s">
        <v>1721</v>
      </c>
      <c r="F717" t="s">
        <v>1804</v>
      </c>
      <c r="G717" t="s">
        <v>1741</v>
      </c>
      <c r="H717" t="s">
        <v>1775</v>
      </c>
      <c r="I717" t="s">
        <v>1742</v>
      </c>
      <c r="J717" t="s">
        <v>1744</v>
      </c>
      <c r="K717" t="s">
        <v>2549</v>
      </c>
      <c r="L717" t="s">
        <v>1720</v>
      </c>
      <c r="M717" s="57">
        <v>44581</v>
      </c>
      <c r="N717" t="s">
        <v>3480</v>
      </c>
    </row>
    <row r="718" spans="1:14" x14ac:dyDescent="0.35">
      <c r="A718" t="s">
        <v>605</v>
      </c>
      <c r="B718" t="s">
        <v>1429</v>
      </c>
      <c r="C718" t="s">
        <v>2259</v>
      </c>
      <c r="D718" t="s">
        <v>1721</v>
      </c>
      <c r="F718" t="s">
        <v>1802</v>
      </c>
      <c r="G718" t="s">
        <v>1726</v>
      </c>
      <c r="H718" t="s">
        <v>1777</v>
      </c>
      <c r="I718" t="s">
        <v>1739</v>
      </c>
      <c r="J718" t="s">
        <v>1745</v>
      </c>
      <c r="K718" t="s">
        <v>2325</v>
      </c>
      <c r="L718" t="s">
        <v>1720</v>
      </c>
      <c r="M718" s="57">
        <v>44581</v>
      </c>
      <c r="N718" t="s">
        <v>3480</v>
      </c>
    </row>
    <row r="719" spans="1:14" x14ac:dyDescent="0.35">
      <c r="A719" t="s">
        <v>605</v>
      </c>
      <c r="B719" t="s">
        <v>1429</v>
      </c>
      <c r="C719" t="s">
        <v>2261</v>
      </c>
      <c r="D719" t="s">
        <v>1724</v>
      </c>
      <c r="E719" t="s">
        <v>2461</v>
      </c>
      <c r="F719" t="s">
        <v>2308</v>
      </c>
      <c r="G719" t="s">
        <v>1762</v>
      </c>
      <c r="H719" t="s">
        <v>1781</v>
      </c>
      <c r="I719" t="s">
        <v>1731</v>
      </c>
      <c r="J719" t="s">
        <v>1733</v>
      </c>
      <c r="K719" t="s">
        <v>2403</v>
      </c>
      <c r="L719" t="s">
        <v>1720</v>
      </c>
      <c r="M719" s="57">
        <v>44581</v>
      </c>
      <c r="N719" t="s">
        <v>3480</v>
      </c>
    </row>
    <row r="720" spans="1:14" x14ac:dyDescent="0.35">
      <c r="A720" t="s">
        <v>605</v>
      </c>
      <c r="B720" t="s">
        <v>1429</v>
      </c>
      <c r="C720" t="s">
        <v>2261</v>
      </c>
      <c r="D720" t="s">
        <v>1721</v>
      </c>
      <c r="E720" t="s">
        <v>2461</v>
      </c>
      <c r="F720" t="s">
        <v>2308</v>
      </c>
      <c r="G720" t="s">
        <v>1728</v>
      </c>
      <c r="H720" t="s">
        <v>1779</v>
      </c>
      <c r="I720" t="s">
        <v>1731</v>
      </c>
      <c r="J720" t="s">
        <v>1733</v>
      </c>
      <c r="K720" t="s">
        <v>2462</v>
      </c>
      <c r="L720" t="s">
        <v>1720</v>
      </c>
      <c r="M720" s="57">
        <v>44581</v>
      </c>
      <c r="N720" t="s">
        <v>3480</v>
      </c>
    </row>
    <row r="721" spans="1:14" x14ac:dyDescent="0.35">
      <c r="A721" t="s">
        <v>605</v>
      </c>
      <c r="B721" t="s">
        <v>1429</v>
      </c>
      <c r="C721" t="s">
        <v>2261</v>
      </c>
      <c r="D721" t="s">
        <v>1721</v>
      </c>
      <c r="E721" t="s">
        <v>2284</v>
      </c>
      <c r="F721" t="s">
        <v>2285</v>
      </c>
      <c r="G721" t="s">
        <v>1784</v>
      </c>
      <c r="H721" t="s">
        <v>1785</v>
      </c>
      <c r="I721" t="s">
        <v>1782</v>
      </c>
      <c r="J721" t="s">
        <v>1786</v>
      </c>
      <c r="K721" t="s">
        <v>2550</v>
      </c>
      <c r="L721" t="s">
        <v>1720</v>
      </c>
      <c r="M721" s="57">
        <v>44581</v>
      </c>
      <c r="N721" t="s">
        <v>3480</v>
      </c>
    </row>
    <row r="722" spans="1:14" hidden="1" x14ac:dyDescent="0.35">
      <c r="A722" t="s">
        <v>271</v>
      </c>
      <c r="B722" t="s">
        <v>1097</v>
      </c>
      <c r="L722" t="s">
        <v>1720</v>
      </c>
    </row>
    <row r="723" spans="1:14" hidden="1" x14ac:dyDescent="0.35">
      <c r="A723" t="s">
        <v>137</v>
      </c>
      <c r="B723" t="s">
        <v>966</v>
      </c>
      <c r="L723" t="s">
        <v>1720</v>
      </c>
    </row>
    <row r="724" spans="1:14" hidden="1" x14ac:dyDescent="0.35">
      <c r="A724" t="s">
        <v>232</v>
      </c>
      <c r="B724" t="s">
        <v>1059</v>
      </c>
      <c r="L724" t="s">
        <v>1720</v>
      </c>
    </row>
    <row r="725" spans="1:14" hidden="1" x14ac:dyDescent="0.35">
      <c r="A725" t="s">
        <v>135</v>
      </c>
      <c r="B725" t="s">
        <v>964</v>
      </c>
      <c r="L725" t="s">
        <v>1720</v>
      </c>
    </row>
    <row r="726" spans="1:14" hidden="1" x14ac:dyDescent="0.35">
      <c r="A726" t="s">
        <v>368</v>
      </c>
      <c r="B726" t="s">
        <v>1192</v>
      </c>
      <c r="L726" t="s">
        <v>1720</v>
      </c>
    </row>
    <row r="727" spans="1:14" hidden="1" x14ac:dyDescent="0.35">
      <c r="A727" t="s">
        <v>136</v>
      </c>
      <c r="B727" t="s">
        <v>965</v>
      </c>
      <c r="L727" t="s">
        <v>1720</v>
      </c>
    </row>
    <row r="728" spans="1:14" hidden="1" x14ac:dyDescent="0.35">
      <c r="A728" t="s">
        <v>808</v>
      </c>
      <c r="B728" t="s">
        <v>1631</v>
      </c>
      <c r="L728" t="s">
        <v>1720</v>
      </c>
    </row>
    <row r="729" spans="1:14" hidden="1" x14ac:dyDescent="0.35">
      <c r="A729" t="s">
        <v>211</v>
      </c>
      <c r="B729" t="s">
        <v>1038</v>
      </c>
      <c r="L729" t="s">
        <v>1720</v>
      </c>
    </row>
    <row r="730" spans="1:14" hidden="1" x14ac:dyDescent="0.35">
      <c r="A730" t="s">
        <v>585</v>
      </c>
      <c r="B730" t="s">
        <v>1409</v>
      </c>
      <c r="L730" t="s">
        <v>1720</v>
      </c>
    </row>
    <row r="731" spans="1:14" hidden="1" x14ac:dyDescent="0.35">
      <c r="A731" t="s">
        <v>289</v>
      </c>
      <c r="B731" t="s">
        <v>1114</v>
      </c>
      <c r="L731" t="s">
        <v>1720</v>
      </c>
    </row>
    <row r="732" spans="1:14" hidden="1" x14ac:dyDescent="0.35">
      <c r="A732" t="s">
        <v>555</v>
      </c>
      <c r="B732" t="s">
        <v>1379</v>
      </c>
      <c r="L732" t="s">
        <v>1720</v>
      </c>
    </row>
    <row r="733" spans="1:14" hidden="1" x14ac:dyDescent="0.35">
      <c r="A733" t="s">
        <v>331</v>
      </c>
      <c r="B733" t="s">
        <v>1156</v>
      </c>
      <c r="L733" t="s">
        <v>1720</v>
      </c>
    </row>
    <row r="734" spans="1:14" hidden="1" x14ac:dyDescent="0.35">
      <c r="A734" t="s">
        <v>231</v>
      </c>
      <c r="B734" t="s">
        <v>1058</v>
      </c>
      <c r="L734" t="s">
        <v>1720</v>
      </c>
    </row>
    <row r="735" spans="1:14" hidden="1" x14ac:dyDescent="0.35">
      <c r="A735" t="s">
        <v>399</v>
      </c>
      <c r="B735" t="s">
        <v>1223</v>
      </c>
      <c r="L735" t="s">
        <v>1720</v>
      </c>
    </row>
    <row r="736" spans="1:14" hidden="1" x14ac:dyDescent="0.35">
      <c r="A736" t="s">
        <v>148</v>
      </c>
      <c r="B736" t="s">
        <v>977</v>
      </c>
      <c r="L736" t="s">
        <v>1720</v>
      </c>
    </row>
    <row r="737" spans="1:14" hidden="1" x14ac:dyDescent="0.35">
      <c r="A737" t="s">
        <v>509</v>
      </c>
      <c r="B737" t="s">
        <v>1333</v>
      </c>
      <c r="L737" t="s">
        <v>1720</v>
      </c>
    </row>
    <row r="738" spans="1:14" hidden="1" x14ac:dyDescent="0.35">
      <c r="A738" t="s">
        <v>615</v>
      </c>
      <c r="B738" t="s">
        <v>1439</v>
      </c>
      <c r="L738" t="s">
        <v>1720</v>
      </c>
    </row>
    <row r="739" spans="1:14" hidden="1" x14ac:dyDescent="0.35">
      <c r="A739" t="s">
        <v>80</v>
      </c>
      <c r="B739" t="s">
        <v>909</v>
      </c>
      <c r="L739" t="s">
        <v>1720</v>
      </c>
    </row>
    <row r="740" spans="1:14" hidden="1" x14ac:dyDescent="0.35">
      <c r="A740" t="s">
        <v>79</v>
      </c>
      <c r="B740" t="s">
        <v>908</v>
      </c>
      <c r="L740" t="s">
        <v>1720</v>
      </c>
    </row>
    <row r="741" spans="1:14" x14ac:dyDescent="0.35">
      <c r="A741" t="s">
        <v>544</v>
      </c>
      <c r="B741" t="s">
        <v>1368</v>
      </c>
      <c r="C741" t="s">
        <v>2261</v>
      </c>
      <c r="D741" t="s">
        <v>1721</v>
      </c>
      <c r="H741" t="s">
        <v>1774</v>
      </c>
      <c r="I741" t="s">
        <v>1734</v>
      </c>
      <c r="J741" t="s">
        <v>1736</v>
      </c>
      <c r="K741">
        <v>0.23</v>
      </c>
      <c r="L741" t="s">
        <v>1720</v>
      </c>
      <c r="M741" s="57">
        <v>44582</v>
      </c>
      <c r="N741" t="s">
        <v>3480</v>
      </c>
    </row>
    <row r="742" spans="1:14" hidden="1" x14ac:dyDescent="0.35">
      <c r="A742" t="s">
        <v>405</v>
      </c>
      <c r="B742" t="s">
        <v>1229</v>
      </c>
      <c r="L742" t="s">
        <v>1720</v>
      </c>
    </row>
    <row r="743" spans="1:14" hidden="1" x14ac:dyDescent="0.35">
      <c r="A743" t="s">
        <v>395</v>
      </c>
      <c r="B743" t="s">
        <v>1219</v>
      </c>
      <c r="L743" t="s">
        <v>1720</v>
      </c>
    </row>
    <row r="744" spans="1:14" x14ac:dyDescent="0.35">
      <c r="A744" t="s">
        <v>466</v>
      </c>
      <c r="B744" t="s">
        <v>1290</v>
      </c>
      <c r="C744" t="s">
        <v>2261</v>
      </c>
      <c r="D744" t="s">
        <v>1721</v>
      </c>
      <c r="E744" t="s">
        <v>2431</v>
      </c>
      <c r="F744" t="s">
        <v>1803</v>
      </c>
      <c r="G744" t="s">
        <v>1754</v>
      </c>
      <c r="H744" t="s">
        <v>1796</v>
      </c>
      <c r="I744" t="s">
        <v>1917</v>
      </c>
      <c r="J744" t="s">
        <v>1753</v>
      </c>
      <c r="K744" t="s">
        <v>2537</v>
      </c>
      <c r="L744" t="s">
        <v>1720</v>
      </c>
      <c r="M744" s="57">
        <v>44582</v>
      </c>
      <c r="N744" t="s">
        <v>3480</v>
      </c>
    </row>
    <row r="745" spans="1:14" x14ac:dyDescent="0.35">
      <c r="A745" t="s">
        <v>466</v>
      </c>
      <c r="B745" t="s">
        <v>1290</v>
      </c>
      <c r="C745" t="s">
        <v>2259</v>
      </c>
      <c r="D745" t="s">
        <v>1721</v>
      </c>
      <c r="F745" t="s">
        <v>1802</v>
      </c>
      <c r="G745" t="s">
        <v>1726</v>
      </c>
      <c r="H745" t="s">
        <v>1777</v>
      </c>
      <c r="I745" t="s">
        <v>1739</v>
      </c>
      <c r="J745" t="s">
        <v>1745</v>
      </c>
      <c r="K745" t="s">
        <v>2512</v>
      </c>
      <c r="L745" t="s">
        <v>1720</v>
      </c>
      <c r="M745" s="57">
        <v>44582</v>
      </c>
      <c r="N745" t="s">
        <v>3480</v>
      </c>
    </row>
    <row r="746" spans="1:14" x14ac:dyDescent="0.35">
      <c r="A746" t="s">
        <v>466</v>
      </c>
      <c r="B746" t="s">
        <v>1290</v>
      </c>
      <c r="C746" t="s">
        <v>2261</v>
      </c>
      <c r="D746" t="s">
        <v>1721</v>
      </c>
      <c r="E746" t="s">
        <v>2284</v>
      </c>
      <c r="F746" t="s">
        <v>2285</v>
      </c>
      <c r="G746" t="s">
        <v>1784</v>
      </c>
      <c r="H746" t="s">
        <v>1785</v>
      </c>
      <c r="I746" t="s">
        <v>1782</v>
      </c>
      <c r="J746" t="s">
        <v>1786</v>
      </c>
      <c r="K746" t="s">
        <v>2542</v>
      </c>
      <c r="L746" t="s">
        <v>1720</v>
      </c>
      <c r="M746" s="57">
        <v>44582</v>
      </c>
      <c r="N746" t="s">
        <v>3480</v>
      </c>
    </row>
    <row r="747" spans="1:14" hidden="1" x14ac:dyDescent="0.35">
      <c r="A747" t="s">
        <v>597</v>
      </c>
      <c r="B747" t="s">
        <v>1421</v>
      </c>
      <c r="L747" t="s">
        <v>1720</v>
      </c>
    </row>
    <row r="748" spans="1:14" hidden="1" x14ac:dyDescent="0.35">
      <c r="A748" t="s">
        <v>486</v>
      </c>
      <c r="B748" t="s">
        <v>1310</v>
      </c>
      <c r="L748" t="s">
        <v>1720</v>
      </c>
    </row>
    <row r="749" spans="1:14" hidden="1" x14ac:dyDescent="0.35">
      <c r="A749" t="s">
        <v>161</v>
      </c>
      <c r="B749" t="s">
        <v>990</v>
      </c>
      <c r="L749" t="s">
        <v>1720</v>
      </c>
    </row>
    <row r="750" spans="1:14" hidden="1" x14ac:dyDescent="0.35">
      <c r="A750" t="s">
        <v>196</v>
      </c>
      <c r="B750" t="s">
        <v>1024</v>
      </c>
      <c r="L750" t="s">
        <v>1720</v>
      </c>
    </row>
    <row r="751" spans="1:14" hidden="1" x14ac:dyDescent="0.35">
      <c r="A751" t="s">
        <v>739</v>
      </c>
      <c r="B751" t="s">
        <v>1563</v>
      </c>
      <c r="L751" t="s">
        <v>1720</v>
      </c>
    </row>
    <row r="752" spans="1:14" hidden="1" x14ac:dyDescent="0.35">
      <c r="A752" t="s">
        <v>543</v>
      </c>
      <c r="B752" t="s">
        <v>1367</v>
      </c>
      <c r="L752" t="s">
        <v>1720</v>
      </c>
    </row>
    <row r="753" spans="1:14" hidden="1" x14ac:dyDescent="0.35">
      <c r="A753" t="s">
        <v>588</v>
      </c>
      <c r="B753" t="s">
        <v>1412</v>
      </c>
      <c r="L753" t="s">
        <v>1720</v>
      </c>
    </row>
    <row r="754" spans="1:14" x14ac:dyDescent="0.35">
      <c r="A754" t="s">
        <v>94</v>
      </c>
      <c r="B754" t="s">
        <v>923</v>
      </c>
      <c r="C754" t="s">
        <v>2259</v>
      </c>
      <c r="D754" t="s">
        <v>1721</v>
      </c>
      <c r="F754" t="s">
        <v>1802</v>
      </c>
      <c r="G754" t="s">
        <v>1727</v>
      </c>
      <c r="H754" t="s">
        <v>1737</v>
      </c>
      <c r="I754" t="s">
        <v>1730</v>
      </c>
      <c r="J754" t="s">
        <v>1732</v>
      </c>
      <c r="K754" t="s">
        <v>2345</v>
      </c>
      <c r="L754" t="s">
        <v>1720</v>
      </c>
      <c r="M754" s="57">
        <v>44582</v>
      </c>
      <c r="N754" t="s">
        <v>3481</v>
      </c>
    </row>
    <row r="755" spans="1:14" x14ac:dyDescent="0.35">
      <c r="A755" t="s">
        <v>94</v>
      </c>
      <c r="B755" t="s">
        <v>923</v>
      </c>
      <c r="C755" t="s">
        <v>2259</v>
      </c>
      <c r="D755" t="s">
        <v>1724</v>
      </c>
      <c r="F755" t="s">
        <v>1802</v>
      </c>
      <c r="G755" t="s">
        <v>1726</v>
      </c>
      <c r="H755" t="s">
        <v>1737</v>
      </c>
      <c r="I755" t="s">
        <v>1730</v>
      </c>
      <c r="J755" t="s">
        <v>1732</v>
      </c>
      <c r="K755" t="s">
        <v>2346</v>
      </c>
      <c r="L755" t="s">
        <v>1720</v>
      </c>
      <c r="M755" s="57">
        <v>44582</v>
      </c>
      <c r="N755" t="s">
        <v>3481</v>
      </c>
    </row>
    <row r="756" spans="1:14" x14ac:dyDescent="0.35">
      <c r="A756" t="s">
        <v>94</v>
      </c>
      <c r="B756" t="s">
        <v>923</v>
      </c>
      <c r="C756" t="s">
        <v>2261</v>
      </c>
      <c r="D756" t="s">
        <v>1721</v>
      </c>
      <c r="E756" t="s">
        <v>2298</v>
      </c>
      <c r="F756" t="s">
        <v>1802</v>
      </c>
      <c r="G756" t="s">
        <v>1760</v>
      </c>
      <c r="H756" t="s">
        <v>1850</v>
      </c>
      <c r="I756" t="s">
        <v>1758</v>
      </c>
      <c r="J756" t="s">
        <v>1759</v>
      </c>
      <c r="K756" t="s">
        <v>2347</v>
      </c>
      <c r="L756" t="s">
        <v>1720</v>
      </c>
      <c r="M756" s="57">
        <v>44582</v>
      </c>
      <c r="N756" t="s">
        <v>3480</v>
      </c>
    </row>
    <row r="757" spans="1:14" x14ac:dyDescent="0.35">
      <c r="A757" t="s">
        <v>94</v>
      </c>
      <c r="B757" t="s">
        <v>923</v>
      </c>
      <c r="C757" t="s">
        <v>2261</v>
      </c>
      <c r="D757" t="s">
        <v>1724</v>
      </c>
      <c r="E757" t="s">
        <v>2301</v>
      </c>
      <c r="F757" t="s">
        <v>1802</v>
      </c>
      <c r="G757" t="s">
        <v>1760</v>
      </c>
      <c r="H757" t="s">
        <v>1867</v>
      </c>
      <c r="I757" t="s">
        <v>1758</v>
      </c>
      <c r="J757" t="s">
        <v>1759</v>
      </c>
      <c r="K757" t="s">
        <v>2348</v>
      </c>
      <c r="L757" t="s">
        <v>1720</v>
      </c>
      <c r="M757" s="57">
        <v>44582</v>
      </c>
      <c r="N757" t="s">
        <v>3480</v>
      </c>
    </row>
    <row r="758" spans="1:14" x14ac:dyDescent="0.35">
      <c r="A758" t="s">
        <v>94</v>
      </c>
      <c r="B758" t="s">
        <v>923</v>
      </c>
      <c r="C758" t="s">
        <v>2261</v>
      </c>
      <c r="D758" t="s">
        <v>1721</v>
      </c>
      <c r="E758" t="s">
        <v>2284</v>
      </c>
      <c r="F758" t="s">
        <v>2285</v>
      </c>
      <c r="G758" t="s">
        <v>1784</v>
      </c>
      <c r="H758" t="s">
        <v>1785</v>
      </c>
      <c r="I758" t="s">
        <v>1782</v>
      </c>
      <c r="J758" t="s">
        <v>1786</v>
      </c>
      <c r="K758" t="s">
        <v>2349</v>
      </c>
      <c r="L758" t="s">
        <v>1720</v>
      </c>
      <c r="M758" s="57">
        <v>44582</v>
      </c>
      <c r="N758" t="s">
        <v>3480</v>
      </c>
    </row>
    <row r="759" spans="1:14" hidden="1" x14ac:dyDescent="0.35">
      <c r="A759" t="s">
        <v>602</v>
      </c>
      <c r="B759" t="s">
        <v>1426</v>
      </c>
      <c r="L759" t="s">
        <v>1720</v>
      </c>
    </row>
    <row r="760" spans="1:14" hidden="1" x14ac:dyDescent="0.35">
      <c r="A760" t="s">
        <v>536</v>
      </c>
      <c r="B760" t="s">
        <v>1360</v>
      </c>
      <c r="L760" t="s">
        <v>1720</v>
      </c>
    </row>
    <row r="761" spans="1:14" hidden="1" x14ac:dyDescent="0.35">
      <c r="A761" t="s">
        <v>153</v>
      </c>
      <c r="B761" t="s">
        <v>982</v>
      </c>
      <c r="L761" t="s">
        <v>1720</v>
      </c>
    </row>
    <row r="762" spans="1:14" hidden="1" x14ac:dyDescent="0.35">
      <c r="A762" t="s">
        <v>166</v>
      </c>
      <c r="B762" t="s">
        <v>995</v>
      </c>
      <c r="L762" t="s">
        <v>1720</v>
      </c>
    </row>
    <row r="763" spans="1:14" hidden="1" x14ac:dyDescent="0.35">
      <c r="A763" t="s">
        <v>433</v>
      </c>
      <c r="B763" t="s">
        <v>1257</v>
      </c>
      <c r="L763" t="s">
        <v>1720</v>
      </c>
    </row>
    <row r="764" spans="1:14" hidden="1" x14ac:dyDescent="0.35">
      <c r="A764" t="s">
        <v>125</v>
      </c>
      <c r="B764" t="s">
        <v>954</v>
      </c>
      <c r="L764" t="s">
        <v>1720</v>
      </c>
    </row>
    <row r="765" spans="1:14" hidden="1" x14ac:dyDescent="0.35">
      <c r="A765" t="s">
        <v>528</v>
      </c>
      <c r="B765" t="s">
        <v>1352</v>
      </c>
      <c r="L765" t="s">
        <v>1720</v>
      </c>
    </row>
    <row r="766" spans="1:14" hidden="1" x14ac:dyDescent="0.35">
      <c r="A766" t="s">
        <v>102</v>
      </c>
      <c r="B766" t="s">
        <v>931</v>
      </c>
      <c r="L766" t="s">
        <v>1720</v>
      </c>
    </row>
    <row r="767" spans="1:14" hidden="1" x14ac:dyDescent="0.35">
      <c r="A767" t="s">
        <v>557</v>
      </c>
      <c r="B767" t="s">
        <v>1381</v>
      </c>
      <c r="L767" t="s">
        <v>1720</v>
      </c>
    </row>
    <row r="768" spans="1:14" hidden="1" x14ac:dyDescent="0.35">
      <c r="A768" t="s">
        <v>65</v>
      </c>
      <c r="B768" t="s">
        <v>894</v>
      </c>
      <c r="L768" t="s">
        <v>1720</v>
      </c>
    </row>
    <row r="769" spans="1:14" hidden="1" x14ac:dyDescent="0.35">
      <c r="A769" t="s">
        <v>563</v>
      </c>
      <c r="B769" t="s">
        <v>1387</v>
      </c>
      <c r="L769" t="s">
        <v>1720</v>
      </c>
    </row>
    <row r="770" spans="1:14" hidden="1" x14ac:dyDescent="0.35">
      <c r="A770" t="s">
        <v>644</v>
      </c>
      <c r="B770" t="s">
        <v>1468</v>
      </c>
      <c r="L770" t="s">
        <v>1720</v>
      </c>
    </row>
    <row r="771" spans="1:14" hidden="1" x14ac:dyDescent="0.35">
      <c r="A771" t="s">
        <v>652</v>
      </c>
      <c r="B771" t="s">
        <v>1476</v>
      </c>
      <c r="L771" t="s">
        <v>1720</v>
      </c>
    </row>
    <row r="772" spans="1:14" hidden="1" x14ac:dyDescent="0.35">
      <c r="A772" t="s">
        <v>268</v>
      </c>
      <c r="B772" t="s">
        <v>1094</v>
      </c>
      <c r="L772" t="s">
        <v>1720</v>
      </c>
    </row>
    <row r="773" spans="1:14" hidden="1" x14ac:dyDescent="0.35">
      <c r="A773" t="s">
        <v>546</v>
      </c>
      <c r="B773" t="s">
        <v>1370</v>
      </c>
      <c r="L773" t="s">
        <v>1720</v>
      </c>
    </row>
    <row r="774" spans="1:14" hidden="1" x14ac:dyDescent="0.35">
      <c r="A774" t="s">
        <v>58</v>
      </c>
      <c r="B774" t="s">
        <v>887</v>
      </c>
      <c r="L774" t="s">
        <v>1720</v>
      </c>
    </row>
    <row r="775" spans="1:14" hidden="1" x14ac:dyDescent="0.35">
      <c r="A775" t="s">
        <v>512</v>
      </c>
      <c r="B775" t="s">
        <v>1336</v>
      </c>
      <c r="L775" t="s">
        <v>1720</v>
      </c>
    </row>
    <row r="776" spans="1:14" x14ac:dyDescent="0.35">
      <c r="A776" t="s">
        <v>212</v>
      </c>
      <c r="B776" t="s">
        <v>1039</v>
      </c>
      <c r="C776" t="s">
        <v>2259</v>
      </c>
      <c r="D776" t="s">
        <v>1721</v>
      </c>
      <c r="F776" t="s">
        <v>1802</v>
      </c>
      <c r="G776" t="s">
        <v>1735</v>
      </c>
      <c r="H776" t="s">
        <v>1774</v>
      </c>
      <c r="I776" t="s">
        <v>1734</v>
      </c>
      <c r="J776" t="s">
        <v>2391</v>
      </c>
      <c r="K776" t="s">
        <v>2322</v>
      </c>
      <c r="L776" t="s">
        <v>1720</v>
      </c>
      <c r="M776" s="57">
        <v>44573</v>
      </c>
      <c r="N776" t="s">
        <v>3480</v>
      </c>
    </row>
    <row r="777" spans="1:14" x14ac:dyDescent="0.35">
      <c r="A777" t="s">
        <v>212</v>
      </c>
      <c r="B777" t="s">
        <v>1039</v>
      </c>
      <c r="C777" t="s">
        <v>2259</v>
      </c>
      <c r="D777" t="s">
        <v>1721</v>
      </c>
      <c r="F777" t="s">
        <v>1802</v>
      </c>
      <c r="G777" t="s">
        <v>1750</v>
      </c>
      <c r="H777" t="s">
        <v>1773</v>
      </c>
      <c r="I777" t="s">
        <v>1748</v>
      </c>
      <c r="J777" t="s">
        <v>1749</v>
      </c>
      <c r="K777" t="s">
        <v>2350</v>
      </c>
      <c r="L777" t="s">
        <v>1720</v>
      </c>
      <c r="M777" s="57">
        <v>44573</v>
      </c>
      <c r="N777" t="s">
        <v>3480</v>
      </c>
    </row>
    <row r="778" spans="1:14" x14ac:dyDescent="0.35">
      <c r="A778" t="s">
        <v>212</v>
      </c>
      <c r="B778" t="s">
        <v>1039</v>
      </c>
      <c r="C778" t="s">
        <v>2261</v>
      </c>
      <c r="D778" t="s">
        <v>1721</v>
      </c>
      <c r="F778" t="s">
        <v>1801</v>
      </c>
      <c r="G778" t="s">
        <v>1735</v>
      </c>
      <c r="H778" t="s">
        <v>1774</v>
      </c>
      <c r="I778" t="s">
        <v>1734</v>
      </c>
      <c r="J778" t="s">
        <v>1736</v>
      </c>
      <c r="K778" t="s">
        <v>2322</v>
      </c>
      <c r="L778" t="s">
        <v>1720</v>
      </c>
      <c r="M778" s="57">
        <v>44573</v>
      </c>
      <c r="N778" t="s">
        <v>3480</v>
      </c>
    </row>
    <row r="779" spans="1:14" x14ac:dyDescent="0.35">
      <c r="A779" t="s">
        <v>212</v>
      </c>
      <c r="B779" t="s">
        <v>1039</v>
      </c>
      <c r="C779" t="s">
        <v>2261</v>
      </c>
      <c r="D779" t="s">
        <v>1724</v>
      </c>
      <c r="E779" t="s">
        <v>2288</v>
      </c>
      <c r="F779" t="s">
        <v>1803</v>
      </c>
      <c r="G779" t="s">
        <v>1754</v>
      </c>
      <c r="H779" t="s">
        <v>1796</v>
      </c>
      <c r="I779" t="s">
        <v>1917</v>
      </c>
      <c r="J779" t="s">
        <v>1753</v>
      </c>
      <c r="K779" t="s">
        <v>2371</v>
      </c>
      <c r="L779" t="s">
        <v>1720</v>
      </c>
      <c r="M779" s="57">
        <v>44573</v>
      </c>
      <c r="N779" t="s">
        <v>3480</v>
      </c>
    </row>
    <row r="780" spans="1:14" x14ac:dyDescent="0.35">
      <c r="A780" t="s">
        <v>212</v>
      </c>
      <c r="B780" t="s">
        <v>1039</v>
      </c>
      <c r="C780" t="s">
        <v>2261</v>
      </c>
      <c r="D780" t="s">
        <v>1721</v>
      </c>
      <c r="E780" t="s">
        <v>2288</v>
      </c>
      <c r="F780" t="s">
        <v>1803</v>
      </c>
      <c r="G780" t="s">
        <v>1754</v>
      </c>
      <c r="H780" t="s">
        <v>1796</v>
      </c>
      <c r="I780" t="s">
        <v>1917</v>
      </c>
      <c r="J780" t="s">
        <v>1753</v>
      </c>
      <c r="K780" t="s">
        <v>2392</v>
      </c>
      <c r="L780" t="s">
        <v>1720</v>
      </c>
      <c r="M780" s="57">
        <v>44573</v>
      </c>
      <c r="N780" t="s">
        <v>3480</v>
      </c>
    </row>
    <row r="781" spans="1:14" x14ac:dyDescent="0.35">
      <c r="A781" t="s">
        <v>212</v>
      </c>
      <c r="B781" t="s">
        <v>1039</v>
      </c>
      <c r="C781" t="s">
        <v>2261</v>
      </c>
      <c r="D781" t="s">
        <v>1724</v>
      </c>
      <c r="E781" t="s">
        <v>2290</v>
      </c>
      <c r="F781" t="s">
        <v>1803</v>
      </c>
      <c r="G781" t="s">
        <v>1754</v>
      </c>
      <c r="H781" t="s">
        <v>1796</v>
      </c>
      <c r="I781" t="s">
        <v>1917</v>
      </c>
      <c r="J781" t="s">
        <v>1753</v>
      </c>
      <c r="K781" t="s">
        <v>2392</v>
      </c>
      <c r="L781" t="s">
        <v>1720</v>
      </c>
      <c r="M781" s="57">
        <v>44573</v>
      </c>
      <c r="N781" t="s">
        <v>3480</v>
      </c>
    </row>
    <row r="782" spans="1:14" x14ac:dyDescent="0.35">
      <c r="A782" t="s">
        <v>212</v>
      </c>
      <c r="B782" t="s">
        <v>1039</v>
      </c>
      <c r="C782" t="s">
        <v>2261</v>
      </c>
      <c r="D782" t="s">
        <v>1721</v>
      </c>
      <c r="E782" t="s">
        <v>2290</v>
      </c>
      <c r="F782" t="s">
        <v>1803</v>
      </c>
      <c r="G782" t="s">
        <v>1754</v>
      </c>
      <c r="H782" t="s">
        <v>1796</v>
      </c>
      <c r="I782" t="s">
        <v>1917</v>
      </c>
      <c r="J782" t="s">
        <v>1753</v>
      </c>
      <c r="K782" t="s">
        <v>2512</v>
      </c>
      <c r="L782" t="s">
        <v>1720</v>
      </c>
      <c r="M782" s="57">
        <v>44573</v>
      </c>
      <c r="N782" t="s">
        <v>3480</v>
      </c>
    </row>
    <row r="783" spans="1:14" x14ac:dyDescent="0.35">
      <c r="A783" t="s">
        <v>212</v>
      </c>
      <c r="B783" t="s">
        <v>1039</v>
      </c>
      <c r="C783" t="s">
        <v>2259</v>
      </c>
      <c r="D783" t="s">
        <v>1721</v>
      </c>
      <c r="F783" t="s">
        <v>1802</v>
      </c>
      <c r="G783" t="s">
        <v>1727</v>
      </c>
      <c r="H783" t="s">
        <v>1737</v>
      </c>
      <c r="I783" t="s">
        <v>1730</v>
      </c>
      <c r="J783" t="s">
        <v>1732</v>
      </c>
      <c r="K783" t="s">
        <v>2499</v>
      </c>
      <c r="L783" t="s">
        <v>1720</v>
      </c>
      <c r="M783" s="57">
        <v>44573</v>
      </c>
      <c r="N783" t="s">
        <v>3481</v>
      </c>
    </row>
    <row r="784" spans="1:14" x14ac:dyDescent="0.35">
      <c r="A784" t="s">
        <v>212</v>
      </c>
      <c r="B784" t="s">
        <v>1039</v>
      </c>
      <c r="C784" t="s">
        <v>2259</v>
      </c>
      <c r="D784" t="s">
        <v>1724</v>
      </c>
      <c r="F784" t="s">
        <v>1802</v>
      </c>
      <c r="G784" t="s">
        <v>1726</v>
      </c>
      <c r="H784" t="s">
        <v>1737</v>
      </c>
      <c r="I784" t="s">
        <v>1730</v>
      </c>
      <c r="J784" t="s">
        <v>1732</v>
      </c>
      <c r="K784" t="s">
        <v>2393</v>
      </c>
      <c r="L784" t="s">
        <v>1720</v>
      </c>
      <c r="M784" s="57">
        <v>44573</v>
      </c>
      <c r="N784" t="s">
        <v>3481</v>
      </c>
    </row>
    <row r="785" spans="1:14" x14ac:dyDescent="0.35">
      <c r="A785" t="s">
        <v>212</v>
      </c>
      <c r="B785" t="s">
        <v>1039</v>
      </c>
      <c r="C785" t="s">
        <v>2261</v>
      </c>
      <c r="D785" t="s">
        <v>1721</v>
      </c>
      <c r="F785" t="s">
        <v>1804</v>
      </c>
      <c r="G785" t="s">
        <v>1741</v>
      </c>
      <c r="H785" t="s">
        <v>1775</v>
      </c>
      <c r="I785" t="s">
        <v>1742</v>
      </c>
      <c r="J785" t="s">
        <v>1744</v>
      </c>
      <c r="K785" t="s">
        <v>2322</v>
      </c>
      <c r="L785" t="s">
        <v>1720</v>
      </c>
      <c r="M785" s="57">
        <v>44573</v>
      </c>
      <c r="N785" t="s">
        <v>3480</v>
      </c>
    </row>
    <row r="786" spans="1:14" x14ac:dyDescent="0.35">
      <c r="A786" t="s">
        <v>212</v>
      </c>
      <c r="B786" t="s">
        <v>1039</v>
      </c>
      <c r="C786" t="s">
        <v>2261</v>
      </c>
      <c r="D786" t="s">
        <v>1721</v>
      </c>
      <c r="F786" t="s">
        <v>2308</v>
      </c>
      <c r="G786" t="s">
        <v>1728</v>
      </c>
      <c r="H786" t="s">
        <v>1779</v>
      </c>
      <c r="I786" t="s">
        <v>1731</v>
      </c>
      <c r="J786" t="s">
        <v>1733</v>
      </c>
      <c r="K786" t="s">
        <v>2394</v>
      </c>
      <c r="L786" t="s">
        <v>1720</v>
      </c>
      <c r="M786" s="57">
        <v>44573</v>
      </c>
      <c r="N786" t="s">
        <v>3480</v>
      </c>
    </row>
    <row r="787" spans="1:14" x14ac:dyDescent="0.35">
      <c r="A787" t="s">
        <v>212</v>
      </c>
      <c r="B787" t="s">
        <v>1039</v>
      </c>
      <c r="C787" t="s">
        <v>2261</v>
      </c>
      <c r="D787" t="s">
        <v>1724</v>
      </c>
      <c r="F787" t="s">
        <v>2308</v>
      </c>
      <c r="G787" t="s">
        <v>1762</v>
      </c>
      <c r="H787" t="s">
        <v>1781</v>
      </c>
      <c r="I787" t="s">
        <v>1819</v>
      </c>
      <c r="J787" t="s">
        <v>1820</v>
      </c>
      <c r="K787" t="s">
        <v>2393</v>
      </c>
      <c r="L787" t="s">
        <v>1720</v>
      </c>
      <c r="M787" s="57">
        <v>44573</v>
      </c>
      <c r="N787" t="s">
        <v>3480</v>
      </c>
    </row>
    <row r="788" spans="1:14" x14ac:dyDescent="0.35">
      <c r="A788" t="s">
        <v>212</v>
      </c>
      <c r="B788" t="s">
        <v>1039</v>
      </c>
      <c r="C788" t="s">
        <v>2261</v>
      </c>
      <c r="D788" t="s">
        <v>1721</v>
      </c>
      <c r="F788" t="s">
        <v>1802</v>
      </c>
      <c r="G788" t="s">
        <v>1726</v>
      </c>
      <c r="H788" t="s">
        <v>1777</v>
      </c>
      <c r="I788" t="s">
        <v>1739</v>
      </c>
      <c r="J788" t="s">
        <v>1745</v>
      </c>
      <c r="K788" t="s">
        <v>2350</v>
      </c>
      <c r="L788" t="s">
        <v>1720</v>
      </c>
      <c r="M788" s="57">
        <v>44573</v>
      </c>
      <c r="N788" t="s">
        <v>3480</v>
      </c>
    </row>
    <row r="789" spans="1:14" x14ac:dyDescent="0.35">
      <c r="A789" t="s">
        <v>212</v>
      </c>
      <c r="B789" t="s">
        <v>1039</v>
      </c>
      <c r="C789" t="s">
        <v>2261</v>
      </c>
      <c r="D789" t="s">
        <v>1721</v>
      </c>
      <c r="F789" t="s">
        <v>2263</v>
      </c>
      <c r="G789" t="s">
        <v>1725</v>
      </c>
      <c r="H789" t="s">
        <v>1776</v>
      </c>
      <c r="I789" t="s">
        <v>1729</v>
      </c>
      <c r="J789" t="s">
        <v>1747</v>
      </c>
      <c r="K789" t="s">
        <v>2276</v>
      </c>
      <c r="L789" t="s">
        <v>1720</v>
      </c>
      <c r="M789" s="57">
        <v>44573</v>
      </c>
      <c r="N789" t="s">
        <v>3480</v>
      </c>
    </row>
    <row r="790" spans="1:14" x14ac:dyDescent="0.35">
      <c r="A790" t="s">
        <v>212</v>
      </c>
      <c r="B790" t="s">
        <v>1039</v>
      </c>
      <c r="C790" t="s">
        <v>2259</v>
      </c>
      <c r="D790" t="s">
        <v>1724</v>
      </c>
      <c r="F790" t="s">
        <v>1802</v>
      </c>
      <c r="G790" t="s">
        <v>1799</v>
      </c>
      <c r="H790" t="s">
        <v>1844</v>
      </c>
      <c r="I790" t="s">
        <v>1797</v>
      </c>
      <c r="J790" t="s">
        <v>1845</v>
      </c>
      <c r="K790" t="s">
        <v>2393</v>
      </c>
      <c r="L790" t="s">
        <v>1720</v>
      </c>
      <c r="M790" s="57">
        <v>44573</v>
      </c>
      <c r="N790" t="s">
        <v>3480</v>
      </c>
    </row>
    <row r="791" spans="1:14" x14ac:dyDescent="0.35">
      <c r="A791" t="s">
        <v>212</v>
      </c>
      <c r="B791" t="s">
        <v>1039</v>
      </c>
      <c r="C791" t="s">
        <v>2261</v>
      </c>
      <c r="D791" t="s">
        <v>1721</v>
      </c>
      <c r="F791" t="s">
        <v>1802</v>
      </c>
      <c r="G791" t="s">
        <v>1815</v>
      </c>
      <c r="H791" t="s">
        <v>1816</v>
      </c>
      <c r="I791" t="s">
        <v>1817</v>
      </c>
      <c r="J791" t="s">
        <v>1818</v>
      </c>
      <c r="K791" t="s">
        <v>2322</v>
      </c>
      <c r="L791" t="s">
        <v>1720</v>
      </c>
      <c r="M791" s="57">
        <v>44573</v>
      </c>
      <c r="N791" t="s">
        <v>3480</v>
      </c>
    </row>
    <row r="792" spans="1:14" x14ac:dyDescent="0.35">
      <c r="A792" t="s">
        <v>212</v>
      </c>
      <c r="B792" t="s">
        <v>1039</v>
      </c>
      <c r="C792" t="s">
        <v>2261</v>
      </c>
      <c r="D792" t="s">
        <v>1721</v>
      </c>
      <c r="E792" t="s">
        <v>2395</v>
      </c>
      <c r="F792" t="s">
        <v>1802</v>
      </c>
      <c r="G792" t="s">
        <v>1760</v>
      </c>
      <c r="H792" t="s">
        <v>1876</v>
      </c>
      <c r="I792" t="s">
        <v>1758</v>
      </c>
      <c r="J792" t="s">
        <v>1875</v>
      </c>
      <c r="K792" t="s">
        <v>2394</v>
      </c>
      <c r="L792" t="s">
        <v>1720</v>
      </c>
      <c r="M792" s="57">
        <v>44573</v>
      </c>
      <c r="N792" t="s">
        <v>3480</v>
      </c>
    </row>
    <row r="793" spans="1:14" x14ac:dyDescent="0.35">
      <c r="A793" t="s">
        <v>212</v>
      </c>
      <c r="B793" t="s">
        <v>1039</v>
      </c>
      <c r="C793" t="s">
        <v>2261</v>
      </c>
      <c r="D793" t="s">
        <v>1724</v>
      </c>
      <c r="E793" t="s">
        <v>2396</v>
      </c>
      <c r="F793" t="s">
        <v>1802</v>
      </c>
      <c r="G793" t="s">
        <v>1760</v>
      </c>
      <c r="H793" t="s">
        <v>1870</v>
      </c>
      <c r="I793" t="s">
        <v>1758</v>
      </c>
      <c r="J793" t="s">
        <v>1871</v>
      </c>
      <c r="K793" t="s">
        <v>2114</v>
      </c>
      <c r="L793" t="s">
        <v>1720</v>
      </c>
      <c r="M793" s="57">
        <v>44573</v>
      </c>
      <c r="N793" t="s">
        <v>3480</v>
      </c>
    </row>
    <row r="794" spans="1:14" hidden="1" x14ac:dyDescent="0.35">
      <c r="A794" t="s">
        <v>351</v>
      </c>
      <c r="B794" t="s">
        <v>1175</v>
      </c>
      <c r="L794" t="s">
        <v>1720</v>
      </c>
    </row>
    <row r="795" spans="1:14" hidden="1" x14ac:dyDescent="0.35">
      <c r="A795" t="s">
        <v>114</v>
      </c>
      <c r="B795" t="s">
        <v>943</v>
      </c>
      <c r="L795" t="s">
        <v>1720</v>
      </c>
    </row>
    <row r="796" spans="1:14" hidden="1" x14ac:dyDescent="0.35">
      <c r="A796" t="s">
        <v>736</v>
      </c>
      <c r="B796" t="s">
        <v>1560</v>
      </c>
      <c r="L796" t="s">
        <v>1720</v>
      </c>
    </row>
    <row r="797" spans="1:14" hidden="1" x14ac:dyDescent="0.35">
      <c r="A797" t="s">
        <v>259</v>
      </c>
      <c r="B797" t="s">
        <v>1085</v>
      </c>
      <c r="L797" t="s">
        <v>1720</v>
      </c>
    </row>
    <row r="798" spans="1:14" hidden="1" x14ac:dyDescent="0.35">
      <c r="A798" t="s">
        <v>89</v>
      </c>
      <c r="B798" t="s">
        <v>918</v>
      </c>
      <c r="L798" t="s">
        <v>1720</v>
      </c>
    </row>
    <row r="799" spans="1:14" hidden="1" x14ac:dyDescent="0.35">
      <c r="A799" t="s">
        <v>63</v>
      </c>
      <c r="B799" t="s">
        <v>892</v>
      </c>
      <c r="L799" t="s">
        <v>1720</v>
      </c>
    </row>
    <row r="800" spans="1:14" hidden="1" x14ac:dyDescent="0.35">
      <c r="A800" t="s">
        <v>614</v>
      </c>
      <c r="B800" t="s">
        <v>1438</v>
      </c>
      <c r="L800" t="s">
        <v>1720</v>
      </c>
    </row>
    <row r="801" spans="1:14" hidden="1" x14ac:dyDescent="0.35">
      <c r="A801" t="s">
        <v>121</v>
      </c>
      <c r="B801" t="s">
        <v>950</v>
      </c>
      <c r="L801" t="s">
        <v>1720</v>
      </c>
    </row>
    <row r="802" spans="1:14" hidden="1" x14ac:dyDescent="0.35">
      <c r="A802" t="s">
        <v>123</v>
      </c>
      <c r="B802" t="s">
        <v>952</v>
      </c>
      <c r="L802" t="s">
        <v>1720</v>
      </c>
    </row>
    <row r="803" spans="1:14" hidden="1" x14ac:dyDescent="0.35">
      <c r="A803" t="s">
        <v>500</v>
      </c>
      <c r="B803" t="s">
        <v>1324</v>
      </c>
      <c r="L803" t="s">
        <v>1720</v>
      </c>
    </row>
    <row r="804" spans="1:14" x14ac:dyDescent="0.35">
      <c r="A804" t="s">
        <v>593</v>
      </c>
      <c r="B804" t="s">
        <v>1417</v>
      </c>
      <c r="C804" t="s">
        <v>2261</v>
      </c>
      <c r="D804" t="s">
        <v>1721</v>
      </c>
      <c r="F804" t="s">
        <v>2263</v>
      </c>
      <c r="G804" t="s">
        <v>1725</v>
      </c>
      <c r="H804" t="s">
        <v>1776</v>
      </c>
      <c r="I804" t="s">
        <v>1729</v>
      </c>
      <c r="J804" t="s">
        <v>1747</v>
      </c>
      <c r="K804" t="s">
        <v>2401</v>
      </c>
      <c r="L804" t="s">
        <v>1720</v>
      </c>
      <c r="M804" s="57">
        <v>44582</v>
      </c>
      <c r="N804" t="s">
        <v>3480</v>
      </c>
    </row>
    <row r="805" spans="1:14" x14ac:dyDescent="0.35">
      <c r="A805" t="s">
        <v>593</v>
      </c>
      <c r="B805" t="s">
        <v>1417</v>
      </c>
      <c r="C805" t="s">
        <v>2259</v>
      </c>
      <c r="D805" t="s">
        <v>1721</v>
      </c>
      <c r="F805" t="s">
        <v>1802</v>
      </c>
      <c r="G805" t="s">
        <v>1750</v>
      </c>
      <c r="H805" t="s">
        <v>1773</v>
      </c>
      <c r="I805" t="s">
        <v>1748</v>
      </c>
      <c r="J805" t="s">
        <v>1749</v>
      </c>
      <c r="K805" t="s">
        <v>2119</v>
      </c>
      <c r="L805" t="s">
        <v>1720</v>
      </c>
      <c r="M805" s="57">
        <v>44582</v>
      </c>
      <c r="N805" t="s">
        <v>3480</v>
      </c>
    </row>
    <row r="806" spans="1:14" x14ac:dyDescent="0.35">
      <c r="A806" t="s">
        <v>593</v>
      </c>
      <c r="B806" t="s">
        <v>1417</v>
      </c>
      <c r="C806" t="s">
        <v>2259</v>
      </c>
      <c r="D806" t="s">
        <v>1721</v>
      </c>
      <c r="F806" t="s">
        <v>1802</v>
      </c>
      <c r="G806" t="s">
        <v>1821</v>
      </c>
      <c r="H806" t="s">
        <v>1813</v>
      </c>
      <c r="I806" t="s">
        <v>1822</v>
      </c>
      <c r="J806" t="s">
        <v>1846</v>
      </c>
      <c r="K806" t="s">
        <v>2350</v>
      </c>
      <c r="L806" t="s">
        <v>1720</v>
      </c>
      <c r="M806" s="57">
        <v>44582</v>
      </c>
      <c r="N806" t="s">
        <v>3480</v>
      </c>
    </row>
    <row r="807" spans="1:14" x14ac:dyDescent="0.35">
      <c r="A807" t="s">
        <v>593</v>
      </c>
      <c r="B807" t="s">
        <v>1417</v>
      </c>
      <c r="C807" t="s">
        <v>2261</v>
      </c>
      <c r="D807" t="s">
        <v>1721</v>
      </c>
      <c r="F807" t="s">
        <v>1804</v>
      </c>
      <c r="G807" t="s">
        <v>1741</v>
      </c>
      <c r="H807" t="s">
        <v>1775</v>
      </c>
      <c r="I807" t="s">
        <v>1742</v>
      </c>
      <c r="J807" t="s">
        <v>1744</v>
      </c>
      <c r="K807" t="s">
        <v>2350</v>
      </c>
      <c r="L807" t="s">
        <v>1720</v>
      </c>
      <c r="M807" s="57">
        <v>44582</v>
      </c>
      <c r="N807" t="s">
        <v>3480</v>
      </c>
    </row>
    <row r="808" spans="1:14" x14ac:dyDescent="0.35">
      <c r="A808" t="s">
        <v>593</v>
      </c>
      <c r="B808" t="s">
        <v>1417</v>
      </c>
      <c r="C808" t="s">
        <v>2261</v>
      </c>
      <c r="D808" t="s">
        <v>1721</v>
      </c>
      <c r="F808" t="s">
        <v>1802</v>
      </c>
      <c r="G808" t="s">
        <v>1726</v>
      </c>
      <c r="H808" t="s">
        <v>1777</v>
      </c>
      <c r="I808" t="s">
        <v>1739</v>
      </c>
      <c r="J808" t="s">
        <v>1745</v>
      </c>
      <c r="K808" t="s">
        <v>2322</v>
      </c>
      <c r="L808" t="s">
        <v>1720</v>
      </c>
      <c r="M808" s="57">
        <v>44582</v>
      </c>
      <c r="N808" t="s">
        <v>3480</v>
      </c>
    </row>
    <row r="809" spans="1:14" x14ac:dyDescent="0.35">
      <c r="A809" t="s">
        <v>593</v>
      </c>
      <c r="B809" t="s">
        <v>1417</v>
      </c>
      <c r="C809" t="s">
        <v>2261</v>
      </c>
      <c r="D809" t="s">
        <v>1721</v>
      </c>
      <c r="E809" t="s">
        <v>2372</v>
      </c>
      <c r="F809" t="s">
        <v>1802</v>
      </c>
      <c r="G809" t="s">
        <v>1760</v>
      </c>
      <c r="H809" t="s">
        <v>1844</v>
      </c>
      <c r="I809" t="s">
        <v>1758</v>
      </c>
      <c r="J809" t="s">
        <v>1877</v>
      </c>
      <c r="K809" t="s">
        <v>2350</v>
      </c>
      <c r="L809" t="s">
        <v>1720</v>
      </c>
      <c r="M809" s="57">
        <v>44582</v>
      </c>
      <c r="N809" t="s">
        <v>3480</v>
      </c>
    </row>
    <row r="810" spans="1:14" x14ac:dyDescent="0.35">
      <c r="A810" t="s">
        <v>593</v>
      </c>
      <c r="B810" t="s">
        <v>1417</v>
      </c>
      <c r="C810" t="s">
        <v>2261</v>
      </c>
      <c r="D810" t="s">
        <v>1721</v>
      </c>
      <c r="F810" t="s">
        <v>2308</v>
      </c>
      <c r="G810" t="s">
        <v>1728</v>
      </c>
      <c r="H810" t="s">
        <v>1779</v>
      </c>
      <c r="I810" t="s">
        <v>1819</v>
      </c>
      <c r="J810" t="s">
        <v>1820</v>
      </c>
      <c r="K810" t="s">
        <v>2350</v>
      </c>
      <c r="L810" t="s">
        <v>1720</v>
      </c>
      <c r="M810" s="57">
        <v>44582</v>
      </c>
      <c r="N810" t="s">
        <v>3480</v>
      </c>
    </row>
    <row r="811" spans="1:14" x14ac:dyDescent="0.35">
      <c r="A811" t="s">
        <v>593</v>
      </c>
      <c r="B811" t="s">
        <v>1417</v>
      </c>
      <c r="C811" t="s">
        <v>2259</v>
      </c>
      <c r="D811" t="s">
        <v>1721</v>
      </c>
      <c r="F811" t="s">
        <v>1802</v>
      </c>
      <c r="G811" t="s">
        <v>1762</v>
      </c>
      <c r="H811" t="s">
        <v>2304</v>
      </c>
      <c r="I811" t="s">
        <v>1763</v>
      </c>
      <c r="J811" t="s">
        <v>1746</v>
      </c>
      <c r="K811" t="s">
        <v>2547</v>
      </c>
      <c r="L811" t="s">
        <v>1720</v>
      </c>
      <c r="M811" s="57">
        <v>44582</v>
      </c>
      <c r="N811" t="s">
        <v>3480</v>
      </c>
    </row>
    <row r="812" spans="1:14" x14ac:dyDescent="0.35">
      <c r="A812" t="s">
        <v>20</v>
      </c>
      <c r="B812" t="s">
        <v>849</v>
      </c>
      <c r="C812" t="s">
        <v>2261</v>
      </c>
      <c r="D812" t="s">
        <v>1721</v>
      </c>
      <c r="F812" t="s">
        <v>1801</v>
      </c>
      <c r="G812" t="s">
        <v>1735</v>
      </c>
      <c r="H812" t="s">
        <v>1774</v>
      </c>
      <c r="I812" t="s">
        <v>1734</v>
      </c>
      <c r="J812" t="s">
        <v>1736</v>
      </c>
      <c r="K812" t="s">
        <v>2260</v>
      </c>
      <c r="L812" t="s">
        <v>1720</v>
      </c>
      <c r="M812" s="57">
        <v>44582</v>
      </c>
      <c r="N812" t="s">
        <v>3480</v>
      </c>
    </row>
    <row r="813" spans="1:14" hidden="1" x14ac:dyDescent="0.35">
      <c r="A813" t="s">
        <v>171</v>
      </c>
      <c r="B813" t="s">
        <v>1000</v>
      </c>
      <c r="L813" t="s">
        <v>1720</v>
      </c>
    </row>
    <row r="814" spans="1:14" x14ac:dyDescent="0.35">
      <c r="A814" t="s">
        <v>25</v>
      </c>
      <c r="B814" t="s">
        <v>854</v>
      </c>
      <c r="C814" t="s">
        <v>2259</v>
      </c>
      <c r="D814" t="s">
        <v>1724</v>
      </c>
      <c r="F814" t="s">
        <v>1802</v>
      </c>
      <c r="G814" t="s">
        <v>1737</v>
      </c>
      <c r="H814" t="s">
        <v>1737</v>
      </c>
      <c r="I814" t="s">
        <v>1738</v>
      </c>
      <c r="J814" t="s">
        <v>1740</v>
      </c>
      <c r="K814" t="s">
        <v>2492</v>
      </c>
      <c r="L814" t="s">
        <v>1720</v>
      </c>
      <c r="M814" s="57">
        <v>44581</v>
      </c>
      <c r="N814" t="s">
        <v>3481</v>
      </c>
    </row>
    <row r="815" spans="1:14" x14ac:dyDescent="0.35">
      <c r="A815" t="s">
        <v>25</v>
      </c>
      <c r="B815" t="s">
        <v>854</v>
      </c>
      <c r="C815" t="s">
        <v>2259</v>
      </c>
      <c r="D815" t="s">
        <v>1721</v>
      </c>
      <c r="F815" t="s">
        <v>1802</v>
      </c>
      <c r="G815" t="s">
        <v>1737</v>
      </c>
      <c r="H815" t="s">
        <v>1737</v>
      </c>
      <c r="I815" t="s">
        <v>1738</v>
      </c>
      <c r="J815" t="s">
        <v>1740</v>
      </c>
      <c r="K815" t="s">
        <v>2270</v>
      </c>
      <c r="L815" t="s">
        <v>1720</v>
      </c>
      <c r="M815" s="57">
        <v>44581</v>
      </c>
      <c r="N815" t="s">
        <v>3481</v>
      </c>
    </row>
    <row r="816" spans="1:14" x14ac:dyDescent="0.35">
      <c r="A816" t="s">
        <v>25</v>
      </c>
      <c r="B816" t="s">
        <v>854</v>
      </c>
      <c r="C816" t="s">
        <v>2261</v>
      </c>
      <c r="D816" t="s">
        <v>1721</v>
      </c>
      <c r="E816" t="s">
        <v>2272</v>
      </c>
      <c r="F816" t="s">
        <v>1802</v>
      </c>
      <c r="G816" t="s">
        <v>1726</v>
      </c>
      <c r="H816" t="s">
        <v>1777</v>
      </c>
      <c r="I816" t="s">
        <v>1739</v>
      </c>
      <c r="J816" t="s">
        <v>1745</v>
      </c>
      <c r="K816" t="s">
        <v>2271</v>
      </c>
      <c r="L816" t="s">
        <v>1720</v>
      </c>
      <c r="M816" s="57">
        <v>44581</v>
      </c>
      <c r="N816" t="s">
        <v>3480</v>
      </c>
    </row>
    <row r="817" spans="1:14" x14ac:dyDescent="0.35">
      <c r="A817" t="s">
        <v>25</v>
      </c>
      <c r="B817" t="s">
        <v>854</v>
      </c>
      <c r="C817" t="s">
        <v>2261</v>
      </c>
      <c r="D817" t="s">
        <v>1721</v>
      </c>
      <c r="E817" t="s">
        <v>2274</v>
      </c>
      <c r="F817" t="s">
        <v>1802</v>
      </c>
      <c r="G817" t="s">
        <v>1726</v>
      </c>
      <c r="H817" t="s">
        <v>1777</v>
      </c>
      <c r="I817" t="s">
        <v>1739</v>
      </c>
      <c r="J817" t="s">
        <v>1745</v>
      </c>
      <c r="K817" t="s">
        <v>2273</v>
      </c>
      <c r="L817" t="s">
        <v>1720</v>
      </c>
      <c r="M817" s="57">
        <v>44581</v>
      </c>
      <c r="N817" t="s">
        <v>3480</v>
      </c>
    </row>
    <row r="818" spans="1:14" hidden="1" x14ac:dyDescent="0.35">
      <c r="A818" t="s">
        <v>778</v>
      </c>
      <c r="B818" t="s">
        <v>854</v>
      </c>
      <c r="L818" t="s">
        <v>1720</v>
      </c>
    </row>
    <row r="819" spans="1:14" hidden="1" x14ac:dyDescent="0.35">
      <c r="A819" t="s">
        <v>183</v>
      </c>
      <c r="B819" t="s">
        <v>1012</v>
      </c>
      <c r="L819" t="s">
        <v>1720</v>
      </c>
    </row>
    <row r="820" spans="1:14" hidden="1" x14ac:dyDescent="0.35">
      <c r="A820" t="s">
        <v>143</v>
      </c>
      <c r="B820" t="s">
        <v>972</v>
      </c>
      <c r="L820" t="s">
        <v>1720</v>
      </c>
    </row>
    <row r="821" spans="1:14" hidden="1" x14ac:dyDescent="0.35">
      <c r="A821" t="s">
        <v>694</v>
      </c>
      <c r="B821" t="s">
        <v>1518</v>
      </c>
      <c r="L821" t="s">
        <v>1720</v>
      </c>
    </row>
    <row r="822" spans="1:14" hidden="1" x14ac:dyDescent="0.35">
      <c r="A822" t="s">
        <v>458</v>
      </c>
      <c r="B822" t="s">
        <v>1282</v>
      </c>
      <c r="L822" t="s">
        <v>1720</v>
      </c>
    </row>
    <row r="823" spans="1:14" hidden="1" x14ac:dyDescent="0.35">
      <c r="A823" t="s">
        <v>225</v>
      </c>
      <c r="B823" t="s">
        <v>1052</v>
      </c>
      <c r="L823" t="s">
        <v>1720</v>
      </c>
    </row>
    <row r="824" spans="1:14" hidden="1" x14ac:dyDescent="0.35">
      <c r="A824" t="s">
        <v>222</v>
      </c>
      <c r="B824" t="s">
        <v>1049</v>
      </c>
      <c r="L824" t="s">
        <v>1720</v>
      </c>
    </row>
    <row r="825" spans="1:14" hidden="1" x14ac:dyDescent="0.35">
      <c r="A825" t="s">
        <v>672</v>
      </c>
      <c r="B825" t="s">
        <v>1496</v>
      </c>
      <c r="L825" t="s">
        <v>1720</v>
      </c>
    </row>
    <row r="826" spans="1:14" hidden="1" x14ac:dyDescent="0.35">
      <c r="A826" t="s">
        <v>220</v>
      </c>
      <c r="B826" t="s">
        <v>1047</v>
      </c>
      <c r="L826" t="s">
        <v>1720</v>
      </c>
    </row>
    <row r="827" spans="1:14" hidden="1" x14ac:dyDescent="0.35">
      <c r="A827" t="s">
        <v>282</v>
      </c>
      <c r="B827" t="s">
        <v>1108</v>
      </c>
      <c r="L827" t="s">
        <v>1720</v>
      </c>
    </row>
    <row r="828" spans="1:14" hidden="1" x14ac:dyDescent="0.35">
      <c r="A828" t="s">
        <v>495</v>
      </c>
      <c r="B828" t="s">
        <v>1319</v>
      </c>
      <c r="L828" t="s">
        <v>1720</v>
      </c>
    </row>
    <row r="829" spans="1:14" hidden="1" x14ac:dyDescent="0.35">
      <c r="A829" t="s">
        <v>586</v>
      </c>
      <c r="B829" t="s">
        <v>1410</v>
      </c>
      <c r="L829" t="s">
        <v>1720</v>
      </c>
    </row>
    <row r="830" spans="1:14" hidden="1" x14ac:dyDescent="0.35">
      <c r="A830" t="s">
        <v>163</v>
      </c>
      <c r="B830" t="s">
        <v>992</v>
      </c>
      <c r="L830" t="s">
        <v>1720</v>
      </c>
    </row>
    <row r="831" spans="1:14" hidden="1" x14ac:dyDescent="0.35">
      <c r="A831" t="s">
        <v>105</v>
      </c>
      <c r="B831" t="s">
        <v>934</v>
      </c>
      <c r="L831" t="s">
        <v>1720</v>
      </c>
    </row>
    <row r="832" spans="1:14" hidden="1" x14ac:dyDescent="0.35">
      <c r="A832" t="s">
        <v>627</v>
      </c>
      <c r="B832" t="s">
        <v>1451</v>
      </c>
      <c r="L832" t="s">
        <v>1720</v>
      </c>
    </row>
    <row r="833" spans="1:14" hidden="1" x14ac:dyDescent="0.35">
      <c r="A833" t="s">
        <v>646</v>
      </c>
      <c r="B833" t="s">
        <v>1470</v>
      </c>
      <c r="L833" t="s">
        <v>1720</v>
      </c>
    </row>
    <row r="834" spans="1:14" hidden="1" x14ac:dyDescent="0.35">
      <c r="A834" t="s">
        <v>244</v>
      </c>
      <c r="B834" t="s">
        <v>1070</v>
      </c>
      <c r="L834" t="s">
        <v>1720</v>
      </c>
    </row>
    <row r="835" spans="1:14" hidden="1" x14ac:dyDescent="0.35">
      <c r="A835" t="s">
        <v>653</v>
      </c>
      <c r="B835" t="s">
        <v>1477</v>
      </c>
      <c r="L835" t="s">
        <v>1720</v>
      </c>
    </row>
    <row r="836" spans="1:14" hidden="1" x14ac:dyDescent="0.35">
      <c r="A836" t="s">
        <v>16</v>
      </c>
      <c r="B836" t="s">
        <v>845</v>
      </c>
      <c r="L836" t="s">
        <v>1720</v>
      </c>
    </row>
    <row r="837" spans="1:14" hidden="1" x14ac:dyDescent="0.35">
      <c r="A837" t="s">
        <v>257</v>
      </c>
      <c r="B837" t="s">
        <v>1083</v>
      </c>
      <c r="L837" t="s">
        <v>1720</v>
      </c>
    </row>
    <row r="838" spans="1:14" x14ac:dyDescent="0.35">
      <c r="A838" t="s">
        <v>493</v>
      </c>
      <c r="B838" t="s">
        <v>1317</v>
      </c>
      <c r="C838" t="s">
        <v>2261</v>
      </c>
      <c r="D838" t="s">
        <v>1721</v>
      </c>
      <c r="F838" t="s">
        <v>2263</v>
      </c>
      <c r="G838" t="s">
        <v>1725</v>
      </c>
      <c r="H838" t="s">
        <v>1776</v>
      </c>
      <c r="I838" t="s">
        <v>1729</v>
      </c>
      <c r="J838" t="s">
        <v>1747</v>
      </c>
      <c r="K838" t="s">
        <v>2433</v>
      </c>
      <c r="L838" t="s">
        <v>1720</v>
      </c>
      <c r="M838" s="57">
        <v>44582</v>
      </c>
      <c r="N838" t="s">
        <v>3480</v>
      </c>
    </row>
    <row r="839" spans="1:14" hidden="1" x14ac:dyDescent="0.35">
      <c r="A839" t="s">
        <v>207</v>
      </c>
      <c r="B839" t="s">
        <v>1034</v>
      </c>
      <c r="L839" t="s">
        <v>1720</v>
      </c>
    </row>
    <row r="840" spans="1:14" x14ac:dyDescent="0.35">
      <c r="A840" t="s">
        <v>140</v>
      </c>
      <c r="B840" t="s">
        <v>969</v>
      </c>
      <c r="C840" t="s">
        <v>2261</v>
      </c>
      <c r="D840" t="s">
        <v>1721</v>
      </c>
      <c r="F840" t="s">
        <v>1804</v>
      </c>
      <c r="G840" t="s">
        <v>1741</v>
      </c>
      <c r="H840" t="s">
        <v>1775</v>
      </c>
      <c r="I840" t="s">
        <v>1742</v>
      </c>
      <c r="J840" t="s">
        <v>1744</v>
      </c>
      <c r="K840" t="s">
        <v>2371</v>
      </c>
      <c r="L840" t="s">
        <v>1720</v>
      </c>
      <c r="M840" s="57">
        <v>44582</v>
      </c>
      <c r="N840" t="s">
        <v>3480</v>
      </c>
    </row>
    <row r="841" spans="1:14" x14ac:dyDescent="0.35">
      <c r="A841" t="s">
        <v>140</v>
      </c>
      <c r="B841" t="s">
        <v>969</v>
      </c>
      <c r="C841" t="s">
        <v>2261</v>
      </c>
      <c r="D841" t="s">
        <v>1721</v>
      </c>
      <c r="E841" t="s">
        <v>2372</v>
      </c>
      <c r="F841" t="s">
        <v>1802</v>
      </c>
      <c r="G841" t="s">
        <v>1760</v>
      </c>
      <c r="H841" t="s">
        <v>1844</v>
      </c>
      <c r="I841" t="s">
        <v>1758</v>
      </c>
      <c r="J841" t="s">
        <v>1878</v>
      </c>
      <c r="K841" t="s">
        <v>2325</v>
      </c>
      <c r="L841" t="s">
        <v>1720</v>
      </c>
      <c r="M841" s="57">
        <v>44582</v>
      </c>
      <c r="N841" t="s">
        <v>3480</v>
      </c>
    </row>
    <row r="842" spans="1:14" x14ac:dyDescent="0.35">
      <c r="A842" t="s">
        <v>140</v>
      </c>
      <c r="B842" t="s">
        <v>969</v>
      </c>
      <c r="C842" t="s">
        <v>2259</v>
      </c>
      <c r="D842" t="s">
        <v>1721</v>
      </c>
      <c r="F842" t="s">
        <v>2308</v>
      </c>
      <c r="G842" t="s">
        <v>1728</v>
      </c>
      <c r="H842" t="s">
        <v>1779</v>
      </c>
      <c r="I842" t="s">
        <v>1819</v>
      </c>
      <c r="J842" t="s">
        <v>1820</v>
      </c>
      <c r="K842" t="s">
        <v>2325</v>
      </c>
      <c r="L842" t="s">
        <v>1720</v>
      </c>
      <c r="M842" s="57">
        <v>44582</v>
      </c>
      <c r="N842" t="s">
        <v>3480</v>
      </c>
    </row>
    <row r="843" spans="1:14" x14ac:dyDescent="0.35">
      <c r="A843" t="s">
        <v>140</v>
      </c>
      <c r="B843" t="s">
        <v>969</v>
      </c>
      <c r="C843" t="s">
        <v>2261</v>
      </c>
      <c r="D843" t="s">
        <v>1721</v>
      </c>
      <c r="E843" t="s">
        <v>2280</v>
      </c>
      <c r="F843" t="s">
        <v>1801</v>
      </c>
      <c r="G843" t="s">
        <v>1728</v>
      </c>
      <c r="H843" t="s">
        <v>1800</v>
      </c>
      <c r="I843" t="s">
        <v>1763</v>
      </c>
      <c r="J843" t="s">
        <v>1746</v>
      </c>
      <c r="K843" t="s">
        <v>2508</v>
      </c>
      <c r="L843" t="s">
        <v>1720</v>
      </c>
      <c r="M843" s="57">
        <v>44582</v>
      </c>
      <c r="N843" t="s">
        <v>3480</v>
      </c>
    </row>
    <row r="844" spans="1:14" x14ac:dyDescent="0.35">
      <c r="A844" t="s">
        <v>140</v>
      </c>
      <c r="B844" t="s">
        <v>969</v>
      </c>
      <c r="C844" t="s">
        <v>2261</v>
      </c>
      <c r="D844" t="s">
        <v>1721</v>
      </c>
      <c r="E844" t="s">
        <v>2277</v>
      </c>
      <c r="F844" t="s">
        <v>1804</v>
      </c>
      <c r="G844" t="s">
        <v>1741</v>
      </c>
      <c r="H844" t="s">
        <v>1775</v>
      </c>
      <c r="I844" t="s">
        <v>1742</v>
      </c>
      <c r="J844" t="s">
        <v>1744</v>
      </c>
      <c r="K844" t="s">
        <v>2373</v>
      </c>
      <c r="L844" t="s">
        <v>1720</v>
      </c>
      <c r="M844" s="57">
        <v>44582</v>
      </c>
      <c r="N844" t="s">
        <v>3480</v>
      </c>
    </row>
    <row r="845" spans="1:14" x14ac:dyDescent="0.35">
      <c r="A845" t="s">
        <v>140</v>
      </c>
      <c r="B845" t="s">
        <v>969</v>
      </c>
      <c r="C845" t="s">
        <v>2261</v>
      </c>
      <c r="D845" t="s">
        <v>1721</v>
      </c>
      <c r="E845" t="s">
        <v>2298</v>
      </c>
      <c r="F845" t="s">
        <v>1802</v>
      </c>
      <c r="G845" t="s">
        <v>1760</v>
      </c>
      <c r="H845" t="s">
        <v>1850</v>
      </c>
      <c r="I845" t="s">
        <v>1758</v>
      </c>
      <c r="J845" t="s">
        <v>1759</v>
      </c>
      <c r="K845" t="s">
        <v>2319</v>
      </c>
      <c r="L845" t="s">
        <v>1720</v>
      </c>
      <c r="M845" s="57">
        <v>44582</v>
      </c>
      <c r="N845" t="s">
        <v>3480</v>
      </c>
    </row>
    <row r="846" spans="1:14" x14ac:dyDescent="0.35">
      <c r="A846" t="s">
        <v>140</v>
      </c>
      <c r="B846" t="s">
        <v>969</v>
      </c>
      <c r="C846" t="s">
        <v>2261</v>
      </c>
      <c r="D846" t="s">
        <v>1724</v>
      </c>
      <c r="E846" t="s">
        <v>2301</v>
      </c>
      <c r="F846" t="s">
        <v>1802</v>
      </c>
      <c r="G846" t="s">
        <v>1760</v>
      </c>
      <c r="H846" t="s">
        <v>2299</v>
      </c>
      <c r="I846" t="s">
        <v>1758</v>
      </c>
      <c r="J846" t="s">
        <v>1759</v>
      </c>
      <c r="K846" t="s">
        <v>2374</v>
      </c>
      <c r="L846" t="s">
        <v>1720</v>
      </c>
      <c r="M846" s="57">
        <v>44582</v>
      </c>
      <c r="N846" t="s">
        <v>3480</v>
      </c>
    </row>
    <row r="847" spans="1:14" x14ac:dyDescent="0.35">
      <c r="A847" t="s">
        <v>140</v>
      </c>
      <c r="B847" t="s">
        <v>969</v>
      </c>
      <c r="C847" t="s">
        <v>2261</v>
      </c>
      <c r="D847" t="s">
        <v>1721</v>
      </c>
      <c r="F847" t="s">
        <v>1802</v>
      </c>
      <c r="G847" t="s">
        <v>1750</v>
      </c>
      <c r="H847" t="s">
        <v>1773</v>
      </c>
      <c r="I847" t="s">
        <v>1748</v>
      </c>
      <c r="J847" t="s">
        <v>1749</v>
      </c>
      <c r="K847" t="s">
        <v>2375</v>
      </c>
      <c r="L847" t="s">
        <v>1720</v>
      </c>
      <c r="M847" s="57">
        <v>44582</v>
      </c>
      <c r="N847" t="s">
        <v>3480</v>
      </c>
    </row>
    <row r="848" spans="1:14" x14ac:dyDescent="0.35">
      <c r="A848" t="s">
        <v>140</v>
      </c>
      <c r="B848" t="s">
        <v>969</v>
      </c>
      <c r="C848" t="s">
        <v>2261</v>
      </c>
      <c r="D848" t="s">
        <v>1724</v>
      </c>
      <c r="E848" t="s">
        <v>2376</v>
      </c>
      <c r="F848" t="s">
        <v>1802</v>
      </c>
      <c r="G848" t="s">
        <v>1726</v>
      </c>
      <c r="H848" t="s">
        <v>1777</v>
      </c>
      <c r="I848" t="s">
        <v>1739</v>
      </c>
      <c r="J848" t="s">
        <v>1745</v>
      </c>
      <c r="K848" t="s">
        <v>2318</v>
      </c>
      <c r="L848" t="s">
        <v>1720</v>
      </c>
      <c r="M848" s="57">
        <v>44582</v>
      </c>
      <c r="N848" t="s">
        <v>3480</v>
      </c>
    </row>
    <row r="849" spans="1:14" x14ac:dyDescent="0.35">
      <c r="A849" t="s">
        <v>140</v>
      </c>
      <c r="B849" t="s">
        <v>969</v>
      </c>
      <c r="C849" t="s">
        <v>2261</v>
      </c>
      <c r="D849" t="s">
        <v>1724</v>
      </c>
      <c r="E849" t="s">
        <v>2376</v>
      </c>
      <c r="F849" t="s">
        <v>1802</v>
      </c>
      <c r="G849" t="s">
        <v>1726</v>
      </c>
      <c r="H849" t="s">
        <v>1777</v>
      </c>
      <c r="I849" t="s">
        <v>1739</v>
      </c>
      <c r="J849" t="s">
        <v>1745</v>
      </c>
      <c r="K849" t="s">
        <v>2318</v>
      </c>
      <c r="L849" t="s">
        <v>1720</v>
      </c>
      <c r="M849" s="57">
        <v>44582</v>
      </c>
      <c r="N849" t="s">
        <v>3480</v>
      </c>
    </row>
    <row r="850" spans="1:14" x14ac:dyDescent="0.35">
      <c r="A850" t="s">
        <v>140</v>
      </c>
      <c r="B850" t="s">
        <v>969</v>
      </c>
      <c r="C850" t="s">
        <v>2261</v>
      </c>
      <c r="D850" t="s">
        <v>1721</v>
      </c>
      <c r="E850" t="s">
        <v>2376</v>
      </c>
      <c r="F850" t="s">
        <v>1802</v>
      </c>
      <c r="G850" t="s">
        <v>1726</v>
      </c>
      <c r="H850" t="s">
        <v>1777</v>
      </c>
      <c r="I850" t="s">
        <v>1739</v>
      </c>
      <c r="J850" t="s">
        <v>1745</v>
      </c>
      <c r="K850" t="s">
        <v>2305</v>
      </c>
      <c r="L850" t="s">
        <v>1720</v>
      </c>
      <c r="M850" s="57">
        <v>44582</v>
      </c>
      <c r="N850" t="s">
        <v>3480</v>
      </c>
    </row>
    <row r="851" spans="1:14" x14ac:dyDescent="0.35">
      <c r="A851" t="s">
        <v>140</v>
      </c>
      <c r="B851" t="s">
        <v>969</v>
      </c>
      <c r="C851" t="s">
        <v>2261</v>
      </c>
      <c r="D851" t="s">
        <v>1721</v>
      </c>
      <c r="E851" t="s">
        <v>2376</v>
      </c>
      <c r="F851" t="s">
        <v>1802</v>
      </c>
      <c r="G851" t="s">
        <v>1726</v>
      </c>
      <c r="H851" t="s">
        <v>1777</v>
      </c>
      <c r="I851" t="s">
        <v>1739</v>
      </c>
      <c r="J851" t="s">
        <v>1745</v>
      </c>
      <c r="K851" t="s">
        <v>2305</v>
      </c>
      <c r="L851" t="s">
        <v>1720</v>
      </c>
      <c r="M851" s="57">
        <v>44582</v>
      </c>
      <c r="N851" t="s">
        <v>3480</v>
      </c>
    </row>
    <row r="852" spans="1:14" x14ac:dyDescent="0.35">
      <c r="A852" t="s">
        <v>140</v>
      </c>
      <c r="B852" t="s">
        <v>969</v>
      </c>
      <c r="C852" t="s">
        <v>2261</v>
      </c>
      <c r="D852" t="s">
        <v>1724</v>
      </c>
      <c r="E852" t="s">
        <v>2378</v>
      </c>
      <c r="F852" t="s">
        <v>1802</v>
      </c>
      <c r="G852" t="s">
        <v>1726</v>
      </c>
      <c r="H852" t="s">
        <v>1777</v>
      </c>
      <c r="I852" t="s">
        <v>1739</v>
      </c>
      <c r="J852" t="s">
        <v>1745</v>
      </c>
      <c r="K852" t="s">
        <v>2377</v>
      </c>
      <c r="L852" t="s">
        <v>1720</v>
      </c>
      <c r="M852" s="57">
        <v>44582</v>
      </c>
      <c r="N852" t="s">
        <v>3480</v>
      </c>
    </row>
    <row r="853" spans="1:14" x14ac:dyDescent="0.35">
      <c r="A853" t="s">
        <v>140</v>
      </c>
      <c r="B853" t="s">
        <v>969</v>
      </c>
      <c r="C853" t="s">
        <v>2261</v>
      </c>
      <c r="D853" t="s">
        <v>1724</v>
      </c>
      <c r="E853" t="s">
        <v>2378</v>
      </c>
      <c r="F853" t="s">
        <v>1802</v>
      </c>
      <c r="G853" t="s">
        <v>1726</v>
      </c>
      <c r="H853" t="s">
        <v>1777</v>
      </c>
      <c r="I853" t="s">
        <v>1739</v>
      </c>
      <c r="J853" t="s">
        <v>1745</v>
      </c>
      <c r="K853" t="s">
        <v>2377</v>
      </c>
      <c r="L853" t="s">
        <v>1720</v>
      </c>
      <c r="M853" s="57">
        <v>44582</v>
      </c>
      <c r="N853" t="s">
        <v>3480</v>
      </c>
    </row>
    <row r="854" spans="1:14" x14ac:dyDescent="0.35">
      <c r="A854" t="s">
        <v>140</v>
      </c>
      <c r="B854" t="s">
        <v>969</v>
      </c>
      <c r="C854" t="s">
        <v>2261</v>
      </c>
      <c r="D854" t="s">
        <v>1721</v>
      </c>
      <c r="E854" t="s">
        <v>2378</v>
      </c>
      <c r="F854" t="s">
        <v>1802</v>
      </c>
      <c r="G854" t="s">
        <v>1726</v>
      </c>
      <c r="H854" t="s">
        <v>1777</v>
      </c>
      <c r="I854" t="s">
        <v>1739</v>
      </c>
      <c r="J854" t="s">
        <v>1745</v>
      </c>
      <c r="K854" t="s">
        <v>2341</v>
      </c>
      <c r="L854" t="s">
        <v>1720</v>
      </c>
      <c r="M854" s="57">
        <v>44582</v>
      </c>
      <c r="N854" t="s">
        <v>3480</v>
      </c>
    </row>
    <row r="855" spans="1:14" x14ac:dyDescent="0.35">
      <c r="A855" t="s">
        <v>140</v>
      </c>
      <c r="B855" t="s">
        <v>969</v>
      </c>
      <c r="C855" t="s">
        <v>2261</v>
      </c>
      <c r="D855" t="s">
        <v>1721</v>
      </c>
      <c r="E855" t="s">
        <v>2378</v>
      </c>
      <c r="F855" t="s">
        <v>1802</v>
      </c>
      <c r="G855" t="s">
        <v>1726</v>
      </c>
      <c r="H855" t="s">
        <v>1777</v>
      </c>
      <c r="I855" t="s">
        <v>1739</v>
      </c>
      <c r="J855" t="s">
        <v>1745</v>
      </c>
      <c r="K855" t="s">
        <v>2341</v>
      </c>
      <c r="L855" t="s">
        <v>1720</v>
      </c>
      <c r="M855" s="57">
        <v>44582</v>
      </c>
      <c r="N855" t="s">
        <v>3480</v>
      </c>
    </row>
    <row r="856" spans="1:14" hidden="1" x14ac:dyDescent="0.35">
      <c r="A856" t="s">
        <v>502</v>
      </c>
      <c r="B856" t="s">
        <v>1326</v>
      </c>
      <c r="L856" t="s">
        <v>1720</v>
      </c>
    </row>
    <row r="857" spans="1:14" hidden="1" x14ac:dyDescent="0.35">
      <c r="A857" t="s">
        <v>556</v>
      </c>
      <c r="B857" t="s">
        <v>1380</v>
      </c>
      <c r="L857" t="s">
        <v>1720</v>
      </c>
    </row>
    <row r="858" spans="1:14" hidden="1" x14ac:dyDescent="0.35">
      <c r="A858" t="s">
        <v>604</v>
      </c>
      <c r="B858" t="s">
        <v>1428</v>
      </c>
      <c r="L858" t="s">
        <v>1720</v>
      </c>
    </row>
    <row r="859" spans="1:14" hidden="1" x14ac:dyDescent="0.35">
      <c r="A859" t="s">
        <v>299</v>
      </c>
      <c r="B859" t="s">
        <v>1124</v>
      </c>
      <c r="L859" t="s">
        <v>1720</v>
      </c>
    </row>
    <row r="860" spans="1:14" hidden="1" x14ac:dyDescent="0.35">
      <c r="A860" t="s">
        <v>17</v>
      </c>
      <c r="B860" t="s">
        <v>846</v>
      </c>
      <c r="L860" t="s">
        <v>1720</v>
      </c>
    </row>
    <row r="861" spans="1:14" hidden="1" x14ac:dyDescent="0.35">
      <c r="A861" t="s">
        <v>619</v>
      </c>
      <c r="B861" t="s">
        <v>1443</v>
      </c>
      <c r="L861" t="s">
        <v>1720</v>
      </c>
    </row>
    <row r="862" spans="1:14" hidden="1" x14ac:dyDescent="0.35">
      <c r="A862" t="s">
        <v>757</v>
      </c>
      <c r="B862" t="s">
        <v>1581</v>
      </c>
      <c r="L862" t="s">
        <v>1720</v>
      </c>
    </row>
    <row r="863" spans="1:14" hidden="1" x14ac:dyDescent="0.35">
      <c r="A863" t="s">
        <v>631</v>
      </c>
      <c r="B863" t="s">
        <v>1455</v>
      </c>
      <c r="L863" t="s">
        <v>1720</v>
      </c>
    </row>
    <row r="864" spans="1:14" x14ac:dyDescent="0.35">
      <c r="A864" t="s">
        <v>272</v>
      </c>
      <c r="B864" t="s">
        <v>1098</v>
      </c>
      <c r="C864" t="s">
        <v>2259</v>
      </c>
      <c r="D864" t="s">
        <v>1721</v>
      </c>
      <c r="F864" t="s">
        <v>1802</v>
      </c>
      <c r="G864" t="s">
        <v>1750</v>
      </c>
      <c r="H864" t="s">
        <v>1773</v>
      </c>
      <c r="I864" t="s">
        <v>1748</v>
      </c>
      <c r="J864" t="s">
        <v>1749</v>
      </c>
      <c r="K864" t="s">
        <v>2341</v>
      </c>
      <c r="L864" t="s">
        <v>1720</v>
      </c>
      <c r="M864" s="57">
        <v>44582</v>
      </c>
      <c r="N864" t="s">
        <v>3480</v>
      </c>
    </row>
    <row r="865" spans="1:14" x14ac:dyDescent="0.35">
      <c r="A865" t="s">
        <v>272</v>
      </c>
      <c r="B865" t="s">
        <v>1098</v>
      </c>
      <c r="C865" t="s">
        <v>2261</v>
      </c>
      <c r="D865" t="s">
        <v>1721</v>
      </c>
      <c r="F865" t="s">
        <v>1801</v>
      </c>
      <c r="G865" t="s">
        <v>1735</v>
      </c>
      <c r="H865" t="s">
        <v>1774</v>
      </c>
      <c r="I865" t="s">
        <v>1734</v>
      </c>
      <c r="J865" t="s">
        <v>1736</v>
      </c>
      <c r="K865" t="s">
        <v>2399</v>
      </c>
      <c r="L865" t="s">
        <v>1720</v>
      </c>
      <c r="M865" s="57">
        <v>44582</v>
      </c>
      <c r="N865" t="s">
        <v>3480</v>
      </c>
    </row>
    <row r="866" spans="1:14" x14ac:dyDescent="0.35">
      <c r="A866" t="s">
        <v>272</v>
      </c>
      <c r="B866" t="s">
        <v>1098</v>
      </c>
      <c r="C866" t="s">
        <v>2259</v>
      </c>
      <c r="D866" t="s">
        <v>1724</v>
      </c>
      <c r="F866" t="s">
        <v>1802</v>
      </c>
      <c r="G866" t="s">
        <v>1726</v>
      </c>
      <c r="H866" t="s">
        <v>1737</v>
      </c>
      <c r="I866" t="s">
        <v>1730</v>
      </c>
      <c r="J866" t="s">
        <v>1732</v>
      </c>
      <c r="K866" t="s">
        <v>2319</v>
      </c>
      <c r="L866" t="s">
        <v>1720</v>
      </c>
      <c r="M866" s="57">
        <v>44582</v>
      </c>
      <c r="N866" t="s">
        <v>3481</v>
      </c>
    </row>
    <row r="867" spans="1:14" x14ac:dyDescent="0.35">
      <c r="A867" t="s">
        <v>272</v>
      </c>
      <c r="B867" t="s">
        <v>1098</v>
      </c>
      <c r="C867" t="s">
        <v>2261</v>
      </c>
      <c r="D867" t="s">
        <v>1721</v>
      </c>
      <c r="F867" t="s">
        <v>1802</v>
      </c>
      <c r="G867" t="s">
        <v>1757</v>
      </c>
      <c r="H867" t="s">
        <v>1788</v>
      </c>
      <c r="I867" t="s">
        <v>1755</v>
      </c>
      <c r="J867" t="s">
        <v>1756</v>
      </c>
      <c r="K867" t="s">
        <v>2342</v>
      </c>
      <c r="L867" t="s">
        <v>1720</v>
      </c>
      <c r="M867" s="57">
        <v>44582</v>
      </c>
      <c r="N867" t="s">
        <v>3480</v>
      </c>
    </row>
    <row r="868" spans="1:14" x14ac:dyDescent="0.35">
      <c r="A868" t="s">
        <v>272</v>
      </c>
      <c r="B868" t="s">
        <v>1098</v>
      </c>
      <c r="C868" t="s">
        <v>2261</v>
      </c>
      <c r="D868" t="s">
        <v>1724</v>
      </c>
      <c r="F868" t="s">
        <v>1802</v>
      </c>
      <c r="G868" t="s">
        <v>1757</v>
      </c>
      <c r="H868" t="s">
        <v>1780</v>
      </c>
      <c r="I868" t="s">
        <v>1755</v>
      </c>
      <c r="J868" t="s">
        <v>1756</v>
      </c>
      <c r="K868" t="s">
        <v>2400</v>
      </c>
      <c r="L868" t="s">
        <v>1720</v>
      </c>
      <c r="M868" s="57">
        <v>44582</v>
      </c>
      <c r="N868" t="s">
        <v>3480</v>
      </c>
    </row>
    <row r="869" spans="1:14" x14ac:dyDescent="0.35">
      <c r="A869" t="s">
        <v>272</v>
      </c>
      <c r="B869" t="s">
        <v>1098</v>
      </c>
      <c r="C869" t="s">
        <v>2261</v>
      </c>
      <c r="D869" t="s">
        <v>1721</v>
      </c>
      <c r="E869" t="s">
        <v>2277</v>
      </c>
      <c r="F869" t="s">
        <v>1804</v>
      </c>
      <c r="G869" t="s">
        <v>1741</v>
      </c>
      <c r="H869" t="s">
        <v>1775</v>
      </c>
      <c r="I869" t="s">
        <v>1742</v>
      </c>
      <c r="J869" t="s">
        <v>1744</v>
      </c>
      <c r="K869" t="s">
        <v>2111</v>
      </c>
      <c r="L869" t="s">
        <v>1720</v>
      </c>
      <c r="M869" s="57">
        <v>44582</v>
      </c>
      <c r="N869" t="s">
        <v>3480</v>
      </c>
    </row>
    <row r="870" spans="1:14" hidden="1" x14ac:dyDescent="0.35">
      <c r="A870" t="s">
        <v>490</v>
      </c>
      <c r="B870" t="s">
        <v>1314</v>
      </c>
      <c r="L870" t="s">
        <v>1720</v>
      </c>
    </row>
    <row r="871" spans="1:14" hidden="1" x14ac:dyDescent="0.35">
      <c r="A871" t="s">
        <v>518</v>
      </c>
      <c r="B871" t="s">
        <v>1342</v>
      </c>
      <c r="L871" t="s">
        <v>1720</v>
      </c>
    </row>
    <row r="872" spans="1:14" hidden="1" x14ac:dyDescent="0.35">
      <c r="A872" t="s">
        <v>270</v>
      </c>
      <c r="B872" t="s">
        <v>1096</v>
      </c>
      <c r="L872" t="s">
        <v>1720</v>
      </c>
    </row>
    <row r="873" spans="1:14" x14ac:dyDescent="0.35">
      <c r="A873" t="s">
        <v>444</v>
      </c>
      <c r="B873" t="s">
        <v>1268</v>
      </c>
      <c r="C873" t="s">
        <v>2259</v>
      </c>
      <c r="D873" t="s">
        <v>1721</v>
      </c>
      <c r="F873" t="s">
        <v>1802</v>
      </c>
      <c r="G873" t="s">
        <v>1750</v>
      </c>
      <c r="H873" t="s">
        <v>1773</v>
      </c>
      <c r="I873" t="s">
        <v>1748</v>
      </c>
      <c r="J873" t="s">
        <v>1749</v>
      </c>
      <c r="K873" t="s">
        <v>2267</v>
      </c>
      <c r="L873" t="s">
        <v>1720</v>
      </c>
      <c r="M873" s="57">
        <v>44582</v>
      </c>
      <c r="N873" t="s">
        <v>3480</v>
      </c>
    </row>
    <row r="874" spans="1:14" x14ac:dyDescent="0.35">
      <c r="A874" t="s">
        <v>444</v>
      </c>
      <c r="B874" t="s">
        <v>1268</v>
      </c>
      <c r="C874" t="s">
        <v>2261</v>
      </c>
      <c r="D874" t="s">
        <v>1721</v>
      </c>
      <c r="F874" t="s">
        <v>1801</v>
      </c>
      <c r="G874" t="s">
        <v>1735</v>
      </c>
      <c r="H874" t="s">
        <v>1774</v>
      </c>
      <c r="I874" t="s">
        <v>1734</v>
      </c>
      <c r="J874" t="s">
        <v>1736</v>
      </c>
      <c r="K874" t="s">
        <v>2119</v>
      </c>
      <c r="L874" t="s">
        <v>1720</v>
      </c>
      <c r="M874" s="57">
        <v>44582</v>
      </c>
      <c r="N874" t="s">
        <v>3480</v>
      </c>
    </row>
    <row r="875" spans="1:14" hidden="1" x14ac:dyDescent="0.35">
      <c r="A875" t="s">
        <v>335</v>
      </c>
      <c r="B875" t="s">
        <v>1160</v>
      </c>
      <c r="L875" t="s">
        <v>1720</v>
      </c>
    </row>
    <row r="876" spans="1:14" hidden="1" x14ac:dyDescent="0.35">
      <c r="A876" t="s">
        <v>265</v>
      </c>
      <c r="B876" t="s">
        <v>1091</v>
      </c>
      <c r="L876" t="s">
        <v>1720</v>
      </c>
    </row>
    <row r="877" spans="1:14" hidden="1" x14ac:dyDescent="0.35">
      <c r="A877" t="s">
        <v>695</v>
      </c>
      <c r="B877" t="s">
        <v>1519</v>
      </c>
      <c r="L877" t="s">
        <v>1720</v>
      </c>
    </row>
    <row r="878" spans="1:14" hidden="1" x14ac:dyDescent="0.35">
      <c r="A878" t="s">
        <v>129</v>
      </c>
      <c r="B878" t="s">
        <v>958</v>
      </c>
      <c r="L878" t="s">
        <v>1720</v>
      </c>
    </row>
    <row r="879" spans="1:14" hidden="1" x14ac:dyDescent="0.35">
      <c r="A879" t="s">
        <v>425</v>
      </c>
      <c r="B879" t="s">
        <v>1249</v>
      </c>
      <c r="L879" t="s">
        <v>1720</v>
      </c>
    </row>
    <row r="880" spans="1:14" hidden="1" x14ac:dyDescent="0.35">
      <c r="A880" t="s">
        <v>696</v>
      </c>
      <c r="B880" t="s">
        <v>1520</v>
      </c>
      <c r="L880" t="s">
        <v>1720</v>
      </c>
    </row>
    <row r="881" spans="1:14" x14ac:dyDescent="0.35">
      <c r="A881" t="s">
        <v>415</v>
      </c>
      <c r="B881" t="s">
        <v>1239</v>
      </c>
      <c r="C881" t="s">
        <v>2259</v>
      </c>
      <c r="D881" t="s">
        <v>1721</v>
      </c>
      <c r="F881" t="s">
        <v>1802</v>
      </c>
      <c r="G881" t="s">
        <v>1821</v>
      </c>
      <c r="H881" t="s">
        <v>1813</v>
      </c>
      <c r="I881" t="s">
        <v>1822</v>
      </c>
      <c r="J881" t="s">
        <v>1846</v>
      </c>
      <c r="K881" t="s">
        <v>2498</v>
      </c>
      <c r="L881" t="s">
        <v>1720</v>
      </c>
      <c r="M881" s="57">
        <v>44581</v>
      </c>
      <c r="N881" t="s">
        <v>3480</v>
      </c>
    </row>
    <row r="882" spans="1:14" x14ac:dyDescent="0.35">
      <c r="A882" t="s">
        <v>415</v>
      </c>
      <c r="B882" t="s">
        <v>1239</v>
      </c>
      <c r="C882" t="s">
        <v>2261</v>
      </c>
      <c r="D882" t="s">
        <v>1721</v>
      </c>
      <c r="F882" t="s">
        <v>1804</v>
      </c>
      <c r="G882" t="s">
        <v>1741</v>
      </c>
      <c r="H882" t="s">
        <v>1775</v>
      </c>
      <c r="I882" t="s">
        <v>1742</v>
      </c>
      <c r="J882" t="s">
        <v>1744</v>
      </c>
      <c r="K882" t="s">
        <v>2498</v>
      </c>
      <c r="L882" t="s">
        <v>1720</v>
      </c>
      <c r="M882" s="57">
        <v>44581</v>
      </c>
      <c r="N882" t="s">
        <v>3480</v>
      </c>
    </row>
    <row r="883" spans="1:14" x14ac:dyDescent="0.35">
      <c r="A883" t="s">
        <v>415</v>
      </c>
      <c r="B883" t="s">
        <v>1239</v>
      </c>
      <c r="C883" t="s">
        <v>2261</v>
      </c>
      <c r="D883" t="s">
        <v>1721</v>
      </c>
      <c r="E883" t="s">
        <v>2363</v>
      </c>
      <c r="F883" t="s">
        <v>1802</v>
      </c>
      <c r="G883" t="s">
        <v>1760</v>
      </c>
      <c r="H883" t="s">
        <v>1876</v>
      </c>
      <c r="I883" t="s">
        <v>2419</v>
      </c>
      <c r="J883" t="s">
        <v>2420</v>
      </c>
      <c r="K883" t="s">
        <v>2498</v>
      </c>
      <c r="L883" t="s">
        <v>1720</v>
      </c>
      <c r="M883" s="57">
        <v>44581</v>
      </c>
      <c r="N883" t="s">
        <v>3480</v>
      </c>
    </row>
    <row r="884" spans="1:14" x14ac:dyDescent="0.35">
      <c r="A884" t="s">
        <v>415</v>
      </c>
      <c r="B884" t="s">
        <v>1239</v>
      </c>
      <c r="C884" t="s">
        <v>2259</v>
      </c>
      <c r="D884" t="s">
        <v>1721</v>
      </c>
      <c r="F884" t="s">
        <v>2308</v>
      </c>
      <c r="G884" t="s">
        <v>1728</v>
      </c>
      <c r="H884" t="s">
        <v>1779</v>
      </c>
      <c r="I884" t="s">
        <v>1819</v>
      </c>
      <c r="J884" t="s">
        <v>1820</v>
      </c>
      <c r="K884" t="s">
        <v>2498</v>
      </c>
      <c r="L884" t="s">
        <v>1720</v>
      </c>
      <c r="M884" s="57">
        <v>44581</v>
      </c>
      <c r="N884" t="s">
        <v>3480</v>
      </c>
    </row>
    <row r="885" spans="1:14" x14ac:dyDescent="0.35">
      <c r="A885" t="s">
        <v>415</v>
      </c>
      <c r="B885" t="s">
        <v>1239</v>
      </c>
      <c r="C885" t="s">
        <v>2261</v>
      </c>
      <c r="D885" t="s">
        <v>1724</v>
      </c>
      <c r="F885" t="s">
        <v>1802</v>
      </c>
      <c r="G885" t="s">
        <v>1812</v>
      </c>
      <c r="H885" t="s">
        <v>1847</v>
      </c>
      <c r="I885" t="s">
        <v>1822</v>
      </c>
      <c r="J885" t="s">
        <v>1811</v>
      </c>
      <c r="K885" t="s">
        <v>2498</v>
      </c>
      <c r="L885" t="s">
        <v>1720</v>
      </c>
      <c r="M885" s="57">
        <v>44581</v>
      </c>
      <c r="N885" t="s">
        <v>3480</v>
      </c>
    </row>
    <row r="886" spans="1:14" x14ac:dyDescent="0.35">
      <c r="A886" t="s">
        <v>415</v>
      </c>
      <c r="B886" t="s">
        <v>1239</v>
      </c>
      <c r="C886" t="s">
        <v>2261</v>
      </c>
      <c r="D886" t="s">
        <v>1721</v>
      </c>
      <c r="E886" t="s">
        <v>2354</v>
      </c>
      <c r="F886" t="s">
        <v>1802</v>
      </c>
      <c r="G886" t="s">
        <v>1848</v>
      </c>
      <c r="H886" t="s">
        <v>1844</v>
      </c>
      <c r="I886" t="s">
        <v>1837</v>
      </c>
      <c r="J886" t="s">
        <v>1849</v>
      </c>
      <c r="K886" t="s">
        <v>2498</v>
      </c>
      <c r="L886" t="s">
        <v>1720</v>
      </c>
      <c r="M886" s="57">
        <v>44581</v>
      </c>
      <c r="N886" t="s">
        <v>3480</v>
      </c>
    </row>
    <row r="887" spans="1:14" hidden="1" x14ac:dyDescent="0.35">
      <c r="A887" t="s">
        <v>57</v>
      </c>
      <c r="B887" t="s">
        <v>886</v>
      </c>
      <c r="L887" t="s">
        <v>1720</v>
      </c>
    </row>
    <row r="888" spans="1:14" x14ac:dyDescent="0.35">
      <c r="A888" t="s">
        <v>432</v>
      </c>
      <c r="B888" t="s">
        <v>1256</v>
      </c>
      <c r="C888" t="s">
        <v>2261</v>
      </c>
      <c r="D888" t="s">
        <v>1721</v>
      </c>
      <c r="F888" t="s">
        <v>2263</v>
      </c>
      <c r="G888" t="s">
        <v>1725</v>
      </c>
      <c r="H888" t="s">
        <v>1776</v>
      </c>
      <c r="I888" t="s">
        <v>1729</v>
      </c>
      <c r="J888" t="s">
        <v>1747</v>
      </c>
      <c r="K888" t="s">
        <v>2422</v>
      </c>
      <c r="L888" t="s">
        <v>1720</v>
      </c>
      <c r="M888" s="57">
        <v>44582</v>
      </c>
      <c r="N888" t="s">
        <v>3480</v>
      </c>
    </row>
    <row r="889" spans="1:14" hidden="1" x14ac:dyDescent="0.35">
      <c r="A889" t="s">
        <v>639</v>
      </c>
      <c r="B889" t="s">
        <v>1463</v>
      </c>
      <c r="L889" t="s">
        <v>1720</v>
      </c>
    </row>
    <row r="890" spans="1:14" hidden="1" x14ac:dyDescent="0.35">
      <c r="A890" t="s">
        <v>506</v>
      </c>
      <c r="B890" t="s">
        <v>1330</v>
      </c>
      <c r="L890" t="s">
        <v>1720</v>
      </c>
    </row>
    <row r="891" spans="1:14" hidden="1" x14ac:dyDescent="0.35">
      <c r="A891" t="s">
        <v>228</v>
      </c>
      <c r="B891" t="s">
        <v>1055</v>
      </c>
      <c r="L891" t="s">
        <v>1720</v>
      </c>
    </row>
    <row r="892" spans="1:14" hidden="1" x14ac:dyDescent="0.35">
      <c r="A892" t="s">
        <v>697</v>
      </c>
      <c r="B892" t="s">
        <v>1521</v>
      </c>
      <c r="L892" t="s">
        <v>1720</v>
      </c>
    </row>
    <row r="893" spans="1:14" hidden="1" x14ac:dyDescent="0.35">
      <c r="A893" t="s">
        <v>71</v>
      </c>
      <c r="B893" t="s">
        <v>900</v>
      </c>
      <c r="L893" t="s">
        <v>1720</v>
      </c>
    </row>
    <row r="894" spans="1:14" hidden="1" x14ac:dyDescent="0.35">
      <c r="A894" t="s">
        <v>82</v>
      </c>
      <c r="B894" t="s">
        <v>911</v>
      </c>
      <c r="L894" t="s">
        <v>1720</v>
      </c>
    </row>
    <row r="895" spans="1:14" hidden="1" x14ac:dyDescent="0.35">
      <c r="A895" t="s">
        <v>43</v>
      </c>
      <c r="B895" t="s">
        <v>872</v>
      </c>
      <c r="L895" t="s">
        <v>1720</v>
      </c>
    </row>
    <row r="896" spans="1:14" hidden="1" x14ac:dyDescent="0.35">
      <c r="A896" t="s">
        <v>412</v>
      </c>
      <c r="B896" t="s">
        <v>1236</v>
      </c>
      <c r="L896" t="s">
        <v>1720</v>
      </c>
    </row>
    <row r="897" spans="1:14" hidden="1" x14ac:dyDescent="0.35">
      <c r="A897" t="s">
        <v>478</v>
      </c>
      <c r="B897" t="s">
        <v>1302</v>
      </c>
      <c r="L897" t="s">
        <v>1720</v>
      </c>
    </row>
    <row r="898" spans="1:14" hidden="1" x14ac:dyDescent="0.35">
      <c r="A898" t="s">
        <v>570</v>
      </c>
      <c r="B898" t="s">
        <v>1394</v>
      </c>
      <c r="L898" t="s">
        <v>1720</v>
      </c>
    </row>
    <row r="899" spans="1:14" hidden="1" x14ac:dyDescent="0.35">
      <c r="A899" t="s">
        <v>332</v>
      </c>
      <c r="B899" t="s">
        <v>1157</v>
      </c>
      <c r="L899" t="s">
        <v>1720</v>
      </c>
    </row>
    <row r="900" spans="1:14" hidden="1" x14ac:dyDescent="0.35">
      <c r="A900" t="s">
        <v>554</v>
      </c>
      <c r="B900" t="s">
        <v>1378</v>
      </c>
      <c r="L900" t="s">
        <v>1720</v>
      </c>
    </row>
    <row r="901" spans="1:14" hidden="1" x14ac:dyDescent="0.35">
      <c r="A901" t="s">
        <v>440</v>
      </c>
      <c r="B901" t="s">
        <v>1264</v>
      </c>
      <c r="L901" t="s">
        <v>1720</v>
      </c>
    </row>
    <row r="902" spans="1:14" hidden="1" x14ac:dyDescent="0.35">
      <c r="A902" t="s">
        <v>307</v>
      </c>
      <c r="B902" t="s">
        <v>1132</v>
      </c>
      <c r="L902" t="s">
        <v>1720</v>
      </c>
    </row>
    <row r="903" spans="1:14" hidden="1" x14ac:dyDescent="0.35">
      <c r="A903" t="s">
        <v>369</v>
      </c>
      <c r="B903" t="s">
        <v>1193</v>
      </c>
      <c r="L903" t="s">
        <v>1720</v>
      </c>
    </row>
    <row r="904" spans="1:14" x14ac:dyDescent="0.35">
      <c r="A904" t="s">
        <v>35</v>
      </c>
      <c r="B904" t="s">
        <v>864</v>
      </c>
      <c r="C904" t="s">
        <v>2261</v>
      </c>
      <c r="D904" t="s">
        <v>1721</v>
      </c>
      <c r="F904" t="s">
        <v>2263</v>
      </c>
      <c r="G904" t="s">
        <v>1725</v>
      </c>
      <c r="H904" t="s">
        <v>1776</v>
      </c>
      <c r="I904" t="s">
        <v>1729</v>
      </c>
      <c r="J904" t="s">
        <v>1747</v>
      </c>
      <c r="K904" t="s">
        <v>2286</v>
      </c>
      <c r="L904" t="s">
        <v>1720</v>
      </c>
      <c r="M904" s="57">
        <v>44582</v>
      </c>
      <c r="N904" t="s">
        <v>3480</v>
      </c>
    </row>
    <row r="905" spans="1:14" x14ac:dyDescent="0.35">
      <c r="A905" t="s">
        <v>35</v>
      </c>
      <c r="B905" t="s">
        <v>864</v>
      </c>
      <c r="C905" t="s">
        <v>2259</v>
      </c>
      <c r="D905" t="s">
        <v>1721</v>
      </c>
      <c r="F905" t="s">
        <v>1802</v>
      </c>
      <c r="G905" t="s">
        <v>1750</v>
      </c>
      <c r="H905" t="s">
        <v>1773</v>
      </c>
      <c r="I905" t="s">
        <v>1748</v>
      </c>
      <c r="J905" t="s">
        <v>1749</v>
      </c>
      <c r="K905" t="s">
        <v>2267</v>
      </c>
      <c r="L905" t="s">
        <v>1720</v>
      </c>
      <c r="M905" s="57">
        <v>44582</v>
      </c>
      <c r="N905" t="s">
        <v>3480</v>
      </c>
    </row>
    <row r="906" spans="1:14" x14ac:dyDescent="0.35">
      <c r="A906" t="s">
        <v>35</v>
      </c>
      <c r="B906" t="s">
        <v>864</v>
      </c>
      <c r="C906" t="s">
        <v>2261</v>
      </c>
      <c r="D906" t="s">
        <v>1721</v>
      </c>
      <c r="F906" t="s">
        <v>1801</v>
      </c>
      <c r="G906" t="s">
        <v>1735</v>
      </c>
      <c r="H906" t="s">
        <v>1774</v>
      </c>
      <c r="I906" t="s">
        <v>1751</v>
      </c>
      <c r="J906" t="s">
        <v>1752</v>
      </c>
      <c r="K906" t="s">
        <v>2493</v>
      </c>
      <c r="L906" t="s">
        <v>1720</v>
      </c>
      <c r="M906" s="57">
        <v>44582</v>
      </c>
      <c r="N906" t="s">
        <v>3480</v>
      </c>
    </row>
    <row r="907" spans="1:14" x14ac:dyDescent="0.35">
      <c r="A907" t="s">
        <v>35</v>
      </c>
      <c r="B907" t="s">
        <v>864</v>
      </c>
      <c r="C907" t="s">
        <v>2261</v>
      </c>
      <c r="D907" t="s">
        <v>1721</v>
      </c>
      <c r="E907" t="s">
        <v>2288</v>
      </c>
      <c r="F907" t="s">
        <v>1803</v>
      </c>
      <c r="G907" t="s">
        <v>1754</v>
      </c>
      <c r="H907" t="s">
        <v>1796</v>
      </c>
      <c r="I907" t="s">
        <v>1917</v>
      </c>
      <c r="J907" t="s">
        <v>1753</v>
      </c>
      <c r="K907" t="s">
        <v>2287</v>
      </c>
      <c r="L907" t="s">
        <v>1720</v>
      </c>
      <c r="M907" s="57">
        <v>44582</v>
      </c>
      <c r="N907" t="s">
        <v>3480</v>
      </c>
    </row>
    <row r="908" spans="1:14" x14ac:dyDescent="0.35">
      <c r="A908" t="s">
        <v>35</v>
      </c>
      <c r="B908" t="s">
        <v>864</v>
      </c>
      <c r="C908" t="s">
        <v>2261</v>
      </c>
      <c r="D908" t="s">
        <v>1721</v>
      </c>
      <c r="E908" t="s">
        <v>2290</v>
      </c>
      <c r="F908" t="s">
        <v>1803</v>
      </c>
      <c r="G908" t="s">
        <v>1754</v>
      </c>
      <c r="H908" t="s">
        <v>1796</v>
      </c>
      <c r="I908" t="s">
        <v>1917</v>
      </c>
      <c r="J908" t="s">
        <v>1753</v>
      </c>
      <c r="K908" t="s">
        <v>2289</v>
      </c>
      <c r="L908" t="s">
        <v>1720</v>
      </c>
      <c r="M908" s="57">
        <v>44582</v>
      </c>
      <c r="N908" t="s">
        <v>3480</v>
      </c>
    </row>
    <row r="909" spans="1:14" x14ac:dyDescent="0.35">
      <c r="A909" t="s">
        <v>35</v>
      </c>
      <c r="B909" t="s">
        <v>864</v>
      </c>
      <c r="C909" t="s">
        <v>2259</v>
      </c>
      <c r="D909" t="s">
        <v>1721</v>
      </c>
      <c r="F909" t="s">
        <v>1802</v>
      </c>
      <c r="G909" t="s">
        <v>1727</v>
      </c>
      <c r="H909" t="s">
        <v>1737</v>
      </c>
      <c r="I909" t="s">
        <v>1730</v>
      </c>
      <c r="J909" t="s">
        <v>1732</v>
      </c>
      <c r="K909" t="s">
        <v>2291</v>
      </c>
      <c r="L909" t="s">
        <v>1720</v>
      </c>
      <c r="M909" s="57">
        <v>44582</v>
      </c>
      <c r="N909" t="s">
        <v>3481</v>
      </c>
    </row>
    <row r="910" spans="1:14" x14ac:dyDescent="0.35">
      <c r="A910" t="s">
        <v>35</v>
      </c>
      <c r="B910" t="s">
        <v>864</v>
      </c>
      <c r="C910" t="s">
        <v>2259</v>
      </c>
      <c r="D910" t="s">
        <v>1724</v>
      </c>
      <c r="F910" t="s">
        <v>1802</v>
      </c>
      <c r="G910" t="s">
        <v>1726</v>
      </c>
      <c r="H910" t="s">
        <v>1737</v>
      </c>
      <c r="I910" t="s">
        <v>1730</v>
      </c>
      <c r="J910" t="s">
        <v>1732</v>
      </c>
      <c r="K910" t="s">
        <v>2292</v>
      </c>
      <c r="L910" t="s">
        <v>1720</v>
      </c>
      <c r="M910" s="57">
        <v>44582</v>
      </c>
      <c r="N910" t="s">
        <v>3481</v>
      </c>
    </row>
    <row r="911" spans="1:14" x14ac:dyDescent="0.35">
      <c r="A911" t="s">
        <v>35</v>
      </c>
      <c r="B911" t="s">
        <v>864</v>
      </c>
      <c r="C911" t="s">
        <v>2261</v>
      </c>
      <c r="D911" t="s">
        <v>1724</v>
      </c>
      <c r="E911" t="s">
        <v>2294</v>
      </c>
      <c r="F911" t="s">
        <v>1802</v>
      </c>
      <c r="G911" t="s">
        <v>1757</v>
      </c>
      <c r="H911" t="s">
        <v>1780</v>
      </c>
      <c r="I911" t="s">
        <v>1755</v>
      </c>
      <c r="J911" t="s">
        <v>1756</v>
      </c>
      <c r="K911" t="s">
        <v>2293</v>
      </c>
      <c r="L911" t="s">
        <v>1720</v>
      </c>
      <c r="M911" s="57">
        <v>44582</v>
      </c>
      <c r="N911" t="s">
        <v>3480</v>
      </c>
    </row>
    <row r="912" spans="1:14" x14ac:dyDescent="0.35">
      <c r="A912" t="s">
        <v>35</v>
      </c>
      <c r="B912" t="s">
        <v>864</v>
      </c>
      <c r="C912" t="s">
        <v>2261</v>
      </c>
      <c r="D912" t="s">
        <v>1721</v>
      </c>
      <c r="E912" t="s">
        <v>2296</v>
      </c>
      <c r="F912" t="s">
        <v>1802</v>
      </c>
      <c r="G912" t="s">
        <v>1757</v>
      </c>
      <c r="H912" t="s">
        <v>1788</v>
      </c>
      <c r="I912" t="s">
        <v>1755</v>
      </c>
      <c r="J912" t="s">
        <v>1756</v>
      </c>
      <c r="K912" t="s">
        <v>2295</v>
      </c>
      <c r="L912" t="s">
        <v>1720</v>
      </c>
      <c r="M912" s="57">
        <v>44582</v>
      </c>
      <c r="N912" t="s">
        <v>3480</v>
      </c>
    </row>
    <row r="913" spans="1:14" x14ac:dyDescent="0.35">
      <c r="A913" t="s">
        <v>35</v>
      </c>
      <c r="B913" t="s">
        <v>864</v>
      </c>
      <c r="C913" t="s">
        <v>2261</v>
      </c>
      <c r="D913" t="s">
        <v>1721</v>
      </c>
      <c r="E913" t="s">
        <v>2277</v>
      </c>
      <c r="F913" t="s">
        <v>1804</v>
      </c>
      <c r="G913" t="s">
        <v>1741</v>
      </c>
      <c r="H913" t="s">
        <v>1775</v>
      </c>
      <c r="I913" t="s">
        <v>1742</v>
      </c>
      <c r="J913" t="s">
        <v>1744</v>
      </c>
      <c r="K913" t="s">
        <v>2122</v>
      </c>
      <c r="L913" t="s">
        <v>1720</v>
      </c>
      <c r="M913" s="57">
        <v>44582</v>
      </c>
      <c r="N913" t="s">
        <v>3480</v>
      </c>
    </row>
    <row r="914" spans="1:14" x14ac:dyDescent="0.35">
      <c r="A914" t="s">
        <v>35</v>
      </c>
      <c r="B914" t="s">
        <v>864</v>
      </c>
      <c r="C914" t="s">
        <v>2261</v>
      </c>
      <c r="D914" t="s">
        <v>1721</v>
      </c>
      <c r="F914" t="s">
        <v>1802</v>
      </c>
      <c r="G914" t="s">
        <v>1726</v>
      </c>
      <c r="H914" t="s">
        <v>1777</v>
      </c>
      <c r="I914" t="s">
        <v>1739</v>
      </c>
      <c r="J914" t="s">
        <v>1745</v>
      </c>
      <c r="K914" t="s">
        <v>2287</v>
      </c>
      <c r="L914" t="s">
        <v>1720</v>
      </c>
      <c r="M914" s="57">
        <v>44582</v>
      </c>
      <c r="N914" t="s">
        <v>3480</v>
      </c>
    </row>
    <row r="915" spans="1:14" x14ac:dyDescent="0.35">
      <c r="A915" t="s">
        <v>35</v>
      </c>
      <c r="B915" t="s">
        <v>864</v>
      </c>
      <c r="C915" t="s">
        <v>2261</v>
      </c>
      <c r="D915" t="s">
        <v>1721</v>
      </c>
      <c r="E915" t="s">
        <v>2298</v>
      </c>
      <c r="F915" t="s">
        <v>1802</v>
      </c>
      <c r="G915" t="s">
        <v>1760</v>
      </c>
      <c r="H915" t="s">
        <v>2299</v>
      </c>
      <c r="I915" t="s">
        <v>1758</v>
      </c>
      <c r="J915" t="s">
        <v>1759</v>
      </c>
      <c r="K915" t="s">
        <v>2297</v>
      </c>
      <c r="L915" t="s">
        <v>1720</v>
      </c>
      <c r="M915" s="57">
        <v>44582</v>
      </c>
      <c r="N915" t="s">
        <v>3480</v>
      </c>
    </row>
    <row r="916" spans="1:14" x14ac:dyDescent="0.35">
      <c r="A916" t="s">
        <v>35</v>
      </c>
      <c r="B916" t="s">
        <v>864</v>
      </c>
      <c r="C916" t="s">
        <v>2261</v>
      </c>
      <c r="D916" t="s">
        <v>1724</v>
      </c>
      <c r="E916" t="s">
        <v>2301</v>
      </c>
      <c r="F916" t="s">
        <v>1802</v>
      </c>
      <c r="G916" t="s">
        <v>1760</v>
      </c>
      <c r="H916" t="s">
        <v>2302</v>
      </c>
      <c r="I916" t="s">
        <v>1758</v>
      </c>
      <c r="J916" t="s">
        <v>1759</v>
      </c>
      <c r="K916" t="s">
        <v>2300</v>
      </c>
      <c r="L916" t="s">
        <v>1720</v>
      </c>
      <c r="M916" s="57">
        <v>44582</v>
      </c>
      <c r="N916" t="s">
        <v>3480</v>
      </c>
    </row>
    <row r="917" spans="1:14" x14ac:dyDescent="0.35">
      <c r="A917" t="s">
        <v>35</v>
      </c>
      <c r="B917" t="s">
        <v>864</v>
      </c>
      <c r="C917" t="s">
        <v>2261</v>
      </c>
      <c r="D917" t="s">
        <v>1724</v>
      </c>
      <c r="E917" t="s">
        <v>2280</v>
      </c>
      <c r="F917" t="s">
        <v>1801</v>
      </c>
      <c r="G917" t="s">
        <v>1762</v>
      </c>
      <c r="H917" t="s">
        <v>2304</v>
      </c>
      <c r="I917" t="s">
        <v>1743</v>
      </c>
      <c r="J917" t="s">
        <v>1761</v>
      </c>
      <c r="K917" t="s">
        <v>2303</v>
      </c>
      <c r="L917" t="s">
        <v>1720</v>
      </c>
      <c r="M917" s="57">
        <v>44582</v>
      </c>
      <c r="N917" t="s">
        <v>3480</v>
      </c>
    </row>
    <row r="918" spans="1:14" x14ac:dyDescent="0.35">
      <c r="A918" t="s">
        <v>35</v>
      </c>
      <c r="B918" t="s">
        <v>864</v>
      </c>
      <c r="C918" t="s">
        <v>2261</v>
      </c>
      <c r="D918" t="s">
        <v>1721</v>
      </c>
      <c r="E918" t="s">
        <v>2280</v>
      </c>
      <c r="F918" t="s">
        <v>1801</v>
      </c>
      <c r="G918" t="s">
        <v>1728</v>
      </c>
      <c r="H918" t="s">
        <v>1800</v>
      </c>
      <c r="I918" t="s">
        <v>1743</v>
      </c>
      <c r="J918" t="s">
        <v>1761</v>
      </c>
      <c r="K918" t="s">
        <v>2305</v>
      </c>
      <c r="L918" t="s">
        <v>1720</v>
      </c>
      <c r="M918" s="57">
        <v>44582</v>
      </c>
      <c r="N918" t="s">
        <v>3480</v>
      </c>
    </row>
    <row r="919" spans="1:14" hidden="1" x14ac:dyDescent="0.35">
      <c r="A919" t="s">
        <v>820</v>
      </c>
      <c r="B919" t="s">
        <v>1642</v>
      </c>
      <c r="L919" t="s">
        <v>1720</v>
      </c>
    </row>
    <row r="920" spans="1:14" hidden="1" x14ac:dyDescent="0.35">
      <c r="A920" t="s">
        <v>797</v>
      </c>
      <c r="B920" t="s">
        <v>1620</v>
      </c>
      <c r="L920" t="s">
        <v>1720</v>
      </c>
    </row>
    <row r="921" spans="1:14" hidden="1" x14ac:dyDescent="0.35">
      <c r="A921" t="s">
        <v>431</v>
      </c>
      <c r="B921" t="s">
        <v>1255</v>
      </c>
      <c r="L921" t="s">
        <v>1720</v>
      </c>
    </row>
    <row r="922" spans="1:14" hidden="1" x14ac:dyDescent="0.35">
      <c r="A922" t="s">
        <v>329</v>
      </c>
      <c r="B922" t="s">
        <v>1154</v>
      </c>
      <c r="L922" t="s">
        <v>1720</v>
      </c>
    </row>
    <row r="923" spans="1:14" hidden="1" x14ac:dyDescent="0.35">
      <c r="A923" t="s">
        <v>324</v>
      </c>
      <c r="B923" t="s">
        <v>1149</v>
      </c>
      <c r="L923" t="s">
        <v>1720</v>
      </c>
    </row>
    <row r="924" spans="1:14" hidden="1" x14ac:dyDescent="0.35">
      <c r="A924" t="s">
        <v>187</v>
      </c>
      <c r="B924" t="s">
        <v>1015</v>
      </c>
      <c r="L924" t="s">
        <v>1720</v>
      </c>
    </row>
    <row r="925" spans="1:14" hidden="1" x14ac:dyDescent="0.35">
      <c r="A925" t="s">
        <v>53</v>
      </c>
      <c r="B925" t="s">
        <v>882</v>
      </c>
      <c r="L925" t="s">
        <v>1720</v>
      </c>
    </row>
    <row r="926" spans="1:14" hidden="1" x14ac:dyDescent="0.35">
      <c r="A926" t="s">
        <v>766</v>
      </c>
      <c r="B926" t="s">
        <v>1590</v>
      </c>
      <c r="L926" t="s">
        <v>1720</v>
      </c>
    </row>
    <row r="927" spans="1:14" hidden="1" x14ac:dyDescent="0.35">
      <c r="A927" t="s">
        <v>575</v>
      </c>
      <c r="B927" t="s">
        <v>1399</v>
      </c>
      <c r="L927" t="s">
        <v>1720</v>
      </c>
    </row>
    <row r="928" spans="1:14" hidden="1" x14ac:dyDescent="0.35">
      <c r="A928" t="s">
        <v>623</v>
      </c>
      <c r="B928" t="s">
        <v>1447</v>
      </c>
      <c r="L928" t="s">
        <v>1720</v>
      </c>
    </row>
    <row r="929" spans="1:12" hidden="1" x14ac:dyDescent="0.35">
      <c r="A929" t="s">
        <v>252</v>
      </c>
      <c r="B929" t="s">
        <v>1078</v>
      </c>
      <c r="L929" t="s">
        <v>1720</v>
      </c>
    </row>
    <row r="930" spans="1:12" hidden="1" x14ac:dyDescent="0.35">
      <c r="A930" t="s">
        <v>300</v>
      </c>
      <c r="B930" t="s">
        <v>1125</v>
      </c>
      <c r="L930" t="s">
        <v>1720</v>
      </c>
    </row>
    <row r="931" spans="1:12" hidden="1" x14ac:dyDescent="0.35">
      <c r="A931" t="s">
        <v>267</v>
      </c>
      <c r="B931" t="s">
        <v>1093</v>
      </c>
      <c r="L931" t="s">
        <v>1720</v>
      </c>
    </row>
    <row r="932" spans="1:12" hidden="1" x14ac:dyDescent="0.35">
      <c r="A932" t="s">
        <v>162</v>
      </c>
      <c r="B932" t="s">
        <v>991</v>
      </c>
      <c r="L932" t="s">
        <v>1720</v>
      </c>
    </row>
    <row r="933" spans="1:12" hidden="1" x14ac:dyDescent="0.35">
      <c r="A933" t="s">
        <v>523</v>
      </c>
      <c r="B933" t="s">
        <v>1347</v>
      </c>
      <c r="L933" t="s">
        <v>1720</v>
      </c>
    </row>
    <row r="934" spans="1:12" hidden="1" x14ac:dyDescent="0.35">
      <c r="A934" t="s">
        <v>318</v>
      </c>
      <c r="B934" t="s">
        <v>1143</v>
      </c>
      <c r="L934" t="s">
        <v>1720</v>
      </c>
    </row>
    <row r="935" spans="1:12" hidden="1" x14ac:dyDescent="0.35">
      <c r="A935" t="s">
        <v>106</v>
      </c>
      <c r="B935" t="s">
        <v>935</v>
      </c>
      <c r="L935" t="s">
        <v>1720</v>
      </c>
    </row>
    <row r="936" spans="1:12" hidden="1" x14ac:dyDescent="0.35">
      <c r="A936" t="s">
        <v>150</v>
      </c>
      <c r="B936" t="s">
        <v>979</v>
      </c>
      <c r="L936" t="s">
        <v>1720</v>
      </c>
    </row>
    <row r="937" spans="1:12" hidden="1" x14ac:dyDescent="0.35">
      <c r="A937" t="s">
        <v>504</v>
      </c>
      <c r="B937" t="s">
        <v>1328</v>
      </c>
      <c r="L937" t="s">
        <v>1720</v>
      </c>
    </row>
    <row r="938" spans="1:12" hidden="1" x14ac:dyDescent="0.35">
      <c r="A938" t="s">
        <v>698</v>
      </c>
      <c r="B938" t="s">
        <v>1522</v>
      </c>
      <c r="L938" t="s">
        <v>1720</v>
      </c>
    </row>
    <row r="939" spans="1:12" hidden="1" x14ac:dyDescent="0.35">
      <c r="A939" t="s">
        <v>68</v>
      </c>
      <c r="B939" t="s">
        <v>897</v>
      </c>
      <c r="L939" t="s">
        <v>1720</v>
      </c>
    </row>
    <row r="940" spans="1:12" hidden="1" x14ac:dyDescent="0.35">
      <c r="A940" t="s">
        <v>237</v>
      </c>
      <c r="B940" t="s">
        <v>897</v>
      </c>
      <c r="L940" t="s">
        <v>1720</v>
      </c>
    </row>
    <row r="941" spans="1:12" hidden="1" x14ac:dyDescent="0.35">
      <c r="A941" t="s">
        <v>390</v>
      </c>
      <c r="B941" t="s">
        <v>1214</v>
      </c>
      <c r="L941" t="s">
        <v>1720</v>
      </c>
    </row>
    <row r="942" spans="1:12" hidden="1" x14ac:dyDescent="0.35">
      <c r="A942" t="s">
        <v>334</v>
      </c>
      <c r="B942" t="s">
        <v>1159</v>
      </c>
      <c r="L942" t="s">
        <v>1720</v>
      </c>
    </row>
    <row r="943" spans="1:12" hidden="1" x14ac:dyDescent="0.35">
      <c r="A943" t="s">
        <v>344</v>
      </c>
      <c r="B943" t="s">
        <v>1168</v>
      </c>
      <c r="L943" t="s">
        <v>1720</v>
      </c>
    </row>
    <row r="944" spans="1:12" hidden="1" x14ac:dyDescent="0.35">
      <c r="A944" t="s">
        <v>223</v>
      </c>
      <c r="B944" t="s">
        <v>1050</v>
      </c>
      <c r="L944" t="s">
        <v>1720</v>
      </c>
    </row>
    <row r="945" spans="1:14" hidden="1" x14ac:dyDescent="0.35">
      <c r="A945" t="s">
        <v>155</v>
      </c>
      <c r="B945" t="s">
        <v>984</v>
      </c>
      <c r="L945" t="s">
        <v>1720</v>
      </c>
    </row>
    <row r="946" spans="1:14" hidden="1" x14ac:dyDescent="0.35">
      <c r="A946" t="s">
        <v>607</v>
      </c>
      <c r="B946" t="s">
        <v>1431</v>
      </c>
      <c r="L946" t="s">
        <v>1720</v>
      </c>
    </row>
    <row r="947" spans="1:14" hidden="1" x14ac:dyDescent="0.35">
      <c r="A947" t="s">
        <v>236</v>
      </c>
      <c r="B947" t="s">
        <v>1063</v>
      </c>
      <c r="L947" t="s">
        <v>1720</v>
      </c>
    </row>
    <row r="948" spans="1:14" hidden="1" x14ac:dyDescent="0.35">
      <c r="A948" t="s">
        <v>410</v>
      </c>
      <c r="B948" t="s">
        <v>1234</v>
      </c>
      <c r="L948" t="s">
        <v>1720</v>
      </c>
    </row>
    <row r="949" spans="1:14" hidden="1" x14ac:dyDescent="0.35">
      <c r="A949" t="s">
        <v>411</v>
      </c>
      <c r="B949" t="s">
        <v>1235</v>
      </c>
      <c r="L949" t="s">
        <v>1720</v>
      </c>
    </row>
    <row r="950" spans="1:14" hidden="1" x14ac:dyDescent="0.35">
      <c r="A950" t="s">
        <v>340</v>
      </c>
      <c r="B950" t="s">
        <v>1164</v>
      </c>
      <c r="L950" t="s">
        <v>1720</v>
      </c>
    </row>
    <row r="951" spans="1:14" x14ac:dyDescent="0.35">
      <c r="A951" t="s">
        <v>93</v>
      </c>
      <c r="B951" t="s">
        <v>922</v>
      </c>
      <c r="C951" t="s">
        <v>2261</v>
      </c>
      <c r="D951" t="s">
        <v>1721</v>
      </c>
      <c r="F951" t="s">
        <v>2263</v>
      </c>
      <c r="G951" t="s">
        <v>1725</v>
      </c>
      <c r="H951" t="s">
        <v>1776</v>
      </c>
      <c r="I951" t="s">
        <v>1729</v>
      </c>
      <c r="J951" t="s">
        <v>1747</v>
      </c>
      <c r="K951" t="s">
        <v>2496</v>
      </c>
      <c r="L951" t="s">
        <v>1720</v>
      </c>
      <c r="M951" s="57">
        <v>44581</v>
      </c>
      <c r="N951" t="s">
        <v>3480</v>
      </c>
    </row>
    <row r="952" spans="1:14" x14ac:dyDescent="0.35">
      <c r="A952" t="s">
        <v>93</v>
      </c>
      <c r="B952" t="s">
        <v>922</v>
      </c>
      <c r="C952" t="s">
        <v>2259</v>
      </c>
      <c r="D952" t="s">
        <v>1721</v>
      </c>
      <c r="F952" t="s">
        <v>1802</v>
      </c>
      <c r="G952" t="s">
        <v>1750</v>
      </c>
      <c r="H952" t="s">
        <v>1773</v>
      </c>
      <c r="I952" t="s">
        <v>1748</v>
      </c>
      <c r="J952" t="s">
        <v>1749</v>
      </c>
      <c r="K952" t="s">
        <v>2322</v>
      </c>
      <c r="L952" t="s">
        <v>1720</v>
      </c>
      <c r="M952" s="57">
        <v>44581</v>
      </c>
      <c r="N952" t="s">
        <v>3480</v>
      </c>
    </row>
    <row r="953" spans="1:14" x14ac:dyDescent="0.35">
      <c r="A953" t="s">
        <v>93</v>
      </c>
      <c r="B953" t="s">
        <v>922</v>
      </c>
      <c r="C953" t="s">
        <v>2261</v>
      </c>
      <c r="D953" t="s">
        <v>1721</v>
      </c>
      <c r="E953" t="s">
        <v>2344</v>
      </c>
      <c r="F953" t="s">
        <v>1803</v>
      </c>
      <c r="G953" t="s">
        <v>1754</v>
      </c>
      <c r="H953" t="s">
        <v>1796</v>
      </c>
      <c r="I953" t="s">
        <v>1917</v>
      </c>
      <c r="J953" t="s">
        <v>1753</v>
      </c>
      <c r="K953" t="s">
        <v>2322</v>
      </c>
      <c r="L953" t="s">
        <v>1720</v>
      </c>
      <c r="M953" s="57">
        <v>44581</v>
      </c>
      <c r="N953" t="s">
        <v>3480</v>
      </c>
    </row>
    <row r="954" spans="1:14" x14ac:dyDescent="0.35">
      <c r="A954" t="s">
        <v>93</v>
      </c>
      <c r="B954" t="s">
        <v>922</v>
      </c>
      <c r="C954" t="s">
        <v>2261</v>
      </c>
      <c r="D954" t="s">
        <v>1721</v>
      </c>
      <c r="F954" t="s">
        <v>1803</v>
      </c>
      <c r="G954" t="s">
        <v>1754</v>
      </c>
      <c r="H954" t="s">
        <v>1796</v>
      </c>
      <c r="I954" t="s">
        <v>1917</v>
      </c>
      <c r="J954" t="s">
        <v>1753</v>
      </c>
      <c r="K954" t="s">
        <v>2497</v>
      </c>
      <c r="L954" t="s">
        <v>1720</v>
      </c>
      <c r="M954" s="57">
        <v>44581</v>
      </c>
      <c r="N954" t="s">
        <v>3480</v>
      </c>
    </row>
    <row r="955" spans="1:14" x14ac:dyDescent="0.35">
      <c r="A955" t="s">
        <v>93</v>
      </c>
      <c r="B955" t="s">
        <v>922</v>
      </c>
      <c r="C955" t="s">
        <v>2259</v>
      </c>
      <c r="D955" t="s">
        <v>1721</v>
      </c>
      <c r="F955" t="s">
        <v>1802</v>
      </c>
      <c r="G955" t="s">
        <v>1726</v>
      </c>
      <c r="H955" t="s">
        <v>1777</v>
      </c>
      <c r="I955" t="s">
        <v>1739</v>
      </c>
      <c r="J955" t="s">
        <v>1745</v>
      </c>
      <c r="K955" t="s">
        <v>2497</v>
      </c>
      <c r="L955" t="s">
        <v>1720</v>
      </c>
      <c r="M955" s="57">
        <v>44581</v>
      </c>
      <c r="N955" t="s">
        <v>3480</v>
      </c>
    </row>
    <row r="956" spans="1:14" x14ac:dyDescent="0.35">
      <c r="A956" t="s">
        <v>93</v>
      </c>
      <c r="B956" t="s">
        <v>922</v>
      </c>
      <c r="C956" t="s">
        <v>2261</v>
      </c>
      <c r="D956" t="s">
        <v>1724</v>
      </c>
      <c r="F956" t="s">
        <v>2308</v>
      </c>
      <c r="G956" t="s">
        <v>1762</v>
      </c>
      <c r="H956" t="s">
        <v>1781</v>
      </c>
      <c r="I956" t="s">
        <v>1819</v>
      </c>
      <c r="J956" t="s">
        <v>1820</v>
      </c>
      <c r="K956" t="s">
        <v>2493</v>
      </c>
      <c r="L956" t="s">
        <v>1720</v>
      </c>
      <c r="M956" s="57">
        <v>44581</v>
      </c>
      <c r="N956" t="s">
        <v>3480</v>
      </c>
    </row>
    <row r="957" spans="1:14" x14ac:dyDescent="0.35">
      <c r="A957" t="s">
        <v>93</v>
      </c>
      <c r="B957" t="s">
        <v>922</v>
      </c>
      <c r="C957" t="s">
        <v>2261</v>
      </c>
      <c r="D957" t="s">
        <v>1721</v>
      </c>
      <c r="F957" t="s">
        <v>2308</v>
      </c>
      <c r="G957" t="s">
        <v>1728</v>
      </c>
      <c r="H957" t="s">
        <v>1779</v>
      </c>
      <c r="I957" t="s">
        <v>1819</v>
      </c>
      <c r="J957" t="s">
        <v>1820</v>
      </c>
      <c r="K957" t="s">
        <v>2498</v>
      </c>
      <c r="L957" t="s">
        <v>1720</v>
      </c>
      <c r="M957" s="57">
        <v>44581</v>
      </c>
      <c r="N957" t="s">
        <v>3480</v>
      </c>
    </row>
    <row r="958" spans="1:14" hidden="1" x14ac:dyDescent="0.35">
      <c r="A958" t="s">
        <v>30</v>
      </c>
      <c r="B958" t="s">
        <v>859</v>
      </c>
      <c r="L958" t="s">
        <v>1720</v>
      </c>
    </row>
    <row r="959" spans="1:14" hidden="1" x14ac:dyDescent="0.35">
      <c r="A959" t="s">
        <v>107</v>
      </c>
      <c r="B959" t="s">
        <v>936</v>
      </c>
      <c r="L959" t="s">
        <v>1720</v>
      </c>
    </row>
    <row r="960" spans="1:14" hidden="1" x14ac:dyDescent="0.35">
      <c r="A960" t="s">
        <v>108</v>
      </c>
      <c r="B960" t="s">
        <v>937</v>
      </c>
      <c r="L960" t="s">
        <v>1720</v>
      </c>
    </row>
    <row r="961" spans="1:14" hidden="1" x14ac:dyDescent="0.35">
      <c r="A961" t="s">
        <v>362</v>
      </c>
      <c r="B961" t="s">
        <v>1186</v>
      </c>
      <c r="L961" t="s">
        <v>1720</v>
      </c>
    </row>
    <row r="962" spans="1:14" hidden="1" x14ac:dyDescent="0.35">
      <c r="A962" t="s">
        <v>699</v>
      </c>
      <c r="B962" t="s">
        <v>1523</v>
      </c>
      <c r="L962" t="s">
        <v>1720</v>
      </c>
    </row>
    <row r="963" spans="1:14" hidden="1" x14ac:dyDescent="0.35">
      <c r="A963" t="s">
        <v>128</v>
      </c>
      <c r="B963" t="s">
        <v>957</v>
      </c>
      <c r="L963" t="s">
        <v>1720</v>
      </c>
    </row>
    <row r="964" spans="1:14" x14ac:dyDescent="0.35">
      <c r="A964" t="s">
        <v>626</v>
      </c>
      <c r="B964" t="s">
        <v>1450</v>
      </c>
      <c r="C964" t="s">
        <v>2259</v>
      </c>
      <c r="D964" t="s">
        <v>1721</v>
      </c>
      <c r="F964" t="s">
        <v>1802</v>
      </c>
      <c r="G964" t="s">
        <v>1726</v>
      </c>
      <c r="H964" t="s">
        <v>1777</v>
      </c>
      <c r="I964" t="s">
        <v>1739</v>
      </c>
      <c r="J964" t="s">
        <v>1745</v>
      </c>
      <c r="K964" t="s">
        <v>2322</v>
      </c>
      <c r="L964" t="s">
        <v>1720</v>
      </c>
      <c r="M964" s="57">
        <v>44582</v>
      </c>
      <c r="N964" t="s">
        <v>3480</v>
      </c>
    </row>
    <row r="965" spans="1:14" hidden="1" x14ac:dyDescent="0.35">
      <c r="A965" t="s">
        <v>700</v>
      </c>
      <c r="B965" t="s">
        <v>1524</v>
      </c>
      <c r="L965" t="s">
        <v>1720</v>
      </c>
    </row>
    <row r="966" spans="1:14" hidden="1" x14ac:dyDescent="0.35">
      <c r="A966" t="s">
        <v>66</v>
      </c>
      <c r="B966" t="s">
        <v>895</v>
      </c>
      <c r="L966" t="s">
        <v>1720</v>
      </c>
    </row>
    <row r="967" spans="1:14" hidden="1" x14ac:dyDescent="0.35">
      <c r="A967" t="s">
        <v>439</v>
      </c>
      <c r="B967" t="s">
        <v>1263</v>
      </c>
      <c r="L967" t="s">
        <v>1720</v>
      </c>
    </row>
    <row r="968" spans="1:14" hidden="1" x14ac:dyDescent="0.35">
      <c r="A968" t="s">
        <v>471</v>
      </c>
      <c r="B968" t="s">
        <v>1295</v>
      </c>
      <c r="L968" t="s">
        <v>1720</v>
      </c>
    </row>
    <row r="969" spans="1:14" hidden="1" x14ac:dyDescent="0.35">
      <c r="A969" t="s">
        <v>461</v>
      </c>
      <c r="B969" t="s">
        <v>1285</v>
      </c>
      <c r="L969" t="s">
        <v>1720</v>
      </c>
    </row>
    <row r="970" spans="1:14" hidden="1" x14ac:dyDescent="0.35">
      <c r="A970" t="s">
        <v>474</v>
      </c>
      <c r="B970" t="s">
        <v>1298</v>
      </c>
      <c r="L970" t="s">
        <v>1720</v>
      </c>
    </row>
    <row r="971" spans="1:14" hidden="1" x14ac:dyDescent="0.35">
      <c r="A971" t="s">
        <v>422</v>
      </c>
      <c r="B971" t="s">
        <v>1246</v>
      </c>
      <c r="L971" t="s">
        <v>1720</v>
      </c>
    </row>
    <row r="972" spans="1:14" hidden="1" x14ac:dyDescent="0.35">
      <c r="A972" t="s">
        <v>364</v>
      </c>
      <c r="B972" t="s">
        <v>1188</v>
      </c>
      <c r="L972" t="s">
        <v>1720</v>
      </c>
    </row>
    <row r="973" spans="1:14" hidden="1" x14ac:dyDescent="0.35">
      <c r="A973" t="s">
        <v>192</v>
      </c>
      <c r="B973" t="s">
        <v>1020</v>
      </c>
      <c r="L973" t="s">
        <v>1720</v>
      </c>
    </row>
    <row r="974" spans="1:14" hidden="1" x14ac:dyDescent="0.35">
      <c r="A974" t="s">
        <v>385</v>
      </c>
      <c r="B974" t="s">
        <v>1209</v>
      </c>
      <c r="L974" t="s">
        <v>1720</v>
      </c>
    </row>
    <row r="975" spans="1:14" hidden="1" x14ac:dyDescent="0.35">
      <c r="A975" t="s">
        <v>701</v>
      </c>
      <c r="B975" t="s">
        <v>1525</v>
      </c>
      <c r="L975" t="s">
        <v>1720</v>
      </c>
    </row>
    <row r="976" spans="1:14" hidden="1" x14ac:dyDescent="0.35">
      <c r="A976" t="s">
        <v>391</v>
      </c>
      <c r="B976" t="s">
        <v>1215</v>
      </c>
      <c r="L976" t="s">
        <v>1720</v>
      </c>
    </row>
    <row r="977" spans="1:14" hidden="1" x14ac:dyDescent="0.35">
      <c r="A977" t="s">
        <v>116</v>
      </c>
      <c r="B977" t="s">
        <v>945</v>
      </c>
      <c r="L977" t="s">
        <v>1720</v>
      </c>
    </row>
    <row r="978" spans="1:14" hidden="1" x14ac:dyDescent="0.35">
      <c r="A978" t="s">
        <v>408</v>
      </c>
      <c r="B978" t="s">
        <v>1232</v>
      </c>
      <c r="L978" t="s">
        <v>1720</v>
      </c>
    </row>
    <row r="979" spans="1:14" hidden="1" x14ac:dyDescent="0.35">
      <c r="A979" t="s">
        <v>304</v>
      </c>
      <c r="B979" t="s">
        <v>1129</v>
      </c>
      <c r="L979" t="s">
        <v>1720</v>
      </c>
    </row>
    <row r="980" spans="1:14" hidden="1" x14ac:dyDescent="0.35">
      <c r="A980" t="s">
        <v>576</v>
      </c>
      <c r="B980" t="s">
        <v>1400</v>
      </c>
      <c r="L980" t="s">
        <v>1720</v>
      </c>
    </row>
    <row r="981" spans="1:14" hidden="1" x14ac:dyDescent="0.35">
      <c r="A981" t="s">
        <v>702</v>
      </c>
      <c r="B981" t="s">
        <v>1526</v>
      </c>
      <c r="L981" t="s">
        <v>1720</v>
      </c>
    </row>
    <row r="982" spans="1:14" x14ac:dyDescent="0.35">
      <c r="A982" t="s">
        <v>139</v>
      </c>
      <c r="B982" t="s">
        <v>968</v>
      </c>
      <c r="C982" t="s">
        <v>2259</v>
      </c>
      <c r="D982" t="s">
        <v>1721</v>
      </c>
      <c r="F982" t="s">
        <v>1802</v>
      </c>
      <c r="G982" t="s">
        <v>1728</v>
      </c>
      <c r="H982" t="s">
        <v>1800</v>
      </c>
      <c r="I982" t="s">
        <v>1763</v>
      </c>
      <c r="J982" t="s">
        <v>1746</v>
      </c>
      <c r="K982" t="s">
        <v>2505</v>
      </c>
      <c r="L982" t="s">
        <v>1720</v>
      </c>
      <c r="M982" s="57">
        <v>44581</v>
      </c>
      <c r="N982" t="s">
        <v>3480</v>
      </c>
    </row>
    <row r="983" spans="1:14" x14ac:dyDescent="0.35">
      <c r="A983" t="s">
        <v>139</v>
      </c>
      <c r="B983" t="s">
        <v>968</v>
      </c>
      <c r="C983" t="s">
        <v>2259</v>
      </c>
      <c r="D983" t="s">
        <v>1721</v>
      </c>
      <c r="F983" t="s">
        <v>1802</v>
      </c>
      <c r="G983" t="s">
        <v>1726</v>
      </c>
      <c r="H983" t="s">
        <v>1777</v>
      </c>
      <c r="I983" t="s">
        <v>1739</v>
      </c>
      <c r="J983" t="s">
        <v>1745</v>
      </c>
      <c r="K983" t="s">
        <v>2497</v>
      </c>
      <c r="L983" t="s">
        <v>1720</v>
      </c>
      <c r="M983" s="57">
        <v>44581</v>
      </c>
      <c r="N983" t="s">
        <v>3480</v>
      </c>
    </row>
    <row r="984" spans="1:14" x14ac:dyDescent="0.35">
      <c r="A984" t="s">
        <v>139</v>
      </c>
      <c r="B984" t="s">
        <v>968</v>
      </c>
      <c r="C984" t="s">
        <v>2261</v>
      </c>
      <c r="D984" t="s">
        <v>1724</v>
      </c>
      <c r="E984" t="s">
        <v>2280</v>
      </c>
      <c r="F984" t="s">
        <v>1801</v>
      </c>
      <c r="G984" t="s">
        <v>1762</v>
      </c>
      <c r="H984" t="s">
        <v>2304</v>
      </c>
      <c r="I984" t="s">
        <v>1743</v>
      </c>
      <c r="J984" t="s">
        <v>1761</v>
      </c>
      <c r="K984" t="s">
        <v>2369</v>
      </c>
      <c r="L984" t="s">
        <v>1720</v>
      </c>
      <c r="M984" s="57">
        <v>44581</v>
      </c>
      <c r="N984" t="s">
        <v>3480</v>
      </c>
    </row>
    <row r="985" spans="1:14" x14ac:dyDescent="0.35">
      <c r="A985" t="s">
        <v>139</v>
      </c>
      <c r="B985" t="s">
        <v>968</v>
      </c>
      <c r="C985" t="s">
        <v>2261</v>
      </c>
      <c r="D985" t="s">
        <v>1721</v>
      </c>
      <c r="E985" t="s">
        <v>2280</v>
      </c>
      <c r="F985" t="s">
        <v>1801</v>
      </c>
      <c r="G985" t="s">
        <v>1728</v>
      </c>
      <c r="H985" t="s">
        <v>1800</v>
      </c>
      <c r="I985" t="s">
        <v>1743</v>
      </c>
      <c r="J985" t="s">
        <v>1761</v>
      </c>
      <c r="K985" t="s">
        <v>2505</v>
      </c>
      <c r="L985" t="s">
        <v>1720</v>
      </c>
      <c r="M985" s="57">
        <v>44581</v>
      </c>
      <c r="N985" t="s">
        <v>3480</v>
      </c>
    </row>
    <row r="986" spans="1:14" x14ac:dyDescent="0.35">
      <c r="A986" t="s">
        <v>139</v>
      </c>
      <c r="B986" t="s">
        <v>968</v>
      </c>
      <c r="C986" t="s">
        <v>2261</v>
      </c>
      <c r="D986" t="s">
        <v>1721</v>
      </c>
      <c r="E986" t="s">
        <v>2298</v>
      </c>
      <c r="F986" t="s">
        <v>1802</v>
      </c>
      <c r="G986" t="s">
        <v>1760</v>
      </c>
      <c r="H986" t="s">
        <v>1850</v>
      </c>
      <c r="I986" t="s">
        <v>1758</v>
      </c>
      <c r="J986" t="s">
        <v>1759</v>
      </c>
      <c r="K986" t="s">
        <v>2506</v>
      </c>
      <c r="L986" t="s">
        <v>1720</v>
      </c>
      <c r="M986" s="57">
        <v>44581</v>
      </c>
      <c r="N986" t="s">
        <v>3480</v>
      </c>
    </row>
    <row r="987" spans="1:14" x14ac:dyDescent="0.35">
      <c r="A987" t="s">
        <v>139</v>
      </c>
      <c r="B987" t="s">
        <v>968</v>
      </c>
      <c r="C987" t="s">
        <v>2261</v>
      </c>
      <c r="D987" t="s">
        <v>1724</v>
      </c>
      <c r="E987" t="s">
        <v>2301</v>
      </c>
      <c r="F987" t="s">
        <v>1802</v>
      </c>
      <c r="G987" t="s">
        <v>1760</v>
      </c>
      <c r="H987" t="s">
        <v>2370</v>
      </c>
      <c r="I987" t="s">
        <v>1758</v>
      </c>
      <c r="J987" t="s">
        <v>1759</v>
      </c>
      <c r="K987" t="s">
        <v>2507</v>
      </c>
      <c r="L987" t="s">
        <v>1720</v>
      </c>
      <c r="M987" s="57">
        <v>44581</v>
      </c>
      <c r="N987" t="s">
        <v>3480</v>
      </c>
    </row>
    <row r="988" spans="1:14" x14ac:dyDescent="0.35">
      <c r="A988" t="s">
        <v>138</v>
      </c>
      <c r="B988" t="s">
        <v>967</v>
      </c>
      <c r="C988" t="s">
        <v>2259</v>
      </c>
      <c r="D988" t="s">
        <v>1721</v>
      </c>
      <c r="F988" t="s">
        <v>1802</v>
      </c>
      <c r="G988" t="s">
        <v>1726</v>
      </c>
      <c r="H988" t="s">
        <v>1777</v>
      </c>
      <c r="I988" t="s">
        <v>1739</v>
      </c>
      <c r="J988" t="s">
        <v>1745</v>
      </c>
      <c r="K988" t="s">
        <v>2497</v>
      </c>
      <c r="L988" t="s">
        <v>1720</v>
      </c>
      <c r="M988" s="57">
        <v>44581</v>
      </c>
      <c r="N988" t="s">
        <v>3480</v>
      </c>
    </row>
    <row r="989" spans="1:14" x14ac:dyDescent="0.35">
      <c r="A989" t="s">
        <v>138</v>
      </c>
      <c r="B989" t="s">
        <v>967</v>
      </c>
      <c r="C989" t="s">
        <v>2261</v>
      </c>
      <c r="D989" t="s">
        <v>1721</v>
      </c>
      <c r="E989" t="s">
        <v>2298</v>
      </c>
      <c r="F989" t="s">
        <v>1802</v>
      </c>
      <c r="G989" t="s">
        <v>1760</v>
      </c>
      <c r="H989" t="s">
        <v>1850</v>
      </c>
      <c r="I989" t="s">
        <v>1758</v>
      </c>
      <c r="J989" t="s">
        <v>1759</v>
      </c>
      <c r="K989" t="s">
        <v>2367</v>
      </c>
      <c r="L989" t="s">
        <v>1720</v>
      </c>
      <c r="M989" s="57">
        <v>44581</v>
      </c>
      <c r="N989" t="s">
        <v>3480</v>
      </c>
    </row>
    <row r="990" spans="1:14" x14ac:dyDescent="0.35">
      <c r="A990" t="s">
        <v>138</v>
      </c>
      <c r="B990" t="s">
        <v>967</v>
      </c>
      <c r="C990" t="s">
        <v>2261</v>
      </c>
      <c r="D990" t="s">
        <v>1724</v>
      </c>
      <c r="E990" t="s">
        <v>2301</v>
      </c>
      <c r="F990" t="s">
        <v>1802</v>
      </c>
      <c r="G990" t="s">
        <v>1760</v>
      </c>
      <c r="H990" t="s">
        <v>2299</v>
      </c>
      <c r="I990" t="s">
        <v>1758</v>
      </c>
      <c r="J990" t="s">
        <v>1759</v>
      </c>
      <c r="K990" t="s">
        <v>2368</v>
      </c>
      <c r="L990" t="s">
        <v>1720</v>
      </c>
      <c r="M990" s="57">
        <v>44581</v>
      </c>
      <c r="N990" t="s">
        <v>3480</v>
      </c>
    </row>
    <row r="991" spans="1:14" hidden="1" x14ac:dyDescent="0.35">
      <c r="A991" t="s">
        <v>361</v>
      </c>
      <c r="B991" t="s">
        <v>1185</v>
      </c>
      <c r="L991" t="s">
        <v>1720</v>
      </c>
    </row>
    <row r="992" spans="1:14" hidden="1" x14ac:dyDescent="0.35">
      <c r="A992" t="s">
        <v>181</v>
      </c>
      <c r="B992" t="s">
        <v>1010</v>
      </c>
      <c r="L992" t="s">
        <v>1720</v>
      </c>
    </row>
    <row r="993" spans="1:14" x14ac:dyDescent="0.35">
      <c r="A993" t="s">
        <v>634</v>
      </c>
      <c r="B993" t="s">
        <v>1458</v>
      </c>
      <c r="C993" t="s">
        <v>2259</v>
      </c>
      <c r="D993" t="s">
        <v>1721</v>
      </c>
      <c r="F993" t="s">
        <v>1802</v>
      </c>
      <c r="G993" t="s">
        <v>1727</v>
      </c>
      <c r="H993" t="s">
        <v>1737</v>
      </c>
      <c r="I993" t="s">
        <v>1730</v>
      </c>
      <c r="J993" t="s">
        <v>1732</v>
      </c>
      <c r="K993" t="s">
        <v>2278</v>
      </c>
      <c r="L993" t="s">
        <v>1720</v>
      </c>
      <c r="M993" s="57">
        <v>44612</v>
      </c>
      <c r="N993" t="s">
        <v>3481</v>
      </c>
    </row>
    <row r="994" spans="1:14" x14ac:dyDescent="0.35">
      <c r="A994" t="s">
        <v>634</v>
      </c>
      <c r="B994" t="s">
        <v>1458</v>
      </c>
      <c r="C994" t="s">
        <v>2259</v>
      </c>
      <c r="D994" t="s">
        <v>1724</v>
      </c>
      <c r="F994" t="s">
        <v>1802</v>
      </c>
      <c r="G994" t="s">
        <v>1726</v>
      </c>
      <c r="H994" t="s">
        <v>1737</v>
      </c>
      <c r="I994" t="s">
        <v>1730</v>
      </c>
      <c r="J994" t="s">
        <v>1732</v>
      </c>
      <c r="K994" t="s">
        <v>2300</v>
      </c>
      <c r="L994" t="s">
        <v>1720</v>
      </c>
      <c r="M994" s="57">
        <v>44612</v>
      </c>
      <c r="N994" t="s">
        <v>3481</v>
      </c>
    </row>
    <row r="995" spans="1:14" x14ac:dyDescent="0.35">
      <c r="A995" t="s">
        <v>634</v>
      </c>
      <c r="B995" t="s">
        <v>1458</v>
      </c>
      <c r="C995" t="s">
        <v>2261</v>
      </c>
      <c r="D995" t="s">
        <v>1721</v>
      </c>
      <c r="F995" t="s">
        <v>1804</v>
      </c>
      <c r="G995" t="s">
        <v>1741</v>
      </c>
      <c r="H995" t="s">
        <v>1775</v>
      </c>
      <c r="I995" t="s">
        <v>1742</v>
      </c>
      <c r="J995" t="s">
        <v>1744</v>
      </c>
      <c r="K995" t="s">
        <v>2119</v>
      </c>
      <c r="L995" t="s">
        <v>1720</v>
      </c>
      <c r="M995" s="57">
        <v>44612</v>
      </c>
      <c r="N995" t="s">
        <v>3480</v>
      </c>
    </row>
    <row r="996" spans="1:14" x14ac:dyDescent="0.35">
      <c r="A996" t="s">
        <v>634</v>
      </c>
      <c r="B996" t="s">
        <v>1458</v>
      </c>
      <c r="C996" t="s">
        <v>2259</v>
      </c>
      <c r="D996" t="s">
        <v>1721</v>
      </c>
      <c r="F996" t="s">
        <v>1802</v>
      </c>
      <c r="G996" t="s">
        <v>1848</v>
      </c>
      <c r="H996" t="s">
        <v>1851</v>
      </c>
      <c r="I996" t="s">
        <v>1852</v>
      </c>
      <c r="J996" t="s">
        <v>1853</v>
      </c>
      <c r="K996" t="s">
        <v>2400</v>
      </c>
      <c r="L996" t="s">
        <v>1720</v>
      </c>
      <c r="M996" s="57">
        <v>44612</v>
      </c>
      <c r="N996" t="s">
        <v>3480</v>
      </c>
    </row>
    <row r="997" spans="1:14" x14ac:dyDescent="0.35">
      <c r="A997" t="s">
        <v>634</v>
      </c>
      <c r="B997" t="s">
        <v>1458</v>
      </c>
      <c r="C997" t="s">
        <v>2259</v>
      </c>
      <c r="D997" t="s">
        <v>1721</v>
      </c>
      <c r="F997" t="s">
        <v>1802</v>
      </c>
      <c r="G997" t="s">
        <v>1726</v>
      </c>
      <c r="H997" t="s">
        <v>1777</v>
      </c>
      <c r="I997" t="s">
        <v>1739</v>
      </c>
      <c r="J997" t="s">
        <v>1745</v>
      </c>
      <c r="K997" t="s">
        <v>2292</v>
      </c>
      <c r="L997" t="s">
        <v>1720</v>
      </c>
      <c r="M997" s="57">
        <v>44612</v>
      </c>
      <c r="N997" t="s">
        <v>3480</v>
      </c>
    </row>
    <row r="998" spans="1:14" x14ac:dyDescent="0.35">
      <c r="A998" t="s">
        <v>634</v>
      </c>
      <c r="B998" t="s">
        <v>1458</v>
      </c>
      <c r="C998" t="s">
        <v>2259</v>
      </c>
      <c r="D998" t="s">
        <v>1721</v>
      </c>
      <c r="F998" t="s">
        <v>1802</v>
      </c>
      <c r="G998" t="s">
        <v>1726</v>
      </c>
      <c r="H998" t="s">
        <v>1777</v>
      </c>
      <c r="I998" t="s">
        <v>1739</v>
      </c>
      <c r="J998" t="s">
        <v>1745</v>
      </c>
      <c r="K998" t="s">
        <v>2471</v>
      </c>
      <c r="L998" t="s">
        <v>1720</v>
      </c>
      <c r="M998" s="57">
        <v>44612</v>
      </c>
      <c r="N998" t="s">
        <v>3480</v>
      </c>
    </row>
    <row r="999" spans="1:14" hidden="1" x14ac:dyDescent="0.35">
      <c r="A999" t="s">
        <v>315</v>
      </c>
      <c r="B999" t="s">
        <v>1140</v>
      </c>
      <c r="L999" t="s">
        <v>1720</v>
      </c>
    </row>
    <row r="1000" spans="1:14" x14ac:dyDescent="0.35">
      <c r="A1000" t="s">
        <v>314</v>
      </c>
      <c r="B1000" t="s">
        <v>1139</v>
      </c>
      <c r="C1000" t="s">
        <v>2259</v>
      </c>
      <c r="D1000" t="s">
        <v>1721</v>
      </c>
      <c r="F1000" t="s">
        <v>1802</v>
      </c>
      <c r="G1000" t="s">
        <v>1726</v>
      </c>
      <c r="H1000" t="s">
        <v>1777</v>
      </c>
      <c r="I1000" t="s">
        <v>1739</v>
      </c>
      <c r="J1000" t="s">
        <v>1745</v>
      </c>
      <c r="K1000" t="s">
        <v>2361</v>
      </c>
      <c r="L1000" t="s">
        <v>1720</v>
      </c>
      <c r="M1000" s="57">
        <v>44582</v>
      </c>
      <c r="N1000" t="s">
        <v>3480</v>
      </c>
    </row>
    <row r="1001" spans="1:14" x14ac:dyDescent="0.35">
      <c r="A1001" t="s">
        <v>314</v>
      </c>
      <c r="B1001" t="s">
        <v>1139</v>
      </c>
      <c r="C1001" t="s">
        <v>2259</v>
      </c>
      <c r="D1001" t="s">
        <v>1724</v>
      </c>
      <c r="F1001" t="s">
        <v>1802</v>
      </c>
      <c r="G1001" t="s">
        <v>1726</v>
      </c>
      <c r="H1001" t="s">
        <v>1777</v>
      </c>
      <c r="I1001" t="s">
        <v>1739</v>
      </c>
      <c r="J1001" t="s">
        <v>1745</v>
      </c>
      <c r="K1001" t="s">
        <v>2403</v>
      </c>
      <c r="L1001" t="s">
        <v>1720</v>
      </c>
      <c r="M1001" s="57">
        <v>44582</v>
      </c>
      <c r="N1001" t="s">
        <v>3480</v>
      </c>
    </row>
    <row r="1002" spans="1:14" hidden="1" x14ac:dyDescent="0.35">
      <c r="A1002" t="s">
        <v>758</v>
      </c>
      <c r="B1002" t="s">
        <v>1582</v>
      </c>
      <c r="L1002" t="s">
        <v>1720</v>
      </c>
    </row>
    <row r="1003" spans="1:14" hidden="1" x14ac:dyDescent="0.35">
      <c r="A1003" t="s">
        <v>759</v>
      </c>
      <c r="B1003" t="s">
        <v>1583</v>
      </c>
      <c r="L1003" t="s">
        <v>1720</v>
      </c>
    </row>
    <row r="1004" spans="1:14" x14ac:dyDescent="0.35">
      <c r="A1004" t="s">
        <v>731</v>
      </c>
      <c r="B1004" t="s">
        <v>1555</v>
      </c>
      <c r="C1004" t="s">
        <v>2259</v>
      </c>
      <c r="D1004" t="s">
        <v>1721</v>
      </c>
      <c r="F1004" t="s">
        <v>1802</v>
      </c>
      <c r="G1004" t="s">
        <v>1792</v>
      </c>
      <c r="H1004" t="s">
        <v>1793</v>
      </c>
      <c r="I1004" t="s">
        <v>1734</v>
      </c>
      <c r="J1004" t="s">
        <v>1791</v>
      </c>
      <c r="K1004" t="s">
        <v>2537</v>
      </c>
      <c r="L1004" t="s">
        <v>1720</v>
      </c>
      <c r="M1004" s="57">
        <v>44582</v>
      </c>
      <c r="N1004" t="s">
        <v>3480</v>
      </c>
    </row>
    <row r="1005" spans="1:14" x14ac:dyDescent="0.35">
      <c r="A1005" t="s">
        <v>731</v>
      </c>
      <c r="B1005" t="s">
        <v>1555</v>
      </c>
      <c r="C1005" t="s">
        <v>2261</v>
      </c>
      <c r="D1005" t="s">
        <v>1721</v>
      </c>
      <c r="E1005" t="s">
        <v>2288</v>
      </c>
      <c r="F1005" t="s">
        <v>1803</v>
      </c>
      <c r="G1005" t="s">
        <v>1754</v>
      </c>
      <c r="H1005" t="s">
        <v>1796</v>
      </c>
      <c r="I1005" t="s">
        <v>1917</v>
      </c>
      <c r="J1005" t="s">
        <v>1753</v>
      </c>
      <c r="K1005" t="s">
        <v>2525</v>
      </c>
      <c r="L1005" t="s">
        <v>1720</v>
      </c>
      <c r="M1005" s="57">
        <v>44582</v>
      </c>
      <c r="N1005" t="s">
        <v>3480</v>
      </c>
    </row>
    <row r="1006" spans="1:14" x14ac:dyDescent="0.35">
      <c r="A1006" t="s">
        <v>731</v>
      </c>
      <c r="B1006" t="s">
        <v>1555</v>
      </c>
      <c r="C1006" t="s">
        <v>2261</v>
      </c>
      <c r="D1006" t="s">
        <v>1721</v>
      </c>
      <c r="E1006" t="s">
        <v>2290</v>
      </c>
      <c r="F1006" t="s">
        <v>1803</v>
      </c>
      <c r="G1006" t="s">
        <v>1754</v>
      </c>
      <c r="H1006" t="s">
        <v>1796</v>
      </c>
      <c r="I1006" t="s">
        <v>1917</v>
      </c>
      <c r="J1006" t="s">
        <v>1753</v>
      </c>
      <c r="K1006" t="s">
        <v>2537</v>
      </c>
      <c r="L1006" t="s">
        <v>1720</v>
      </c>
      <c r="M1006" s="57">
        <v>44582</v>
      </c>
      <c r="N1006" t="s">
        <v>3480</v>
      </c>
    </row>
    <row r="1007" spans="1:14" x14ac:dyDescent="0.35">
      <c r="A1007" t="s">
        <v>731</v>
      </c>
      <c r="B1007" t="s">
        <v>1555</v>
      </c>
      <c r="C1007" t="s">
        <v>2261</v>
      </c>
      <c r="D1007" t="s">
        <v>1721</v>
      </c>
      <c r="F1007" t="s">
        <v>1802</v>
      </c>
      <c r="G1007" t="s">
        <v>1726</v>
      </c>
      <c r="H1007" t="s">
        <v>1777</v>
      </c>
      <c r="I1007" t="s">
        <v>1739</v>
      </c>
      <c r="J1007" t="s">
        <v>1745</v>
      </c>
      <c r="K1007" t="s">
        <v>2525</v>
      </c>
      <c r="L1007" t="s">
        <v>1720</v>
      </c>
      <c r="M1007" s="57">
        <v>44582</v>
      </c>
      <c r="N1007" t="s">
        <v>3480</v>
      </c>
    </row>
    <row r="1008" spans="1:14" hidden="1" x14ac:dyDescent="0.35">
      <c r="A1008" t="s">
        <v>262</v>
      </c>
      <c r="B1008" t="s">
        <v>1088</v>
      </c>
      <c r="L1008" t="s">
        <v>1720</v>
      </c>
    </row>
    <row r="1009" spans="1:14" hidden="1" x14ac:dyDescent="0.35">
      <c r="A1009" t="s">
        <v>768</v>
      </c>
      <c r="B1009" t="s">
        <v>1592</v>
      </c>
      <c r="L1009" t="s">
        <v>1720</v>
      </c>
    </row>
    <row r="1010" spans="1:14" x14ac:dyDescent="0.35">
      <c r="A1010" t="s">
        <v>47</v>
      </c>
      <c r="B1010" t="s">
        <v>876</v>
      </c>
      <c r="C1010" t="s">
        <v>2261</v>
      </c>
      <c r="D1010" t="s">
        <v>1721</v>
      </c>
      <c r="F1010" t="s">
        <v>2263</v>
      </c>
      <c r="G1010" t="s">
        <v>1725</v>
      </c>
      <c r="H1010" t="s">
        <v>1776</v>
      </c>
      <c r="I1010" t="s">
        <v>1729</v>
      </c>
      <c r="J1010" t="s">
        <v>1747</v>
      </c>
      <c r="K1010" t="s">
        <v>2310</v>
      </c>
      <c r="L1010" t="s">
        <v>1720</v>
      </c>
      <c r="M1010" s="57">
        <v>44582</v>
      </c>
      <c r="N1010" t="s">
        <v>3480</v>
      </c>
    </row>
    <row r="1011" spans="1:14" hidden="1" x14ac:dyDescent="0.35">
      <c r="A1011" t="s">
        <v>111</v>
      </c>
      <c r="B1011" t="s">
        <v>940</v>
      </c>
      <c r="L1011" t="s">
        <v>1720</v>
      </c>
    </row>
    <row r="1012" spans="1:14" hidden="1" x14ac:dyDescent="0.35">
      <c r="A1012" t="s">
        <v>742</v>
      </c>
      <c r="B1012" t="s">
        <v>1566</v>
      </c>
      <c r="L1012" t="s">
        <v>1720</v>
      </c>
    </row>
    <row r="1013" spans="1:14" hidden="1" x14ac:dyDescent="0.35">
      <c r="A1013" t="s">
        <v>743</v>
      </c>
      <c r="B1013" t="s">
        <v>1567</v>
      </c>
      <c r="L1013" t="s">
        <v>1720</v>
      </c>
    </row>
    <row r="1014" spans="1:14" hidden="1" x14ac:dyDescent="0.35">
      <c r="A1014" t="s">
        <v>744</v>
      </c>
      <c r="B1014" t="s">
        <v>1568</v>
      </c>
      <c r="L1014" t="s">
        <v>1720</v>
      </c>
    </row>
    <row r="1015" spans="1:14" hidden="1" x14ac:dyDescent="0.35">
      <c r="A1015" t="s">
        <v>745</v>
      </c>
      <c r="B1015" t="s">
        <v>1569</v>
      </c>
      <c r="L1015" t="s">
        <v>1720</v>
      </c>
    </row>
    <row r="1016" spans="1:14" hidden="1" x14ac:dyDescent="0.35">
      <c r="A1016" t="s">
        <v>746</v>
      </c>
      <c r="B1016" t="s">
        <v>1570</v>
      </c>
      <c r="L1016" t="s">
        <v>1720</v>
      </c>
    </row>
    <row r="1017" spans="1:14" hidden="1" x14ac:dyDescent="0.35">
      <c r="A1017" t="s">
        <v>747</v>
      </c>
      <c r="B1017" t="s">
        <v>1571</v>
      </c>
      <c r="L1017" t="s">
        <v>1720</v>
      </c>
    </row>
    <row r="1018" spans="1:14" hidden="1" x14ac:dyDescent="0.35">
      <c r="A1018" t="s">
        <v>748</v>
      </c>
      <c r="B1018" t="s">
        <v>1572</v>
      </c>
      <c r="L1018" t="s">
        <v>1720</v>
      </c>
    </row>
    <row r="1019" spans="1:14" hidden="1" x14ac:dyDescent="0.35">
      <c r="A1019" t="s">
        <v>749</v>
      </c>
      <c r="B1019" t="s">
        <v>1573</v>
      </c>
      <c r="L1019" t="s">
        <v>1720</v>
      </c>
    </row>
    <row r="1020" spans="1:14" x14ac:dyDescent="0.35">
      <c r="A1020" t="s">
        <v>750</v>
      </c>
      <c r="B1020" t="s">
        <v>1574</v>
      </c>
      <c r="C1020" t="s">
        <v>2261</v>
      </c>
      <c r="D1020" t="s">
        <v>1724</v>
      </c>
      <c r="E1020" t="s">
        <v>2277</v>
      </c>
      <c r="F1020" t="s">
        <v>1801</v>
      </c>
      <c r="G1020" t="s">
        <v>1762</v>
      </c>
      <c r="H1020" t="s">
        <v>1855</v>
      </c>
      <c r="I1020" t="s">
        <v>1755</v>
      </c>
      <c r="J1020" t="s">
        <v>1854</v>
      </c>
      <c r="K1020" t="s">
        <v>2553</v>
      </c>
      <c r="L1020" t="s">
        <v>1720</v>
      </c>
      <c r="M1020" s="57">
        <v>44582</v>
      </c>
      <c r="N1020" t="s">
        <v>3480</v>
      </c>
    </row>
    <row r="1021" spans="1:14" x14ac:dyDescent="0.35">
      <c r="A1021" t="s">
        <v>750</v>
      </c>
      <c r="B1021" t="s">
        <v>1574</v>
      </c>
      <c r="C1021" t="s">
        <v>2261</v>
      </c>
      <c r="D1021" t="s">
        <v>1721</v>
      </c>
      <c r="E1021" t="s">
        <v>2277</v>
      </c>
      <c r="F1021" t="s">
        <v>1801</v>
      </c>
      <c r="G1021" t="s">
        <v>1728</v>
      </c>
      <c r="H1021" t="s">
        <v>1856</v>
      </c>
      <c r="I1021" t="s">
        <v>1755</v>
      </c>
      <c r="J1021" t="s">
        <v>1854</v>
      </c>
      <c r="K1021" t="s">
        <v>2554</v>
      </c>
      <c r="L1021" t="s">
        <v>1720</v>
      </c>
      <c r="M1021" s="57">
        <v>44582</v>
      </c>
      <c r="N1021" t="s">
        <v>3480</v>
      </c>
    </row>
    <row r="1022" spans="1:14" hidden="1" x14ac:dyDescent="0.35">
      <c r="A1022" t="s">
        <v>751</v>
      </c>
      <c r="B1022" t="s">
        <v>1575</v>
      </c>
      <c r="L1022" t="s">
        <v>1720</v>
      </c>
    </row>
    <row r="1023" spans="1:14" hidden="1" x14ac:dyDescent="0.35">
      <c r="A1023" t="s">
        <v>741</v>
      </c>
      <c r="B1023" t="s">
        <v>1565</v>
      </c>
      <c r="L1023" t="s">
        <v>1720</v>
      </c>
    </row>
    <row r="1024" spans="1:14" hidden="1" x14ac:dyDescent="0.35">
      <c r="A1024" t="s">
        <v>752</v>
      </c>
      <c r="B1024" t="s">
        <v>1576</v>
      </c>
      <c r="L1024" t="s">
        <v>1720</v>
      </c>
    </row>
    <row r="1025" spans="1:14" hidden="1" x14ac:dyDescent="0.35">
      <c r="A1025" t="s">
        <v>76</v>
      </c>
      <c r="B1025" t="s">
        <v>905</v>
      </c>
      <c r="L1025" t="s">
        <v>1720</v>
      </c>
    </row>
    <row r="1026" spans="1:14" x14ac:dyDescent="0.35">
      <c r="A1026" t="s">
        <v>459</v>
      </c>
      <c r="B1026" t="s">
        <v>1283</v>
      </c>
      <c r="C1026" t="s">
        <v>2261</v>
      </c>
      <c r="D1026" t="s">
        <v>1721</v>
      </c>
      <c r="E1026" t="s">
        <v>2277</v>
      </c>
      <c r="F1026" t="s">
        <v>1804</v>
      </c>
      <c r="G1026" t="s">
        <v>1741</v>
      </c>
      <c r="H1026" t="s">
        <v>1775</v>
      </c>
      <c r="I1026" t="s">
        <v>1742</v>
      </c>
      <c r="J1026" t="s">
        <v>1744</v>
      </c>
      <c r="K1026" t="s">
        <v>2541</v>
      </c>
      <c r="L1026" t="s">
        <v>1720</v>
      </c>
      <c r="M1026" s="57">
        <v>44582</v>
      </c>
      <c r="N1026" t="s">
        <v>3480</v>
      </c>
    </row>
    <row r="1027" spans="1:14" hidden="1" x14ac:dyDescent="0.35">
      <c r="A1027" t="s">
        <v>514</v>
      </c>
      <c r="B1027" t="s">
        <v>1338</v>
      </c>
      <c r="L1027" t="s">
        <v>1720</v>
      </c>
    </row>
    <row r="1028" spans="1:14" x14ac:dyDescent="0.35">
      <c r="A1028" t="s">
        <v>59</v>
      </c>
      <c r="B1028" t="s">
        <v>888</v>
      </c>
      <c r="C1028" t="s">
        <v>2259</v>
      </c>
      <c r="D1028" t="s">
        <v>1721</v>
      </c>
      <c r="F1028" t="s">
        <v>1802</v>
      </c>
      <c r="G1028" t="s">
        <v>1750</v>
      </c>
      <c r="H1028" t="s">
        <v>1773</v>
      </c>
      <c r="I1028" t="s">
        <v>1748</v>
      </c>
      <c r="J1028" t="s">
        <v>1749</v>
      </c>
      <c r="K1028" t="s">
        <v>2111</v>
      </c>
      <c r="L1028" t="s">
        <v>1720</v>
      </c>
      <c r="M1028" s="57">
        <v>44582</v>
      </c>
      <c r="N1028" t="s">
        <v>3480</v>
      </c>
    </row>
    <row r="1029" spans="1:14" x14ac:dyDescent="0.35">
      <c r="A1029" t="s">
        <v>59</v>
      </c>
      <c r="B1029" t="s">
        <v>888</v>
      </c>
      <c r="C1029" t="s">
        <v>2261</v>
      </c>
      <c r="D1029" t="s">
        <v>1721</v>
      </c>
      <c r="F1029" t="s">
        <v>1801</v>
      </c>
      <c r="G1029" t="s">
        <v>1735</v>
      </c>
      <c r="H1029" t="s">
        <v>1774</v>
      </c>
      <c r="I1029" t="s">
        <v>1734</v>
      </c>
      <c r="J1029" t="s">
        <v>1752</v>
      </c>
      <c r="K1029" t="s">
        <v>2313</v>
      </c>
      <c r="L1029" t="s">
        <v>1720</v>
      </c>
      <c r="M1029" s="57">
        <v>44582</v>
      </c>
      <c r="N1029" t="s">
        <v>3480</v>
      </c>
    </row>
    <row r="1030" spans="1:14" x14ac:dyDescent="0.35">
      <c r="A1030" t="s">
        <v>59</v>
      </c>
      <c r="B1030" t="s">
        <v>888</v>
      </c>
      <c r="C1030" t="s">
        <v>2259</v>
      </c>
      <c r="D1030" t="s">
        <v>1721</v>
      </c>
      <c r="F1030" t="s">
        <v>1802</v>
      </c>
      <c r="G1030" t="s">
        <v>1727</v>
      </c>
      <c r="H1030" t="s">
        <v>1737</v>
      </c>
      <c r="I1030" t="s">
        <v>1730</v>
      </c>
      <c r="J1030" t="s">
        <v>1732</v>
      </c>
      <c r="K1030" t="s">
        <v>2266</v>
      </c>
      <c r="L1030" t="s">
        <v>1720</v>
      </c>
      <c r="M1030" s="57">
        <v>44582</v>
      </c>
      <c r="N1030" t="s">
        <v>3481</v>
      </c>
    </row>
    <row r="1031" spans="1:14" x14ac:dyDescent="0.35">
      <c r="A1031" t="s">
        <v>59</v>
      </c>
      <c r="B1031" t="s">
        <v>888</v>
      </c>
      <c r="C1031" t="s">
        <v>2259</v>
      </c>
      <c r="D1031" t="s">
        <v>1724</v>
      </c>
      <c r="F1031" t="s">
        <v>1802</v>
      </c>
      <c r="G1031" t="s">
        <v>1726</v>
      </c>
      <c r="H1031" t="s">
        <v>1737</v>
      </c>
      <c r="I1031" t="s">
        <v>1730</v>
      </c>
      <c r="J1031" t="s">
        <v>1732</v>
      </c>
      <c r="K1031" t="s">
        <v>2281</v>
      </c>
      <c r="L1031" t="s">
        <v>1720</v>
      </c>
      <c r="M1031" s="57">
        <v>44582</v>
      </c>
      <c r="N1031" t="s">
        <v>3481</v>
      </c>
    </row>
    <row r="1032" spans="1:14" x14ac:dyDescent="0.35">
      <c r="A1032" t="s">
        <v>59</v>
      </c>
      <c r="B1032" t="s">
        <v>888</v>
      </c>
      <c r="C1032" t="s">
        <v>2261</v>
      </c>
      <c r="D1032" t="s">
        <v>1724</v>
      </c>
      <c r="F1032" t="s">
        <v>1802</v>
      </c>
      <c r="G1032" t="s">
        <v>1757</v>
      </c>
      <c r="H1032" t="s">
        <v>1780</v>
      </c>
      <c r="I1032" t="s">
        <v>1755</v>
      </c>
      <c r="J1032" t="s">
        <v>1756</v>
      </c>
      <c r="K1032" t="s">
        <v>2324</v>
      </c>
      <c r="L1032" t="s">
        <v>1720</v>
      </c>
      <c r="M1032" s="57">
        <v>44582</v>
      </c>
      <c r="N1032" t="s">
        <v>3480</v>
      </c>
    </row>
    <row r="1033" spans="1:14" x14ac:dyDescent="0.35">
      <c r="A1033" t="s">
        <v>59</v>
      </c>
      <c r="B1033" t="s">
        <v>888</v>
      </c>
      <c r="C1033" t="s">
        <v>2261</v>
      </c>
      <c r="D1033" t="s">
        <v>1721</v>
      </c>
      <c r="E1033" t="s">
        <v>2277</v>
      </c>
      <c r="F1033" t="s">
        <v>1804</v>
      </c>
      <c r="G1033" t="s">
        <v>1741</v>
      </c>
      <c r="H1033" t="s">
        <v>1775</v>
      </c>
      <c r="I1033" t="s">
        <v>1742</v>
      </c>
      <c r="J1033" t="s">
        <v>1744</v>
      </c>
      <c r="K1033" t="s">
        <v>2325</v>
      </c>
      <c r="L1033" t="s">
        <v>1720</v>
      </c>
      <c r="M1033" s="57">
        <v>44582</v>
      </c>
      <c r="N1033" t="s">
        <v>3480</v>
      </c>
    </row>
    <row r="1034" spans="1:14" x14ac:dyDescent="0.35">
      <c r="A1034" t="s">
        <v>59</v>
      </c>
      <c r="B1034" t="s">
        <v>888</v>
      </c>
      <c r="C1034" t="s">
        <v>2261</v>
      </c>
      <c r="D1034" t="s">
        <v>1724</v>
      </c>
      <c r="F1034" t="s">
        <v>2308</v>
      </c>
      <c r="G1034" t="s">
        <v>1762</v>
      </c>
      <c r="H1034" t="s">
        <v>1781</v>
      </c>
      <c r="I1034" t="s">
        <v>1731</v>
      </c>
      <c r="J1034" t="s">
        <v>1733</v>
      </c>
      <c r="K1034" t="s">
        <v>2326</v>
      </c>
      <c r="L1034" t="s">
        <v>1720</v>
      </c>
      <c r="M1034" s="57">
        <v>44582</v>
      </c>
      <c r="N1034" t="s">
        <v>3480</v>
      </c>
    </row>
    <row r="1035" spans="1:14" x14ac:dyDescent="0.35">
      <c r="A1035" t="s">
        <v>59</v>
      </c>
      <c r="B1035" t="s">
        <v>888</v>
      </c>
      <c r="C1035" t="s">
        <v>2261</v>
      </c>
      <c r="D1035" t="s">
        <v>1721</v>
      </c>
      <c r="F1035" t="s">
        <v>2308</v>
      </c>
      <c r="G1035" t="s">
        <v>1728</v>
      </c>
      <c r="H1035" t="s">
        <v>1779</v>
      </c>
      <c r="I1035" t="s">
        <v>1731</v>
      </c>
      <c r="J1035" t="s">
        <v>1733</v>
      </c>
      <c r="K1035" t="s">
        <v>2327</v>
      </c>
      <c r="L1035" t="s">
        <v>1720</v>
      </c>
      <c r="M1035" s="57">
        <v>44582</v>
      </c>
      <c r="N1035" t="s">
        <v>3480</v>
      </c>
    </row>
    <row r="1036" spans="1:14" x14ac:dyDescent="0.35">
      <c r="A1036" t="s">
        <v>59</v>
      </c>
      <c r="B1036" t="s">
        <v>888</v>
      </c>
      <c r="C1036" t="s">
        <v>2261</v>
      </c>
      <c r="D1036" t="s">
        <v>1721</v>
      </c>
      <c r="E1036" t="s">
        <v>2284</v>
      </c>
      <c r="F1036" t="s">
        <v>2285</v>
      </c>
      <c r="G1036" t="s">
        <v>1784</v>
      </c>
      <c r="H1036" t="s">
        <v>1785</v>
      </c>
      <c r="I1036" t="s">
        <v>1782</v>
      </c>
      <c r="J1036" t="s">
        <v>1783</v>
      </c>
      <c r="K1036" t="s">
        <v>2310</v>
      </c>
      <c r="L1036" t="s">
        <v>1720</v>
      </c>
      <c r="M1036" s="57">
        <v>44582</v>
      </c>
      <c r="N1036" t="s">
        <v>3480</v>
      </c>
    </row>
    <row r="1037" spans="1:14" hidden="1" x14ac:dyDescent="0.35">
      <c r="A1037" t="s">
        <v>823</v>
      </c>
      <c r="B1037" t="s">
        <v>1645</v>
      </c>
      <c r="L1037" t="s">
        <v>1720</v>
      </c>
    </row>
    <row r="1038" spans="1:14" hidden="1" x14ac:dyDescent="0.35">
      <c r="A1038" t="s">
        <v>189</v>
      </c>
      <c r="B1038" t="s">
        <v>1017</v>
      </c>
      <c r="L1038" t="s">
        <v>1720</v>
      </c>
    </row>
    <row r="1039" spans="1:14" hidden="1" x14ac:dyDescent="0.35">
      <c r="A1039" t="s">
        <v>18</v>
      </c>
      <c r="B1039" t="s">
        <v>847</v>
      </c>
      <c r="L1039" t="s">
        <v>1720</v>
      </c>
    </row>
    <row r="1040" spans="1:14" hidden="1" x14ac:dyDescent="0.35">
      <c r="A1040" t="s">
        <v>174</v>
      </c>
      <c r="B1040" t="s">
        <v>1003</v>
      </c>
      <c r="L1040" t="s">
        <v>1720</v>
      </c>
    </row>
    <row r="1041" spans="1:14" hidden="1" x14ac:dyDescent="0.35">
      <c r="A1041" t="s">
        <v>291</v>
      </c>
      <c r="B1041" t="s">
        <v>1116</v>
      </c>
      <c r="L1041" t="s">
        <v>1720</v>
      </c>
    </row>
    <row r="1042" spans="1:14" x14ac:dyDescent="0.35">
      <c r="A1042" t="s">
        <v>629</v>
      </c>
      <c r="B1042" t="s">
        <v>1453</v>
      </c>
      <c r="C1042" t="s">
        <v>2261</v>
      </c>
      <c r="D1042" t="s">
        <v>1721</v>
      </c>
      <c r="F1042" t="s">
        <v>2263</v>
      </c>
      <c r="G1042" t="s">
        <v>1725</v>
      </c>
      <c r="H1042" t="s">
        <v>1776</v>
      </c>
      <c r="I1042" t="s">
        <v>1729</v>
      </c>
      <c r="J1042" t="s">
        <v>1747</v>
      </c>
      <c r="K1042" t="s">
        <v>2365</v>
      </c>
      <c r="L1042" t="s">
        <v>1720</v>
      </c>
      <c r="M1042" s="57">
        <v>44582</v>
      </c>
      <c r="N1042" t="s">
        <v>3480</v>
      </c>
    </row>
    <row r="1043" spans="1:14" x14ac:dyDescent="0.35">
      <c r="A1043" t="s">
        <v>629</v>
      </c>
      <c r="B1043" t="s">
        <v>1453</v>
      </c>
      <c r="C1043" t="s">
        <v>2261</v>
      </c>
      <c r="D1043" t="s">
        <v>1721</v>
      </c>
      <c r="F1043" t="s">
        <v>1801</v>
      </c>
      <c r="G1043" t="s">
        <v>1735</v>
      </c>
      <c r="H1043" t="s">
        <v>1774</v>
      </c>
      <c r="I1043" t="s">
        <v>1734</v>
      </c>
      <c r="J1043" t="s">
        <v>1771</v>
      </c>
      <c r="K1043" t="s">
        <v>2129</v>
      </c>
      <c r="L1043" t="s">
        <v>1720</v>
      </c>
      <c r="M1043" s="57">
        <v>44582</v>
      </c>
      <c r="N1043" t="s">
        <v>3480</v>
      </c>
    </row>
    <row r="1044" spans="1:14" x14ac:dyDescent="0.35">
      <c r="A1044" t="s">
        <v>629</v>
      </c>
      <c r="B1044" t="s">
        <v>1453</v>
      </c>
      <c r="C1044" t="s">
        <v>2259</v>
      </c>
      <c r="D1044" t="s">
        <v>1721</v>
      </c>
      <c r="F1044" t="s">
        <v>1802</v>
      </c>
      <c r="G1044" t="s">
        <v>1727</v>
      </c>
      <c r="H1044" t="s">
        <v>1737</v>
      </c>
      <c r="I1044" t="s">
        <v>1730</v>
      </c>
      <c r="J1044" t="s">
        <v>1732</v>
      </c>
      <c r="K1044" t="s">
        <v>2468</v>
      </c>
      <c r="L1044" t="s">
        <v>1720</v>
      </c>
      <c r="M1044" s="57">
        <v>44582</v>
      </c>
      <c r="N1044" t="s">
        <v>3481</v>
      </c>
    </row>
    <row r="1045" spans="1:14" x14ac:dyDescent="0.35">
      <c r="A1045" t="s">
        <v>629</v>
      </c>
      <c r="B1045" t="s">
        <v>1453</v>
      </c>
      <c r="C1045" t="s">
        <v>2259</v>
      </c>
      <c r="D1045" t="s">
        <v>1724</v>
      </c>
      <c r="F1045" t="s">
        <v>1802</v>
      </c>
      <c r="G1045" t="s">
        <v>1726</v>
      </c>
      <c r="H1045" t="s">
        <v>1737</v>
      </c>
      <c r="I1045" t="s">
        <v>1730</v>
      </c>
      <c r="J1045" t="s">
        <v>1732</v>
      </c>
      <c r="K1045" t="s">
        <v>2551</v>
      </c>
      <c r="L1045" t="s">
        <v>1720</v>
      </c>
      <c r="M1045" s="57">
        <v>44582</v>
      </c>
      <c r="N1045" t="s">
        <v>3481</v>
      </c>
    </row>
    <row r="1046" spans="1:14" x14ac:dyDescent="0.35">
      <c r="A1046" t="s">
        <v>629</v>
      </c>
      <c r="B1046" t="s">
        <v>1453</v>
      </c>
      <c r="C1046" t="s">
        <v>2261</v>
      </c>
      <c r="D1046" t="s">
        <v>1721</v>
      </c>
      <c r="F1046" t="s">
        <v>1802</v>
      </c>
      <c r="G1046" t="s">
        <v>1757</v>
      </c>
      <c r="H1046" t="s">
        <v>1788</v>
      </c>
      <c r="I1046" t="s">
        <v>1755</v>
      </c>
      <c r="J1046" t="s">
        <v>1756</v>
      </c>
      <c r="K1046" t="s">
        <v>2469</v>
      </c>
      <c r="L1046" t="s">
        <v>1720</v>
      </c>
      <c r="M1046" s="57">
        <v>44582</v>
      </c>
      <c r="N1046" t="s">
        <v>3480</v>
      </c>
    </row>
    <row r="1047" spans="1:14" x14ac:dyDescent="0.35">
      <c r="A1047" t="s">
        <v>629</v>
      </c>
      <c r="B1047" t="s">
        <v>1453</v>
      </c>
      <c r="C1047" t="s">
        <v>2261</v>
      </c>
      <c r="D1047" t="s">
        <v>1724</v>
      </c>
      <c r="F1047" t="s">
        <v>1802</v>
      </c>
      <c r="G1047" t="s">
        <v>1757</v>
      </c>
      <c r="H1047" t="s">
        <v>1780</v>
      </c>
      <c r="I1047" t="s">
        <v>1755</v>
      </c>
      <c r="J1047" t="s">
        <v>1756</v>
      </c>
      <c r="K1047" t="s">
        <v>2470</v>
      </c>
      <c r="L1047" t="s">
        <v>1720</v>
      </c>
      <c r="M1047" s="57">
        <v>44582</v>
      </c>
      <c r="N1047" t="s">
        <v>3480</v>
      </c>
    </row>
    <row r="1048" spans="1:14" x14ac:dyDescent="0.35">
      <c r="A1048" t="s">
        <v>629</v>
      </c>
      <c r="B1048" t="s">
        <v>1453</v>
      </c>
      <c r="C1048" t="s">
        <v>2261</v>
      </c>
      <c r="D1048" t="s">
        <v>1721</v>
      </c>
      <c r="F1048" t="s">
        <v>1804</v>
      </c>
      <c r="G1048" t="s">
        <v>1741</v>
      </c>
      <c r="H1048" t="s">
        <v>1775</v>
      </c>
      <c r="I1048" t="s">
        <v>1742</v>
      </c>
      <c r="J1048" t="s">
        <v>1744</v>
      </c>
      <c r="K1048" t="s">
        <v>2147</v>
      </c>
      <c r="L1048" t="s">
        <v>1720</v>
      </c>
      <c r="M1048" s="57">
        <v>44582</v>
      </c>
      <c r="N1048" t="s">
        <v>3480</v>
      </c>
    </row>
    <row r="1049" spans="1:14" x14ac:dyDescent="0.35">
      <c r="A1049" t="s">
        <v>629</v>
      </c>
      <c r="B1049" t="s">
        <v>1453</v>
      </c>
      <c r="C1049" t="s">
        <v>2259</v>
      </c>
      <c r="D1049" t="s">
        <v>1724</v>
      </c>
      <c r="F1049" t="s">
        <v>1802</v>
      </c>
      <c r="G1049" t="s">
        <v>1726</v>
      </c>
      <c r="H1049" t="s">
        <v>1777</v>
      </c>
      <c r="I1049" t="s">
        <v>1739</v>
      </c>
      <c r="J1049" t="s">
        <v>1745</v>
      </c>
      <c r="K1049" t="s">
        <v>2471</v>
      </c>
      <c r="L1049" t="s">
        <v>1720</v>
      </c>
      <c r="M1049" s="57">
        <v>44582</v>
      </c>
      <c r="N1049" t="s">
        <v>3480</v>
      </c>
    </row>
    <row r="1050" spans="1:14" x14ac:dyDescent="0.35">
      <c r="A1050" t="s">
        <v>629</v>
      </c>
      <c r="B1050" t="s">
        <v>1453</v>
      </c>
      <c r="C1050" t="s">
        <v>2259</v>
      </c>
      <c r="D1050" t="s">
        <v>1721</v>
      </c>
      <c r="F1050" t="s">
        <v>1802</v>
      </c>
      <c r="G1050" t="s">
        <v>1726</v>
      </c>
      <c r="H1050" t="s">
        <v>1777</v>
      </c>
      <c r="I1050" t="s">
        <v>1739</v>
      </c>
      <c r="J1050" t="s">
        <v>1745</v>
      </c>
      <c r="K1050" t="s">
        <v>2326</v>
      </c>
      <c r="L1050" t="s">
        <v>1720</v>
      </c>
      <c r="M1050" s="57">
        <v>44582</v>
      </c>
      <c r="N1050" t="s">
        <v>3480</v>
      </c>
    </row>
    <row r="1051" spans="1:14" x14ac:dyDescent="0.35">
      <c r="A1051" t="s">
        <v>629</v>
      </c>
      <c r="B1051" t="s">
        <v>1453</v>
      </c>
      <c r="C1051" t="s">
        <v>2261</v>
      </c>
      <c r="D1051" t="s">
        <v>1721</v>
      </c>
      <c r="E1051" t="s">
        <v>2298</v>
      </c>
      <c r="F1051" t="s">
        <v>1802</v>
      </c>
      <c r="G1051" t="s">
        <v>1760</v>
      </c>
      <c r="H1051" t="s">
        <v>2299</v>
      </c>
      <c r="I1051" t="s">
        <v>1758</v>
      </c>
      <c r="J1051" t="s">
        <v>1759</v>
      </c>
      <c r="K1051" t="s">
        <v>2472</v>
      </c>
      <c r="L1051" t="s">
        <v>1720</v>
      </c>
      <c r="M1051" s="57">
        <v>44582</v>
      </c>
      <c r="N1051" t="s">
        <v>3480</v>
      </c>
    </row>
    <row r="1052" spans="1:14" x14ac:dyDescent="0.35">
      <c r="A1052" t="s">
        <v>629</v>
      </c>
      <c r="B1052" t="s">
        <v>1453</v>
      </c>
      <c r="C1052" t="s">
        <v>2261</v>
      </c>
      <c r="D1052" t="s">
        <v>1724</v>
      </c>
      <c r="E1052" t="s">
        <v>2301</v>
      </c>
      <c r="F1052" t="s">
        <v>1802</v>
      </c>
      <c r="G1052" t="s">
        <v>1760</v>
      </c>
      <c r="H1052" t="s">
        <v>2474</v>
      </c>
      <c r="I1052" t="s">
        <v>1758</v>
      </c>
      <c r="J1052" t="s">
        <v>1759</v>
      </c>
      <c r="K1052" t="s">
        <v>2473</v>
      </c>
      <c r="L1052" t="s">
        <v>1720</v>
      </c>
      <c r="M1052" s="57">
        <v>44582</v>
      </c>
      <c r="N1052" t="s">
        <v>3480</v>
      </c>
    </row>
    <row r="1053" spans="1:14" x14ac:dyDescent="0.35">
      <c r="A1053" t="s">
        <v>629</v>
      </c>
      <c r="B1053" t="s">
        <v>1453</v>
      </c>
      <c r="C1053" t="s">
        <v>2261</v>
      </c>
      <c r="D1053" t="s">
        <v>1721</v>
      </c>
      <c r="E1053" t="s">
        <v>2284</v>
      </c>
      <c r="F1053" t="s">
        <v>2285</v>
      </c>
      <c r="G1053" t="s">
        <v>1784</v>
      </c>
      <c r="H1053" t="s">
        <v>1785</v>
      </c>
      <c r="I1053" t="s">
        <v>1782</v>
      </c>
      <c r="J1053" t="s">
        <v>1786</v>
      </c>
      <c r="K1053" t="s">
        <v>2343</v>
      </c>
      <c r="L1053" t="s">
        <v>1720</v>
      </c>
      <c r="M1053" s="57">
        <v>44582</v>
      </c>
      <c r="N1053" t="s">
        <v>3480</v>
      </c>
    </row>
    <row r="1054" spans="1:14" x14ac:dyDescent="0.35">
      <c r="A1054" t="s">
        <v>629</v>
      </c>
      <c r="B1054" t="s">
        <v>1453</v>
      </c>
      <c r="C1054" t="s">
        <v>2261</v>
      </c>
      <c r="D1054" t="s">
        <v>1721</v>
      </c>
      <c r="F1054" t="s">
        <v>1802</v>
      </c>
      <c r="G1054" t="s">
        <v>1737</v>
      </c>
      <c r="H1054" t="s">
        <v>2475</v>
      </c>
      <c r="I1054" t="s">
        <v>1979</v>
      </c>
      <c r="J1054" t="s">
        <v>2476</v>
      </c>
      <c r="K1054" t="s">
        <v>2147</v>
      </c>
      <c r="L1054" t="s">
        <v>1720</v>
      </c>
      <c r="M1054" s="57">
        <v>44582</v>
      </c>
      <c r="N1054" t="s">
        <v>3480</v>
      </c>
    </row>
    <row r="1055" spans="1:14" hidden="1" x14ac:dyDescent="0.35">
      <c r="A1055" t="s">
        <v>483</v>
      </c>
      <c r="B1055" t="s">
        <v>1307</v>
      </c>
      <c r="L1055" t="s">
        <v>1720</v>
      </c>
    </row>
    <row r="1056" spans="1:14" x14ac:dyDescent="0.35">
      <c r="A1056" t="s">
        <v>375</v>
      </c>
      <c r="B1056" t="s">
        <v>1199</v>
      </c>
      <c r="C1056" t="s">
        <v>2259</v>
      </c>
      <c r="D1056" t="s">
        <v>1721</v>
      </c>
      <c r="E1056" t="s">
        <v>2284</v>
      </c>
      <c r="F1056" t="s">
        <v>1801</v>
      </c>
      <c r="G1056" t="s">
        <v>1784</v>
      </c>
      <c r="H1056" t="s">
        <v>1785</v>
      </c>
      <c r="I1056" t="s">
        <v>1857</v>
      </c>
      <c r="J1056" t="s">
        <v>1795</v>
      </c>
      <c r="K1056" t="s">
        <v>2410</v>
      </c>
      <c r="L1056" t="s">
        <v>1720</v>
      </c>
      <c r="M1056" s="57">
        <v>44582</v>
      </c>
      <c r="N1056" t="s">
        <v>3480</v>
      </c>
    </row>
    <row r="1057" spans="1:14" hidden="1" x14ac:dyDescent="0.35">
      <c r="A1057" t="s">
        <v>398</v>
      </c>
      <c r="B1057" t="s">
        <v>1222</v>
      </c>
      <c r="L1057" t="s">
        <v>1720</v>
      </c>
    </row>
    <row r="1058" spans="1:14" hidden="1" x14ac:dyDescent="0.35">
      <c r="A1058" t="s">
        <v>401</v>
      </c>
      <c r="B1058" t="s">
        <v>1225</v>
      </c>
      <c r="L1058" t="s">
        <v>1720</v>
      </c>
    </row>
    <row r="1059" spans="1:14" hidden="1" x14ac:dyDescent="0.35">
      <c r="A1059" t="s">
        <v>402</v>
      </c>
      <c r="B1059" t="s">
        <v>1226</v>
      </c>
      <c r="L1059" t="s">
        <v>1720</v>
      </c>
    </row>
    <row r="1060" spans="1:14" hidden="1" x14ac:dyDescent="0.35">
      <c r="A1060" t="s">
        <v>403</v>
      </c>
      <c r="B1060" t="s">
        <v>1227</v>
      </c>
      <c r="L1060" t="s">
        <v>1720</v>
      </c>
    </row>
    <row r="1061" spans="1:14" hidden="1" x14ac:dyDescent="0.35">
      <c r="A1061" t="s">
        <v>400</v>
      </c>
      <c r="B1061" t="s">
        <v>1224</v>
      </c>
      <c r="L1061" t="s">
        <v>1720</v>
      </c>
    </row>
    <row r="1062" spans="1:14" hidden="1" x14ac:dyDescent="0.35">
      <c r="A1062" t="s">
        <v>373</v>
      </c>
      <c r="B1062" t="s">
        <v>1197</v>
      </c>
      <c r="L1062" t="s">
        <v>1720</v>
      </c>
    </row>
    <row r="1063" spans="1:14" hidden="1" x14ac:dyDescent="0.35">
      <c r="A1063" t="s">
        <v>278</v>
      </c>
      <c r="B1063" t="s">
        <v>1104</v>
      </c>
      <c r="L1063" t="s">
        <v>1720</v>
      </c>
    </row>
    <row r="1064" spans="1:14" hidden="1" x14ac:dyDescent="0.35">
      <c r="A1064" t="s">
        <v>327</v>
      </c>
      <c r="B1064" t="s">
        <v>1152</v>
      </c>
      <c r="L1064" t="s">
        <v>1720</v>
      </c>
    </row>
    <row r="1065" spans="1:14" hidden="1" x14ac:dyDescent="0.35">
      <c r="A1065" t="s">
        <v>521</v>
      </c>
      <c r="B1065" t="s">
        <v>1345</v>
      </c>
      <c r="L1065" t="s">
        <v>1720</v>
      </c>
    </row>
    <row r="1066" spans="1:14" x14ac:dyDescent="0.35">
      <c r="A1066" t="s">
        <v>561</v>
      </c>
      <c r="B1066" t="s">
        <v>1385</v>
      </c>
      <c r="C1066" t="s">
        <v>2261</v>
      </c>
      <c r="D1066" t="s">
        <v>1721</v>
      </c>
      <c r="E1066" t="s">
        <v>2440</v>
      </c>
      <c r="F1066" t="s">
        <v>1802</v>
      </c>
      <c r="G1066" t="s">
        <v>2441</v>
      </c>
      <c r="H1066" t="s">
        <v>1737</v>
      </c>
      <c r="I1066" t="s">
        <v>1769</v>
      </c>
      <c r="J1066" t="s">
        <v>2442</v>
      </c>
      <c r="K1066" t="s">
        <v>2524</v>
      </c>
      <c r="L1066" t="s">
        <v>1720</v>
      </c>
      <c r="M1066" s="57">
        <v>44582</v>
      </c>
      <c r="N1066" t="s">
        <v>3481</v>
      </c>
    </row>
    <row r="1067" spans="1:14" x14ac:dyDescent="0.35">
      <c r="A1067" t="s">
        <v>561</v>
      </c>
      <c r="B1067" t="s">
        <v>1385</v>
      </c>
      <c r="C1067" t="s">
        <v>2259</v>
      </c>
      <c r="D1067" t="s">
        <v>1721</v>
      </c>
      <c r="G1067" t="s">
        <v>1728</v>
      </c>
      <c r="H1067" t="s">
        <v>1800</v>
      </c>
      <c r="I1067" t="s">
        <v>1763</v>
      </c>
      <c r="J1067" t="s">
        <v>1746</v>
      </c>
      <c r="K1067" t="s">
        <v>2544</v>
      </c>
      <c r="L1067" t="s">
        <v>1720</v>
      </c>
      <c r="M1067" s="57">
        <v>44582</v>
      </c>
      <c r="N1067" t="s">
        <v>3480</v>
      </c>
    </row>
    <row r="1068" spans="1:14" x14ac:dyDescent="0.35">
      <c r="A1068" t="s">
        <v>561</v>
      </c>
      <c r="B1068" t="s">
        <v>1385</v>
      </c>
      <c r="C1068" t="s">
        <v>2259</v>
      </c>
      <c r="D1068" t="s">
        <v>1721</v>
      </c>
      <c r="F1068" t="s">
        <v>1801</v>
      </c>
      <c r="G1068" t="s">
        <v>1861</v>
      </c>
      <c r="H1068" t="s">
        <v>1862</v>
      </c>
      <c r="I1068" t="s">
        <v>1748</v>
      </c>
      <c r="J1068" t="s">
        <v>1764</v>
      </c>
      <c r="K1068" t="s">
        <v>2535</v>
      </c>
      <c r="L1068" t="s">
        <v>1720</v>
      </c>
      <c r="M1068" s="57">
        <v>44582</v>
      </c>
      <c r="N1068" t="s">
        <v>3481</v>
      </c>
    </row>
    <row r="1069" spans="1:14" x14ac:dyDescent="0.35">
      <c r="A1069" t="s">
        <v>561</v>
      </c>
      <c r="B1069" t="s">
        <v>1385</v>
      </c>
      <c r="C1069" t="s">
        <v>2261</v>
      </c>
      <c r="D1069" t="s">
        <v>1721</v>
      </c>
      <c r="F1069" t="s">
        <v>2443</v>
      </c>
      <c r="G1069" t="s">
        <v>1863</v>
      </c>
      <c r="H1069" t="s">
        <v>1813</v>
      </c>
      <c r="I1069" t="s">
        <v>1822</v>
      </c>
      <c r="J1069" t="s">
        <v>1811</v>
      </c>
      <c r="K1069" t="s">
        <v>2545</v>
      </c>
      <c r="L1069" t="s">
        <v>1720</v>
      </c>
      <c r="M1069" s="57">
        <v>44582</v>
      </c>
      <c r="N1069" t="s">
        <v>3480</v>
      </c>
    </row>
    <row r="1070" spans="1:14" x14ac:dyDescent="0.35">
      <c r="A1070" t="s">
        <v>561</v>
      </c>
      <c r="B1070" t="s">
        <v>1385</v>
      </c>
      <c r="C1070" t="s">
        <v>2261</v>
      </c>
      <c r="D1070" t="s">
        <v>1721</v>
      </c>
      <c r="F1070" t="s">
        <v>1804</v>
      </c>
      <c r="G1070" t="s">
        <v>1741</v>
      </c>
      <c r="H1070" t="s">
        <v>1775</v>
      </c>
      <c r="I1070" t="s">
        <v>1742</v>
      </c>
      <c r="J1070" t="s">
        <v>1744</v>
      </c>
      <c r="K1070" t="s">
        <v>2498</v>
      </c>
      <c r="L1070" t="s">
        <v>1720</v>
      </c>
      <c r="M1070" s="57">
        <v>44582</v>
      </c>
      <c r="N1070" t="s">
        <v>3480</v>
      </c>
    </row>
    <row r="1071" spans="1:14" x14ac:dyDescent="0.35">
      <c r="A1071" t="s">
        <v>561</v>
      </c>
      <c r="B1071" t="s">
        <v>1385</v>
      </c>
      <c r="C1071" t="s">
        <v>2261</v>
      </c>
      <c r="D1071" t="s">
        <v>1721</v>
      </c>
      <c r="E1071" t="s">
        <v>2444</v>
      </c>
      <c r="F1071" t="s">
        <v>2308</v>
      </c>
      <c r="G1071" t="s">
        <v>1728</v>
      </c>
      <c r="H1071" t="s">
        <v>1779</v>
      </c>
      <c r="I1071" t="s">
        <v>1858</v>
      </c>
      <c r="J1071" t="s">
        <v>1859</v>
      </c>
      <c r="K1071" t="s">
        <v>2524</v>
      </c>
      <c r="L1071" t="s">
        <v>1720</v>
      </c>
      <c r="M1071" s="57">
        <v>44582</v>
      </c>
      <c r="N1071" t="s">
        <v>3480</v>
      </c>
    </row>
    <row r="1072" spans="1:14" x14ac:dyDescent="0.35">
      <c r="A1072" t="s">
        <v>561</v>
      </c>
      <c r="B1072" t="s">
        <v>1385</v>
      </c>
      <c r="C1072" t="s">
        <v>2261</v>
      </c>
      <c r="D1072" t="s">
        <v>1724</v>
      </c>
      <c r="E1072" t="s">
        <v>2445</v>
      </c>
      <c r="F1072" t="s">
        <v>1801</v>
      </c>
      <c r="G1072" t="s">
        <v>1762</v>
      </c>
      <c r="H1072" t="s">
        <v>1780</v>
      </c>
      <c r="I1072" t="s">
        <v>1743</v>
      </c>
      <c r="J1072" t="s">
        <v>1860</v>
      </c>
      <c r="K1072" t="s">
        <v>2114</v>
      </c>
      <c r="L1072" t="s">
        <v>1720</v>
      </c>
      <c r="M1072" s="57">
        <v>44582</v>
      </c>
      <c r="N1072" t="s">
        <v>3480</v>
      </c>
    </row>
    <row r="1073" spans="1:14" x14ac:dyDescent="0.35">
      <c r="A1073" t="s">
        <v>561</v>
      </c>
      <c r="B1073" t="s">
        <v>1385</v>
      </c>
      <c r="C1073" t="s">
        <v>2261</v>
      </c>
      <c r="D1073" t="s">
        <v>1721</v>
      </c>
      <c r="E1073" t="s">
        <v>2280</v>
      </c>
      <c r="F1073" t="s">
        <v>1801</v>
      </c>
      <c r="G1073" t="s">
        <v>1728</v>
      </c>
      <c r="H1073" t="s">
        <v>1800</v>
      </c>
      <c r="I1073" t="s">
        <v>1743</v>
      </c>
      <c r="J1073" t="s">
        <v>1761</v>
      </c>
      <c r="K1073" t="s">
        <v>2546</v>
      </c>
      <c r="L1073" t="s">
        <v>1720</v>
      </c>
      <c r="M1073" s="57">
        <v>44582</v>
      </c>
      <c r="N1073" t="s">
        <v>3480</v>
      </c>
    </row>
    <row r="1074" spans="1:14" hidden="1" x14ac:dyDescent="0.35">
      <c r="A1074" t="s">
        <v>338</v>
      </c>
      <c r="B1074" t="s">
        <v>1162</v>
      </c>
      <c r="L1074" t="s">
        <v>1720</v>
      </c>
    </row>
    <row r="1075" spans="1:14" hidden="1" x14ac:dyDescent="0.35">
      <c r="A1075" t="s">
        <v>83</v>
      </c>
      <c r="B1075" t="s">
        <v>912</v>
      </c>
      <c r="L1075" t="s">
        <v>1720</v>
      </c>
    </row>
    <row r="1076" spans="1:14" hidden="1" x14ac:dyDescent="0.35">
      <c r="A1076" t="s">
        <v>288</v>
      </c>
      <c r="B1076" t="s">
        <v>1113</v>
      </c>
      <c r="L1076" t="s">
        <v>1720</v>
      </c>
    </row>
    <row r="1077" spans="1:14" hidden="1" x14ac:dyDescent="0.35">
      <c r="A1077" t="s">
        <v>261</v>
      </c>
      <c r="B1077" t="s">
        <v>1087</v>
      </c>
      <c r="L1077" t="s">
        <v>1720</v>
      </c>
    </row>
    <row r="1078" spans="1:14" hidden="1" x14ac:dyDescent="0.35">
      <c r="A1078" t="s">
        <v>520</v>
      </c>
      <c r="B1078" t="s">
        <v>1344</v>
      </c>
      <c r="L1078" t="s">
        <v>1720</v>
      </c>
    </row>
    <row r="1079" spans="1:14" hidden="1" x14ac:dyDescent="0.35">
      <c r="A1079" t="s">
        <v>659</v>
      </c>
      <c r="B1079" t="s">
        <v>1483</v>
      </c>
      <c r="L1079" t="s">
        <v>1720</v>
      </c>
    </row>
    <row r="1080" spans="1:14" hidden="1" x14ac:dyDescent="0.35">
      <c r="A1080" t="s">
        <v>221</v>
      </c>
      <c r="B1080" t="s">
        <v>1048</v>
      </c>
      <c r="L1080" t="s">
        <v>1720</v>
      </c>
    </row>
    <row r="1081" spans="1:14" hidden="1" x14ac:dyDescent="0.35">
      <c r="A1081" t="s">
        <v>313</v>
      </c>
      <c r="B1081" t="s">
        <v>1138</v>
      </c>
      <c r="L1081" t="s">
        <v>1720</v>
      </c>
    </row>
    <row r="1082" spans="1:14" hidden="1" x14ac:dyDescent="0.35">
      <c r="A1082" t="s">
        <v>673</v>
      </c>
      <c r="B1082" t="s">
        <v>1497</v>
      </c>
      <c r="L1082" t="s">
        <v>1720</v>
      </c>
    </row>
    <row r="1083" spans="1:14" hidden="1" x14ac:dyDescent="0.35">
      <c r="A1083" t="s">
        <v>160</v>
      </c>
      <c r="B1083" t="s">
        <v>989</v>
      </c>
      <c r="L1083" t="s">
        <v>1720</v>
      </c>
    </row>
    <row r="1084" spans="1:14" hidden="1" x14ac:dyDescent="0.35">
      <c r="A1084" t="s">
        <v>188</v>
      </c>
      <c r="B1084" t="s">
        <v>1016</v>
      </c>
      <c r="L1084" t="s">
        <v>1720</v>
      </c>
    </row>
    <row r="1085" spans="1:14" hidden="1" x14ac:dyDescent="0.35">
      <c r="A1085" t="s">
        <v>503</v>
      </c>
      <c r="B1085" t="s">
        <v>1327</v>
      </c>
      <c r="L1085" t="s">
        <v>1720</v>
      </c>
    </row>
    <row r="1086" spans="1:14" hidden="1" x14ac:dyDescent="0.35">
      <c r="A1086" t="s">
        <v>134</v>
      </c>
      <c r="B1086" t="s">
        <v>963</v>
      </c>
      <c r="L1086" t="s">
        <v>1720</v>
      </c>
    </row>
    <row r="1087" spans="1:14" hidden="1" x14ac:dyDescent="0.35">
      <c r="A1087" t="s">
        <v>145</v>
      </c>
      <c r="B1087" t="s">
        <v>974</v>
      </c>
      <c r="L1087" t="s">
        <v>1720</v>
      </c>
    </row>
    <row r="1088" spans="1:14" hidden="1" x14ac:dyDescent="0.35">
      <c r="A1088" t="s">
        <v>423</v>
      </c>
      <c r="B1088" t="s">
        <v>1247</v>
      </c>
      <c r="L1088" t="s">
        <v>1720</v>
      </c>
    </row>
    <row r="1089" spans="1:14" hidden="1" x14ac:dyDescent="0.35">
      <c r="A1089" t="s">
        <v>541</v>
      </c>
      <c r="B1089" t="s">
        <v>1365</v>
      </c>
      <c r="L1089" t="s">
        <v>1720</v>
      </c>
    </row>
    <row r="1090" spans="1:14" hidden="1" x14ac:dyDescent="0.35">
      <c r="A1090" t="s">
        <v>195</v>
      </c>
      <c r="B1090" t="s">
        <v>1023</v>
      </c>
      <c r="L1090" t="s">
        <v>1720</v>
      </c>
    </row>
    <row r="1091" spans="1:14" hidden="1" x14ac:dyDescent="0.35">
      <c r="A1091" t="s">
        <v>660</v>
      </c>
      <c r="B1091" t="s">
        <v>1484</v>
      </c>
      <c r="L1091" t="s">
        <v>1720</v>
      </c>
    </row>
    <row r="1092" spans="1:14" hidden="1" x14ac:dyDescent="0.35">
      <c r="A1092" t="s">
        <v>616</v>
      </c>
      <c r="B1092" t="s">
        <v>1440</v>
      </c>
      <c r="L1092" t="s">
        <v>1720</v>
      </c>
    </row>
    <row r="1093" spans="1:14" hidden="1" x14ac:dyDescent="0.35">
      <c r="A1093" t="s">
        <v>298</v>
      </c>
      <c r="B1093" t="s">
        <v>1123</v>
      </c>
      <c r="L1093" t="s">
        <v>1720</v>
      </c>
    </row>
    <row r="1094" spans="1:14" hidden="1" x14ac:dyDescent="0.35">
      <c r="A1094" t="s">
        <v>263</v>
      </c>
      <c r="B1094" t="s">
        <v>1089</v>
      </c>
      <c r="L1094" t="s">
        <v>1720</v>
      </c>
    </row>
    <row r="1095" spans="1:14" hidden="1" x14ac:dyDescent="0.35">
      <c r="A1095" t="s">
        <v>359</v>
      </c>
      <c r="B1095" t="s">
        <v>1183</v>
      </c>
      <c r="L1095" t="s">
        <v>1720</v>
      </c>
    </row>
    <row r="1096" spans="1:14" x14ac:dyDescent="0.35">
      <c r="A1096" t="s">
        <v>413</v>
      </c>
      <c r="B1096" t="s">
        <v>1237</v>
      </c>
      <c r="C1096" t="s">
        <v>2259</v>
      </c>
      <c r="D1096" t="s">
        <v>1721</v>
      </c>
      <c r="F1096" t="s">
        <v>1802</v>
      </c>
      <c r="G1096" t="s">
        <v>1726</v>
      </c>
      <c r="H1096" t="s">
        <v>1777</v>
      </c>
      <c r="I1096" t="s">
        <v>1739</v>
      </c>
      <c r="J1096" t="s">
        <v>1745</v>
      </c>
      <c r="K1096" t="s">
        <v>2292</v>
      </c>
      <c r="L1096" t="s">
        <v>1720</v>
      </c>
      <c r="M1096" s="57">
        <v>44582</v>
      </c>
      <c r="N1096" t="s">
        <v>3480</v>
      </c>
    </row>
    <row r="1097" spans="1:14" x14ac:dyDescent="0.35">
      <c r="A1097" t="s">
        <v>413</v>
      </c>
      <c r="B1097" t="s">
        <v>1237</v>
      </c>
      <c r="C1097" t="s">
        <v>2259</v>
      </c>
      <c r="D1097" t="s">
        <v>1724</v>
      </c>
      <c r="F1097" t="s">
        <v>1802</v>
      </c>
      <c r="G1097" t="s">
        <v>1726</v>
      </c>
      <c r="H1097" t="s">
        <v>1777</v>
      </c>
      <c r="I1097" t="s">
        <v>1739</v>
      </c>
      <c r="J1097" t="s">
        <v>1745</v>
      </c>
      <c r="K1097" t="s">
        <v>2328</v>
      </c>
      <c r="L1097" t="s">
        <v>1720</v>
      </c>
      <c r="M1097" s="57">
        <v>44582</v>
      </c>
      <c r="N1097" t="s">
        <v>3480</v>
      </c>
    </row>
    <row r="1098" spans="1:14" hidden="1" x14ac:dyDescent="0.35">
      <c r="A1098" t="s">
        <v>23</v>
      </c>
      <c r="B1098" t="s">
        <v>852</v>
      </c>
      <c r="L1098" t="s">
        <v>1720</v>
      </c>
    </row>
    <row r="1099" spans="1:14" hidden="1" x14ac:dyDescent="0.35">
      <c r="A1099" t="s">
        <v>485</v>
      </c>
      <c r="B1099" t="s">
        <v>1309</v>
      </c>
      <c r="L1099" t="s">
        <v>1720</v>
      </c>
    </row>
    <row r="1100" spans="1:14" x14ac:dyDescent="0.35">
      <c r="A1100" t="s">
        <v>577</v>
      </c>
      <c r="B1100" t="s">
        <v>1401</v>
      </c>
      <c r="C1100" t="s">
        <v>2259</v>
      </c>
      <c r="D1100" t="s">
        <v>1721</v>
      </c>
      <c r="F1100" t="s">
        <v>1802</v>
      </c>
      <c r="G1100" t="s">
        <v>1750</v>
      </c>
      <c r="H1100" t="s">
        <v>1773</v>
      </c>
      <c r="I1100" t="s">
        <v>1748</v>
      </c>
      <c r="J1100" t="s">
        <v>1749</v>
      </c>
      <c r="K1100" t="s">
        <v>2276</v>
      </c>
      <c r="L1100" t="s">
        <v>1720</v>
      </c>
      <c r="M1100" s="57">
        <v>44582</v>
      </c>
      <c r="N1100" t="s">
        <v>3480</v>
      </c>
    </row>
    <row r="1101" spans="1:14" x14ac:dyDescent="0.35">
      <c r="A1101" t="s">
        <v>577</v>
      </c>
      <c r="B1101" t="s">
        <v>1401</v>
      </c>
      <c r="C1101" t="s">
        <v>2261</v>
      </c>
      <c r="D1101" t="s">
        <v>1721</v>
      </c>
      <c r="F1101" t="s">
        <v>1801</v>
      </c>
      <c r="G1101" t="s">
        <v>1735</v>
      </c>
      <c r="H1101" t="s">
        <v>1774</v>
      </c>
      <c r="I1101" t="s">
        <v>1864</v>
      </c>
      <c r="J1101" t="s">
        <v>1752</v>
      </c>
      <c r="K1101" t="s">
        <v>2497</v>
      </c>
      <c r="L1101" t="s">
        <v>1720</v>
      </c>
      <c r="M1101" s="57">
        <v>44582</v>
      </c>
      <c r="N1101" t="s">
        <v>3480</v>
      </c>
    </row>
    <row r="1102" spans="1:14" hidden="1" x14ac:dyDescent="0.35">
      <c r="A1102" t="s">
        <v>8</v>
      </c>
      <c r="B1102" t="s">
        <v>837</v>
      </c>
      <c r="L1102" t="s">
        <v>1720</v>
      </c>
    </row>
    <row r="1103" spans="1:14" hidden="1" x14ac:dyDescent="0.35">
      <c r="A1103" t="s">
        <v>13</v>
      </c>
      <c r="B1103" t="s">
        <v>842</v>
      </c>
      <c r="L1103" t="s">
        <v>1720</v>
      </c>
    </row>
    <row r="1104" spans="1:14" hidden="1" x14ac:dyDescent="0.35">
      <c r="A1104" t="s">
        <v>144</v>
      </c>
      <c r="B1104" t="s">
        <v>973</v>
      </c>
      <c r="L1104" t="s">
        <v>1720</v>
      </c>
    </row>
    <row r="1105" spans="1:12" hidden="1" x14ac:dyDescent="0.35">
      <c r="A1105" t="s">
        <v>624</v>
      </c>
      <c r="B1105" t="s">
        <v>1448</v>
      </c>
      <c r="L1105" t="s">
        <v>1720</v>
      </c>
    </row>
    <row r="1106" spans="1:12" hidden="1" x14ac:dyDescent="0.35">
      <c r="A1106" t="s">
        <v>571</v>
      </c>
      <c r="B1106" t="s">
        <v>1395</v>
      </c>
      <c r="L1106" t="s">
        <v>1720</v>
      </c>
    </row>
    <row r="1107" spans="1:12" hidden="1" x14ac:dyDescent="0.35">
      <c r="A1107" t="s">
        <v>38</v>
      </c>
      <c r="B1107" t="s">
        <v>867</v>
      </c>
      <c r="L1107" t="s">
        <v>1720</v>
      </c>
    </row>
    <row r="1108" spans="1:12" hidden="1" x14ac:dyDescent="0.35">
      <c r="A1108" t="s">
        <v>4</v>
      </c>
      <c r="B1108" t="s">
        <v>833</v>
      </c>
      <c r="L1108" t="s">
        <v>1720</v>
      </c>
    </row>
    <row r="1109" spans="1:12" hidden="1" x14ac:dyDescent="0.35">
      <c r="A1109" t="s">
        <v>64</v>
      </c>
      <c r="B1109" t="s">
        <v>893</v>
      </c>
      <c r="L1109" t="s">
        <v>1720</v>
      </c>
    </row>
    <row r="1110" spans="1:12" hidden="1" x14ac:dyDescent="0.35">
      <c r="A1110" t="s">
        <v>159</v>
      </c>
      <c r="B1110" t="s">
        <v>988</v>
      </c>
      <c r="L1110" t="s">
        <v>1720</v>
      </c>
    </row>
    <row r="1111" spans="1:12" hidden="1" x14ac:dyDescent="0.35">
      <c r="A1111" t="s">
        <v>635</v>
      </c>
      <c r="B1111" t="s">
        <v>1459</v>
      </c>
      <c r="L1111" t="s">
        <v>1720</v>
      </c>
    </row>
    <row r="1112" spans="1:12" hidden="1" x14ac:dyDescent="0.35">
      <c r="A1112" t="s">
        <v>384</v>
      </c>
      <c r="B1112" t="s">
        <v>1208</v>
      </c>
      <c r="L1112" t="s">
        <v>1720</v>
      </c>
    </row>
    <row r="1113" spans="1:12" hidden="1" x14ac:dyDescent="0.35">
      <c r="A1113" t="s">
        <v>527</v>
      </c>
      <c r="B1113" t="s">
        <v>1351</v>
      </c>
      <c r="L1113" t="s">
        <v>1720</v>
      </c>
    </row>
    <row r="1114" spans="1:12" hidden="1" x14ac:dyDescent="0.35">
      <c r="A1114" t="s">
        <v>84</v>
      </c>
      <c r="B1114" t="s">
        <v>913</v>
      </c>
      <c r="L1114" t="s">
        <v>1720</v>
      </c>
    </row>
    <row r="1115" spans="1:12" hidden="1" x14ac:dyDescent="0.35">
      <c r="A1115" t="s">
        <v>165</v>
      </c>
      <c r="B1115" t="s">
        <v>994</v>
      </c>
      <c r="L1115" t="s">
        <v>1720</v>
      </c>
    </row>
    <row r="1116" spans="1:12" hidden="1" x14ac:dyDescent="0.35">
      <c r="A1116" t="s">
        <v>146</v>
      </c>
      <c r="B1116" t="s">
        <v>975</v>
      </c>
      <c r="L1116" t="s">
        <v>1720</v>
      </c>
    </row>
    <row r="1117" spans="1:12" hidden="1" x14ac:dyDescent="0.35">
      <c r="A1117" t="s">
        <v>737</v>
      </c>
      <c r="B1117" t="s">
        <v>1561</v>
      </c>
      <c r="L1117" t="s">
        <v>1720</v>
      </c>
    </row>
    <row r="1118" spans="1:12" hidden="1" x14ac:dyDescent="0.35">
      <c r="A1118" t="s">
        <v>112</v>
      </c>
      <c r="B1118" t="s">
        <v>941</v>
      </c>
      <c r="L1118" t="s">
        <v>1720</v>
      </c>
    </row>
    <row r="1119" spans="1:12" hidden="1" x14ac:dyDescent="0.35">
      <c r="A1119" t="s">
        <v>90</v>
      </c>
      <c r="B1119" t="s">
        <v>919</v>
      </c>
      <c r="L1119" t="s">
        <v>1720</v>
      </c>
    </row>
    <row r="1120" spans="1:12" hidden="1" x14ac:dyDescent="0.35">
      <c r="A1120" t="s">
        <v>91</v>
      </c>
      <c r="B1120" t="s">
        <v>920</v>
      </c>
      <c r="L1120" t="s">
        <v>1720</v>
      </c>
    </row>
    <row r="1121" spans="1:14" hidden="1" x14ac:dyDescent="0.35">
      <c r="A1121" t="s">
        <v>167</v>
      </c>
      <c r="B1121" t="s">
        <v>996</v>
      </c>
      <c r="L1121" t="s">
        <v>1720</v>
      </c>
    </row>
    <row r="1122" spans="1:14" hidden="1" x14ac:dyDescent="0.35">
      <c r="A1122" t="s">
        <v>158</v>
      </c>
      <c r="B1122" t="s">
        <v>987</v>
      </c>
      <c r="L1122" t="s">
        <v>1720</v>
      </c>
    </row>
    <row r="1123" spans="1:14" hidden="1" x14ac:dyDescent="0.35">
      <c r="A1123" t="s">
        <v>460</v>
      </c>
      <c r="B1123" t="s">
        <v>1284</v>
      </c>
      <c r="L1123" t="s">
        <v>1720</v>
      </c>
    </row>
    <row r="1124" spans="1:14" hidden="1" x14ac:dyDescent="0.35">
      <c r="A1124" t="s">
        <v>540</v>
      </c>
      <c r="B1124" t="s">
        <v>1364</v>
      </c>
      <c r="L1124" t="s">
        <v>1720</v>
      </c>
    </row>
    <row r="1125" spans="1:14" x14ac:dyDescent="0.35">
      <c r="A1125" t="s">
        <v>590</v>
      </c>
      <c r="B1125" t="s">
        <v>1414</v>
      </c>
      <c r="C1125" t="s">
        <v>2261</v>
      </c>
      <c r="D1125" t="s">
        <v>1721</v>
      </c>
      <c r="F1125" t="s">
        <v>2263</v>
      </c>
      <c r="G1125" t="s">
        <v>1725</v>
      </c>
      <c r="H1125" t="s">
        <v>1776</v>
      </c>
      <c r="I1125" t="s">
        <v>1729</v>
      </c>
      <c r="J1125" t="s">
        <v>1747</v>
      </c>
      <c r="K1125" t="s">
        <v>2457</v>
      </c>
      <c r="L1125" t="s">
        <v>1720</v>
      </c>
      <c r="M1125" s="57">
        <v>44582</v>
      </c>
      <c r="N1125" t="s">
        <v>3480</v>
      </c>
    </row>
    <row r="1126" spans="1:14" x14ac:dyDescent="0.35">
      <c r="A1126" t="s">
        <v>590</v>
      </c>
      <c r="B1126" t="s">
        <v>1414</v>
      </c>
      <c r="C1126" t="s">
        <v>2259</v>
      </c>
      <c r="D1126" t="s">
        <v>1721</v>
      </c>
      <c r="F1126" t="s">
        <v>1802</v>
      </c>
      <c r="G1126" t="s">
        <v>1750</v>
      </c>
      <c r="H1126" t="s">
        <v>1773</v>
      </c>
      <c r="I1126" t="s">
        <v>1748</v>
      </c>
      <c r="J1126" t="s">
        <v>1749</v>
      </c>
      <c r="K1126" t="s">
        <v>2292</v>
      </c>
      <c r="L1126" t="s">
        <v>1720</v>
      </c>
      <c r="M1126" s="57">
        <v>44582</v>
      </c>
      <c r="N1126" t="s">
        <v>3480</v>
      </c>
    </row>
    <row r="1127" spans="1:14" x14ac:dyDescent="0.35">
      <c r="A1127" t="s">
        <v>590</v>
      </c>
      <c r="B1127" t="s">
        <v>1414</v>
      </c>
      <c r="C1127" t="s">
        <v>2261</v>
      </c>
      <c r="D1127" t="s">
        <v>1721</v>
      </c>
      <c r="F1127" t="s">
        <v>1801</v>
      </c>
      <c r="G1127" t="s">
        <v>1735</v>
      </c>
      <c r="H1127" t="s">
        <v>1774</v>
      </c>
      <c r="I1127" t="s">
        <v>1734</v>
      </c>
      <c r="J1127" t="s">
        <v>1736</v>
      </c>
      <c r="K1127" t="s">
        <v>2267</v>
      </c>
      <c r="L1127" t="s">
        <v>1720</v>
      </c>
      <c r="M1127" s="57">
        <v>44582</v>
      </c>
      <c r="N1127" t="s">
        <v>3480</v>
      </c>
    </row>
    <row r="1128" spans="1:14" x14ac:dyDescent="0.35">
      <c r="A1128" t="s">
        <v>590</v>
      </c>
      <c r="B1128" t="s">
        <v>1414</v>
      </c>
      <c r="C1128" t="s">
        <v>2261</v>
      </c>
      <c r="D1128" t="s">
        <v>1724</v>
      </c>
      <c r="F1128" t="s">
        <v>1803</v>
      </c>
      <c r="G1128" t="s">
        <v>1754</v>
      </c>
      <c r="H1128" t="s">
        <v>1796</v>
      </c>
      <c r="I1128" t="s">
        <v>1917</v>
      </c>
      <c r="J1128" t="s">
        <v>1753</v>
      </c>
      <c r="K1128" t="s">
        <v>2129</v>
      </c>
      <c r="L1128" t="s">
        <v>1720</v>
      </c>
      <c r="M1128" s="57">
        <v>44582</v>
      </c>
      <c r="N1128" t="s">
        <v>3480</v>
      </c>
    </row>
    <row r="1129" spans="1:14" x14ac:dyDescent="0.35">
      <c r="A1129" t="s">
        <v>590</v>
      </c>
      <c r="B1129" t="s">
        <v>1414</v>
      </c>
      <c r="C1129" t="s">
        <v>2261</v>
      </c>
      <c r="D1129" t="s">
        <v>1721</v>
      </c>
      <c r="F1129" t="s">
        <v>1803</v>
      </c>
      <c r="G1129" t="s">
        <v>1754</v>
      </c>
      <c r="H1129" t="s">
        <v>1796</v>
      </c>
      <c r="I1129" t="s">
        <v>1917</v>
      </c>
      <c r="J1129" t="s">
        <v>1753</v>
      </c>
      <c r="K1129" t="s">
        <v>2119</v>
      </c>
      <c r="L1129" t="s">
        <v>1720</v>
      </c>
      <c r="M1129" s="57">
        <v>44582</v>
      </c>
      <c r="N1129" t="s">
        <v>3480</v>
      </c>
    </row>
    <row r="1130" spans="1:14" x14ac:dyDescent="0.35">
      <c r="A1130" t="s">
        <v>590</v>
      </c>
      <c r="B1130" t="s">
        <v>1414</v>
      </c>
      <c r="C1130" t="s">
        <v>2259</v>
      </c>
      <c r="D1130" t="s">
        <v>1724</v>
      </c>
      <c r="F1130" t="s">
        <v>1802</v>
      </c>
      <c r="G1130" t="s">
        <v>1726</v>
      </c>
      <c r="H1130" t="s">
        <v>1737</v>
      </c>
      <c r="I1130" t="s">
        <v>1730</v>
      </c>
      <c r="J1130" t="s">
        <v>1732</v>
      </c>
      <c r="K1130" t="s">
        <v>2458</v>
      </c>
      <c r="L1130" t="s">
        <v>1720</v>
      </c>
      <c r="M1130" s="57">
        <v>44582</v>
      </c>
      <c r="N1130" t="s">
        <v>3481</v>
      </c>
    </row>
    <row r="1131" spans="1:14" x14ac:dyDescent="0.35">
      <c r="A1131" t="s">
        <v>590</v>
      </c>
      <c r="B1131" t="s">
        <v>1414</v>
      </c>
      <c r="C1131" t="s">
        <v>2261</v>
      </c>
      <c r="D1131" t="s">
        <v>1721</v>
      </c>
      <c r="F1131" t="s">
        <v>1804</v>
      </c>
      <c r="G1131" t="s">
        <v>1741</v>
      </c>
      <c r="H1131" t="s">
        <v>1775</v>
      </c>
      <c r="I1131" t="s">
        <v>1742</v>
      </c>
      <c r="J1131" t="s">
        <v>1744</v>
      </c>
      <c r="K1131" t="s">
        <v>2267</v>
      </c>
      <c r="L1131" t="s">
        <v>1720</v>
      </c>
      <c r="M1131" s="57">
        <v>44582</v>
      </c>
      <c r="N1131" t="s">
        <v>3480</v>
      </c>
    </row>
    <row r="1132" spans="1:14" x14ac:dyDescent="0.35">
      <c r="A1132" t="s">
        <v>590</v>
      </c>
      <c r="B1132" t="s">
        <v>1414</v>
      </c>
      <c r="C1132" t="s">
        <v>2259</v>
      </c>
      <c r="D1132" t="s">
        <v>1724</v>
      </c>
      <c r="F1132" t="s">
        <v>1802</v>
      </c>
      <c r="G1132" t="s">
        <v>1726</v>
      </c>
      <c r="H1132" t="s">
        <v>1777</v>
      </c>
      <c r="I1132" t="s">
        <v>1739</v>
      </c>
      <c r="J1132" t="s">
        <v>1745</v>
      </c>
      <c r="K1132" t="s">
        <v>2129</v>
      </c>
      <c r="L1132" t="s">
        <v>1720</v>
      </c>
      <c r="M1132" s="57">
        <v>44582</v>
      </c>
      <c r="N1132" t="s">
        <v>3480</v>
      </c>
    </row>
    <row r="1133" spans="1:14" x14ac:dyDescent="0.35">
      <c r="A1133" t="s">
        <v>590</v>
      </c>
      <c r="B1133" t="s">
        <v>1414</v>
      </c>
      <c r="C1133" t="s">
        <v>2259</v>
      </c>
      <c r="D1133" t="s">
        <v>1721</v>
      </c>
      <c r="F1133" t="s">
        <v>1802</v>
      </c>
      <c r="G1133" t="s">
        <v>1726</v>
      </c>
      <c r="H1133" t="s">
        <v>1777</v>
      </c>
      <c r="I1133" t="s">
        <v>1739</v>
      </c>
      <c r="J1133" t="s">
        <v>1745</v>
      </c>
      <c r="K1133" t="s">
        <v>2119</v>
      </c>
      <c r="L1133" t="s">
        <v>1720</v>
      </c>
      <c r="M1133" s="57">
        <v>44582</v>
      </c>
      <c r="N1133" t="s">
        <v>3480</v>
      </c>
    </row>
    <row r="1134" spans="1:14" hidden="1" x14ac:dyDescent="0.35">
      <c r="A1134" t="s">
        <v>88</v>
      </c>
      <c r="B1134" t="s">
        <v>917</v>
      </c>
      <c r="L1134" t="s">
        <v>1720</v>
      </c>
    </row>
    <row r="1135" spans="1:14" hidden="1" x14ac:dyDescent="0.35">
      <c r="A1135" t="s">
        <v>594</v>
      </c>
      <c r="B1135" t="s">
        <v>1418</v>
      </c>
      <c r="L1135" t="s">
        <v>1720</v>
      </c>
    </row>
    <row r="1136" spans="1:14" hidden="1" x14ac:dyDescent="0.35">
      <c r="A1136" t="s">
        <v>296</v>
      </c>
      <c r="B1136" t="s">
        <v>1121</v>
      </c>
      <c r="L1136" t="s">
        <v>1720</v>
      </c>
    </row>
    <row r="1137" spans="1:12" hidden="1" x14ac:dyDescent="0.35">
      <c r="A1137" t="s">
        <v>164</v>
      </c>
      <c r="B1137" t="s">
        <v>993</v>
      </c>
      <c r="L1137" t="s">
        <v>1720</v>
      </c>
    </row>
    <row r="1138" spans="1:12" hidden="1" x14ac:dyDescent="0.35">
      <c r="A1138" t="s">
        <v>297</v>
      </c>
      <c r="B1138" t="s">
        <v>1122</v>
      </c>
      <c r="L1138" t="s">
        <v>1720</v>
      </c>
    </row>
    <row r="1139" spans="1:12" hidden="1" x14ac:dyDescent="0.35">
      <c r="A1139" t="s">
        <v>465</v>
      </c>
      <c r="B1139" t="s">
        <v>1289</v>
      </c>
      <c r="L1139" t="s">
        <v>1720</v>
      </c>
    </row>
    <row r="1140" spans="1:12" hidden="1" x14ac:dyDescent="0.35">
      <c r="A1140" t="s">
        <v>241</v>
      </c>
      <c r="B1140" t="s">
        <v>1067</v>
      </c>
      <c r="L1140" t="s">
        <v>1720</v>
      </c>
    </row>
    <row r="1141" spans="1:12" hidden="1" x14ac:dyDescent="0.35">
      <c r="A1141" t="s">
        <v>738</v>
      </c>
      <c r="B1141" t="s">
        <v>1562</v>
      </c>
      <c r="L1141" t="s">
        <v>1720</v>
      </c>
    </row>
    <row r="1142" spans="1:12" hidden="1" x14ac:dyDescent="0.35">
      <c r="A1142" t="s">
        <v>592</v>
      </c>
      <c r="B1142" t="s">
        <v>1416</v>
      </c>
      <c r="L1142" t="s">
        <v>1720</v>
      </c>
    </row>
    <row r="1143" spans="1:12" hidden="1" x14ac:dyDescent="0.35">
      <c r="A1143" t="s">
        <v>760</v>
      </c>
      <c r="B1143" t="s">
        <v>1584</v>
      </c>
      <c r="L1143" t="s">
        <v>1720</v>
      </c>
    </row>
    <row r="1144" spans="1:12" hidden="1" x14ac:dyDescent="0.35">
      <c r="A1144" t="s">
        <v>525</v>
      </c>
      <c r="B1144" t="s">
        <v>1349</v>
      </c>
      <c r="L1144" t="s">
        <v>1720</v>
      </c>
    </row>
    <row r="1145" spans="1:12" hidden="1" x14ac:dyDescent="0.35">
      <c r="A1145" t="s">
        <v>141</v>
      </c>
      <c r="B1145" t="s">
        <v>970</v>
      </c>
      <c r="L1145" t="s">
        <v>1720</v>
      </c>
    </row>
    <row r="1146" spans="1:12" hidden="1" x14ac:dyDescent="0.35">
      <c r="A1146" t="s">
        <v>589</v>
      </c>
      <c r="B1146" t="s">
        <v>1413</v>
      </c>
      <c r="L1146" t="s">
        <v>1720</v>
      </c>
    </row>
    <row r="1147" spans="1:12" hidden="1" x14ac:dyDescent="0.35">
      <c r="A1147" t="s">
        <v>124</v>
      </c>
      <c r="B1147" t="s">
        <v>953</v>
      </c>
      <c r="L1147" t="s">
        <v>1720</v>
      </c>
    </row>
    <row r="1148" spans="1:12" hidden="1" x14ac:dyDescent="0.35">
      <c r="A1148" t="s">
        <v>533</v>
      </c>
      <c r="B1148" t="s">
        <v>1357</v>
      </c>
      <c r="L1148" t="s">
        <v>1720</v>
      </c>
    </row>
    <row r="1149" spans="1:12" hidden="1" x14ac:dyDescent="0.35">
      <c r="A1149" t="s">
        <v>321</v>
      </c>
      <c r="B1149" t="s">
        <v>1146</v>
      </c>
      <c r="L1149" t="s">
        <v>1720</v>
      </c>
    </row>
    <row r="1150" spans="1:12" hidden="1" x14ac:dyDescent="0.35">
      <c r="A1150" t="s">
        <v>642</v>
      </c>
      <c r="B1150" t="s">
        <v>1466</v>
      </c>
      <c r="L1150" t="s">
        <v>1720</v>
      </c>
    </row>
    <row r="1151" spans="1:12" hidden="1" x14ac:dyDescent="0.35">
      <c r="A1151" t="s">
        <v>488</v>
      </c>
      <c r="B1151" t="s">
        <v>1312</v>
      </c>
      <c r="L1151" t="s">
        <v>1720</v>
      </c>
    </row>
    <row r="1152" spans="1:12" hidden="1" x14ac:dyDescent="0.35">
      <c r="A1152" t="s">
        <v>770</v>
      </c>
      <c r="B1152" t="s">
        <v>1594</v>
      </c>
      <c r="L1152" t="s">
        <v>1720</v>
      </c>
    </row>
    <row r="1153" spans="1:14" hidden="1" x14ac:dyDescent="0.35">
      <c r="A1153" t="s">
        <v>638</v>
      </c>
      <c r="B1153" t="s">
        <v>1462</v>
      </c>
      <c r="L1153" t="s">
        <v>1720</v>
      </c>
    </row>
    <row r="1154" spans="1:14" hidden="1" x14ac:dyDescent="0.35">
      <c r="A1154" t="s">
        <v>632</v>
      </c>
      <c r="B1154" t="s">
        <v>1456</v>
      </c>
      <c r="L1154" t="s">
        <v>1720</v>
      </c>
    </row>
    <row r="1155" spans="1:14" hidden="1" x14ac:dyDescent="0.35">
      <c r="A1155" t="s">
        <v>621</v>
      </c>
      <c r="B1155" t="s">
        <v>1445</v>
      </c>
      <c r="L1155" t="s">
        <v>1720</v>
      </c>
    </row>
    <row r="1156" spans="1:14" hidden="1" x14ac:dyDescent="0.35">
      <c r="A1156" t="s">
        <v>10</v>
      </c>
      <c r="B1156" t="s">
        <v>839</v>
      </c>
      <c r="L1156" t="s">
        <v>1720</v>
      </c>
    </row>
    <row r="1157" spans="1:14" x14ac:dyDescent="0.35">
      <c r="A1157" t="s">
        <v>341</v>
      </c>
      <c r="B1157" t="s">
        <v>1165</v>
      </c>
      <c r="C1157" t="s">
        <v>2261</v>
      </c>
      <c r="D1157" t="s">
        <v>1721</v>
      </c>
      <c r="F1157" t="s">
        <v>2263</v>
      </c>
      <c r="G1157" t="s">
        <v>1725</v>
      </c>
      <c r="H1157" t="s">
        <v>1776</v>
      </c>
      <c r="I1157" t="s">
        <v>1729</v>
      </c>
      <c r="J1157" t="s">
        <v>1747</v>
      </c>
      <c r="K1157" t="s">
        <v>2519</v>
      </c>
      <c r="L1157" t="s">
        <v>1720</v>
      </c>
      <c r="M1157" s="57">
        <v>44582</v>
      </c>
      <c r="N1157" t="s">
        <v>3480</v>
      </c>
    </row>
    <row r="1158" spans="1:14" x14ac:dyDescent="0.35">
      <c r="A1158" t="s">
        <v>341</v>
      </c>
      <c r="B1158" t="s">
        <v>1165</v>
      </c>
      <c r="C1158" t="s">
        <v>2259</v>
      </c>
      <c r="D1158" t="s">
        <v>1721</v>
      </c>
      <c r="F1158" t="s">
        <v>1802</v>
      </c>
      <c r="G1158" t="s">
        <v>1750</v>
      </c>
      <c r="H1158" t="s">
        <v>1773</v>
      </c>
      <c r="I1158" t="s">
        <v>1748</v>
      </c>
      <c r="J1158" t="s">
        <v>1749</v>
      </c>
      <c r="K1158" t="s">
        <v>2286</v>
      </c>
      <c r="L1158" t="s">
        <v>1720</v>
      </c>
      <c r="M1158" s="57">
        <v>44582</v>
      </c>
      <c r="N1158" t="s">
        <v>3480</v>
      </c>
    </row>
    <row r="1159" spans="1:14" x14ac:dyDescent="0.35">
      <c r="A1159" t="s">
        <v>341</v>
      </c>
      <c r="B1159" t="s">
        <v>1165</v>
      </c>
      <c r="C1159" t="s">
        <v>2261</v>
      </c>
      <c r="D1159" t="s">
        <v>1721</v>
      </c>
      <c r="F1159" t="s">
        <v>1801</v>
      </c>
      <c r="G1159" t="s">
        <v>1735</v>
      </c>
      <c r="H1159" t="s">
        <v>1774</v>
      </c>
      <c r="I1159" t="s">
        <v>1734</v>
      </c>
      <c r="J1159" t="s">
        <v>1736</v>
      </c>
      <c r="K1159" t="s">
        <v>2405</v>
      </c>
      <c r="L1159" t="s">
        <v>1720</v>
      </c>
      <c r="M1159" s="57">
        <v>44582</v>
      </c>
      <c r="N1159" t="s">
        <v>3480</v>
      </c>
    </row>
    <row r="1160" spans="1:14" hidden="1" x14ac:dyDescent="0.35">
      <c r="A1160" t="s">
        <v>92</v>
      </c>
      <c r="B1160" t="s">
        <v>921</v>
      </c>
      <c r="L1160" t="s">
        <v>1720</v>
      </c>
    </row>
    <row r="1161" spans="1:14" hidden="1" x14ac:dyDescent="0.35">
      <c r="A1161" t="s">
        <v>62</v>
      </c>
      <c r="B1161" t="s">
        <v>891</v>
      </c>
      <c r="L1161" t="s">
        <v>1720</v>
      </c>
    </row>
    <row r="1162" spans="1:14" hidden="1" x14ac:dyDescent="0.35">
      <c r="A1162" t="s">
        <v>732</v>
      </c>
      <c r="B1162" t="s">
        <v>1556</v>
      </c>
      <c r="L1162" t="s">
        <v>1720</v>
      </c>
    </row>
    <row r="1163" spans="1:14" hidden="1" x14ac:dyDescent="0.35">
      <c r="A1163" t="s">
        <v>208</v>
      </c>
      <c r="B1163" t="s">
        <v>1035</v>
      </c>
      <c r="L1163" t="s">
        <v>1720</v>
      </c>
    </row>
    <row r="1164" spans="1:14" hidden="1" x14ac:dyDescent="0.35">
      <c r="A1164" t="s">
        <v>572</v>
      </c>
      <c r="B1164" t="s">
        <v>1396</v>
      </c>
      <c r="L1164" t="s">
        <v>1720</v>
      </c>
    </row>
    <row r="1165" spans="1:14" hidden="1" x14ac:dyDescent="0.35">
      <c r="A1165" t="s">
        <v>239</v>
      </c>
      <c r="B1165" t="s">
        <v>1065</v>
      </c>
      <c r="L1165" t="s">
        <v>1720</v>
      </c>
    </row>
    <row r="1166" spans="1:14" hidden="1" x14ac:dyDescent="0.35">
      <c r="A1166" t="s">
        <v>240</v>
      </c>
      <c r="B1166" t="s">
        <v>1066</v>
      </c>
      <c r="L1166" t="s">
        <v>1720</v>
      </c>
    </row>
    <row r="1167" spans="1:14" hidden="1" x14ac:dyDescent="0.35">
      <c r="A1167" t="s">
        <v>238</v>
      </c>
      <c r="B1167" t="s">
        <v>1064</v>
      </c>
      <c r="L1167" t="s">
        <v>1720</v>
      </c>
    </row>
    <row r="1168" spans="1:14" hidden="1" x14ac:dyDescent="0.35">
      <c r="A1168" t="s">
        <v>637</v>
      </c>
      <c r="B1168" t="s">
        <v>1461</v>
      </c>
      <c r="L1168" t="s">
        <v>1720</v>
      </c>
    </row>
    <row r="1169" spans="1:14" hidden="1" x14ac:dyDescent="0.35">
      <c r="A1169" t="s">
        <v>206</v>
      </c>
      <c r="B1169" t="s">
        <v>1033</v>
      </c>
      <c r="L1169" t="s">
        <v>1720</v>
      </c>
    </row>
    <row r="1170" spans="1:14" hidden="1" x14ac:dyDescent="0.35">
      <c r="A1170" t="s">
        <v>674</v>
      </c>
      <c r="B1170" t="s">
        <v>1498</v>
      </c>
      <c r="L1170" t="s">
        <v>1720</v>
      </c>
    </row>
    <row r="1171" spans="1:14" x14ac:dyDescent="0.35">
      <c r="A1171" t="s">
        <v>578</v>
      </c>
      <c r="B1171" t="s">
        <v>1402</v>
      </c>
      <c r="C1171" t="s">
        <v>2259</v>
      </c>
      <c r="D1171" t="s">
        <v>1721</v>
      </c>
      <c r="F1171" t="s">
        <v>1802</v>
      </c>
      <c r="G1171" t="s">
        <v>1750</v>
      </c>
      <c r="H1171" t="s">
        <v>1773</v>
      </c>
      <c r="I1171" t="s">
        <v>1748</v>
      </c>
      <c r="J1171" t="s">
        <v>1749</v>
      </c>
      <c r="K1171" t="s">
        <v>2374</v>
      </c>
      <c r="L1171" t="s">
        <v>1720</v>
      </c>
      <c r="M1171" s="57">
        <v>44582</v>
      </c>
      <c r="N1171" t="s">
        <v>3480</v>
      </c>
    </row>
    <row r="1172" spans="1:14" x14ac:dyDescent="0.35">
      <c r="A1172" t="s">
        <v>578</v>
      </c>
      <c r="B1172" t="s">
        <v>1402</v>
      </c>
      <c r="C1172" t="s">
        <v>2261</v>
      </c>
      <c r="D1172" t="s">
        <v>1724</v>
      </c>
      <c r="F1172" t="s">
        <v>2308</v>
      </c>
      <c r="G1172" t="s">
        <v>1762</v>
      </c>
      <c r="H1172" t="s">
        <v>1781</v>
      </c>
      <c r="I1172" t="s">
        <v>1765</v>
      </c>
      <c r="J1172" t="s">
        <v>1766</v>
      </c>
      <c r="K1172" t="s">
        <v>2446</v>
      </c>
      <c r="L1172" t="s">
        <v>1720</v>
      </c>
      <c r="M1172" s="57">
        <v>44582</v>
      </c>
      <c r="N1172" t="s">
        <v>3480</v>
      </c>
    </row>
    <row r="1173" spans="1:14" x14ac:dyDescent="0.35">
      <c r="A1173" t="s">
        <v>578</v>
      </c>
      <c r="B1173" t="s">
        <v>1402</v>
      </c>
      <c r="C1173" t="s">
        <v>2261</v>
      </c>
      <c r="D1173" t="s">
        <v>1721</v>
      </c>
      <c r="F1173" t="s">
        <v>2308</v>
      </c>
      <c r="G1173" t="s">
        <v>1728</v>
      </c>
      <c r="H1173" t="s">
        <v>1779</v>
      </c>
      <c r="I1173" t="s">
        <v>1765</v>
      </c>
      <c r="J1173" t="s">
        <v>1766</v>
      </c>
      <c r="K1173" t="s">
        <v>2447</v>
      </c>
      <c r="L1173" t="s">
        <v>1720</v>
      </c>
      <c r="M1173" s="57">
        <v>44582</v>
      </c>
      <c r="N1173" t="s">
        <v>3480</v>
      </c>
    </row>
    <row r="1174" spans="1:14" x14ac:dyDescent="0.35">
      <c r="A1174" t="s">
        <v>578</v>
      </c>
      <c r="B1174" t="s">
        <v>1402</v>
      </c>
      <c r="C1174" t="s">
        <v>2261</v>
      </c>
      <c r="D1174" t="s">
        <v>1721</v>
      </c>
      <c r="F1174" t="s">
        <v>1801</v>
      </c>
      <c r="G1174" t="s">
        <v>1735</v>
      </c>
      <c r="H1174" t="s">
        <v>1774</v>
      </c>
      <c r="I1174" t="s">
        <v>1789</v>
      </c>
      <c r="J1174" t="s">
        <v>1771</v>
      </c>
      <c r="K1174" t="s">
        <v>2448</v>
      </c>
      <c r="L1174" t="s">
        <v>1720</v>
      </c>
      <c r="M1174" s="57">
        <v>44582</v>
      </c>
      <c r="N1174" t="s">
        <v>3480</v>
      </c>
    </row>
    <row r="1175" spans="1:14" x14ac:dyDescent="0.35">
      <c r="A1175" t="s">
        <v>578</v>
      </c>
      <c r="B1175" t="s">
        <v>1402</v>
      </c>
      <c r="C1175" t="s">
        <v>2261</v>
      </c>
      <c r="D1175" t="s">
        <v>1721</v>
      </c>
      <c r="F1175" t="s">
        <v>1803</v>
      </c>
      <c r="G1175" t="s">
        <v>1754</v>
      </c>
      <c r="H1175" t="s">
        <v>1796</v>
      </c>
      <c r="I1175" t="s">
        <v>1917</v>
      </c>
      <c r="J1175" t="s">
        <v>1753</v>
      </c>
      <c r="K1175" t="s">
        <v>2267</v>
      </c>
      <c r="L1175" t="s">
        <v>1720</v>
      </c>
      <c r="M1175" s="57">
        <v>44582</v>
      </c>
      <c r="N1175" t="s">
        <v>3480</v>
      </c>
    </row>
    <row r="1176" spans="1:14" x14ac:dyDescent="0.35">
      <c r="A1176" t="s">
        <v>578</v>
      </c>
      <c r="B1176" t="s">
        <v>1402</v>
      </c>
      <c r="C1176" t="s">
        <v>2259</v>
      </c>
      <c r="D1176" t="s">
        <v>1724</v>
      </c>
      <c r="F1176" t="s">
        <v>1802</v>
      </c>
      <c r="G1176" t="s">
        <v>1726</v>
      </c>
      <c r="H1176" t="s">
        <v>1737</v>
      </c>
      <c r="I1176" t="s">
        <v>1730</v>
      </c>
      <c r="J1176" t="s">
        <v>1732</v>
      </c>
      <c r="K1176" t="s">
        <v>2491</v>
      </c>
      <c r="L1176" t="s">
        <v>1720</v>
      </c>
      <c r="M1176" s="57">
        <v>44582</v>
      </c>
      <c r="N1176" t="s">
        <v>3481</v>
      </c>
    </row>
    <row r="1177" spans="1:14" x14ac:dyDescent="0.35">
      <c r="A1177" t="s">
        <v>578</v>
      </c>
      <c r="B1177" t="s">
        <v>1402</v>
      </c>
      <c r="C1177" t="s">
        <v>2261</v>
      </c>
      <c r="D1177" t="s">
        <v>1724</v>
      </c>
      <c r="F1177" t="s">
        <v>1802</v>
      </c>
      <c r="G1177" t="s">
        <v>1757</v>
      </c>
      <c r="H1177" t="s">
        <v>1780</v>
      </c>
      <c r="I1177" t="s">
        <v>1755</v>
      </c>
      <c r="J1177" t="s">
        <v>1756</v>
      </c>
      <c r="K1177" t="s">
        <v>2449</v>
      </c>
      <c r="L1177" t="s">
        <v>1720</v>
      </c>
      <c r="M1177" s="57">
        <v>44582</v>
      </c>
      <c r="N1177" t="s">
        <v>3480</v>
      </c>
    </row>
    <row r="1178" spans="1:14" x14ac:dyDescent="0.35">
      <c r="A1178" t="s">
        <v>578</v>
      </c>
      <c r="B1178" t="s">
        <v>1402</v>
      </c>
      <c r="C1178" t="s">
        <v>2261</v>
      </c>
      <c r="D1178" t="s">
        <v>1721</v>
      </c>
      <c r="F1178" t="s">
        <v>1804</v>
      </c>
      <c r="G1178" t="s">
        <v>1741</v>
      </c>
      <c r="H1178" t="s">
        <v>1775</v>
      </c>
      <c r="I1178" t="s">
        <v>1742</v>
      </c>
      <c r="J1178" t="s">
        <v>1744</v>
      </c>
      <c r="K1178" t="s">
        <v>2415</v>
      </c>
      <c r="L1178" t="s">
        <v>1720</v>
      </c>
      <c r="M1178" s="57">
        <v>44582</v>
      </c>
      <c r="N1178" t="s">
        <v>3480</v>
      </c>
    </row>
    <row r="1179" spans="1:14" x14ac:dyDescent="0.35">
      <c r="A1179" t="s">
        <v>578</v>
      </c>
      <c r="B1179" t="s">
        <v>1402</v>
      </c>
      <c r="C1179" t="s">
        <v>2259</v>
      </c>
      <c r="D1179" t="s">
        <v>1721</v>
      </c>
      <c r="F1179" t="s">
        <v>1802</v>
      </c>
      <c r="G1179" t="s">
        <v>1726</v>
      </c>
      <c r="H1179" t="s">
        <v>1777</v>
      </c>
      <c r="I1179" t="s">
        <v>1739</v>
      </c>
      <c r="J1179" t="s">
        <v>1745</v>
      </c>
      <c r="K1179" t="s">
        <v>2267</v>
      </c>
      <c r="L1179" t="s">
        <v>1720</v>
      </c>
      <c r="M1179" s="57">
        <v>44582</v>
      </c>
      <c r="N1179" t="s">
        <v>3480</v>
      </c>
    </row>
    <row r="1180" spans="1:14" x14ac:dyDescent="0.35">
      <c r="A1180" t="s">
        <v>578</v>
      </c>
      <c r="B1180" t="s">
        <v>1402</v>
      </c>
      <c r="C1180" t="s">
        <v>2261</v>
      </c>
      <c r="D1180" t="s">
        <v>1721</v>
      </c>
      <c r="E1180" t="s">
        <v>2363</v>
      </c>
      <c r="F1180" t="s">
        <v>1802</v>
      </c>
      <c r="G1180" t="s">
        <v>1760</v>
      </c>
      <c r="H1180" t="s">
        <v>2299</v>
      </c>
      <c r="I1180" t="s">
        <v>1758</v>
      </c>
      <c r="J1180" t="s">
        <v>1759</v>
      </c>
      <c r="K1180" t="s">
        <v>2450</v>
      </c>
      <c r="L1180" t="s">
        <v>1720</v>
      </c>
      <c r="M1180" s="57">
        <v>44582</v>
      </c>
      <c r="N1180" t="s">
        <v>3480</v>
      </c>
    </row>
    <row r="1181" spans="1:14" x14ac:dyDescent="0.35">
      <c r="A1181" t="s">
        <v>578</v>
      </c>
      <c r="B1181" t="s">
        <v>1402</v>
      </c>
      <c r="C1181" t="s">
        <v>2261</v>
      </c>
      <c r="D1181" t="s">
        <v>1724</v>
      </c>
      <c r="E1181" t="s">
        <v>2363</v>
      </c>
      <c r="F1181" t="s">
        <v>1802</v>
      </c>
      <c r="G1181" t="s">
        <v>1760</v>
      </c>
      <c r="H1181" t="s">
        <v>2452</v>
      </c>
      <c r="I1181" t="s">
        <v>1758</v>
      </c>
      <c r="J1181" t="s">
        <v>1759</v>
      </c>
      <c r="K1181" t="s">
        <v>2451</v>
      </c>
      <c r="L1181" t="s">
        <v>1720</v>
      </c>
      <c r="M1181" s="57">
        <v>44582</v>
      </c>
      <c r="N1181" t="s">
        <v>3480</v>
      </c>
    </row>
    <row r="1182" spans="1:14" x14ac:dyDescent="0.35">
      <c r="A1182" t="s">
        <v>578</v>
      </c>
      <c r="B1182" t="s">
        <v>1402</v>
      </c>
      <c r="C1182" t="s">
        <v>2261</v>
      </c>
      <c r="D1182" t="s">
        <v>1721</v>
      </c>
      <c r="E1182" t="s">
        <v>2284</v>
      </c>
      <c r="F1182" t="s">
        <v>2285</v>
      </c>
      <c r="G1182" t="s">
        <v>1784</v>
      </c>
      <c r="H1182" t="s">
        <v>1785</v>
      </c>
      <c r="I1182" t="s">
        <v>1782</v>
      </c>
      <c r="J1182" t="s">
        <v>1786</v>
      </c>
      <c r="K1182" t="s">
        <v>2453</v>
      </c>
      <c r="L1182" t="s">
        <v>1720</v>
      </c>
      <c r="M1182" s="57">
        <v>44582</v>
      </c>
      <c r="N1182" t="s">
        <v>3480</v>
      </c>
    </row>
    <row r="1183" spans="1:14" x14ac:dyDescent="0.35">
      <c r="A1183" t="s">
        <v>578</v>
      </c>
      <c r="B1183" t="s">
        <v>1402</v>
      </c>
      <c r="C1183" t="s">
        <v>2261</v>
      </c>
      <c r="D1183" t="s">
        <v>1724</v>
      </c>
      <c r="E1183" t="s">
        <v>2280</v>
      </c>
      <c r="F1183" t="s">
        <v>1801</v>
      </c>
      <c r="G1183" t="s">
        <v>1762</v>
      </c>
      <c r="H1183" t="s">
        <v>2304</v>
      </c>
      <c r="I1183" t="s">
        <v>1743</v>
      </c>
      <c r="J1183" t="s">
        <v>1761</v>
      </c>
      <c r="K1183" t="s">
        <v>2454</v>
      </c>
      <c r="L1183" t="s">
        <v>1720</v>
      </c>
      <c r="M1183" s="57">
        <v>44582</v>
      </c>
      <c r="N1183" t="s">
        <v>3480</v>
      </c>
    </row>
    <row r="1184" spans="1:14" x14ac:dyDescent="0.35">
      <c r="A1184" t="s">
        <v>578</v>
      </c>
      <c r="B1184" t="s">
        <v>1402</v>
      </c>
      <c r="C1184" t="s">
        <v>2261</v>
      </c>
      <c r="D1184" t="s">
        <v>1721</v>
      </c>
      <c r="E1184" t="s">
        <v>2280</v>
      </c>
      <c r="F1184" t="s">
        <v>1801</v>
      </c>
      <c r="G1184" t="s">
        <v>1728</v>
      </c>
      <c r="H1184" t="s">
        <v>1800</v>
      </c>
      <c r="I1184" t="s">
        <v>1743</v>
      </c>
      <c r="J1184" t="s">
        <v>1761</v>
      </c>
      <c r="K1184" t="s">
        <v>2455</v>
      </c>
      <c r="L1184" t="s">
        <v>1720</v>
      </c>
      <c r="M1184" s="57">
        <v>44582</v>
      </c>
      <c r="N1184" t="s">
        <v>3480</v>
      </c>
    </row>
    <row r="1185" spans="1:14" hidden="1" x14ac:dyDescent="0.35">
      <c r="A1185" t="s">
        <v>622</v>
      </c>
      <c r="B1185" t="s">
        <v>1446</v>
      </c>
      <c r="L1185" t="s">
        <v>1720</v>
      </c>
    </row>
    <row r="1186" spans="1:14" hidden="1" x14ac:dyDescent="0.35">
      <c r="A1186" t="s">
        <v>214</v>
      </c>
      <c r="B1186" t="s">
        <v>1041</v>
      </c>
      <c r="L1186" t="s">
        <v>1720</v>
      </c>
    </row>
    <row r="1187" spans="1:14" x14ac:dyDescent="0.35">
      <c r="A1187" t="s">
        <v>519</v>
      </c>
      <c r="B1187" t="s">
        <v>1343</v>
      </c>
      <c r="C1187" t="s">
        <v>2261</v>
      </c>
      <c r="D1187" t="s">
        <v>1721</v>
      </c>
      <c r="F1187" t="s">
        <v>1802</v>
      </c>
      <c r="G1187" t="s">
        <v>1726</v>
      </c>
      <c r="H1187" t="s">
        <v>1777</v>
      </c>
      <c r="I1187" t="s">
        <v>1739</v>
      </c>
      <c r="J1187" t="s">
        <v>1745</v>
      </c>
      <c r="K1187" t="s">
        <v>2147</v>
      </c>
      <c r="L1187" t="s">
        <v>1720</v>
      </c>
      <c r="M1187" s="57">
        <v>44582</v>
      </c>
      <c r="N1187" t="s">
        <v>3480</v>
      </c>
    </row>
    <row r="1188" spans="1:14" x14ac:dyDescent="0.35">
      <c r="A1188" t="s">
        <v>519</v>
      </c>
      <c r="B1188" t="s">
        <v>1343</v>
      </c>
      <c r="C1188" t="s">
        <v>2261</v>
      </c>
      <c r="D1188" t="s">
        <v>1724</v>
      </c>
      <c r="F1188" t="s">
        <v>1802</v>
      </c>
      <c r="G1188" t="s">
        <v>1726</v>
      </c>
      <c r="H1188" t="s">
        <v>1777</v>
      </c>
      <c r="I1188" t="s">
        <v>1739</v>
      </c>
      <c r="J1188" t="s">
        <v>1745</v>
      </c>
      <c r="K1188" t="s">
        <v>2415</v>
      </c>
      <c r="L1188" t="s">
        <v>1720</v>
      </c>
      <c r="M1188" s="57">
        <v>44582</v>
      </c>
      <c r="N1188" t="s">
        <v>3480</v>
      </c>
    </row>
    <row r="1189" spans="1:14" x14ac:dyDescent="0.35">
      <c r="A1189" t="s">
        <v>519</v>
      </c>
      <c r="B1189" t="s">
        <v>1343</v>
      </c>
      <c r="C1189" t="s">
        <v>2259</v>
      </c>
      <c r="D1189" t="s">
        <v>1724</v>
      </c>
      <c r="F1189" t="s">
        <v>1802</v>
      </c>
      <c r="G1189" t="s">
        <v>1726</v>
      </c>
      <c r="H1189" t="s">
        <v>1777</v>
      </c>
      <c r="I1189" t="s">
        <v>1739</v>
      </c>
      <c r="J1189" t="s">
        <v>1745</v>
      </c>
      <c r="K1189" t="s">
        <v>2415</v>
      </c>
      <c r="L1189" t="s">
        <v>1720</v>
      </c>
      <c r="M1189" s="57">
        <v>44582</v>
      </c>
      <c r="N1189" t="s">
        <v>3480</v>
      </c>
    </row>
    <row r="1190" spans="1:14" x14ac:dyDescent="0.35">
      <c r="A1190" t="s">
        <v>519</v>
      </c>
      <c r="B1190" t="s">
        <v>1343</v>
      </c>
      <c r="C1190" t="s">
        <v>2259</v>
      </c>
      <c r="D1190" t="s">
        <v>1721</v>
      </c>
      <c r="F1190" t="s">
        <v>1802</v>
      </c>
      <c r="G1190" t="s">
        <v>1726</v>
      </c>
      <c r="H1190" t="s">
        <v>1777</v>
      </c>
      <c r="I1190" t="s">
        <v>1739</v>
      </c>
      <c r="J1190" t="s">
        <v>1745</v>
      </c>
      <c r="K1190" t="s">
        <v>2147</v>
      </c>
      <c r="L1190" t="s">
        <v>1720</v>
      </c>
      <c r="M1190" s="57">
        <v>44582</v>
      </c>
      <c r="N1190" t="s">
        <v>3480</v>
      </c>
    </row>
    <row r="1191" spans="1:14" hidden="1" x14ac:dyDescent="0.35">
      <c r="A1191" t="s">
        <v>515</v>
      </c>
      <c r="B1191" t="s">
        <v>1339</v>
      </c>
      <c r="L1191" t="s">
        <v>1720</v>
      </c>
    </row>
    <row r="1192" spans="1:14" x14ac:dyDescent="0.35">
      <c r="A1192" t="s">
        <v>388</v>
      </c>
      <c r="B1192" t="s">
        <v>1212</v>
      </c>
      <c r="C1192" t="s">
        <v>2261</v>
      </c>
      <c r="D1192" t="s">
        <v>1721</v>
      </c>
      <c r="F1192" t="s">
        <v>2263</v>
      </c>
      <c r="G1192" t="s">
        <v>1725</v>
      </c>
      <c r="H1192" t="s">
        <v>1776</v>
      </c>
      <c r="I1192" t="s">
        <v>1729</v>
      </c>
      <c r="J1192" t="s">
        <v>1747</v>
      </c>
      <c r="K1192" t="s">
        <v>2416</v>
      </c>
      <c r="L1192" t="s">
        <v>1720</v>
      </c>
      <c r="M1192" s="57">
        <v>44582</v>
      </c>
      <c r="N1192" t="s">
        <v>3480</v>
      </c>
    </row>
    <row r="1193" spans="1:14" hidden="1" x14ac:dyDescent="0.35">
      <c r="A1193" t="s">
        <v>110</v>
      </c>
      <c r="B1193" t="s">
        <v>939</v>
      </c>
      <c r="L1193" t="s">
        <v>1720</v>
      </c>
    </row>
    <row r="1194" spans="1:14" hidden="1" x14ac:dyDescent="0.35">
      <c r="A1194" t="s">
        <v>661</v>
      </c>
      <c r="B1194" t="s">
        <v>1485</v>
      </c>
      <c r="L1194" t="s">
        <v>1720</v>
      </c>
    </row>
    <row r="1195" spans="1:14" hidden="1" x14ac:dyDescent="0.35">
      <c r="A1195" t="s">
        <v>476</v>
      </c>
      <c r="B1195" t="s">
        <v>1300</v>
      </c>
      <c r="L1195" t="s">
        <v>1720</v>
      </c>
    </row>
    <row r="1196" spans="1:14" hidden="1" x14ac:dyDescent="0.35">
      <c r="A1196" t="s">
        <v>613</v>
      </c>
      <c r="B1196" t="s">
        <v>1437</v>
      </c>
      <c r="L1196" t="s">
        <v>1720</v>
      </c>
    </row>
    <row r="1197" spans="1:14" hidden="1" x14ac:dyDescent="0.35">
      <c r="A1197" t="s">
        <v>170</v>
      </c>
      <c r="B1197" t="s">
        <v>999</v>
      </c>
      <c r="L1197" t="s">
        <v>1720</v>
      </c>
    </row>
    <row r="1198" spans="1:14" hidden="1" x14ac:dyDescent="0.35">
      <c r="A1198" t="s">
        <v>548</v>
      </c>
      <c r="B1198" t="s">
        <v>1372</v>
      </c>
      <c r="L1198" t="s">
        <v>1720</v>
      </c>
    </row>
    <row r="1199" spans="1:14" hidden="1" x14ac:dyDescent="0.35">
      <c r="A1199" t="s">
        <v>396</v>
      </c>
      <c r="B1199" t="s">
        <v>1220</v>
      </c>
      <c r="L1199" t="s">
        <v>1720</v>
      </c>
    </row>
    <row r="1200" spans="1:14" x14ac:dyDescent="0.35">
      <c r="A1200" t="s">
        <v>377</v>
      </c>
      <c r="B1200" t="s">
        <v>1201</v>
      </c>
      <c r="C1200" t="s">
        <v>2261</v>
      </c>
      <c r="D1200" t="s">
        <v>1721</v>
      </c>
      <c r="E1200" t="s">
        <v>2277</v>
      </c>
      <c r="F1200" t="s">
        <v>1804</v>
      </c>
      <c r="G1200" t="s">
        <v>1741</v>
      </c>
      <c r="H1200" t="s">
        <v>1775</v>
      </c>
      <c r="I1200" t="s">
        <v>1742</v>
      </c>
      <c r="J1200" t="s">
        <v>1744</v>
      </c>
      <c r="K1200" t="s">
        <v>2111</v>
      </c>
      <c r="L1200" t="s">
        <v>1720</v>
      </c>
      <c r="M1200" s="57">
        <v>44582</v>
      </c>
      <c r="N1200" t="s">
        <v>3480</v>
      </c>
    </row>
    <row r="1201" spans="1:14" hidden="1" x14ac:dyDescent="0.35">
      <c r="A1201" t="s">
        <v>5</v>
      </c>
      <c r="B1201" t="s">
        <v>834</v>
      </c>
      <c r="L1201" t="s">
        <v>1720</v>
      </c>
    </row>
    <row r="1202" spans="1:14" hidden="1" x14ac:dyDescent="0.35">
      <c r="A1202" t="s">
        <v>235</v>
      </c>
      <c r="B1202" t="s">
        <v>1062</v>
      </c>
      <c r="L1202" t="s">
        <v>1720</v>
      </c>
    </row>
    <row r="1203" spans="1:14" hidden="1" x14ac:dyDescent="0.35">
      <c r="A1203" t="s">
        <v>393</v>
      </c>
      <c r="B1203" t="s">
        <v>1217</v>
      </c>
      <c r="L1203" t="s">
        <v>1720</v>
      </c>
    </row>
    <row r="1204" spans="1:14" hidden="1" x14ac:dyDescent="0.35">
      <c r="A1204" t="s">
        <v>328</v>
      </c>
      <c r="B1204" t="s">
        <v>1153</v>
      </c>
      <c r="L1204" t="s">
        <v>1720</v>
      </c>
    </row>
    <row r="1205" spans="1:14" hidden="1" x14ac:dyDescent="0.35">
      <c r="A1205" t="s">
        <v>209</v>
      </c>
      <c r="B1205" t="s">
        <v>1036</v>
      </c>
      <c r="L1205" t="s">
        <v>1720</v>
      </c>
    </row>
    <row r="1206" spans="1:14" hidden="1" x14ac:dyDescent="0.35">
      <c r="A1206" t="s">
        <v>275</v>
      </c>
      <c r="B1206" t="s">
        <v>1101</v>
      </c>
      <c r="L1206" t="s">
        <v>1720</v>
      </c>
    </row>
    <row r="1207" spans="1:14" hidden="1" x14ac:dyDescent="0.35">
      <c r="A1207" t="s">
        <v>316</v>
      </c>
      <c r="B1207" t="s">
        <v>1141</v>
      </c>
      <c r="L1207" t="s">
        <v>1720</v>
      </c>
    </row>
    <row r="1208" spans="1:14" hidden="1" x14ac:dyDescent="0.35">
      <c r="A1208" t="s">
        <v>178</v>
      </c>
      <c r="B1208" t="s">
        <v>1007</v>
      </c>
      <c r="L1208" t="s">
        <v>1720</v>
      </c>
    </row>
    <row r="1209" spans="1:14" hidden="1" x14ac:dyDescent="0.35">
      <c r="A1209" t="s">
        <v>151</v>
      </c>
      <c r="B1209" t="s">
        <v>980</v>
      </c>
      <c r="L1209" t="s">
        <v>1720</v>
      </c>
    </row>
    <row r="1210" spans="1:14" hidden="1" x14ac:dyDescent="0.35">
      <c r="A1210" t="s">
        <v>761</v>
      </c>
      <c r="B1210" t="s">
        <v>1585</v>
      </c>
      <c r="L1210" t="s">
        <v>1720</v>
      </c>
    </row>
    <row r="1211" spans="1:14" x14ac:dyDescent="0.35">
      <c r="A1211" t="s">
        <v>424</v>
      </c>
      <c r="B1211" t="s">
        <v>1248</v>
      </c>
      <c r="C1211" t="s">
        <v>2259</v>
      </c>
      <c r="D1211" t="s">
        <v>1721</v>
      </c>
      <c r="F1211" t="s">
        <v>1802</v>
      </c>
      <c r="G1211" t="s">
        <v>1750</v>
      </c>
      <c r="H1211" t="s">
        <v>1773</v>
      </c>
      <c r="I1211" t="s">
        <v>1748</v>
      </c>
      <c r="J1211" t="s">
        <v>1749</v>
      </c>
      <c r="K1211" t="s">
        <v>2287</v>
      </c>
      <c r="L1211" t="s">
        <v>1720</v>
      </c>
      <c r="M1211" s="57">
        <v>44582</v>
      </c>
      <c r="N1211" t="s">
        <v>3480</v>
      </c>
    </row>
    <row r="1212" spans="1:14" x14ac:dyDescent="0.35">
      <c r="A1212" t="s">
        <v>424</v>
      </c>
      <c r="B1212" t="s">
        <v>1248</v>
      </c>
      <c r="C1212" t="s">
        <v>2261</v>
      </c>
      <c r="D1212" t="s">
        <v>1721</v>
      </c>
      <c r="F1212" t="s">
        <v>1801</v>
      </c>
      <c r="G1212" t="s">
        <v>1735</v>
      </c>
      <c r="H1212" t="s">
        <v>1774</v>
      </c>
      <c r="I1212" t="s">
        <v>1734</v>
      </c>
      <c r="J1212" t="s">
        <v>1805</v>
      </c>
      <c r="K1212" t="s">
        <v>2386</v>
      </c>
      <c r="L1212" t="s">
        <v>1720</v>
      </c>
      <c r="M1212" s="57">
        <v>44582</v>
      </c>
      <c r="N1212" t="s">
        <v>3480</v>
      </c>
    </row>
    <row r="1213" spans="1:14" x14ac:dyDescent="0.35">
      <c r="A1213" t="s">
        <v>424</v>
      </c>
      <c r="B1213" t="s">
        <v>1248</v>
      </c>
      <c r="C1213" t="s">
        <v>2259</v>
      </c>
      <c r="D1213" t="s">
        <v>1724</v>
      </c>
      <c r="F1213" t="s">
        <v>1802</v>
      </c>
      <c r="G1213" t="s">
        <v>1726</v>
      </c>
      <c r="H1213" t="s">
        <v>1777</v>
      </c>
      <c r="I1213" t="s">
        <v>1739</v>
      </c>
      <c r="J1213" t="s">
        <v>1745</v>
      </c>
      <c r="K1213" t="s">
        <v>2147</v>
      </c>
      <c r="L1213" t="s">
        <v>1720</v>
      </c>
      <c r="M1213" s="57">
        <v>44582</v>
      </c>
      <c r="N1213" t="s">
        <v>3480</v>
      </c>
    </row>
    <row r="1214" spans="1:14" x14ac:dyDescent="0.35">
      <c r="A1214" t="s">
        <v>424</v>
      </c>
      <c r="B1214" t="s">
        <v>1248</v>
      </c>
      <c r="C1214" t="s">
        <v>2259</v>
      </c>
      <c r="D1214" t="s">
        <v>1721</v>
      </c>
      <c r="F1214" t="s">
        <v>1802</v>
      </c>
      <c r="G1214" t="s">
        <v>1726</v>
      </c>
      <c r="H1214" t="s">
        <v>1777</v>
      </c>
      <c r="I1214" t="s">
        <v>1739</v>
      </c>
      <c r="J1214" t="s">
        <v>1745</v>
      </c>
      <c r="K1214" t="s">
        <v>2421</v>
      </c>
      <c r="L1214" t="s">
        <v>1720</v>
      </c>
      <c r="M1214" s="57">
        <v>44582</v>
      </c>
      <c r="N1214" t="s">
        <v>3480</v>
      </c>
    </row>
    <row r="1215" spans="1:14" hidden="1" x14ac:dyDescent="0.35">
      <c r="A1215" t="s">
        <v>317</v>
      </c>
      <c r="B1215" t="s">
        <v>1142</v>
      </c>
      <c r="L1215" t="s">
        <v>1720</v>
      </c>
    </row>
    <row r="1216" spans="1:14" hidden="1" x14ac:dyDescent="0.35">
      <c r="A1216" t="s">
        <v>96</v>
      </c>
      <c r="B1216" t="s">
        <v>925</v>
      </c>
      <c r="L1216" t="s">
        <v>1720</v>
      </c>
    </row>
    <row r="1217" spans="1:14" x14ac:dyDescent="0.35">
      <c r="A1217" t="s">
        <v>580</v>
      </c>
      <c r="B1217" t="s">
        <v>1404</v>
      </c>
      <c r="C1217" t="s">
        <v>2261</v>
      </c>
      <c r="D1217" t="s">
        <v>1721</v>
      </c>
      <c r="E1217" t="s">
        <v>2277</v>
      </c>
      <c r="F1217" t="s">
        <v>1804</v>
      </c>
      <c r="G1217" t="s">
        <v>1741</v>
      </c>
      <c r="H1217" t="s">
        <v>1775</v>
      </c>
      <c r="I1217" t="s">
        <v>1742</v>
      </c>
      <c r="J1217" t="s">
        <v>1744</v>
      </c>
      <c r="K1217" t="s">
        <v>2456</v>
      </c>
      <c r="L1217" t="s">
        <v>1720</v>
      </c>
      <c r="M1217" s="57">
        <v>44582</v>
      </c>
      <c r="N1217" t="s">
        <v>3480</v>
      </c>
    </row>
    <row r="1218" spans="1:14" x14ac:dyDescent="0.35">
      <c r="A1218" t="s">
        <v>580</v>
      </c>
      <c r="B1218" t="s">
        <v>1404</v>
      </c>
      <c r="C1218" t="s">
        <v>2259</v>
      </c>
      <c r="D1218" t="s">
        <v>1724</v>
      </c>
      <c r="F1218" t="s">
        <v>1802</v>
      </c>
      <c r="G1218" t="s">
        <v>1726</v>
      </c>
      <c r="H1218" t="s">
        <v>1777</v>
      </c>
      <c r="I1218" t="s">
        <v>1739</v>
      </c>
      <c r="J1218" t="s">
        <v>1745</v>
      </c>
      <c r="K1218" t="s">
        <v>2418</v>
      </c>
      <c r="L1218" t="s">
        <v>1720</v>
      </c>
      <c r="M1218" s="57">
        <v>44582</v>
      </c>
      <c r="N1218" t="s">
        <v>3480</v>
      </c>
    </row>
    <row r="1219" spans="1:14" x14ac:dyDescent="0.35">
      <c r="A1219" t="s">
        <v>580</v>
      </c>
      <c r="B1219" t="s">
        <v>1404</v>
      </c>
      <c r="C1219" t="s">
        <v>2259</v>
      </c>
      <c r="D1219" t="s">
        <v>1721</v>
      </c>
      <c r="F1219" t="s">
        <v>1802</v>
      </c>
      <c r="G1219" t="s">
        <v>1726</v>
      </c>
      <c r="H1219" t="s">
        <v>1777</v>
      </c>
      <c r="I1219" t="s">
        <v>1739</v>
      </c>
      <c r="J1219" t="s">
        <v>1745</v>
      </c>
      <c r="K1219" t="s">
        <v>2415</v>
      </c>
      <c r="L1219" t="s">
        <v>1720</v>
      </c>
      <c r="M1219" s="57">
        <v>44582</v>
      </c>
      <c r="N1219" t="s">
        <v>3480</v>
      </c>
    </row>
    <row r="1220" spans="1:14" hidden="1" x14ac:dyDescent="0.35">
      <c r="A1220" t="s">
        <v>560</v>
      </c>
      <c r="B1220" t="s">
        <v>1384</v>
      </c>
      <c r="L1220" t="s">
        <v>1720</v>
      </c>
    </row>
    <row r="1221" spans="1:14" hidden="1" x14ac:dyDescent="0.35">
      <c r="A1221" t="s">
        <v>651</v>
      </c>
      <c r="B1221" t="s">
        <v>1475</v>
      </c>
      <c r="L1221" t="s">
        <v>1720</v>
      </c>
    </row>
    <row r="1222" spans="1:14" hidden="1" x14ac:dyDescent="0.35">
      <c r="A1222" t="s">
        <v>245</v>
      </c>
      <c r="B1222" t="s">
        <v>1071</v>
      </c>
      <c r="L1222" t="s">
        <v>1720</v>
      </c>
    </row>
    <row r="1223" spans="1:14" hidden="1" x14ac:dyDescent="0.35">
      <c r="A1223" t="s">
        <v>343</v>
      </c>
      <c r="B1223" t="s">
        <v>1167</v>
      </c>
      <c r="L1223" t="s">
        <v>1720</v>
      </c>
    </row>
    <row r="1224" spans="1:14" hidden="1" x14ac:dyDescent="0.35">
      <c r="A1224" t="s">
        <v>100</v>
      </c>
      <c r="B1224" t="s">
        <v>929</v>
      </c>
      <c r="L1224" t="s">
        <v>1720</v>
      </c>
    </row>
    <row r="1225" spans="1:14" hidden="1" x14ac:dyDescent="0.35">
      <c r="A1225" t="s">
        <v>99</v>
      </c>
      <c r="B1225" t="s">
        <v>928</v>
      </c>
      <c r="L1225" t="s">
        <v>1720</v>
      </c>
    </row>
    <row r="1226" spans="1:14" hidden="1" x14ac:dyDescent="0.35">
      <c r="A1226" t="s">
        <v>535</v>
      </c>
      <c r="B1226" t="s">
        <v>1359</v>
      </c>
      <c r="L1226" t="s">
        <v>1720</v>
      </c>
    </row>
    <row r="1227" spans="1:14" x14ac:dyDescent="0.35">
      <c r="A1227" t="s">
        <v>507</v>
      </c>
      <c r="B1227" t="s">
        <v>1331</v>
      </c>
      <c r="C1227" t="s">
        <v>2261</v>
      </c>
      <c r="D1227" t="s">
        <v>1721</v>
      </c>
      <c r="F1227" t="s">
        <v>2263</v>
      </c>
      <c r="G1227" t="s">
        <v>1725</v>
      </c>
      <c r="H1227" t="s">
        <v>1776</v>
      </c>
      <c r="I1227" t="s">
        <v>1729</v>
      </c>
      <c r="J1227" t="s">
        <v>1747</v>
      </c>
      <c r="K1227" t="s">
        <v>2260</v>
      </c>
      <c r="L1227" t="s">
        <v>1720</v>
      </c>
      <c r="M1227" s="57">
        <v>44581</v>
      </c>
      <c r="N1227" t="s">
        <v>3480</v>
      </c>
    </row>
    <row r="1228" spans="1:14" x14ac:dyDescent="0.35">
      <c r="A1228" t="s">
        <v>507</v>
      </c>
      <c r="B1228" t="s">
        <v>1331</v>
      </c>
      <c r="C1228" t="s">
        <v>2259</v>
      </c>
      <c r="D1228" t="s">
        <v>1721</v>
      </c>
      <c r="F1228" t="s">
        <v>1802</v>
      </c>
      <c r="G1228" t="s">
        <v>1750</v>
      </c>
      <c r="H1228" t="s">
        <v>1773</v>
      </c>
      <c r="I1228" t="s">
        <v>1748</v>
      </c>
      <c r="J1228" t="s">
        <v>1749</v>
      </c>
      <c r="K1228" t="s">
        <v>2119</v>
      </c>
      <c r="L1228" t="s">
        <v>1720</v>
      </c>
      <c r="M1228" s="57">
        <v>44581</v>
      </c>
      <c r="N1228" t="s">
        <v>3480</v>
      </c>
    </row>
    <row r="1229" spans="1:14" x14ac:dyDescent="0.35">
      <c r="A1229" t="s">
        <v>507</v>
      </c>
      <c r="B1229" t="s">
        <v>1331</v>
      </c>
      <c r="C1229" t="s">
        <v>2261</v>
      </c>
      <c r="D1229" t="s">
        <v>1721</v>
      </c>
      <c r="F1229" t="s">
        <v>1801</v>
      </c>
      <c r="G1229" t="s">
        <v>1735</v>
      </c>
      <c r="H1229" t="s">
        <v>1774</v>
      </c>
      <c r="I1229" t="s">
        <v>1789</v>
      </c>
      <c r="J1229" t="s">
        <v>1771</v>
      </c>
      <c r="K1229" t="s">
        <v>2276</v>
      </c>
      <c r="L1229" t="s">
        <v>1720</v>
      </c>
      <c r="M1229" s="57">
        <v>44581</v>
      </c>
      <c r="N1229" t="s">
        <v>3480</v>
      </c>
    </row>
    <row r="1230" spans="1:14" x14ac:dyDescent="0.35">
      <c r="A1230" t="s">
        <v>507</v>
      </c>
      <c r="B1230" t="s">
        <v>1331</v>
      </c>
      <c r="C1230" t="s">
        <v>2261</v>
      </c>
      <c r="D1230" t="s">
        <v>1721</v>
      </c>
      <c r="F1230" t="s">
        <v>1803</v>
      </c>
      <c r="G1230" t="s">
        <v>1754</v>
      </c>
      <c r="H1230" t="s">
        <v>1796</v>
      </c>
      <c r="I1230" t="s">
        <v>1917</v>
      </c>
      <c r="J1230" t="s">
        <v>1753</v>
      </c>
      <c r="K1230" t="s">
        <v>2325</v>
      </c>
      <c r="L1230" t="s">
        <v>1720</v>
      </c>
      <c r="M1230" s="57">
        <v>44581</v>
      </c>
      <c r="N1230" t="s">
        <v>3480</v>
      </c>
    </row>
    <row r="1231" spans="1:14" x14ac:dyDescent="0.35">
      <c r="A1231" t="s">
        <v>507</v>
      </c>
      <c r="B1231" t="s">
        <v>1331</v>
      </c>
      <c r="C1231" t="s">
        <v>2259</v>
      </c>
      <c r="D1231" t="s">
        <v>1721</v>
      </c>
      <c r="F1231" t="s">
        <v>1802</v>
      </c>
      <c r="G1231" t="s">
        <v>1726</v>
      </c>
      <c r="H1231" t="s">
        <v>1777</v>
      </c>
      <c r="I1231" t="s">
        <v>1739</v>
      </c>
      <c r="J1231" t="s">
        <v>1745</v>
      </c>
      <c r="K1231" t="s">
        <v>2350</v>
      </c>
      <c r="L1231" t="s">
        <v>1720</v>
      </c>
      <c r="M1231" s="57">
        <v>44581</v>
      </c>
      <c r="N1231" t="s">
        <v>3480</v>
      </c>
    </row>
    <row r="1232" spans="1:14" hidden="1" x14ac:dyDescent="0.35">
      <c r="A1232" t="s">
        <v>127</v>
      </c>
      <c r="B1232" t="s">
        <v>956</v>
      </c>
      <c r="L1232" t="s">
        <v>1720</v>
      </c>
    </row>
    <row r="1233" spans="1:14" hidden="1" x14ac:dyDescent="0.35">
      <c r="A1233" t="s">
        <v>816</v>
      </c>
      <c r="B1233" t="s">
        <v>1639</v>
      </c>
      <c r="L1233" t="s">
        <v>1720</v>
      </c>
    </row>
    <row r="1234" spans="1:14" x14ac:dyDescent="0.35">
      <c r="A1234" t="s">
        <v>612</v>
      </c>
      <c r="B1234" t="s">
        <v>1436</v>
      </c>
      <c r="C1234" t="s">
        <v>2259</v>
      </c>
      <c r="D1234" t="s">
        <v>1724</v>
      </c>
      <c r="F1234" t="s">
        <v>1802</v>
      </c>
      <c r="G1234" t="s">
        <v>2467</v>
      </c>
      <c r="H1234" t="s">
        <v>1847</v>
      </c>
      <c r="I1234" t="s">
        <v>1822</v>
      </c>
      <c r="J1234" t="s">
        <v>1846</v>
      </c>
      <c r="K1234" t="s">
        <v>2264</v>
      </c>
      <c r="L1234" t="s">
        <v>1720</v>
      </c>
      <c r="M1234" s="57">
        <v>44581</v>
      </c>
      <c r="N1234" t="s">
        <v>3480</v>
      </c>
    </row>
    <row r="1235" spans="1:14" x14ac:dyDescent="0.35">
      <c r="A1235" t="s">
        <v>612</v>
      </c>
      <c r="B1235" t="s">
        <v>1436</v>
      </c>
      <c r="C1235" t="s">
        <v>2259</v>
      </c>
      <c r="D1235" t="s">
        <v>1721</v>
      </c>
      <c r="F1235" t="s">
        <v>1802</v>
      </c>
      <c r="G1235" t="s">
        <v>1821</v>
      </c>
      <c r="H1235" t="s">
        <v>1813</v>
      </c>
      <c r="I1235" t="s">
        <v>1865</v>
      </c>
      <c r="J1235" t="s">
        <v>1866</v>
      </c>
      <c r="K1235" t="s">
        <v>2129</v>
      </c>
      <c r="L1235" t="s">
        <v>1720</v>
      </c>
      <c r="M1235" s="57">
        <v>44581</v>
      </c>
      <c r="N1235" t="s">
        <v>3480</v>
      </c>
    </row>
    <row r="1236" spans="1:14" hidden="1" x14ac:dyDescent="0.35">
      <c r="A1236" t="s">
        <v>550</v>
      </c>
      <c r="B1236" t="s">
        <v>1374</v>
      </c>
      <c r="L1236" t="s">
        <v>1720</v>
      </c>
    </row>
    <row r="1237" spans="1:14" hidden="1" x14ac:dyDescent="0.35">
      <c r="A1237" t="s">
        <v>95</v>
      </c>
      <c r="B1237" t="s">
        <v>924</v>
      </c>
      <c r="L1237" t="s">
        <v>1720</v>
      </c>
    </row>
    <row r="1238" spans="1:14" hidden="1" x14ac:dyDescent="0.35">
      <c r="A1238" t="s">
        <v>611</v>
      </c>
      <c r="B1238" t="s">
        <v>1435</v>
      </c>
      <c r="L1238" t="s">
        <v>1720</v>
      </c>
    </row>
    <row r="1239" spans="1:14" hidden="1" x14ac:dyDescent="0.35">
      <c r="A1239" t="s">
        <v>551</v>
      </c>
      <c r="B1239" t="s">
        <v>1375</v>
      </c>
      <c r="L1239" t="s">
        <v>1720</v>
      </c>
    </row>
    <row r="1240" spans="1:14" hidden="1" x14ac:dyDescent="0.35">
      <c r="A1240" t="s">
        <v>98</v>
      </c>
      <c r="B1240" t="s">
        <v>927</v>
      </c>
      <c r="L1240" t="s">
        <v>1720</v>
      </c>
    </row>
    <row r="1241" spans="1:14" hidden="1" x14ac:dyDescent="0.35">
      <c r="A1241" t="s">
        <v>421</v>
      </c>
      <c r="B1241" t="s">
        <v>1245</v>
      </c>
      <c r="L1241" t="s">
        <v>1720</v>
      </c>
    </row>
    <row r="1242" spans="1:14" hidden="1" x14ac:dyDescent="0.35">
      <c r="A1242" t="s">
        <v>762</v>
      </c>
      <c r="B1242" t="s">
        <v>1586</v>
      </c>
      <c r="L1242" t="s">
        <v>1720</v>
      </c>
    </row>
    <row r="1243" spans="1:14" hidden="1" x14ac:dyDescent="0.35">
      <c r="A1243" t="s">
        <v>200</v>
      </c>
      <c r="B1243" t="s">
        <v>1028</v>
      </c>
      <c r="L1243" t="s">
        <v>1720</v>
      </c>
    </row>
    <row r="1244" spans="1:14" hidden="1" x14ac:dyDescent="0.35">
      <c r="A1244" t="s">
        <v>367</v>
      </c>
      <c r="B1244" t="s">
        <v>1191</v>
      </c>
      <c r="L1244" t="s">
        <v>1720</v>
      </c>
    </row>
    <row r="1245" spans="1:14" hidden="1" x14ac:dyDescent="0.35">
      <c r="A1245" t="s">
        <v>587</v>
      </c>
      <c r="B1245" t="s">
        <v>1411</v>
      </c>
      <c r="L1245" t="s">
        <v>1720</v>
      </c>
    </row>
    <row r="1246" spans="1:14" hidden="1" x14ac:dyDescent="0.35">
      <c r="A1246" t="s">
        <v>545</v>
      </c>
      <c r="B1246" t="s">
        <v>1369</v>
      </c>
      <c r="L1246" t="s">
        <v>1720</v>
      </c>
    </row>
    <row r="1247" spans="1:14" hidden="1" x14ac:dyDescent="0.35">
      <c r="A1247" t="s">
        <v>538</v>
      </c>
      <c r="B1247" t="s">
        <v>1362</v>
      </c>
      <c r="L1247" t="s">
        <v>1720</v>
      </c>
    </row>
    <row r="1248" spans="1:14" hidden="1" x14ac:dyDescent="0.35">
      <c r="A1248" t="s">
        <v>29</v>
      </c>
      <c r="B1248" t="s">
        <v>858</v>
      </c>
      <c r="L1248" t="s">
        <v>1720</v>
      </c>
    </row>
    <row r="1249" spans="1:12" hidden="1" x14ac:dyDescent="0.35">
      <c r="A1249" t="s">
        <v>499</v>
      </c>
      <c r="B1249" t="s">
        <v>1323</v>
      </c>
      <c r="L1249" t="s">
        <v>1720</v>
      </c>
    </row>
    <row r="1250" spans="1:12" hidden="1" x14ac:dyDescent="0.35">
      <c r="A1250" t="s">
        <v>733</v>
      </c>
      <c r="B1250" t="s">
        <v>1557</v>
      </c>
      <c r="L1250" t="s">
        <v>1720</v>
      </c>
    </row>
    <row r="1251" spans="1:12" hidden="1" x14ac:dyDescent="0.35">
      <c r="A1251" t="s">
        <v>78</v>
      </c>
      <c r="B1251" t="s">
        <v>907</v>
      </c>
      <c r="L1251" t="s">
        <v>1720</v>
      </c>
    </row>
    <row r="1252" spans="1:12" hidden="1" x14ac:dyDescent="0.35">
      <c r="A1252" t="s">
        <v>542</v>
      </c>
      <c r="B1252" t="s">
        <v>1366</v>
      </c>
      <c r="L1252" t="s">
        <v>1720</v>
      </c>
    </row>
    <row r="1253" spans="1:12" hidden="1" x14ac:dyDescent="0.35">
      <c r="A1253" t="s">
        <v>303</v>
      </c>
      <c r="B1253" t="s">
        <v>1128</v>
      </c>
      <c r="L1253" t="s">
        <v>1720</v>
      </c>
    </row>
    <row r="1254" spans="1:12" hidden="1" x14ac:dyDescent="0.35">
      <c r="A1254" t="s">
        <v>184</v>
      </c>
      <c r="L1254" t="s">
        <v>1720</v>
      </c>
    </row>
    <row r="1255" spans="1:12" hidden="1" x14ac:dyDescent="0.35">
      <c r="A1255" t="s">
        <v>203</v>
      </c>
      <c r="L1255" t="s">
        <v>1720</v>
      </c>
    </row>
    <row r="1256" spans="1:12" hidden="1" x14ac:dyDescent="0.35">
      <c r="A1256" t="s">
        <v>284</v>
      </c>
      <c r="L1256" t="s">
        <v>1720</v>
      </c>
    </row>
    <row r="1257" spans="1:12" hidden="1" x14ac:dyDescent="0.35">
      <c r="A1257" t="s">
        <v>819</v>
      </c>
      <c r="L1257" t="s">
        <v>1720</v>
      </c>
    </row>
    <row r="1258" spans="1:12" hidden="1" x14ac:dyDescent="0.35">
      <c r="A1258" t="s">
        <v>3325</v>
      </c>
    </row>
    <row r="1259" spans="1:12" hidden="1" x14ac:dyDescent="0.35">
      <c r="A1259" t="s">
        <v>3326</v>
      </c>
      <c r="B1259" t="s">
        <v>3327</v>
      </c>
    </row>
    <row r="1260" spans="1:12" hidden="1" x14ac:dyDescent="0.35">
      <c r="A1260" t="s">
        <v>3328</v>
      </c>
      <c r="B1260" t="s">
        <v>3329</v>
      </c>
    </row>
    <row r="1261" spans="1:12" hidden="1" x14ac:dyDescent="0.35">
      <c r="A1261" t="s">
        <v>3330</v>
      </c>
      <c r="B1261" t="s">
        <v>3331</v>
      </c>
    </row>
    <row r="1262" spans="1:12" hidden="1" x14ac:dyDescent="0.35">
      <c r="A1262" t="s">
        <v>3332</v>
      </c>
      <c r="B1262" t="s">
        <v>3333</v>
      </c>
    </row>
    <row r="1263" spans="1:12" hidden="1" x14ac:dyDescent="0.35">
      <c r="A1263" t="s">
        <v>3334</v>
      </c>
      <c r="B1263" t="s">
        <v>867</v>
      </c>
    </row>
    <row r="1264" spans="1:12" hidden="1" x14ac:dyDescent="0.35">
      <c r="A1264" t="s">
        <v>3335</v>
      </c>
      <c r="B1264" t="s">
        <v>3336</v>
      </c>
    </row>
    <row r="1265" spans="1:14" hidden="1" x14ac:dyDescent="0.35">
      <c r="A1265" t="s">
        <v>3337</v>
      </c>
      <c r="B1265" t="s">
        <v>1397</v>
      </c>
    </row>
    <row r="1266" spans="1:14" hidden="1" x14ac:dyDescent="0.35">
      <c r="A1266" t="s">
        <v>3338</v>
      </c>
      <c r="B1266" t="s">
        <v>3339</v>
      </c>
    </row>
    <row r="1267" spans="1:14" hidden="1" x14ac:dyDescent="0.35">
      <c r="A1267" t="s">
        <v>3340</v>
      </c>
      <c r="B1267" t="s">
        <v>3341</v>
      </c>
    </row>
    <row r="1268" spans="1:14" hidden="1" x14ac:dyDescent="0.35">
      <c r="A1268" t="s">
        <v>3342</v>
      </c>
      <c r="B1268" t="s">
        <v>3343</v>
      </c>
    </row>
    <row r="1269" spans="1:14" hidden="1" x14ac:dyDescent="0.35">
      <c r="A1269" t="s">
        <v>1879</v>
      </c>
      <c r="B1269" t="s">
        <v>3344</v>
      </c>
    </row>
    <row r="1270" spans="1:14" hidden="1" x14ac:dyDescent="0.35">
      <c r="A1270" t="s">
        <v>3345</v>
      </c>
      <c r="B1270" t="s">
        <v>3346</v>
      </c>
    </row>
    <row r="1271" spans="1:14" hidden="1" x14ac:dyDescent="0.35">
      <c r="A1271" t="s">
        <v>3347</v>
      </c>
      <c r="B1271" t="s">
        <v>3348</v>
      </c>
    </row>
    <row r="1272" spans="1:14" hidden="1" x14ac:dyDescent="0.35">
      <c r="A1272" t="s">
        <v>3349</v>
      </c>
      <c r="B1272" t="s">
        <v>3350</v>
      </c>
    </row>
    <row r="1273" spans="1:14" hidden="1" x14ac:dyDescent="0.35">
      <c r="A1273" t="s">
        <v>3351</v>
      </c>
      <c r="B1273" t="s">
        <v>3352</v>
      </c>
    </row>
    <row r="1274" spans="1:14" hidden="1" x14ac:dyDescent="0.35">
      <c r="A1274" t="s">
        <v>3353</v>
      </c>
      <c r="B1274" t="s">
        <v>3354</v>
      </c>
    </row>
    <row r="1275" spans="1:14" hidden="1" x14ac:dyDescent="0.35">
      <c r="A1275" t="s">
        <v>3355</v>
      </c>
      <c r="B1275" t="s">
        <v>3356</v>
      </c>
    </row>
    <row r="1276" spans="1:14" hidden="1" x14ac:dyDescent="0.35">
      <c r="A1276" t="s">
        <v>3357</v>
      </c>
      <c r="B1276" t="s">
        <v>3358</v>
      </c>
    </row>
    <row r="1277" spans="1:14" x14ac:dyDescent="0.35">
      <c r="A1277" t="s">
        <v>3359</v>
      </c>
      <c r="B1277" t="s">
        <v>3360</v>
      </c>
      <c r="C1277" t="s">
        <v>2261</v>
      </c>
      <c r="D1277" t="s">
        <v>1721</v>
      </c>
      <c r="F1277" t="s">
        <v>1801</v>
      </c>
      <c r="G1277" t="s">
        <v>3420</v>
      </c>
      <c r="H1277" t="s">
        <v>1774</v>
      </c>
      <c r="I1277" t="s">
        <v>1734</v>
      </c>
      <c r="J1277" t="s">
        <v>1736</v>
      </c>
      <c r="K1277">
        <v>4.0000000000000001E-3</v>
      </c>
      <c r="L1277" t="s">
        <v>1720</v>
      </c>
      <c r="M1277" s="57">
        <v>44582</v>
      </c>
      <c r="N1277" t="s">
        <v>3480</v>
      </c>
    </row>
    <row r="1278" spans="1:14" ht="62.5" x14ac:dyDescent="0.35">
      <c r="A1278" t="s">
        <v>3359</v>
      </c>
      <c r="B1278" t="s">
        <v>3360</v>
      </c>
      <c r="C1278" t="s">
        <v>2261</v>
      </c>
      <c r="D1278" t="s">
        <v>1721</v>
      </c>
      <c r="F1278" t="s">
        <v>3421</v>
      </c>
      <c r="G1278" t="s">
        <v>3422</v>
      </c>
      <c r="H1278" t="s">
        <v>3423</v>
      </c>
      <c r="I1278" t="s">
        <v>1739</v>
      </c>
      <c r="J1278" s="50" t="s">
        <v>1745</v>
      </c>
      <c r="K1278" s="50">
        <v>0.01</v>
      </c>
      <c r="L1278" t="s">
        <v>1720</v>
      </c>
      <c r="M1278" s="57">
        <v>44582</v>
      </c>
      <c r="N1278" t="s">
        <v>3480</v>
      </c>
    </row>
    <row r="1279" spans="1:14" ht="25" x14ac:dyDescent="0.35">
      <c r="A1279" t="s">
        <v>3359</v>
      </c>
      <c r="B1279" t="s">
        <v>3360</v>
      </c>
      <c r="C1279" t="s">
        <v>2259</v>
      </c>
      <c r="D1279" t="s">
        <v>1724</v>
      </c>
      <c r="F1279" t="s">
        <v>1802</v>
      </c>
      <c r="I1279" t="s">
        <v>1738</v>
      </c>
      <c r="J1279" s="50" t="s">
        <v>1740</v>
      </c>
      <c r="K1279" s="50">
        <v>4.3999999999999997E-2</v>
      </c>
      <c r="L1279" t="s">
        <v>1720</v>
      </c>
      <c r="M1279" s="57">
        <v>44582</v>
      </c>
      <c r="N1279" t="s">
        <v>3481</v>
      </c>
    </row>
    <row r="1280" spans="1:14" hidden="1" x14ac:dyDescent="0.35">
      <c r="A1280" t="s">
        <v>3361</v>
      </c>
      <c r="B1280" t="s">
        <v>3362</v>
      </c>
    </row>
    <row r="1281" spans="1:14" hidden="1" x14ac:dyDescent="0.35">
      <c r="A1281" t="s">
        <v>3363</v>
      </c>
      <c r="B1281" t="s">
        <v>3364</v>
      </c>
    </row>
    <row r="1282" spans="1:14" hidden="1" x14ac:dyDescent="0.35">
      <c r="A1282" t="s">
        <v>3365</v>
      </c>
      <c r="B1282" t="s">
        <v>3366</v>
      </c>
    </row>
    <row r="1283" spans="1:14" hidden="1" x14ac:dyDescent="0.35">
      <c r="A1283" t="s">
        <v>3367</v>
      </c>
      <c r="B1283" t="s">
        <v>3368</v>
      </c>
    </row>
    <row r="1284" spans="1:14" hidden="1" x14ac:dyDescent="0.35">
      <c r="A1284" t="s">
        <v>3369</v>
      </c>
      <c r="B1284" t="s">
        <v>3370</v>
      </c>
    </row>
    <row r="1285" spans="1:14" x14ac:dyDescent="0.35">
      <c r="A1285" t="s">
        <v>3371</v>
      </c>
      <c r="B1285" t="s">
        <v>3372</v>
      </c>
      <c r="C1285" t="s">
        <v>2261</v>
      </c>
      <c r="D1285" t="s">
        <v>1721</v>
      </c>
      <c r="F1285" t="s">
        <v>2263</v>
      </c>
      <c r="G1285" t="s">
        <v>1725</v>
      </c>
      <c r="H1285" t="s">
        <v>1776</v>
      </c>
      <c r="I1285" t="s">
        <v>1729</v>
      </c>
      <c r="J1285" t="s">
        <v>1747</v>
      </c>
      <c r="K1285">
        <v>370</v>
      </c>
      <c r="L1285" t="s">
        <v>1720</v>
      </c>
      <c r="M1285" s="57">
        <v>44581</v>
      </c>
      <c r="N1285" t="s">
        <v>3480</v>
      </c>
    </row>
    <row r="1286" spans="1:14" x14ac:dyDescent="0.35">
      <c r="A1286" t="s">
        <v>3371</v>
      </c>
      <c r="B1286" t="s">
        <v>3372</v>
      </c>
      <c r="C1286" t="s">
        <v>2259</v>
      </c>
      <c r="D1286" t="s">
        <v>1721</v>
      </c>
      <c r="F1286" t="s">
        <v>1802</v>
      </c>
      <c r="G1286" t="s">
        <v>1802</v>
      </c>
      <c r="H1286" t="s">
        <v>1750</v>
      </c>
      <c r="I1286" t="s">
        <v>1773</v>
      </c>
      <c r="J1286" t="s">
        <v>1748</v>
      </c>
      <c r="K1286">
        <v>650</v>
      </c>
      <c r="L1286" t="s">
        <v>1720</v>
      </c>
      <c r="M1286" s="57">
        <v>44581</v>
      </c>
      <c r="N1286" t="s">
        <v>3480</v>
      </c>
    </row>
    <row r="1287" spans="1:14" x14ac:dyDescent="0.35">
      <c r="A1287" t="s">
        <v>3371</v>
      </c>
      <c r="B1287" t="s">
        <v>3372</v>
      </c>
      <c r="C1287" t="s">
        <v>2261</v>
      </c>
      <c r="D1287" t="s">
        <v>1721</v>
      </c>
      <c r="F1287" t="s">
        <v>1801</v>
      </c>
      <c r="G1287" t="s">
        <v>1735</v>
      </c>
      <c r="H1287" t="s">
        <v>1774</v>
      </c>
      <c r="I1287" t="s">
        <v>1734</v>
      </c>
      <c r="J1287" t="s">
        <v>1805</v>
      </c>
      <c r="K1287">
        <v>65</v>
      </c>
      <c r="L1287" t="s">
        <v>1720</v>
      </c>
      <c r="M1287" s="57">
        <v>44581</v>
      </c>
      <c r="N1287" t="s">
        <v>3480</v>
      </c>
    </row>
    <row r="1288" spans="1:14" hidden="1" x14ac:dyDescent="0.35">
      <c r="A1288" t="s">
        <v>3373</v>
      </c>
      <c r="B1288" t="s">
        <v>3374</v>
      </c>
    </row>
    <row r="1289" spans="1:14" x14ac:dyDescent="0.35">
      <c r="A1289" t="s">
        <v>3375</v>
      </c>
      <c r="B1289" t="s">
        <v>3376</v>
      </c>
      <c r="C1289" t="s">
        <v>2261</v>
      </c>
      <c r="D1289" t="s">
        <v>1721</v>
      </c>
      <c r="F1289" t="s">
        <v>2263</v>
      </c>
      <c r="G1289" t="s">
        <v>1725</v>
      </c>
      <c r="H1289" t="s">
        <v>1776</v>
      </c>
      <c r="I1289" t="s">
        <v>1729</v>
      </c>
      <c r="J1289" t="s">
        <v>1747</v>
      </c>
      <c r="K1289">
        <v>4.0000000000000001E-3</v>
      </c>
      <c r="L1289" t="s">
        <v>1720</v>
      </c>
      <c r="M1289" s="57">
        <v>44582</v>
      </c>
      <c r="N1289" t="s">
        <v>3480</v>
      </c>
    </row>
    <row r="1290" spans="1:14" x14ac:dyDescent="0.35">
      <c r="A1290" t="s">
        <v>3375</v>
      </c>
      <c r="B1290" t="s">
        <v>3376</v>
      </c>
      <c r="C1290" t="s">
        <v>2261</v>
      </c>
      <c r="D1290" t="s">
        <v>1724</v>
      </c>
      <c r="F1290" t="s">
        <v>1802</v>
      </c>
      <c r="G1290" t="s">
        <v>1757</v>
      </c>
      <c r="H1290" t="s">
        <v>1780</v>
      </c>
      <c r="I1290" t="s">
        <v>1755</v>
      </c>
      <c r="J1290" t="s">
        <v>1756</v>
      </c>
      <c r="K1290">
        <v>0.13</v>
      </c>
      <c r="L1290" t="s">
        <v>1720</v>
      </c>
      <c r="M1290" s="57">
        <v>44582</v>
      </c>
      <c r="N1290" t="s">
        <v>3480</v>
      </c>
    </row>
    <row r="1291" spans="1:14" x14ac:dyDescent="0.35">
      <c r="A1291" t="s">
        <v>3375</v>
      </c>
      <c r="B1291" t="s">
        <v>3376</v>
      </c>
      <c r="C1291" t="s">
        <v>2261</v>
      </c>
      <c r="D1291" t="s">
        <v>1721</v>
      </c>
      <c r="F1291" t="s">
        <v>1804</v>
      </c>
      <c r="G1291" t="s">
        <v>1741</v>
      </c>
      <c r="H1291" t="s">
        <v>1775</v>
      </c>
      <c r="I1291" t="s">
        <v>1742</v>
      </c>
      <c r="J1291" t="s">
        <v>1744</v>
      </c>
      <c r="K1291">
        <v>8.0000000000000002E-3</v>
      </c>
      <c r="L1291" t="s">
        <v>1720</v>
      </c>
      <c r="M1291" s="57">
        <v>44582</v>
      </c>
      <c r="N1291" t="s">
        <v>3480</v>
      </c>
    </row>
    <row r="1292" spans="1:14" x14ac:dyDescent="0.35">
      <c r="A1292" t="s">
        <v>3375</v>
      </c>
      <c r="B1292" t="s">
        <v>3376</v>
      </c>
      <c r="C1292" t="s">
        <v>2261</v>
      </c>
      <c r="D1292" t="s">
        <v>1721</v>
      </c>
      <c r="F1292" t="s">
        <v>1802</v>
      </c>
      <c r="G1292" t="s">
        <v>1760</v>
      </c>
      <c r="H1292" t="s">
        <v>1876</v>
      </c>
      <c r="I1292" t="s">
        <v>1758</v>
      </c>
      <c r="J1292" t="s">
        <v>3424</v>
      </c>
      <c r="K1292">
        <v>1.2999999999999999E-2</v>
      </c>
      <c r="L1292" t="s">
        <v>1720</v>
      </c>
      <c r="M1292" s="57">
        <v>44582</v>
      </c>
      <c r="N1292" t="s">
        <v>3480</v>
      </c>
    </row>
    <row r="1293" spans="1:14" x14ac:dyDescent="0.35">
      <c r="A1293" t="s">
        <v>3375</v>
      </c>
      <c r="B1293" t="s">
        <v>3376</v>
      </c>
      <c r="C1293" t="s">
        <v>2261</v>
      </c>
      <c r="D1293" t="s">
        <v>1724</v>
      </c>
      <c r="F1293" t="s">
        <v>1802</v>
      </c>
      <c r="G1293" t="s">
        <v>1760</v>
      </c>
      <c r="H1293" t="s">
        <v>1870</v>
      </c>
      <c r="I1293" t="s">
        <v>1758</v>
      </c>
      <c r="J1293" t="s">
        <v>3425</v>
      </c>
      <c r="K1293">
        <v>6.5000000000000002E-2</v>
      </c>
      <c r="L1293" t="s">
        <v>1720</v>
      </c>
      <c r="M1293" s="57">
        <v>44582</v>
      </c>
      <c r="N1293" t="s">
        <v>3480</v>
      </c>
    </row>
    <row r="1294" spans="1:14" x14ac:dyDescent="0.35">
      <c r="A1294" t="s">
        <v>3375</v>
      </c>
      <c r="B1294" t="s">
        <v>3376</v>
      </c>
      <c r="C1294" t="s">
        <v>2261</v>
      </c>
      <c r="D1294" t="s">
        <v>1724</v>
      </c>
      <c r="F1294" t="s">
        <v>2308</v>
      </c>
      <c r="G1294" t="s">
        <v>1762</v>
      </c>
      <c r="H1294" t="s">
        <v>1781</v>
      </c>
      <c r="I1294" t="s">
        <v>1819</v>
      </c>
      <c r="J1294" t="s">
        <v>1820</v>
      </c>
      <c r="K1294">
        <v>6.5000000000000002E-2</v>
      </c>
      <c r="L1294" t="s">
        <v>1720</v>
      </c>
      <c r="M1294" s="57">
        <v>44582</v>
      </c>
      <c r="N1294" t="s">
        <v>3480</v>
      </c>
    </row>
    <row r="1295" spans="1:14" x14ac:dyDescent="0.35">
      <c r="A1295" t="s">
        <v>3375</v>
      </c>
      <c r="B1295" t="s">
        <v>3376</v>
      </c>
      <c r="C1295" t="s">
        <v>2261</v>
      </c>
      <c r="D1295" t="s">
        <v>1721</v>
      </c>
      <c r="F1295" t="s">
        <v>2308</v>
      </c>
      <c r="G1295" t="s">
        <v>1728</v>
      </c>
      <c r="H1295" t="s">
        <v>1779</v>
      </c>
      <c r="I1295" t="s">
        <v>3426</v>
      </c>
      <c r="J1295" t="s">
        <v>3427</v>
      </c>
      <c r="K1295">
        <v>1.2999999999999999E-2</v>
      </c>
      <c r="L1295" t="s">
        <v>1720</v>
      </c>
      <c r="M1295" s="57">
        <v>44582</v>
      </c>
      <c r="N1295" t="s">
        <v>3480</v>
      </c>
    </row>
    <row r="1296" spans="1:14" hidden="1" x14ac:dyDescent="0.35">
      <c r="A1296" t="s">
        <v>3377</v>
      </c>
      <c r="B1296" t="s">
        <v>3339</v>
      </c>
    </row>
    <row r="1297" spans="1:2" hidden="1" x14ac:dyDescent="0.35">
      <c r="A1297" t="s">
        <v>3378</v>
      </c>
      <c r="B1297" t="s">
        <v>3341</v>
      </c>
    </row>
    <row r="1298" spans="1:2" hidden="1" x14ac:dyDescent="0.35">
      <c r="A1298" t="s">
        <v>3379</v>
      </c>
      <c r="B1298" t="s">
        <v>3380</v>
      </c>
    </row>
    <row r="1299" spans="1:2" hidden="1" x14ac:dyDescent="0.35">
      <c r="A1299" t="s">
        <v>3381</v>
      </c>
      <c r="B1299" t="s">
        <v>3382</v>
      </c>
    </row>
    <row r="1300" spans="1:2" hidden="1" x14ac:dyDescent="0.35">
      <c r="A1300" t="s">
        <v>3383</v>
      </c>
      <c r="B1300" t="s">
        <v>3384</v>
      </c>
    </row>
    <row r="1301" spans="1:2" hidden="1" x14ac:dyDescent="0.35">
      <c r="A1301" t="s">
        <v>3385</v>
      </c>
      <c r="B1301" t="s">
        <v>3386</v>
      </c>
    </row>
    <row r="1302" spans="1:2" hidden="1" x14ac:dyDescent="0.35">
      <c r="A1302" t="s">
        <v>3387</v>
      </c>
      <c r="B1302" t="s">
        <v>3388</v>
      </c>
    </row>
    <row r="1303" spans="1:2" hidden="1" x14ac:dyDescent="0.35">
      <c r="A1303" t="s">
        <v>3389</v>
      </c>
      <c r="B1303" t="s">
        <v>3390</v>
      </c>
    </row>
    <row r="1304" spans="1:2" hidden="1" x14ac:dyDescent="0.35">
      <c r="A1304" t="s">
        <v>3391</v>
      </c>
      <c r="B1304" t="s">
        <v>3392</v>
      </c>
    </row>
    <row r="1305" spans="1:2" hidden="1" x14ac:dyDescent="0.35">
      <c r="A1305" t="s">
        <v>3393</v>
      </c>
      <c r="B1305" t="s">
        <v>3348</v>
      </c>
    </row>
    <row r="1306" spans="1:2" hidden="1" x14ac:dyDescent="0.35">
      <c r="A1306" t="s">
        <v>3394</v>
      </c>
      <c r="B1306" t="s">
        <v>3395</v>
      </c>
    </row>
    <row r="1307" spans="1:2" hidden="1" x14ac:dyDescent="0.35">
      <c r="A1307" t="s">
        <v>3396</v>
      </c>
      <c r="B1307" t="s">
        <v>3397</v>
      </c>
    </row>
    <row r="1308" spans="1:2" hidden="1" x14ac:dyDescent="0.35">
      <c r="A1308" t="s">
        <v>3398</v>
      </c>
      <c r="B1308" t="s">
        <v>3352</v>
      </c>
    </row>
    <row r="1309" spans="1:2" hidden="1" x14ac:dyDescent="0.35">
      <c r="A1309" t="s">
        <v>3399</v>
      </c>
      <c r="B1309" t="s">
        <v>3400</v>
      </c>
    </row>
    <row r="1310" spans="1:2" hidden="1" x14ac:dyDescent="0.35">
      <c r="A1310" t="s">
        <v>3401</v>
      </c>
      <c r="B1310" t="s">
        <v>3402</v>
      </c>
    </row>
    <row r="1311" spans="1:2" hidden="1" x14ac:dyDescent="0.35">
      <c r="A1311" t="s">
        <v>3403</v>
      </c>
      <c r="B1311" t="s">
        <v>3404</v>
      </c>
    </row>
    <row r="1312" spans="1:2" hidden="1" x14ac:dyDescent="0.35">
      <c r="A1312" t="s">
        <v>3405</v>
      </c>
      <c r="B1312" t="s">
        <v>3406</v>
      </c>
    </row>
    <row r="1313" spans="1:14" x14ac:dyDescent="0.35">
      <c r="A1313" t="s">
        <v>3407</v>
      </c>
      <c r="B1313" t="s">
        <v>3415</v>
      </c>
      <c r="C1313" t="s">
        <v>2259</v>
      </c>
      <c r="D1313" t="s">
        <v>1721</v>
      </c>
      <c r="F1313" t="s">
        <v>1802</v>
      </c>
      <c r="G1313" t="s">
        <v>1726</v>
      </c>
      <c r="H1313" t="s">
        <v>1777</v>
      </c>
      <c r="I1313" t="s">
        <v>1739</v>
      </c>
      <c r="J1313" t="s">
        <v>1745</v>
      </c>
      <c r="K1313">
        <v>1.4999999999999999E-2</v>
      </c>
      <c r="L1313" t="s">
        <v>1720</v>
      </c>
      <c r="M1313" s="57">
        <v>44582</v>
      </c>
      <c r="N1313" t="s">
        <v>3480</v>
      </c>
    </row>
    <row r="1314" spans="1:14" x14ac:dyDescent="0.35">
      <c r="A1314" t="s">
        <v>3407</v>
      </c>
      <c r="B1314" t="s">
        <v>3415</v>
      </c>
      <c r="C1314" t="s">
        <v>2259</v>
      </c>
      <c r="D1314" t="s">
        <v>1724</v>
      </c>
      <c r="F1314" t="s">
        <v>1802</v>
      </c>
      <c r="G1314" t="s">
        <v>1726</v>
      </c>
      <c r="H1314" t="s">
        <v>1777</v>
      </c>
      <c r="I1314" t="s">
        <v>1739</v>
      </c>
      <c r="J1314" t="s">
        <v>1745</v>
      </c>
      <c r="K1314">
        <v>0.05</v>
      </c>
      <c r="L1314" t="s">
        <v>1720</v>
      </c>
      <c r="M1314" s="57">
        <v>44582</v>
      </c>
      <c r="N1314" t="s">
        <v>3480</v>
      </c>
    </row>
    <row r="1315" spans="1:14" x14ac:dyDescent="0.35">
      <c r="A1315" t="s">
        <v>3408</v>
      </c>
      <c r="B1315" t="s">
        <v>3416</v>
      </c>
      <c r="C1315" t="s">
        <v>2261</v>
      </c>
      <c r="D1315" t="s">
        <v>1721</v>
      </c>
      <c r="F1315" t="s">
        <v>2263</v>
      </c>
      <c r="G1315" t="s">
        <v>1725</v>
      </c>
      <c r="H1315" t="s">
        <v>1776</v>
      </c>
      <c r="I1315" t="s">
        <v>1729</v>
      </c>
      <c r="J1315" t="s">
        <v>1747</v>
      </c>
      <c r="K1315">
        <v>0.2</v>
      </c>
      <c r="L1315" t="s">
        <v>1720</v>
      </c>
      <c r="M1315" s="57">
        <v>44581</v>
      </c>
      <c r="N1315" t="s">
        <v>3480</v>
      </c>
    </row>
    <row r="1316" spans="1:14" x14ac:dyDescent="0.35">
      <c r="A1316" t="s">
        <v>3408</v>
      </c>
      <c r="B1316" t="s">
        <v>3416</v>
      </c>
      <c r="C1316" t="s">
        <v>2259</v>
      </c>
      <c r="D1316" t="s">
        <v>1721</v>
      </c>
      <c r="F1316" t="s">
        <v>1802</v>
      </c>
      <c r="G1316" t="s">
        <v>1726</v>
      </c>
      <c r="H1316" t="s">
        <v>1777</v>
      </c>
      <c r="I1316" t="s">
        <v>1739</v>
      </c>
      <c r="J1316" t="s">
        <v>1745</v>
      </c>
      <c r="K1316">
        <v>0.01</v>
      </c>
      <c r="L1316" t="s">
        <v>1720</v>
      </c>
      <c r="M1316" s="57">
        <v>44581</v>
      </c>
      <c r="N1316" t="s">
        <v>3480</v>
      </c>
    </row>
    <row r="1317" spans="1:14" hidden="1" x14ac:dyDescent="0.35">
      <c r="A1317" t="s">
        <v>3409</v>
      </c>
      <c r="L1317" t="s">
        <v>1720</v>
      </c>
    </row>
    <row r="1318" spans="1:14" hidden="1" x14ac:dyDescent="0.35">
      <c r="A1318" t="s">
        <v>3410</v>
      </c>
      <c r="L1318" t="s">
        <v>1720</v>
      </c>
    </row>
    <row r="1319" spans="1:14" hidden="1" x14ac:dyDescent="0.35">
      <c r="A1319" t="s">
        <v>3411</v>
      </c>
      <c r="L1319" t="s">
        <v>1720</v>
      </c>
    </row>
    <row r="1320" spans="1:14" x14ac:dyDescent="0.35">
      <c r="A1320" t="s">
        <v>3412</v>
      </c>
      <c r="B1320" t="s">
        <v>3417</v>
      </c>
      <c r="C1320" t="s">
        <v>2259</v>
      </c>
      <c r="D1320" t="s">
        <v>1721</v>
      </c>
      <c r="F1320" t="s">
        <v>1802</v>
      </c>
      <c r="G1320" t="s">
        <v>1726</v>
      </c>
      <c r="H1320" t="s">
        <v>1777</v>
      </c>
      <c r="I1320" t="s">
        <v>1739</v>
      </c>
      <c r="J1320" t="s">
        <v>1745</v>
      </c>
      <c r="K1320">
        <v>0.01</v>
      </c>
      <c r="L1320" t="s">
        <v>1720</v>
      </c>
      <c r="M1320" s="57">
        <v>44582</v>
      </c>
      <c r="N1320" t="s">
        <v>3480</v>
      </c>
    </row>
    <row r="1321" spans="1:14" x14ac:dyDescent="0.35">
      <c r="A1321" t="s">
        <v>3412</v>
      </c>
      <c r="B1321" t="s">
        <v>3417</v>
      </c>
      <c r="C1321" t="s">
        <v>2259</v>
      </c>
      <c r="D1321" t="s">
        <v>1724</v>
      </c>
      <c r="F1321" t="s">
        <v>1802</v>
      </c>
      <c r="G1321" t="s">
        <v>1726</v>
      </c>
      <c r="H1321" t="s">
        <v>1777</v>
      </c>
      <c r="I1321" t="s">
        <v>1739</v>
      </c>
      <c r="J1321" t="s">
        <v>1745</v>
      </c>
      <c r="K1321">
        <v>0.16</v>
      </c>
      <c r="L1321" t="s">
        <v>1720</v>
      </c>
      <c r="M1321" s="57">
        <v>44582</v>
      </c>
      <c r="N1321" t="s">
        <v>3480</v>
      </c>
    </row>
    <row r="1322" spans="1:14" x14ac:dyDescent="0.35">
      <c r="A1322" t="s">
        <v>3413</v>
      </c>
      <c r="B1322" t="s">
        <v>3418</v>
      </c>
      <c r="C1322" t="s">
        <v>2259</v>
      </c>
      <c r="D1322" t="s">
        <v>1721</v>
      </c>
      <c r="F1322" t="s">
        <v>1802</v>
      </c>
      <c r="G1322" t="s">
        <v>1726</v>
      </c>
      <c r="H1322" t="s">
        <v>1777</v>
      </c>
      <c r="I1322" t="s">
        <v>1739</v>
      </c>
      <c r="J1322" t="s">
        <v>1745</v>
      </c>
      <c r="K1322">
        <v>1</v>
      </c>
      <c r="L1322" t="s">
        <v>1720</v>
      </c>
      <c r="M1322" s="57">
        <v>44582</v>
      </c>
      <c r="N1322" t="s">
        <v>3480</v>
      </c>
    </row>
    <row r="1323" spans="1:14" x14ac:dyDescent="0.35">
      <c r="A1323" t="s">
        <v>3413</v>
      </c>
      <c r="B1323" t="s">
        <v>3418</v>
      </c>
      <c r="C1323" t="s">
        <v>2259</v>
      </c>
      <c r="D1323" t="s">
        <v>1724</v>
      </c>
      <c r="F1323" t="s">
        <v>1802</v>
      </c>
      <c r="G1323" t="s">
        <v>1726</v>
      </c>
      <c r="H1323" t="s">
        <v>1777</v>
      </c>
      <c r="I1323" t="s">
        <v>1739</v>
      </c>
      <c r="J1323" t="s">
        <v>1745</v>
      </c>
      <c r="K1323">
        <v>5</v>
      </c>
      <c r="L1323" t="s">
        <v>1720</v>
      </c>
      <c r="M1323" s="57">
        <v>44582</v>
      </c>
      <c r="N1323" t="s">
        <v>3480</v>
      </c>
    </row>
    <row r="1324" spans="1:14" x14ac:dyDescent="0.35">
      <c r="A1324" t="s">
        <v>3414</v>
      </c>
      <c r="B1324" t="s">
        <v>3419</v>
      </c>
      <c r="C1324" t="s">
        <v>2259</v>
      </c>
      <c r="D1324" t="s">
        <v>1721</v>
      </c>
      <c r="F1324" t="s">
        <v>1802</v>
      </c>
      <c r="G1324" t="s">
        <v>1750</v>
      </c>
      <c r="H1324" t="s">
        <v>1773</v>
      </c>
      <c r="I1324" t="s">
        <v>1748</v>
      </c>
      <c r="J1324" t="s">
        <v>1749</v>
      </c>
      <c r="K1324">
        <v>0.5</v>
      </c>
      <c r="L1324" t="s">
        <v>1720</v>
      </c>
      <c r="M1324" s="57">
        <v>44581</v>
      </c>
      <c r="N1324" t="s">
        <v>3480</v>
      </c>
    </row>
    <row r="1325" spans="1:14" x14ac:dyDescent="0.35">
      <c r="A1325" t="s">
        <v>3414</v>
      </c>
      <c r="B1325" t="s">
        <v>3419</v>
      </c>
      <c r="C1325" t="s">
        <v>2261</v>
      </c>
      <c r="D1325" t="s">
        <v>1721</v>
      </c>
      <c r="F1325" t="s">
        <v>1801</v>
      </c>
      <c r="G1325" t="s">
        <v>1735</v>
      </c>
      <c r="H1325" t="s">
        <v>1774</v>
      </c>
      <c r="I1325" t="s">
        <v>1734</v>
      </c>
      <c r="J1325" t="s">
        <v>1771</v>
      </c>
      <c r="K1325">
        <v>0.05</v>
      </c>
      <c r="L1325" t="s">
        <v>1720</v>
      </c>
      <c r="M1325" s="57">
        <v>44581</v>
      </c>
      <c r="N1325" t="s">
        <v>3480</v>
      </c>
    </row>
    <row r="1326" spans="1:14" x14ac:dyDescent="0.35">
      <c r="A1326" t="s">
        <v>3414</v>
      </c>
      <c r="B1326" t="s">
        <v>3419</v>
      </c>
      <c r="C1326" t="s">
        <v>2259</v>
      </c>
      <c r="D1326" t="s">
        <v>1724</v>
      </c>
      <c r="F1326" t="s">
        <v>1802</v>
      </c>
      <c r="G1326" t="s">
        <v>1726</v>
      </c>
      <c r="H1326" t="s">
        <v>1737</v>
      </c>
      <c r="I1326" t="s">
        <v>1730</v>
      </c>
      <c r="J1326" t="s">
        <v>1732</v>
      </c>
      <c r="K1326">
        <v>4.8</v>
      </c>
      <c r="L1326" t="s">
        <v>1720</v>
      </c>
      <c r="M1326" s="57">
        <v>44581</v>
      </c>
      <c r="N1326" t="s">
        <v>3481</v>
      </c>
    </row>
    <row r="1327" spans="1:14" x14ac:dyDescent="0.35">
      <c r="A1327" t="s">
        <v>470</v>
      </c>
      <c r="B1327" t="s">
        <v>1294</v>
      </c>
      <c r="C1327" t="s">
        <v>2261</v>
      </c>
      <c r="D1327" t="s">
        <v>1721</v>
      </c>
      <c r="H1327" t="s">
        <v>1773</v>
      </c>
      <c r="I1327" t="s">
        <v>1748</v>
      </c>
      <c r="J1327" t="s">
        <v>1749</v>
      </c>
      <c r="K1327">
        <v>20</v>
      </c>
      <c r="L1327" t="s">
        <v>1720</v>
      </c>
      <c r="M1327" s="57">
        <v>44581</v>
      </c>
      <c r="N1327" t="s">
        <v>3480</v>
      </c>
    </row>
    <row r="1328" spans="1:14" x14ac:dyDescent="0.35">
      <c r="A1328" t="s">
        <v>470</v>
      </c>
      <c r="B1328" t="s">
        <v>1294</v>
      </c>
      <c r="C1328" t="s">
        <v>2261</v>
      </c>
      <c r="D1328" t="s">
        <v>1721</v>
      </c>
      <c r="H1328" t="s">
        <v>1774</v>
      </c>
      <c r="I1328" t="s">
        <v>1734</v>
      </c>
      <c r="J1328" t="s">
        <v>1771</v>
      </c>
      <c r="K1328">
        <v>1.8</v>
      </c>
      <c r="L1328" t="s">
        <v>1720</v>
      </c>
      <c r="M1328" s="57">
        <v>44581</v>
      </c>
      <c r="N1328" t="s">
        <v>3480</v>
      </c>
    </row>
    <row r="1329" spans="1:14" x14ac:dyDescent="0.35">
      <c r="A1329" t="s">
        <v>470</v>
      </c>
      <c r="B1329" t="s">
        <v>1294</v>
      </c>
      <c r="C1329" t="s">
        <v>2261</v>
      </c>
      <c r="D1329" t="s">
        <v>1724</v>
      </c>
      <c r="H1329" t="s">
        <v>1796</v>
      </c>
      <c r="I1329" t="s">
        <v>4170</v>
      </c>
      <c r="J1329" t="s">
        <v>1753</v>
      </c>
      <c r="K1329">
        <v>2</v>
      </c>
      <c r="L1329" t="s">
        <v>1720</v>
      </c>
      <c r="M1329" s="57">
        <v>44581</v>
      </c>
      <c r="N1329" t="s">
        <v>3480</v>
      </c>
    </row>
    <row r="1330" spans="1:14" x14ac:dyDescent="0.35">
      <c r="A1330" t="s">
        <v>470</v>
      </c>
      <c r="B1330" t="s">
        <v>1294</v>
      </c>
      <c r="C1330" t="s">
        <v>2261</v>
      </c>
      <c r="D1330" t="s">
        <v>1721</v>
      </c>
      <c r="H1330" t="s">
        <v>1796</v>
      </c>
      <c r="I1330" t="s">
        <v>4170</v>
      </c>
      <c r="J1330" t="s">
        <v>1753</v>
      </c>
      <c r="K1330">
        <v>0.6</v>
      </c>
      <c r="L1330" t="s">
        <v>1720</v>
      </c>
      <c r="M1330" s="57">
        <v>44581</v>
      </c>
      <c r="N1330" t="s">
        <v>3480</v>
      </c>
    </row>
    <row r="1331" spans="1:14" x14ac:dyDescent="0.35">
      <c r="A1331" t="s">
        <v>470</v>
      </c>
      <c r="B1331" t="s">
        <v>1294</v>
      </c>
      <c r="C1331" t="s">
        <v>2259</v>
      </c>
      <c r="D1331" t="s">
        <v>1724</v>
      </c>
      <c r="H1331" t="s">
        <v>1780</v>
      </c>
      <c r="I1331" t="s">
        <v>1755</v>
      </c>
      <c r="J1331" t="s">
        <v>1756</v>
      </c>
      <c r="K1331">
        <v>645</v>
      </c>
      <c r="L1331" t="s">
        <v>1720</v>
      </c>
      <c r="M1331" s="57">
        <v>44581</v>
      </c>
      <c r="N1331" t="s">
        <v>3480</v>
      </c>
    </row>
    <row r="1332" spans="1:14" x14ac:dyDescent="0.35">
      <c r="A1332" t="s">
        <v>470</v>
      </c>
      <c r="B1332" t="s">
        <v>1294</v>
      </c>
      <c r="C1332" t="s">
        <v>2259</v>
      </c>
      <c r="D1332" t="s">
        <v>1724</v>
      </c>
      <c r="H1332" t="s">
        <v>1777</v>
      </c>
      <c r="I1332" t="s">
        <v>1739</v>
      </c>
      <c r="J1332" t="s">
        <v>1745</v>
      </c>
      <c r="K1332">
        <v>2</v>
      </c>
      <c r="L1332" t="s">
        <v>1720</v>
      </c>
      <c r="M1332" s="57">
        <v>44581</v>
      </c>
      <c r="N1332" t="s">
        <v>3480</v>
      </c>
    </row>
    <row r="1333" spans="1:14" x14ac:dyDescent="0.35">
      <c r="A1333" t="s">
        <v>470</v>
      </c>
      <c r="B1333" t="s">
        <v>1294</v>
      </c>
      <c r="C1333" t="s">
        <v>2259</v>
      </c>
      <c r="D1333" t="s">
        <v>1721</v>
      </c>
      <c r="H1333" t="s">
        <v>1777</v>
      </c>
      <c r="I1333" t="s">
        <v>1739</v>
      </c>
      <c r="J1333" t="s">
        <v>1745</v>
      </c>
      <c r="K1333">
        <v>0.6</v>
      </c>
      <c r="L1333" t="s">
        <v>1720</v>
      </c>
      <c r="M1333" s="57">
        <v>44581</v>
      </c>
      <c r="N1333" t="s">
        <v>3480</v>
      </c>
    </row>
    <row r="1334" spans="1:14" x14ac:dyDescent="0.35">
      <c r="A1334" t="s">
        <v>12</v>
      </c>
      <c r="B1334" t="s">
        <v>841</v>
      </c>
      <c r="C1334" t="s">
        <v>2261</v>
      </c>
      <c r="D1334" t="s">
        <v>1724</v>
      </c>
      <c r="H1334" t="s">
        <v>1781</v>
      </c>
      <c r="I1334" t="s">
        <v>2309</v>
      </c>
      <c r="J1334" t="s">
        <v>4172</v>
      </c>
      <c r="K1334">
        <v>0.22</v>
      </c>
      <c r="L1334" t="s">
        <v>1720</v>
      </c>
      <c r="M1334" s="57">
        <v>44581</v>
      </c>
      <c r="N1334" t="s">
        <v>3480</v>
      </c>
    </row>
    <row r="1335" spans="1:14" x14ac:dyDescent="0.35">
      <c r="A1335" t="s">
        <v>12</v>
      </c>
      <c r="B1335" t="s">
        <v>841</v>
      </c>
      <c r="C1335" t="s">
        <v>2259</v>
      </c>
      <c r="D1335" t="s">
        <v>1724</v>
      </c>
      <c r="H1335" t="s">
        <v>1844</v>
      </c>
      <c r="I1335" t="s">
        <v>1797</v>
      </c>
      <c r="J1335" t="s">
        <v>1836</v>
      </c>
      <c r="K1335">
        <v>0.11</v>
      </c>
      <c r="L1335" t="s">
        <v>1720</v>
      </c>
      <c r="M1335" s="57">
        <v>44581</v>
      </c>
      <c r="N1335" t="s">
        <v>3480</v>
      </c>
    </row>
    <row r="1336" spans="1:14" x14ac:dyDescent="0.35">
      <c r="A1336" t="s">
        <v>12</v>
      </c>
      <c r="B1336" t="s">
        <v>841</v>
      </c>
      <c r="C1336" t="s">
        <v>2261</v>
      </c>
      <c r="D1336" t="s">
        <v>1721</v>
      </c>
      <c r="H1336" t="s">
        <v>1876</v>
      </c>
      <c r="I1336" t="s">
        <v>1758</v>
      </c>
      <c r="J1336" t="s">
        <v>4173</v>
      </c>
      <c r="K1336">
        <v>5.6000000000000001E-2</v>
      </c>
      <c r="L1336" t="s">
        <v>1720</v>
      </c>
      <c r="M1336" s="57">
        <v>44581</v>
      </c>
      <c r="N1336" t="s">
        <v>3480</v>
      </c>
    </row>
    <row r="1337" spans="1:14" x14ac:dyDescent="0.35">
      <c r="A1337" t="s">
        <v>12</v>
      </c>
      <c r="B1337" t="s">
        <v>841</v>
      </c>
      <c r="C1337" t="s">
        <v>2261</v>
      </c>
      <c r="D1337" t="s">
        <v>1724</v>
      </c>
      <c r="H1337" t="s">
        <v>1870</v>
      </c>
      <c r="I1337" t="s">
        <v>1758</v>
      </c>
      <c r="J1337" t="s">
        <v>4174</v>
      </c>
      <c r="K1337">
        <v>0.22</v>
      </c>
      <c r="L1337" t="s">
        <v>1720</v>
      </c>
      <c r="M1337" s="57">
        <v>44581</v>
      </c>
      <c r="N1337" t="s">
        <v>3480</v>
      </c>
    </row>
    <row r="1338" spans="1:14" x14ac:dyDescent="0.35">
      <c r="A1338" t="s">
        <v>12</v>
      </c>
      <c r="B1338" t="s">
        <v>841</v>
      </c>
      <c r="C1338" t="s">
        <v>2259</v>
      </c>
      <c r="D1338" t="s">
        <v>1721</v>
      </c>
      <c r="H1338" t="s">
        <v>4171</v>
      </c>
      <c r="I1338" t="s">
        <v>1837</v>
      </c>
      <c r="J1338" t="s">
        <v>1838</v>
      </c>
      <c r="K1338">
        <v>5.0999999999999997E-2</v>
      </c>
      <c r="L1338" t="s">
        <v>1720</v>
      </c>
      <c r="M1338" s="57">
        <v>44581</v>
      </c>
      <c r="N1338" t="s">
        <v>3480</v>
      </c>
    </row>
    <row r="1339" spans="1:14" x14ac:dyDescent="0.35">
      <c r="A1339" t="s">
        <v>350</v>
      </c>
      <c r="B1339" t="s">
        <v>1174</v>
      </c>
      <c r="C1339" t="s">
        <v>2261</v>
      </c>
      <c r="D1339" t="s">
        <v>1724</v>
      </c>
      <c r="H1339" t="s">
        <v>1781</v>
      </c>
      <c r="I1339" t="s">
        <v>2309</v>
      </c>
      <c r="J1339" t="s">
        <v>1895</v>
      </c>
      <c r="K1339">
        <v>0.22</v>
      </c>
      <c r="L1339" t="s">
        <v>1720</v>
      </c>
      <c r="M1339" s="57">
        <v>44581</v>
      </c>
      <c r="N1339" t="s">
        <v>3480</v>
      </c>
    </row>
    <row r="1340" spans="1:14" x14ac:dyDescent="0.35">
      <c r="A1340" t="s">
        <v>350</v>
      </c>
      <c r="B1340" t="s">
        <v>1174</v>
      </c>
      <c r="C1340" t="s">
        <v>2261</v>
      </c>
      <c r="D1340" t="s">
        <v>1721</v>
      </c>
      <c r="H1340" t="s">
        <v>1779</v>
      </c>
      <c r="I1340" t="s">
        <v>2309</v>
      </c>
      <c r="J1340" t="s">
        <v>4175</v>
      </c>
      <c r="K1340">
        <v>5.6000000000000001E-2</v>
      </c>
      <c r="L1340" t="s">
        <v>1720</v>
      </c>
      <c r="M1340" s="57">
        <v>44581</v>
      </c>
      <c r="N1340" t="s">
        <v>3480</v>
      </c>
    </row>
    <row r="1341" spans="1:14" x14ac:dyDescent="0.35">
      <c r="A1341" t="s">
        <v>350</v>
      </c>
      <c r="B1341" t="s">
        <v>1174</v>
      </c>
      <c r="C1341" t="s">
        <v>2259</v>
      </c>
      <c r="D1341" t="s">
        <v>1724</v>
      </c>
      <c r="H1341" t="s">
        <v>1844</v>
      </c>
      <c r="I1341" t="s">
        <v>1797</v>
      </c>
      <c r="J1341" t="s">
        <v>1836</v>
      </c>
      <c r="K1341">
        <v>0.11</v>
      </c>
      <c r="L1341" t="s">
        <v>1720</v>
      </c>
      <c r="M1341" s="57">
        <v>44581</v>
      </c>
      <c r="N1341" t="s">
        <v>3480</v>
      </c>
    </row>
    <row r="1342" spans="1:14" x14ac:dyDescent="0.35">
      <c r="A1342" t="s">
        <v>350</v>
      </c>
      <c r="B1342" t="s">
        <v>1174</v>
      </c>
      <c r="C1342" t="s">
        <v>2261</v>
      </c>
      <c r="D1342" t="s">
        <v>1721</v>
      </c>
      <c r="H1342" t="s">
        <v>1876</v>
      </c>
      <c r="I1342" t="s">
        <v>1758</v>
      </c>
      <c r="J1342" t="s">
        <v>1874</v>
      </c>
      <c r="K1342">
        <v>5.6000000000000001E-2</v>
      </c>
      <c r="L1342" t="s">
        <v>1720</v>
      </c>
      <c r="M1342" s="57">
        <v>44581</v>
      </c>
      <c r="N1342" t="s">
        <v>3480</v>
      </c>
    </row>
    <row r="1343" spans="1:14" x14ac:dyDescent="0.35">
      <c r="A1343" t="s">
        <v>350</v>
      </c>
      <c r="B1343" t="s">
        <v>1174</v>
      </c>
      <c r="C1343" t="s">
        <v>2261</v>
      </c>
      <c r="D1343" t="s">
        <v>1724</v>
      </c>
      <c r="H1343" t="s">
        <v>1870</v>
      </c>
      <c r="I1343" t="s">
        <v>1758</v>
      </c>
      <c r="J1343" t="s">
        <v>1874</v>
      </c>
      <c r="K1343">
        <v>0.22</v>
      </c>
      <c r="L1343" t="s">
        <v>1720</v>
      </c>
      <c r="M1343" s="57">
        <v>44581</v>
      </c>
      <c r="N1343" t="s">
        <v>3480</v>
      </c>
    </row>
    <row r="1344" spans="1:14" x14ac:dyDescent="0.35">
      <c r="A1344" t="s">
        <v>350</v>
      </c>
      <c r="B1344" t="s">
        <v>1174</v>
      </c>
      <c r="C1344" t="s">
        <v>2259</v>
      </c>
      <c r="D1344" t="s">
        <v>1721</v>
      </c>
      <c r="H1344" t="s">
        <v>4171</v>
      </c>
      <c r="I1344" t="s">
        <v>1837</v>
      </c>
      <c r="J1344" t="s">
        <v>1838</v>
      </c>
      <c r="K1344">
        <v>5.0999999999999997E-2</v>
      </c>
      <c r="L1344" t="s">
        <v>1720</v>
      </c>
      <c r="M1344" s="57">
        <v>44581</v>
      </c>
      <c r="N1344" t="s">
        <v>3480</v>
      </c>
    </row>
    <row r="1345" spans="1:14" x14ac:dyDescent="0.35">
      <c r="A1345" t="s">
        <v>544</v>
      </c>
      <c r="B1345" t="s">
        <v>1368</v>
      </c>
      <c r="C1345" t="s">
        <v>2261</v>
      </c>
      <c r="D1345" t="s">
        <v>1721</v>
      </c>
      <c r="H1345" t="s">
        <v>1774</v>
      </c>
      <c r="I1345" t="s">
        <v>1734</v>
      </c>
      <c r="J1345" t="s">
        <v>1736</v>
      </c>
      <c r="K1345">
        <v>0.65</v>
      </c>
      <c r="L1345" t="s">
        <v>1720</v>
      </c>
      <c r="M1345" s="57">
        <v>44582</v>
      </c>
      <c r="N1345" t="s">
        <v>3480</v>
      </c>
    </row>
  </sheetData>
  <autoFilter ref="A1:N1345" xr:uid="{58CB0A2F-49FA-4649-B7FE-4EFFB1C7E268}">
    <filterColumn colId="10">
      <customFilters>
        <customFilter operator="notEqual" val=" "/>
      </customFilters>
    </filterColumn>
  </autoFilter>
  <phoneticPr fontId="8" type="noConversion"/>
  <pageMargins left="0.7" right="0.7" top="0.75" bottom="0.75" header="0.3" footer="0.3"/>
  <pageSetup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8DD59-85C9-4710-8374-FFA90A501C06}">
  <dimension ref="A1:G885"/>
  <sheetViews>
    <sheetView workbookViewId="0">
      <pane ySplit="1" topLeftCell="A65" activePane="bottomLeft" state="frozen"/>
      <selection pane="bottomLeft" activeCell="D7" sqref="D7"/>
    </sheetView>
  </sheetViews>
  <sheetFormatPr defaultRowHeight="14.5" x14ac:dyDescent="0.35"/>
  <cols>
    <col min="1" max="1" width="12.54296875" customWidth="1"/>
    <col min="2" max="2" width="38.90625" customWidth="1"/>
    <col min="3" max="6" width="27" customWidth="1"/>
    <col min="7" max="7" width="18.1796875" customWidth="1"/>
  </cols>
  <sheetData>
    <row r="1" spans="1:7" x14ac:dyDescent="0.35">
      <c r="A1" s="10" t="s">
        <v>828</v>
      </c>
      <c r="B1" s="10" t="s">
        <v>1650</v>
      </c>
      <c r="C1" s="10" t="s">
        <v>1673</v>
      </c>
      <c r="D1" s="10" t="s">
        <v>3479</v>
      </c>
      <c r="E1" s="10" t="s">
        <v>4063</v>
      </c>
      <c r="F1" s="10" t="s">
        <v>4065</v>
      </c>
      <c r="G1" s="10" t="s">
        <v>1669</v>
      </c>
    </row>
    <row r="2" spans="1:7" x14ac:dyDescent="0.35">
      <c r="A2" t="s">
        <v>305</v>
      </c>
      <c r="B2" s="7" t="s">
        <v>1130</v>
      </c>
    </row>
    <row r="3" spans="1:7" x14ac:dyDescent="0.35">
      <c r="A3" t="s">
        <v>266</v>
      </c>
      <c r="B3" s="7" t="s">
        <v>1092</v>
      </c>
    </row>
    <row r="4" spans="1:7" x14ac:dyDescent="0.35">
      <c r="A4" t="s">
        <v>179</v>
      </c>
      <c r="B4" s="7" t="s">
        <v>1008</v>
      </c>
    </row>
    <row r="5" spans="1:7" x14ac:dyDescent="0.35">
      <c r="A5" t="s">
        <v>264</v>
      </c>
      <c r="B5" s="7" t="s">
        <v>1090</v>
      </c>
    </row>
    <row r="6" spans="1:7" x14ac:dyDescent="0.35">
      <c r="A6" s="4" t="s">
        <v>779</v>
      </c>
      <c r="B6" s="7" t="s">
        <v>1602</v>
      </c>
    </row>
    <row r="7" spans="1:7" x14ac:dyDescent="0.35">
      <c r="A7" t="s">
        <v>539</v>
      </c>
      <c r="B7" s="7" t="s">
        <v>1363</v>
      </c>
    </row>
    <row r="8" spans="1:7" x14ac:dyDescent="0.35">
      <c r="A8" t="s">
        <v>517</v>
      </c>
      <c r="B8" s="7" t="s">
        <v>1341</v>
      </c>
    </row>
    <row r="9" spans="1:7" x14ac:dyDescent="0.35">
      <c r="A9" t="s">
        <v>462</v>
      </c>
      <c r="B9" s="7" t="s">
        <v>1286</v>
      </c>
    </row>
    <row r="10" spans="1:7" x14ac:dyDescent="0.35">
      <c r="A10" t="s">
        <v>258</v>
      </c>
      <c r="B10" s="7" t="s">
        <v>1084</v>
      </c>
    </row>
    <row r="11" spans="1:7" x14ac:dyDescent="0.35">
      <c r="A11" t="s">
        <v>253</v>
      </c>
      <c r="B11" s="7" t="s">
        <v>1079</v>
      </c>
    </row>
    <row r="12" spans="1:7" x14ac:dyDescent="0.35">
      <c r="A12" t="s">
        <v>708</v>
      </c>
      <c r="B12" s="7" t="s">
        <v>1532</v>
      </c>
    </row>
    <row r="13" spans="1:7" x14ac:dyDescent="0.35">
      <c r="A13" t="s">
        <v>729</v>
      </c>
      <c r="B13" s="7" t="s">
        <v>1553</v>
      </c>
    </row>
    <row r="14" spans="1:7" x14ac:dyDescent="0.35">
      <c r="A14" t="s">
        <v>718</v>
      </c>
      <c r="B14" s="7" t="s">
        <v>1542</v>
      </c>
    </row>
    <row r="15" spans="1:7" x14ac:dyDescent="0.35">
      <c r="A15" t="s">
        <v>715</v>
      </c>
      <c r="B15" s="7" t="s">
        <v>1539</v>
      </c>
    </row>
    <row r="16" spans="1:7" x14ac:dyDescent="0.35">
      <c r="A16" t="s">
        <v>824</v>
      </c>
      <c r="B16" s="7" t="s">
        <v>1646</v>
      </c>
    </row>
    <row r="17" spans="1:2" x14ac:dyDescent="0.35">
      <c r="A17" t="s">
        <v>15</v>
      </c>
      <c r="B17" s="7" t="s">
        <v>844</v>
      </c>
    </row>
    <row r="18" spans="1:2" x14ac:dyDescent="0.35">
      <c r="A18" t="s">
        <v>707</v>
      </c>
      <c r="B18" s="7" t="s">
        <v>1531</v>
      </c>
    </row>
    <row r="19" spans="1:2" x14ac:dyDescent="0.35">
      <c r="A19" s="6" t="s">
        <v>817</v>
      </c>
      <c r="B19" t="s">
        <v>1640</v>
      </c>
    </row>
    <row r="20" spans="1:2" x14ac:dyDescent="0.35">
      <c r="A20" t="s">
        <v>813</v>
      </c>
      <c r="B20" s="7" t="s">
        <v>1636</v>
      </c>
    </row>
    <row r="21" spans="1:2" x14ac:dyDescent="0.35">
      <c r="A21" t="s">
        <v>795</v>
      </c>
      <c r="B21" s="7" t="s">
        <v>1618</v>
      </c>
    </row>
    <row r="22" spans="1:2" x14ac:dyDescent="0.35">
      <c r="A22" t="s">
        <v>227</v>
      </c>
      <c r="B22" s="7" t="s">
        <v>1054</v>
      </c>
    </row>
    <row r="23" spans="1:2" x14ac:dyDescent="0.35">
      <c r="A23" t="s">
        <v>319</v>
      </c>
      <c r="B23" s="7" t="s">
        <v>1144</v>
      </c>
    </row>
    <row r="24" spans="1:2" x14ac:dyDescent="0.35">
      <c r="A24" t="s">
        <v>457</v>
      </c>
      <c r="B24" s="7" t="s">
        <v>1281</v>
      </c>
    </row>
    <row r="25" spans="1:2" x14ac:dyDescent="0.35">
      <c r="A25" t="s">
        <v>132</v>
      </c>
      <c r="B25" s="7" t="s">
        <v>961</v>
      </c>
    </row>
    <row r="26" spans="1:2" x14ac:dyDescent="0.35">
      <c r="A26" t="s">
        <v>310</v>
      </c>
      <c r="B26" s="7" t="s">
        <v>1135</v>
      </c>
    </row>
    <row r="27" spans="1:2" x14ac:dyDescent="0.35">
      <c r="A27" t="s">
        <v>723</v>
      </c>
      <c r="B27" s="7" t="s">
        <v>1547</v>
      </c>
    </row>
    <row r="28" spans="1:2" x14ac:dyDescent="0.35">
      <c r="A28" t="s">
        <v>800</v>
      </c>
      <c r="B28" s="7" t="s">
        <v>1623</v>
      </c>
    </row>
    <row r="29" spans="1:2" x14ac:dyDescent="0.35">
      <c r="A29" t="s">
        <v>822</v>
      </c>
      <c r="B29" s="7" t="s">
        <v>1644</v>
      </c>
    </row>
    <row r="30" spans="1:2" x14ac:dyDescent="0.35">
      <c r="A30" t="s">
        <v>633</v>
      </c>
      <c r="B30" s="7" t="s">
        <v>1457</v>
      </c>
    </row>
    <row r="31" spans="1:2" x14ac:dyDescent="0.35">
      <c r="A31" t="s">
        <v>428</v>
      </c>
      <c r="B31" s="7" t="s">
        <v>1252</v>
      </c>
    </row>
    <row r="32" spans="1:2" x14ac:dyDescent="0.35">
      <c r="A32" t="s">
        <v>186</v>
      </c>
      <c r="B32" s="7" t="s">
        <v>1014</v>
      </c>
    </row>
    <row r="33" spans="1:2" x14ac:dyDescent="0.35">
      <c r="A33" t="s">
        <v>807</v>
      </c>
      <c r="B33" s="7" t="s">
        <v>1630</v>
      </c>
    </row>
    <row r="34" spans="1:2" x14ac:dyDescent="0.35">
      <c r="A34" t="s">
        <v>279</v>
      </c>
      <c r="B34" s="7" t="s">
        <v>1105</v>
      </c>
    </row>
    <row r="35" spans="1:2" x14ac:dyDescent="0.35">
      <c r="A35" t="s">
        <v>753</v>
      </c>
      <c r="B35" s="7" t="s">
        <v>1577</v>
      </c>
    </row>
    <row r="36" spans="1:2" x14ac:dyDescent="0.35">
      <c r="A36" t="s">
        <v>610</v>
      </c>
      <c r="B36" s="7" t="s">
        <v>1434</v>
      </c>
    </row>
    <row r="37" spans="1:2" x14ac:dyDescent="0.35">
      <c r="A37" t="s">
        <v>3403</v>
      </c>
      <c r="B37" t="s">
        <v>3404</v>
      </c>
    </row>
    <row r="38" spans="1:2" x14ac:dyDescent="0.35">
      <c r="A38" t="s">
        <v>378</v>
      </c>
      <c r="B38" s="7" t="s">
        <v>1202</v>
      </c>
    </row>
    <row r="39" spans="1:2" x14ac:dyDescent="0.35">
      <c r="A39" t="s">
        <v>663</v>
      </c>
      <c r="B39" s="7" t="s">
        <v>1487</v>
      </c>
    </row>
    <row r="40" spans="1:2" x14ac:dyDescent="0.35">
      <c r="A40" t="s">
        <v>664</v>
      </c>
      <c r="B40" s="7" t="s">
        <v>1488</v>
      </c>
    </row>
    <row r="41" spans="1:2" x14ac:dyDescent="0.35">
      <c r="A41" t="s">
        <v>676</v>
      </c>
      <c r="B41" s="7" t="s">
        <v>1500</v>
      </c>
    </row>
    <row r="42" spans="1:2" x14ac:dyDescent="0.35">
      <c r="A42" t="s">
        <v>665</v>
      </c>
      <c r="B42" s="7" t="s">
        <v>1489</v>
      </c>
    </row>
    <row r="43" spans="1:2" x14ac:dyDescent="0.35">
      <c r="A43" t="s">
        <v>730</v>
      </c>
      <c r="B43" s="7" t="s">
        <v>1554</v>
      </c>
    </row>
    <row r="44" spans="1:2" x14ac:dyDescent="0.35">
      <c r="A44" t="s">
        <v>706</v>
      </c>
      <c r="B44" s="7" t="s">
        <v>1530</v>
      </c>
    </row>
    <row r="45" spans="1:2" x14ac:dyDescent="0.35">
      <c r="A45" t="s">
        <v>620</v>
      </c>
      <c r="B45" s="7" t="s">
        <v>1444</v>
      </c>
    </row>
    <row r="46" spans="1:2" x14ac:dyDescent="0.35">
      <c r="A46" t="s">
        <v>383</v>
      </c>
      <c r="B46" s="7" t="s">
        <v>1207</v>
      </c>
    </row>
    <row r="47" spans="1:2" x14ac:dyDescent="0.35">
      <c r="A47" t="s">
        <v>791</v>
      </c>
      <c r="B47" s="7" t="s">
        <v>1614</v>
      </c>
    </row>
    <row r="48" spans="1:2" x14ac:dyDescent="0.35">
      <c r="A48" t="s">
        <v>786</v>
      </c>
      <c r="B48" s="7" t="s">
        <v>1609</v>
      </c>
    </row>
    <row r="49" spans="1:7" x14ac:dyDescent="0.35">
      <c r="A49" t="s">
        <v>487</v>
      </c>
      <c r="B49" s="7" t="s">
        <v>1311</v>
      </c>
    </row>
    <row r="50" spans="1:7" x14ac:dyDescent="0.35">
      <c r="A50" t="s">
        <v>37</v>
      </c>
      <c r="B50" s="7" t="s">
        <v>866</v>
      </c>
    </row>
    <row r="51" spans="1:7" x14ac:dyDescent="0.35">
      <c r="A51" t="s">
        <v>789</v>
      </c>
      <c r="B51" s="7" t="s">
        <v>1612</v>
      </c>
    </row>
    <row r="52" spans="1:7" x14ac:dyDescent="0.35">
      <c r="A52" t="s">
        <v>640</v>
      </c>
      <c r="B52" s="7" t="s">
        <v>1464</v>
      </c>
    </row>
    <row r="53" spans="1:7" x14ac:dyDescent="0.35">
      <c r="A53" t="s">
        <v>717</v>
      </c>
      <c r="B53" s="7" t="s">
        <v>1541</v>
      </c>
    </row>
    <row r="54" spans="1:7" x14ac:dyDescent="0.35">
      <c r="A54" t="s">
        <v>447</v>
      </c>
      <c r="B54" s="7" t="s">
        <v>1271</v>
      </c>
      <c r="C54">
        <f>17*10^-3</f>
        <v>1.7000000000000001E-2</v>
      </c>
      <c r="D54" t="s">
        <v>4106</v>
      </c>
      <c r="E54" t="s">
        <v>4072</v>
      </c>
      <c r="F54" s="57">
        <v>44573</v>
      </c>
      <c r="G54" t="s">
        <v>1720</v>
      </c>
    </row>
    <row r="55" spans="1:7" x14ac:dyDescent="0.35">
      <c r="A55" t="s">
        <v>481</v>
      </c>
      <c r="B55" s="7" t="s">
        <v>1305</v>
      </c>
    </row>
    <row r="56" spans="1:7" x14ac:dyDescent="0.35">
      <c r="A56" t="s">
        <v>149</v>
      </c>
      <c r="B56" s="7" t="s">
        <v>978</v>
      </c>
      <c r="C56">
        <f>120*10^-3</f>
        <v>0.12</v>
      </c>
      <c r="D56" t="s">
        <v>4106</v>
      </c>
      <c r="E56" t="s">
        <v>4071</v>
      </c>
      <c r="F56" s="57">
        <v>44573</v>
      </c>
      <c r="G56" t="s">
        <v>1720</v>
      </c>
    </row>
    <row r="57" spans="1:7" x14ac:dyDescent="0.35">
      <c r="A57" t="s">
        <v>448</v>
      </c>
      <c r="B57" s="7" t="s">
        <v>1272</v>
      </c>
      <c r="C57">
        <f>120*10^-3</f>
        <v>0.12</v>
      </c>
      <c r="D57" t="s">
        <v>4106</v>
      </c>
      <c r="E57" t="s">
        <v>4071</v>
      </c>
      <c r="F57" s="57">
        <v>44573</v>
      </c>
      <c r="G57" t="s">
        <v>1720</v>
      </c>
    </row>
    <row r="58" spans="1:7" x14ac:dyDescent="0.35">
      <c r="A58" t="s">
        <v>193</v>
      </c>
      <c r="B58" s="7" t="s">
        <v>1021</v>
      </c>
      <c r="C58">
        <f>4/10^3</f>
        <v>4.0000000000000001E-3</v>
      </c>
      <c r="D58" t="s">
        <v>4106</v>
      </c>
      <c r="E58" t="s">
        <v>4069</v>
      </c>
      <c r="F58" s="57">
        <v>44573</v>
      </c>
      <c r="G58" t="s">
        <v>1720</v>
      </c>
    </row>
    <row r="59" spans="1:7" x14ac:dyDescent="0.35">
      <c r="A59" t="s">
        <v>711</v>
      </c>
      <c r="B59" s="7" t="s">
        <v>1535</v>
      </c>
      <c r="C59">
        <f>120*10^-3</f>
        <v>0.12</v>
      </c>
      <c r="D59" t="s">
        <v>4106</v>
      </c>
      <c r="E59" t="s">
        <v>4071</v>
      </c>
      <c r="F59" s="57">
        <v>44573</v>
      </c>
      <c r="G59" t="s">
        <v>1720</v>
      </c>
    </row>
    <row r="60" spans="1:7" x14ac:dyDescent="0.35">
      <c r="A60" t="s">
        <v>472</v>
      </c>
      <c r="B60" s="7" t="s">
        <v>1296</v>
      </c>
      <c r="C60">
        <f>0.2/10^3</f>
        <v>2.0000000000000001E-4</v>
      </c>
      <c r="D60" t="s">
        <v>4106</v>
      </c>
      <c r="E60" t="s">
        <v>4070</v>
      </c>
      <c r="F60" s="57">
        <v>44573</v>
      </c>
      <c r="G60" t="s">
        <v>1720</v>
      </c>
    </row>
    <row r="61" spans="1:7" x14ac:dyDescent="0.35">
      <c r="A61" t="s">
        <v>249</v>
      </c>
      <c r="B61" s="7" t="s">
        <v>1075</v>
      </c>
      <c r="C61">
        <f>24*10^-3</f>
        <v>2.4E-2</v>
      </c>
      <c r="D61" t="s">
        <v>4106</v>
      </c>
      <c r="E61" t="s">
        <v>4068</v>
      </c>
      <c r="F61" s="57">
        <v>44573</v>
      </c>
      <c r="G61" t="s">
        <v>1720</v>
      </c>
    </row>
    <row r="62" spans="1:7" x14ac:dyDescent="0.35">
      <c r="A62" t="s">
        <v>722</v>
      </c>
      <c r="B62" s="7" t="s">
        <v>1546</v>
      </c>
      <c r="C62">
        <f>24*10^-3</f>
        <v>2.4E-2</v>
      </c>
      <c r="D62" t="s">
        <v>4106</v>
      </c>
      <c r="E62" t="s">
        <v>4068</v>
      </c>
      <c r="F62" s="57">
        <v>44573</v>
      </c>
      <c r="G62" t="s">
        <v>1720</v>
      </c>
    </row>
    <row r="63" spans="1:7" x14ac:dyDescent="0.35">
      <c r="A63" t="s">
        <v>712</v>
      </c>
      <c r="B63" s="7" t="s">
        <v>1536</v>
      </c>
      <c r="C63">
        <f>46*10^-3</f>
        <v>4.5999999999999999E-2</v>
      </c>
      <c r="D63" t="s">
        <v>4106</v>
      </c>
      <c r="E63" t="s">
        <v>4067</v>
      </c>
      <c r="F63" s="57">
        <v>44573</v>
      </c>
      <c r="G63" t="s">
        <v>1720</v>
      </c>
    </row>
    <row r="64" spans="1:7" x14ac:dyDescent="0.35">
      <c r="A64" t="s">
        <v>704</v>
      </c>
      <c r="B64" s="7" t="s">
        <v>1528</v>
      </c>
    </row>
    <row r="65" spans="1:7" x14ac:dyDescent="0.35">
      <c r="A65" t="s">
        <v>473</v>
      </c>
      <c r="B65" s="7" t="s">
        <v>1297</v>
      </c>
      <c r="C65">
        <f t="shared" ref="C65:C66" si="0">24*10^-3</f>
        <v>2.4E-2</v>
      </c>
      <c r="D65" t="s">
        <v>4106</v>
      </c>
      <c r="E65" t="s">
        <v>4068</v>
      </c>
      <c r="F65" s="57">
        <v>44573</v>
      </c>
      <c r="G65" t="s">
        <v>1720</v>
      </c>
    </row>
    <row r="66" spans="1:7" x14ac:dyDescent="0.35">
      <c r="A66" t="s">
        <v>725</v>
      </c>
      <c r="B66" s="7" t="s">
        <v>1549</v>
      </c>
      <c r="C66">
        <f t="shared" si="0"/>
        <v>2.4E-2</v>
      </c>
      <c r="D66" t="s">
        <v>4106</v>
      </c>
      <c r="E66" t="s">
        <v>4068</v>
      </c>
      <c r="F66" s="57">
        <v>44573</v>
      </c>
      <c r="G66" t="s">
        <v>1720</v>
      </c>
    </row>
    <row r="67" spans="1:7" x14ac:dyDescent="0.35">
      <c r="A67" t="s">
        <v>719</v>
      </c>
      <c r="B67" s="7" t="s">
        <v>1543</v>
      </c>
      <c r="C67">
        <f>46*10^-3</f>
        <v>4.5999999999999999E-2</v>
      </c>
      <c r="D67" t="s">
        <v>4106</v>
      </c>
      <c r="E67" t="s">
        <v>4067</v>
      </c>
      <c r="F67" s="57">
        <v>44573</v>
      </c>
      <c r="G67" t="s">
        <v>1720</v>
      </c>
    </row>
    <row r="68" spans="1:7" x14ac:dyDescent="0.35">
      <c r="A68" t="s">
        <v>769</v>
      </c>
      <c r="B68" s="7" t="s">
        <v>1593</v>
      </c>
    </row>
    <row r="69" spans="1:7" x14ac:dyDescent="0.35">
      <c r="A69" t="s">
        <v>803</v>
      </c>
      <c r="B69" s="7" t="s">
        <v>1626</v>
      </c>
    </row>
    <row r="70" spans="1:7" x14ac:dyDescent="0.35">
      <c r="A70" t="s">
        <v>312</v>
      </c>
      <c r="B70" s="7" t="s">
        <v>1137</v>
      </c>
      <c r="C70">
        <f>46*10^-3</f>
        <v>4.5999999999999999E-2</v>
      </c>
      <c r="D70" t="s">
        <v>4106</v>
      </c>
      <c r="E70" t="s">
        <v>4067</v>
      </c>
      <c r="F70" s="57">
        <v>44573</v>
      </c>
      <c r="G70" t="s">
        <v>1720</v>
      </c>
    </row>
    <row r="71" spans="1:7" x14ac:dyDescent="0.35">
      <c r="A71" t="s">
        <v>774</v>
      </c>
      <c r="B71" s="7" t="s">
        <v>1598</v>
      </c>
    </row>
    <row r="72" spans="1:7" x14ac:dyDescent="0.35">
      <c r="A72" t="s">
        <v>810</v>
      </c>
      <c r="B72" s="7" t="s">
        <v>1633</v>
      </c>
    </row>
    <row r="73" spans="1:7" x14ac:dyDescent="0.35">
      <c r="A73" t="s">
        <v>81</v>
      </c>
      <c r="B73" s="7" t="s">
        <v>910</v>
      </c>
    </row>
    <row r="74" spans="1:7" x14ac:dyDescent="0.35">
      <c r="A74" s="6" t="s">
        <v>812</v>
      </c>
      <c r="B74" s="7" t="s">
        <v>1635</v>
      </c>
    </row>
    <row r="75" spans="1:7" x14ac:dyDescent="0.35">
      <c r="A75" t="s">
        <v>713</v>
      </c>
      <c r="B75" s="7" t="s">
        <v>1537</v>
      </c>
    </row>
    <row r="76" spans="1:7" x14ac:dyDescent="0.35">
      <c r="A76" t="s">
        <v>724</v>
      </c>
      <c r="B76" s="7" t="s">
        <v>1548</v>
      </c>
    </row>
    <row r="77" spans="1:7" x14ac:dyDescent="0.35">
      <c r="A77" t="s">
        <v>19</v>
      </c>
      <c r="B77" s="7" t="s">
        <v>848</v>
      </c>
    </row>
    <row r="78" spans="1:7" x14ac:dyDescent="0.35">
      <c r="A78" t="s">
        <v>809</v>
      </c>
      <c r="B78" s="7" t="s">
        <v>1632</v>
      </c>
    </row>
    <row r="79" spans="1:7" x14ac:dyDescent="0.35">
      <c r="A79" t="s">
        <v>216</v>
      </c>
      <c r="B79" s="7" t="s">
        <v>1043</v>
      </c>
    </row>
    <row r="80" spans="1:7" x14ac:dyDescent="0.35">
      <c r="A80" t="s">
        <v>814</v>
      </c>
      <c r="B80" s="7" t="s">
        <v>1637</v>
      </c>
    </row>
    <row r="81" spans="1:2" x14ac:dyDescent="0.35">
      <c r="A81" t="s">
        <v>185</v>
      </c>
      <c r="B81" s="7" t="s">
        <v>1013</v>
      </c>
    </row>
    <row r="82" spans="1:2" x14ac:dyDescent="0.35">
      <c r="A82" t="s">
        <v>772</v>
      </c>
      <c r="B82" s="7" t="s">
        <v>1596</v>
      </c>
    </row>
    <row r="83" spans="1:2" x14ac:dyDescent="0.35">
      <c r="A83" t="s">
        <v>455</v>
      </c>
      <c r="B83" s="7" t="s">
        <v>1279</v>
      </c>
    </row>
    <row r="84" spans="1:2" x14ac:dyDescent="0.35">
      <c r="A84" t="s">
        <v>420</v>
      </c>
      <c r="B84" s="7" t="s">
        <v>1244</v>
      </c>
    </row>
    <row r="85" spans="1:2" x14ac:dyDescent="0.35">
      <c r="A85" t="s">
        <v>28</v>
      </c>
      <c r="B85" s="7" t="s">
        <v>857</v>
      </c>
    </row>
    <row r="86" spans="1:2" x14ac:dyDescent="0.35">
      <c r="A86" t="s">
        <v>366</v>
      </c>
      <c r="B86" s="7" t="s">
        <v>1190</v>
      </c>
    </row>
    <row r="87" spans="1:2" x14ac:dyDescent="0.35">
      <c r="A87" t="s">
        <v>147</v>
      </c>
      <c r="B87" s="7" t="s">
        <v>976</v>
      </c>
    </row>
    <row r="88" spans="1:2" x14ac:dyDescent="0.35">
      <c r="A88" t="s">
        <v>740</v>
      </c>
      <c r="B88" s="7" t="s">
        <v>1564</v>
      </c>
    </row>
    <row r="89" spans="1:2" x14ac:dyDescent="0.35">
      <c r="A89" t="s">
        <v>438</v>
      </c>
      <c r="B89" s="7" t="s">
        <v>1262</v>
      </c>
    </row>
    <row r="90" spans="1:2" x14ac:dyDescent="0.35">
      <c r="A90" t="s">
        <v>678</v>
      </c>
      <c r="B90" s="7" t="s">
        <v>1502</v>
      </c>
    </row>
    <row r="91" spans="1:2" x14ac:dyDescent="0.35">
      <c r="A91" t="s">
        <v>389</v>
      </c>
      <c r="B91" s="7" t="s">
        <v>1213</v>
      </c>
    </row>
    <row r="92" spans="1:2" x14ac:dyDescent="0.35">
      <c r="A92" t="s">
        <v>394</v>
      </c>
      <c r="B92" s="7" t="s">
        <v>1218</v>
      </c>
    </row>
    <row r="93" spans="1:2" x14ac:dyDescent="0.35">
      <c r="A93" s="6" t="s">
        <v>792</v>
      </c>
      <c r="B93" s="7" t="s">
        <v>1615</v>
      </c>
    </row>
    <row r="94" spans="1:2" x14ac:dyDescent="0.35">
      <c r="A94" s="5" t="s">
        <v>782</v>
      </c>
      <c r="B94" s="7" t="s">
        <v>1605</v>
      </c>
    </row>
    <row r="95" spans="1:2" x14ac:dyDescent="0.35">
      <c r="A95" t="s">
        <v>33</v>
      </c>
      <c r="B95" s="7" t="s">
        <v>862</v>
      </c>
    </row>
    <row r="96" spans="1:2" x14ac:dyDescent="0.35">
      <c r="A96" t="s">
        <v>406</v>
      </c>
      <c r="B96" s="7" t="s">
        <v>1230</v>
      </c>
    </row>
    <row r="97" spans="1:2" x14ac:dyDescent="0.35">
      <c r="A97" t="s">
        <v>529</v>
      </c>
      <c r="B97" s="7" t="s">
        <v>1353</v>
      </c>
    </row>
    <row r="98" spans="1:2" x14ac:dyDescent="0.35">
      <c r="A98" t="s">
        <v>657</v>
      </c>
      <c r="B98" s="7" t="s">
        <v>1481</v>
      </c>
    </row>
    <row r="99" spans="1:2" x14ac:dyDescent="0.35">
      <c r="A99" t="s">
        <v>595</v>
      </c>
      <c r="B99" s="7" t="s">
        <v>1419</v>
      </c>
    </row>
    <row r="100" spans="1:2" x14ac:dyDescent="0.35">
      <c r="A100" t="s">
        <v>705</v>
      </c>
      <c r="B100" s="7" t="s">
        <v>1529</v>
      </c>
    </row>
    <row r="101" spans="1:2" x14ac:dyDescent="0.35">
      <c r="A101" t="s">
        <v>649</v>
      </c>
      <c r="B101" s="7" t="s">
        <v>1473</v>
      </c>
    </row>
    <row r="102" spans="1:2" x14ac:dyDescent="0.35">
      <c r="A102" t="s">
        <v>418</v>
      </c>
      <c r="B102" s="7" t="s">
        <v>1242</v>
      </c>
    </row>
    <row r="103" spans="1:2" x14ac:dyDescent="0.35">
      <c r="A103" t="s">
        <v>230</v>
      </c>
      <c r="B103" s="7" t="s">
        <v>1057</v>
      </c>
    </row>
    <row r="104" spans="1:2" x14ac:dyDescent="0.35">
      <c r="A104" t="s">
        <v>508</v>
      </c>
      <c r="B104" s="7" t="s">
        <v>1332</v>
      </c>
    </row>
    <row r="105" spans="1:2" x14ac:dyDescent="0.35">
      <c r="A105" t="s">
        <v>168</v>
      </c>
      <c r="B105" s="7" t="s">
        <v>997</v>
      </c>
    </row>
    <row r="106" spans="1:2" x14ac:dyDescent="0.35">
      <c r="A106" t="s">
        <v>365</v>
      </c>
      <c r="B106" s="7" t="s">
        <v>1189</v>
      </c>
    </row>
    <row r="107" spans="1:2" x14ac:dyDescent="0.35">
      <c r="A107" t="s">
        <v>494</v>
      </c>
      <c r="B107" s="7" t="s">
        <v>1318</v>
      </c>
    </row>
    <row r="108" spans="1:2" x14ac:dyDescent="0.35">
      <c r="A108" t="s">
        <v>781</v>
      </c>
      <c r="B108" s="7" t="s">
        <v>1604</v>
      </c>
    </row>
    <row r="109" spans="1:2" x14ac:dyDescent="0.35">
      <c r="A109" t="s">
        <v>74</v>
      </c>
      <c r="B109" s="7" t="s">
        <v>903</v>
      </c>
    </row>
    <row r="110" spans="1:2" x14ac:dyDescent="0.35">
      <c r="A110" t="s">
        <v>323</v>
      </c>
      <c r="B110" s="7" t="s">
        <v>1148</v>
      </c>
    </row>
    <row r="111" spans="1:2" x14ac:dyDescent="0.35">
      <c r="A111" t="s">
        <v>537</v>
      </c>
      <c r="B111" s="7" t="s">
        <v>1361</v>
      </c>
    </row>
    <row r="112" spans="1:2" x14ac:dyDescent="0.35">
      <c r="A112" t="s">
        <v>710</v>
      </c>
      <c r="B112" s="7" t="s">
        <v>1534</v>
      </c>
    </row>
    <row r="113" spans="1:2" x14ac:dyDescent="0.35">
      <c r="A113" t="s">
        <v>441</v>
      </c>
      <c r="B113" s="7" t="s">
        <v>1265</v>
      </c>
    </row>
    <row r="114" spans="1:2" x14ac:dyDescent="0.35">
      <c r="A114" t="s">
        <v>799</v>
      </c>
      <c r="B114" s="7" t="s">
        <v>1622</v>
      </c>
    </row>
    <row r="115" spans="1:2" x14ac:dyDescent="0.35">
      <c r="A115" t="s">
        <v>662</v>
      </c>
      <c r="B115" s="7" t="s">
        <v>1486</v>
      </c>
    </row>
    <row r="116" spans="1:2" x14ac:dyDescent="0.35">
      <c r="A116" t="s">
        <v>285</v>
      </c>
      <c r="B116" s="7" t="s">
        <v>1110</v>
      </c>
    </row>
    <row r="117" spans="1:2" x14ac:dyDescent="0.35">
      <c r="A117" t="s">
        <v>46</v>
      </c>
      <c r="B117" s="7" t="s">
        <v>875</v>
      </c>
    </row>
    <row r="118" spans="1:2" x14ac:dyDescent="0.35">
      <c r="A118" t="s">
        <v>650</v>
      </c>
      <c r="B118" s="7" t="s">
        <v>1474</v>
      </c>
    </row>
    <row r="119" spans="1:2" x14ac:dyDescent="0.35">
      <c r="A119" t="s">
        <v>3335</v>
      </c>
      <c r="B119" t="s">
        <v>3336</v>
      </c>
    </row>
    <row r="120" spans="1:2" x14ac:dyDescent="0.35">
      <c r="A120" t="s">
        <v>27</v>
      </c>
      <c r="B120" s="7" t="s">
        <v>856</v>
      </c>
    </row>
    <row r="121" spans="1:2" x14ac:dyDescent="0.35">
      <c r="A121" t="s">
        <v>199</v>
      </c>
      <c r="B121" s="7" t="s">
        <v>1027</v>
      </c>
    </row>
    <row r="122" spans="1:2" x14ac:dyDescent="0.35">
      <c r="A122" t="s">
        <v>679</v>
      </c>
      <c r="B122" s="7" t="s">
        <v>1503</v>
      </c>
    </row>
    <row r="123" spans="1:2" x14ac:dyDescent="0.35">
      <c r="A123" t="s">
        <v>680</v>
      </c>
      <c r="B123" s="7" t="s">
        <v>1504</v>
      </c>
    </row>
    <row r="124" spans="1:2" x14ac:dyDescent="0.35">
      <c r="A124" t="s">
        <v>681</v>
      </c>
      <c r="B124" s="7" t="s">
        <v>1505</v>
      </c>
    </row>
    <row r="125" spans="1:2" x14ac:dyDescent="0.35">
      <c r="A125" t="s">
        <v>387</v>
      </c>
      <c r="B125" s="7" t="s">
        <v>1211</v>
      </c>
    </row>
    <row r="126" spans="1:2" x14ac:dyDescent="0.35">
      <c r="A126" t="s">
        <v>3387</v>
      </c>
      <c r="B126" t="s">
        <v>3388</v>
      </c>
    </row>
    <row r="127" spans="1:2" x14ac:dyDescent="0.35">
      <c r="A127" t="s">
        <v>371</v>
      </c>
      <c r="B127" s="7" t="s">
        <v>1195</v>
      </c>
    </row>
    <row r="128" spans="1:2" x14ac:dyDescent="0.35">
      <c r="A128" s="6" t="s">
        <v>788</v>
      </c>
      <c r="B128" t="s">
        <v>1611</v>
      </c>
    </row>
    <row r="129" spans="1:2" x14ac:dyDescent="0.35">
      <c r="A129" t="s">
        <v>3326</v>
      </c>
      <c r="B129" t="s">
        <v>3327</v>
      </c>
    </row>
    <row r="130" spans="1:2" x14ac:dyDescent="0.35">
      <c r="A130" t="s">
        <v>3405</v>
      </c>
      <c r="B130" t="s">
        <v>3406</v>
      </c>
    </row>
    <row r="131" spans="1:2" x14ac:dyDescent="0.35">
      <c r="A131" t="s">
        <v>482</v>
      </c>
      <c r="B131" s="7" t="s">
        <v>1306</v>
      </c>
    </row>
    <row r="132" spans="1:2" x14ac:dyDescent="0.35">
      <c r="A132" t="s">
        <v>172</v>
      </c>
      <c r="B132" s="7" t="s">
        <v>1001</v>
      </c>
    </row>
    <row r="133" spans="1:2" x14ac:dyDescent="0.35">
      <c r="A133" t="s">
        <v>226</v>
      </c>
      <c r="B133" s="7" t="s">
        <v>1053</v>
      </c>
    </row>
    <row r="134" spans="1:2" x14ac:dyDescent="0.35">
      <c r="A134" t="s">
        <v>498</v>
      </c>
      <c r="B134" s="7" t="s">
        <v>1322</v>
      </c>
    </row>
    <row r="135" spans="1:2" x14ac:dyDescent="0.35">
      <c r="A135" t="s">
        <v>667</v>
      </c>
      <c r="B135" s="7" t="s">
        <v>1491</v>
      </c>
    </row>
    <row r="136" spans="1:2" x14ac:dyDescent="0.35">
      <c r="A136" t="s">
        <v>445</v>
      </c>
      <c r="B136" s="7" t="s">
        <v>1269</v>
      </c>
    </row>
    <row r="137" spans="1:2" x14ac:dyDescent="0.35">
      <c r="A137" t="s">
        <v>41</v>
      </c>
      <c r="B137" s="7" t="s">
        <v>870</v>
      </c>
    </row>
    <row r="138" spans="1:2" x14ac:dyDescent="0.35">
      <c r="A138" t="s">
        <v>281</v>
      </c>
      <c r="B138" s="7" t="s">
        <v>1107</v>
      </c>
    </row>
    <row r="139" spans="1:2" x14ac:dyDescent="0.35">
      <c r="A139" t="s">
        <v>273</v>
      </c>
      <c r="B139" s="7" t="s">
        <v>1099</v>
      </c>
    </row>
    <row r="140" spans="1:2" x14ac:dyDescent="0.35">
      <c r="A140" t="s">
        <v>256</v>
      </c>
      <c r="B140" s="7" t="s">
        <v>1082</v>
      </c>
    </row>
    <row r="141" spans="1:2" x14ac:dyDescent="0.35">
      <c r="A141" t="s">
        <v>549</v>
      </c>
      <c r="B141" s="7" t="s">
        <v>1373</v>
      </c>
    </row>
    <row r="142" spans="1:2" x14ac:dyDescent="0.35">
      <c r="A142" t="s">
        <v>783</v>
      </c>
      <c r="B142" s="7" t="s">
        <v>1606</v>
      </c>
    </row>
    <row r="143" spans="1:2" x14ac:dyDescent="0.35">
      <c r="A143" t="s">
        <v>342</v>
      </c>
      <c r="B143" s="7" t="s">
        <v>1166</v>
      </c>
    </row>
    <row r="144" spans="1:2" x14ac:dyDescent="0.35">
      <c r="A144" t="s">
        <v>796</v>
      </c>
      <c r="B144" s="7" t="s">
        <v>1619</v>
      </c>
    </row>
    <row r="145" spans="1:2" x14ac:dyDescent="0.35">
      <c r="A145" t="s">
        <v>798</v>
      </c>
      <c r="B145" s="7" t="s">
        <v>1621</v>
      </c>
    </row>
    <row r="146" spans="1:2" x14ac:dyDescent="0.35">
      <c r="A146" t="s">
        <v>811</v>
      </c>
      <c r="B146" s="7" t="s">
        <v>1634</v>
      </c>
    </row>
    <row r="147" spans="1:2" x14ac:dyDescent="0.35">
      <c r="A147" t="s">
        <v>805</v>
      </c>
      <c r="B147" s="7" t="s">
        <v>1628</v>
      </c>
    </row>
    <row r="148" spans="1:2" x14ac:dyDescent="0.35">
      <c r="A148" t="s">
        <v>443</v>
      </c>
      <c r="B148" s="7" t="s">
        <v>1267</v>
      </c>
    </row>
    <row r="149" spans="1:2" x14ac:dyDescent="0.35">
      <c r="A149" t="s">
        <v>784</v>
      </c>
      <c r="B149" s="7" t="s">
        <v>1607</v>
      </c>
    </row>
    <row r="150" spans="1:2" x14ac:dyDescent="0.35">
      <c r="A150" t="s">
        <v>815</v>
      </c>
      <c r="B150" t="s">
        <v>1638</v>
      </c>
    </row>
    <row r="151" spans="1:2" x14ac:dyDescent="0.35">
      <c r="A151" t="s">
        <v>806</v>
      </c>
      <c r="B151" s="7" t="s">
        <v>1629</v>
      </c>
    </row>
    <row r="152" spans="1:2" x14ac:dyDescent="0.35">
      <c r="A152" t="s">
        <v>802</v>
      </c>
      <c r="B152" s="7" t="s">
        <v>1625</v>
      </c>
    </row>
    <row r="153" spans="1:2" x14ac:dyDescent="0.35">
      <c r="A153" t="s">
        <v>526</v>
      </c>
      <c r="B153" s="7" t="s">
        <v>1350</v>
      </c>
    </row>
    <row r="154" spans="1:2" x14ac:dyDescent="0.35">
      <c r="A154" t="s">
        <v>101</v>
      </c>
      <c r="B154" s="7" t="s">
        <v>930</v>
      </c>
    </row>
    <row r="155" spans="1:2" x14ac:dyDescent="0.35">
      <c r="A155" t="s">
        <v>552</v>
      </c>
      <c r="B155" s="7" t="s">
        <v>1376</v>
      </c>
    </row>
    <row r="156" spans="1:2" x14ac:dyDescent="0.35">
      <c r="A156" t="s">
        <v>39</v>
      </c>
      <c r="B156" s="7" t="s">
        <v>868</v>
      </c>
    </row>
    <row r="157" spans="1:2" x14ac:dyDescent="0.35">
      <c r="A157" t="s">
        <v>75</v>
      </c>
      <c r="B157" s="7" t="s">
        <v>904</v>
      </c>
    </row>
    <row r="158" spans="1:2" x14ac:dyDescent="0.35">
      <c r="A158" t="s">
        <v>446</v>
      </c>
      <c r="B158" s="7" t="s">
        <v>1270</v>
      </c>
    </row>
    <row r="159" spans="1:2" x14ac:dyDescent="0.35">
      <c r="A159" t="s">
        <v>363</v>
      </c>
      <c r="B159" s="7" t="s">
        <v>1187</v>
      </c>
    </row>
    <row r="160" spans="1:2" x14ac:dyDescent="0.35">
      <c r="A160" t="s">
        <v>345</v>
      </c>
      <c r="B160" s="7" t="s">
        <v>1169</v>
      </c>
    </row>
    <row r="161" spans="1:2" x14ac:dyDescent="0.35">
      <c r="A161" t="s">
        <v>353</v>
      </c>
      <c r="B161" s="7" t="s">
        <v>1177</v>
      </c>
    </row>
    <row r="162" spans="1:2" x14ac:dyDescent="0.35">
      <c r="A162" t="s">
        <v>198</v>
      </c>
      <c r="B162" s="7" t="s">
        <v>1026</v>
      </c>
    </row>
    <row r="163" spans="1:2" x14ac:dyDescent="0.35">
      <c r="A163" t="s">
        <v>641</v>
      </c>
      <c r="B163" s="7" t="s">
        <v>1465</v>
      </c>
    </row>
    <row r="164" spans="1:2" x14ac:dyDescent="0.35">
      <c r="A164" t="s">
        <v>3365</v>
      </c>
      <c r="B164" t="s">
        <v>3366</v>
      </c>
    </row>
    <row r="165" spans="1:2" x14ac:dyDescent="0.35">
      <c r="A165" t="s">
        <v>204</v>
      </c>
      <c r="B165" s="7" t="s">
        <v>1031</v>
      </c>
    </row>
    <row r="166" spans="1:2" x14ac:dyDescent="0.35">
      <c r="A166" t="s">
        <v>339</v>
      </c>
      <c r="B166" s="7" t="s">
        <v>1163</v>
      </c>
    </row>
    <row r="167" spans="1:2" x14ac:dyDescent="0.35">
      <c r="A167" t="s">
        <v>475</v>
      </c>
      <c r="B167" s="7" t="s">
        <v>1299</v>
      </c>
    </row>
    <row r="168" spans="1:2" x14ac:dyDescent="0.35">
      <c r="A168" t="s">
        <v>464</v>
      </c>
      <c r="B168" s="7" t="s">
        <v>1288</v>
      </c>
    </row>
    <row r="169" spans="1:2" x14ac:dyDescent="0.35">
      <c r="A169" t="s">
        <v>182</v>
      </c>
      <c r="B169" s="7" t="s">
        <v>1011</v>
      </c>
    </row>
    <row r="170" spans="1:2" x14ac:dyDescent="0.35">
      <c r="A170" t="s">
        <v>6</v>
      </c>
      <c r="B170" s="7" t="s">
        <v>835</v>
      </c>
    </row>
    <row r="171" spans="1:2" x14ac:dyDescent="0.35">
      <c r="A171" t="s">
        <v>1</v>
      </c>
      <c r="B171" s="7" t="s">
        <v>830</v>
      </c>
    </row>
    <row r="172" spans="1:2" x14ac:dyDescent="0.35">
      <c r="A172" t="s">
        <v>205</v>
      </c>
      <c r="B172" s="7" t="s">
        <v>1032</v>
      </c>
    </row>
    <row r="173" spans="1:2" x14ac:dyDescent="0.35">
      <c r="A173" t="s">
        <v>505</v>
      </c>
      <c r="B173" s="7" t="s">
        <v>1329</v>
      </c>
    </row>
    <row r="174" spans="1:2" x14ac:dyDescent="0.35">
      <c r="A174" t="s">
        <v>531</v>
      </c>
      <c r="B174" s="7" t="s">
        <v>1355</v>
      </c>
    </row>
    <row r="175" spans="1:2" x14ac:dyDescent="0.35">
      <c r="A175" t="s">
        <v>489</v>
      </c>
      <c r="B175" s="7" t="s">
        <v>1313</v>
      </c>
    </row>
    <row r="176" spans="1:2" x14ac:dyDescent="0.35">
      <c r="A176" t="s">
        <v>294</v>
      </c>
      <c r="B176" s="7" t="s">
        <v>1119</v>
      </c>
    </row>
    <row r="177" spans="1:2" x14ac:dyDescent="0.35">
      <c r="A177" t="s">
        <v>479</v>
      </c>
      <c r="B177" s="7" t="s">
        <v>1303</v>
      </c>
    </row>
    <row r="178" spans="1:2" x14ac:dyDescent="0.35">
      <c r="A178" t="s">
        <v>609</v>
      </c>
      <c r="B178" s="7" t="s">
        <v>1433</v>
      </c>
    </row>
    <row r="179" spans="1:2" x14ac:dyDescent="0.35">
      <c r="A179" t="s">
        <v>497</v>
      </c>
      <c r="B179" s="7" t="s">
        <v>1321</v>
      </c>
    </row>
    <row r="180" spans="1:2" x14ac:dyDescent="0.35">
      <c r="A180" t="s">
        <v>496</v>
      </c>
      <c r="B180" s="7" t="s">
        <v>1320</v>
      </c>
    </row>
    <row r="181" spans="1:2" x14ac:dyDescent="0.35">
      <c r="A181" t="s">
        <v>763</v>
      </c>
      <c r="B181" s="7" t="s">
        <v>1587</v>
      </c>
    </row>
    <row r="182" spans="1:2" x14ac:dyDescent="0.35">
      <c r="A182" t="s">
        <v>356</v>
      </c>
      <c r="B182" s="7" t="s">
        <v>1180</v>
      </c>
    </row>
    <row r="183" spans="1:2" x14ac:dyDescent="0.35">
      <c r="A183" t="s">
        <v>325</v>
      </c>
      <c r="B183" s="7" t="s">
        <v>1150</v>
      </c>
    </row>
    <row r="184" spans="1:2" x14ac:dyDescent="0.35">
      <c r="A184" t="s">
        <v>382</v>
      </c>
      <c r="B184" s="7" t="s">
        <v>1206</v>
      </c>
    </row>
    <row r="185" spans="1:2" x14ac:dyDescent="0.35">
      <c r="A185" t="s">
        <v>243</v>
      </c>
      <c r="B185" s="7" t="s">
        <v>1069</v>
      </c>
    </row>
    <row r="186" spans="1:2" x14ac:dyDescent="0.35">
      <c r="A186" t="s">
        <v>73</v>
      </c>
      <c r="B186" s="7" t="s">
        <v>902</v>
      </c>
    </row>
    <row r="187" spans="1:2" x14ac:dyDescent="0.35">
      <c r="A187" t="s">
        <v>397</v>
      </c>
      <c r="B187" s="7" t="s">
        <v>1221</v>
      </c>
    </row>
    <row r="188" spans="1:2" x14ac:dyDescent="0.35">
      <c r="A188" t="s">
        <v>3373</v>
      </c>
      <c r="B188" t="s">
        <v>3374</v>
      </c>
    </row>
    <row r="189" spans="1:2" x14ac:dyDescent="0.35">
      <c r="A189" t="s">
        <v>463</v>
      </c>
      <c r="B189" s="7" t="s">
        <v>1287</v>
      </c>
    </row>
    <row r="190" spans="1:2" x14ac:dyDescent="0.35">
      <c r="A190" t="s">
        <v>283</v>
      </c>
      <c r="B190" s="7" t="s">
        <v>1109</v>
      </c>
    </row>
    <row r="191" spans="1:2" x14ac:dyDescent="0.35">
      <c r="A191" t="s">
        <v>45</v>
      </c>
      <c r="B191" s="7" t="s">
        <v>874</v>
      </c>
    </row>
    <row r="192" spans="1:2" x14ac:dyDescent="0.35">
      <c r="A192" t="s">
        <v>224</v>
      </c>
      <c r="B192" s="7" t="s">
        <v>1051</v>
      </c>
    </row>
    <row r="193" spans="1:2" x14ac:dyDescent="0.35">
      <c r="A193" t="s">
        <v>370</v>
      </c>
      <c r="B193" s="7" t="s">
        <v>1194</v>
      </c>
    </row>
    <row r="194" spans="1:2" x14ac:dyDescent="0.35">
      <c r="A194" t="s">
        <v>682</v>
      </c>
      <c r="B194" s="7" t="s">
        <v>1506</v>
      </c>
    </row>
    <row r="195" spans="1:2" x14ac:dyDescent="0.35">
      <c r="A195" t="s">
        <v>666</v>
      </c>
      <c r="B195" s="7" t="s">
        <v>1490</v>
      </c>
    </row>
    <row r="196" spans="1:2" x14ac:dyDescent="0.35">
      <c r="A196" t="s">
        <v>683</v>
      </c>
      <c r="B196" s="7" t="s">
        <v>1507</v>
      </c>
    </row>
    <row r="197" spans="1:2" x14ac:dyDescent="0.35">
      <c r="A197" t="s">
        <v>684</v>
      </c>
      <c r="B197" s="7" t="s">
        <v>1508</v>
      </c>
    </row>
    <row r="198" spans="1:2" x14ac:dyDescent="0.35">
      <c r="A198" t="s">
        <v>598</v>
      </c>
      <c r="B198" s="7" t="s">
        <v>1422</v>
      </c>
    </row>
    <row r="199" spans="1:2" x14ac:dyDescent="0.35">
      <c r="A199" s="6" t="s">
        <v>821</v>
      </c>
      <c r="B199" s="7" t="s">
        <v>1643</v>
      </c>
    </row>
    <row r="200" spans="1:2" x14ac:dyDescent="0.35">
      <c r="A200" t="s">
        <v>61</v>
      </c>
      <c r="B200" s="7" t="s">
        <v>890</v>
      </c>
    </row>
    <row r="201" spans="1:2" x14ac:dyDescent="0.35">
      <c r="A201" t="s">
        <v>574</v>
      </c>
      <c r="B201" s="7" t="s">
        <v>1398</v>
      </c>
    </row>
    <row r="202" spans="1:2" x14ac:dyDescent="0.35">
      <c r="A202" t="s">
        <v>426</v>
      </c>
      <c r="B202" s="7" t="s">
        <v>1250</v>
      </c>
    </row>
    <row r="203" spans="1:2" x14ac:dyDescent="0.35">
      <c r="A203" t="s">
        <v>530</v>
      </c>
      <c r="B203" s="7" t="s">
        <v>1354</v>
      </c>
    </row>
    <row r="204" spans="1:2" x14ac:dyDescent="0.35">
      <c r="A204" t="s">
        <v>280</v>
      </c>
      <c r="B204" s="7" t="s">
        <v>1106</v>
      </c>
    </row>
    <row r="205" spans="1:2" x14ac:dyDescent="0.35">
      <c r="A205" t="s">
        <v>348</v>
      </c>
      <c r="B205" s="7" t="s">
        <v>1172</v>
      </c>
    </row>
    <row r="206" spans="1:2" x14ac:dyDescent="0.35">
      <c r="A206" t="s">
        <v>380</v>
      </c>
      <c r="B206" s="7" t="s">
        <v>1204</v>
      </c>
    </row>
    <row r="207" spans="1:2" x14ac:dyDescent="0.35">
      <c r="A207" t="s">
        <v>559</v>
      </c>
      <c r="B207" s="7" t="s">
        <v>1383</v>
      </c>
    </row>
    <row r="208" spans="1:2" x14ac:dyDescent="0.35">
      <c r="A208" t="s">
        <v>470</v>
      </c>
      <c r="B208" s="7" t="s">
        <v>1294</v>
      </c>
    </row>
    <row r="209" spans="1:2" x14ac:dyDescent="0.35">
      <c r="A209" t="s">
        <v>52</v>
      </c>
      <c r="B209" s="7" t="s">
        <v>881</v>
      </c>
    </row>
    <row r="210" spans="1:2" x14ac:dyDescent="0.35">
      <c r="A210" t="s">
        <v>11</v>
      </c>
      <c r="B210" s="7" t="s">
        <v>840</v>
      </c>
    </row>
    <row r="211" spans="1:2" x14ac:dyDescent="0.35">
      <c r="A211" t="s">
        <v>67</v>
      </c>
      <c r="B211" s="7" t="s">
        <v>896</v>
      </c>
    </row>
    <row r="212" spans="1:2" x14ac:dyDescent="0.35">
      <c r="A212" t="s">
        <v>568</v>
      </c>
      <c r="B212" s="7" t="s">
        <v>1392</v>
      </c>
    </row>
    <row r="213" spans="1:2" x14ac:dyDescent="0.35">
      <c r="A213" t="s">
        <v>85</v>
      </c>
      <c r="B213" s="7" t="s">
        <v>914</v>
      </c>
    </row>
    <row r="214" spans="1:2" x14ac:dyDescent="0.35">
      <c r="A214" t="s">
        <v>714</v>
      </c>
      <c r="B214" s="7" t="s">
        <v>1538</v>
      </c>
    </row>
    <row r="215" spans="1:2" x14ac:dyDescent="0.35">
      <c r="A215" t="s">
        <v>716</v>
      </c>
      <c r="B215" s="7" t="s">
        <v>1540</v>
      </c>
    </row>
    <row r="216" spans="1:2" x14ac:dyDescent="0.35">
      <c r="A216" t="s">
        <v>720</v>
      </c>
      <c r="B216" s="7" t="s">
        <v>1544</v>
      </c>
    </row>
    <row r="217" spans="1:2" x14ac:dyDescent="0.35">
      <c r="A217" t="s">
        <v>721</v>
      </c>
      <c r="B217" s="7" t="s">
        <v>1545</v>
      </c>
    </row>
    <row r="218" spans="1:2" x14ac:dyDescent="0.35">
      <c r="A218" t="s">
        <v>709</v>
      </c>
      <c r="B218" s="7" t="s">
        <v>1533</v>
      </c>
    </row>
    <row r="219" spans="1:2" x14ac:dyDescent="0.35">
      <c r="A219" t="s">
        <v>726</v>
      </c>
      <c r="B219" s="7" t="s">
        <v>1550</v>
      </c>
    </row>
    <row r="220" spans="1:2" x14ac:dyDescent="0.35">
      <c r="A220" t="s">
        <v>727</v>
      </c>
      <c r="B220" s="7" t="s">
        <v>1551</v>
      </c>
    </row>
    <row r="221" spans="1:2" x14ac:dyDescent="0.35">
      <c r="A221" t="s">
        <v>728</v>
      </c>
      <c r="B221" s="7" t="s">
        <v>1552</v>
      </c>
    </row>
    <row r="222" spans="1:2" x14ac:dyDescent="0.35">
      <c r="A222" t="s">
        <v>130</v>
      </c>
      <c r="B222" s="7" t="s">
        <v>959</v>
      </c>
    </row>
    <row r="223" spans="1:2" x14ac:dyDescent="0.35">
      <c r="A223" t="s">
        <v>407</v>
      </c>
      <c r="B223" s="7" t="s">
        <v>1231</v>
      </c>
    </row>
    <row r="224" spans="1:2" x14ac:dyDescent="0.35">
      <c r="A224" t="s">
        <v>233</v>
      </c>
      <c r="B224" s="7" t="s">
        <v>1060</v>
      </c>
    </row>
    <row r="225" spans="1:2" x14ac:dyDescent="0.35">
      <c r="A225" t="s">
        <v>703</v>
      </c>
      <c r="B225" s="7" t="s">
        <v>1527</v>
      </c>
    </row>
    <row r="226" spans="1:2" x14ac:dyDescent="0.35">
      <c r="A226" t="s">
        <v>286</v>
      </c>
      <c r="B226" s="7" t="s">
        <v>1111</v>
      </c>
    </row>
    <row r="227" spans="1:2" x14ac:dyDescent="0.35">
      <c r="A227" t="s">
        <v>451</v>
      </c>
      <c r="B227" s="7" t="s">
        <v>1275</v>
      </c>
    </row>
    <row r="228" spans="1:2" x14ac:dyDescent="0.35">
      <c r="A228" t="s">
        <v>790</v>
      </c>
      <c r="B228" s="7" t="s">
        <v>1613</v>
      </c>
    </row>
    <row r="229" spans="1:2" x14ac:dyDescent="0.35">
      <c r="A229" t="s">
        <v>794</v>
      </c>
      <c r="B229" s="7" t="s">
        <v>1617</v>
      </c>
    </row>
    <row r="230" spans="1:2" x14ac:dyDescent="0.35">
      <c r="A230" t="s">
        <v>467</v>
      </c>
      <c r="B230" s="7" t="s">
        <v>1291</v>
      </c>
    </row>
    <row r="231" spans="1:2" x14ac:dyDescent="0.35">
      <c r="A231" t="s">
        <v>469</v>
      </c>
      <c r="B231" s="7" t="s">
        <v>1293</v>
      </c>
    </row>
    <row r="232" spans="1:2" x14ac:dyDescent="0.35">
      <c r="A232" t="s">
        <v>449</v>
      </c>
      <c r="B232" s="7" t="s">
        <v>1273</v>
      </c>
    </row>
    <row r="233" spans="1:2" x14ac:dyDescent="0.35">
      <c r="A233" t="s">
        <v>414</v>
      </c>
      <c r="B233" s="7" t="s">
        <v>1238</v>
      </c>
    </row>
    <row r="234" spans="1:2" x14ac:dyDescent="0.35">
      <c r="A234" t="s">
        <v>827</v>
      </c>
      <c r="B234" s="7" t="s">
        <v>1649</v>
      </c>
    </row>
    <row r="235" spans="1:2" x14ac:dyDescent="0.35">
      <c r="A235" t="s">
        <v>804</v>
      </c>
      <c r="B235" s="7" t="s">
        <v>1627</v>
      </c>
    </row>
    <row r="236" spans="1:2" x14ac:dyDescent="0.35">
      <c r="A236" s="4" t="s">
        <v>451</v>
      </c>
      <c r="B236" t="s">
        <v>1603</v>
      </c>
    </row>
    <row r="237" spans="1:2" x14ac:dyDescent="0.35">
      <c r="A237" t="s">
        <v>603</v>
      </c>
      <c r="B237" s="7" t="s">
        <v>1427</v>
      </c>
    </row>
    <row r="238" spans="1:2" x14ac:dyDescent="0.35">
      <c r="A238" t="s">
        <v>14</v>
      </c>
      <c r="B238" s="7" t="s">
        <v>843</v>
      </c>
    </row>
    <row r="239" spans="1:2" x14ac:dyDescent="0.35">
      <c r="A239" s="4" t="s">
        <v>780</v>
      </c>
      <c r="B239" s="7" t="s">
        <v>843</v>
      </c>
    </row>
    <row r="240" spans="1:2" x14ac:dyDescent="0.35">
      <c r="A240" t="s">
        <v>773</v>
      </c>
      <c r="B240" s="7" t="s">
        <v>1597</v>
      </c>
    </row>
    <row r="241" spans="1:7" x14ac:dyDescent="0.35">
      <c r="A241" t="s">
        <v>34</v>
      </c>
      <c r="B241" s="7" t="s">
        <v>863</v>
      </c>
    </row>
    <row r="242" spans="1:7" x14ac:dyDescent="0.35">
      <c r="A242" t="s">
        <v>55</v>
      </c>
      <c r="B242" s="7" t="s">
        <v>884</v>
      </c>
    </row>
    <row r="243" spans="1:7" x14ac:dyDescent="0.35">
      <c r="A243" t="s">
        <v>355</v>
      </c>
      <c r="B243" s="7" t="s">
        <v>1179</v>
      </c>
    </row>
    <row r="244" spans="1:7" x14ac:dyDescent="0.35">
      <c r="A244" t="s">
        <v>322</v>
      </c>
      <c r="B244" s="7" t="s">
        <v>1147</v>
      </c>
    </row>
    <row r="245" spans="1:7" x14ac:dyDescent="0.35">
      <c r="A245" t="s">
        <v>72</v>
      </c>
      <c r="B245" s="7" t="s">
        <v>901</v>
      </c>
    </row>
    <row r="246" spans="1:7" x14ac:dyDescent="0.35">
      <c r="A246" t="s">
        <v>309</v>
      </c>
      <c r="B246" s="7" t="s">
        <v>1134</v>
      </c>
    </row>
    <row r="247" spans="1:7" x14ac:dyDescent="0.35">
      <c r="A247" t="s">
        <v>77</v>
      </c>
      <c r="B247" s="7" t="s">
        <v>906</v>
      </c>
    </row>
    <row r="248" spans="1:7" x14ac:dyDescent="0.35">
      <c r="A248" t="s">
        <v>32</v>
      </c>
      <c r="B248" s="7" t="s">
        <v>861</v>
      </c>
    </row>
    <row r="249" spans="1:7" x14ac:dyDescent="0.35">
      <c r="A249" t="s">
        <v>87</v>
      </c>
      <c r="B249" s="7" t="s">
        <v>916</v>
      </c>
      <c r="C249">
        <v>3.5</v>
      </c>
      <c r="D249" t="s">
        <v>4106</v>
      </c>
      <c r="E249" t="s">
        <v>4064</v>
      </c>
      <c r="F249" s="57">
        <v>44573</v>
      </c>
      <c r="G249" t="s">
        <v>1720</v>
      </c>
    </row>
    <row r="250" spans="1:7" x14ac:dyDescent="0.35">
      <c r="A250" t="s">
        <v>360</v>
      </c>
      <c r="B250" s="7" t="s">
        <v>1184</v>
      </c>
    </row>
    <row r="251" spans="1:7" x14ac:dyDescent="0.35">
      <c r="A251" t="s">
        <v>122</v>
      </c>
      <c r="B251" s="7" t="s">
        <v>951</v>
      </c>
    </row>
    <row r="252" spans="1:7" x14ac:dyDescent="0.35">
      <c r="A252" t="s">
        <v>492</v>
      </c>
      <c r="B252" s="7" t="s">
        <v>1316</v>
      </c>
    </row>
    <row r="253" spans="1:7" x14ac:dyDescent="0.35">
      <c r="A253" t="s">
        <v>386</v>
      </c>
      <c r="B253" s="7" t="s">
        <v>1210</v>
      </c>
    </row>
    <row r="254" spans="1:7" x14ac:dyDescent="0.35">
      <c r="A254" t="s">
        <v>336</v>
      </c>
      <c r="B254" s="7" t="s">
        <v>1161</v>
      </c>
    </row>
    <row r="255" spans="1:7" x14ac:dyDescent="0.35">
      <c r="A255" t="s">
        <v>337</v>
      </c>
      <c r="B255" s="7" t="s">
        <v>1161</v>
      </c>
    </row>
    <row r="256" spans="1:7" x14ac:dyDescent="0.35">
      <c r="A256" t="s">
        <v>754</v>
      </c>
      <c r="B256" s="7" t="s">
        <v>1578</v>
      </c>
    </row>
    <row r="257" spans="1:2" x14ac:dyDescent="0.35">
      <c r="A257" t="s">
        <v>584</v>
      </c>
      <c r="B257" s="7" t="s">
        <v>1408</v>
      </c>
    </row>
    <row r="258" spans="1:2" x14ac:dyDescent="0.35">
      <c r="A258" t="s">
        <v>104</v>
      </c>
      <c r="B258" s="7" t="s">
        <v>933</v>
      </c>
    </row>
    <row r="259" spans="1:2" x14ac:dyDescent="0.35">
      <c r="A259" t="s">
        <v>346</v>
      </c>
      <c r="B259" s="7" t="s">
        <v>1170</v>
      </c>
    </row>
    <row r="260" spans="1:2" x14ac:dyDescent="0.35">
      <c r="A260" t="s">
        <v>456</v>
      </c>
      <c r="B260" s="7" t="s">
        <v>1280</v>
      </c>
    </row>
    <row r="261" spans="1:2" x14ac:dyDescent="0.35">
      <c r="A261" s="4" t="s">
        <v>793</v>
      </c>
      <c r="B261" s="4" t="s">
        <v>1616</v>
      </c>
    </row>
    <row r="262" spans="1:2" x14ac:dyDescent="0.35">
      <c r="A262" t="s">
        <v>217</v>
      </c>
      <c r="B262" s="7" t="s">
        <v>1044</v>
      </c>
    </row>
    <row r="263" spans="1:2" x14ac:dyDescent="0.35">
      <c r="A263" t="s">
        <v>118</v>
      </c>
      <c r="B263" s="7" t="s">
        <v>947</v>
      </c>
    </row>
    <row r="264" spans="1:2" x14ac:dyDescent="0.35">
      <c r="A264" t="s">
        <v>764</v>
      </c>
      <c r="B264" s="7" t="s">
        <v>1588</v>
      </c>
    </row>
    <row r="265" spans="1:2" x14ac:dyDescent="0.35">
      <c r="A265" t="s">
        <v>755</v>
      </c>
      <c r="B265" s="7" t="s">
        <v>1579</v>
      </c>
    </row>
    <row r="266" spans="1:2" x14ac:dyDescent="0.35">
      <c r="A266" t="s">
        <v>372</v>
      </c>
      <c r="B266" s="7" t="s">
        <v>1196</v>
      </c>
    </row>
    <row r="267" spans="1:2" x14ac:dyDescent="0.35">
      <c r="A267" t="s">
        <v>326</v>
      </c>
      <c r="B267" s="7" t="s">
        <v>1151</v>
      </c>
    </row>
    <row r="268" spans="1:2" x14ac:dyDescent="0.35">
      <c r="A268" t="s">
        <v>175</v>
      </c>
      <c r="B268" s="7" t="s">
        <v>1004</v>
      </c>
    </row>
    <row r="269" spans="1:2" x14ac:dyDescent="0.35">
      <c r="A269" t="s">
        <v>50</v>
      </c>
      <c r="B269" s="7" t="s">
        <v>879</v>
      </c>
    </row>
    <row r="270" spans="1:2" x14ac:dyDescent="0.35">
      <c r="A270" t="s">
        <v>636</v>
      </c>
      <c r="B270" s="7" t="s">
        <v>1460</v>
      </c>
    </row>
    <row r="271" spans="1:2" x14ac:dyDescent="0.35">
      <c r="A271" t="s">
        <v>510</v>
      </c>
      <c r="B271" s="7" t="s">
        <v>1334</v>
      </c>
    </row>
    <row r="272" spans="1:2" x14ac:dyDescent="0.35">
      <c r="A272" t="s">
        <v>157</v>
      </c>
      <c r="B272" s="7" t="s">
        <v>986</v>
      </c>
    </row>
    <row r="273" spans="1:2" x14ac:dyDescent="0.35">
      <c r="A273" t="s">
        <v>97</v>
      </c>
      <c r="B273" s="7" t="s">
        <v>926</v>
      </c>
    </row>
    <row r="274" spans="1:2" x14ac:dyDescent="0.35">
      <c r="A274" t="s">
        <v>254</v>
      </c>
      <c r="B274" s="7" t="s">
        <v>1080</v>
      </c>
    </row>
    <row r="275" spans="1:2" x14ac:dyDescent="0.35">
      <c r="A275" t="s">
        <v>246</v>
      </c>
      <c r="B275" s="7" t="s">
        <v>1072</v>
      </c>
    </row>
    <row r="276" spans="1:2" x14ac:dyDescent="0.35">
      <c r="A276" t="s">
        <v>491</v>
      </c>
      <c r="B276" s="7" t="s">
        <v>1315</v>
      </c>
    </row>
    <row r="277" spans="1:2" x14ac:dyDescent="0.35">
      <c r="A277" t="s">
        <v>569</v>
      </c>
      <c r="B277" s="7" t="s">
        <v>1393</v>
      </c>
    </row>
    <row r="278" spans="1:2" x14ac:dyDescent="0.35">
      <c r="A278" t="s">
        <v>524</v>
      </c>
      <c r="B278" s="7" t="s">
        <v>1348</v>
      </c>
    </row>
    <row r="279" spans="1:2" x14ac:dyDescent="0.35">
      <c r="A279" t="s">
        <v>69</v>
      </c>
      <c r="B279" s="7" t="s">
        <v>898</v>
      </c>
    </row>
    <row r="280" spans="1:2" x14ac:dyDescent="0.35">
      <c r="A280" t="s">
        <v>658</v>
      </c>
      <c r="B280" s="7" t="s">
        <v>1482</v>
      </c>
    </row>
    <row r="281" spans="1:2" x14ac:dyDescent="0.35">
      <c r="A281" t="s">
        <v>229</v>
      </c>
      <c r="B281" s="7" t="s">
        <v>1056</v>
      </c>
    </row>
    <row r="282" spans="1:2" x14ac:dyDescent="0.35">
      <c r="A282" t="s">
        <v>36</v>
      </c>
      <c r="B282" s="7" t="s">
        <v>865</v>
      </c>
    </row>
    <row r="283" spans="1:2" x14ac:dyDescent="0.35">
      <c r="A283" t="s">
        <v>573</v>
      </c>
      <c r="B283" t="s">
        <v>1397</v>
      </c>
    </row>
    <row r="284" spans="1:2" x14ac:dyDescent="0.35">
      <c r="A284" t="s">
        <v>3337</v>
      </c>
      <c r="B284" t="s">
        <v>1397</v>
      </c>
    </row>
    <row r="285" spans="1:2" x14ac:dyDescent="0.35">
      <c r="A285" t="s">
        <v>775</v>
      </c>
      <c r="B285" s="7" t="s">
        <v>1599</v>
      </c>
    </row>
    <row r="286" spans="1:2" x14ac:dyDescent="0.35">
      <c r="A286" t="s">
        <v>210</v>
      </c>
      <c r="B286" s="7" t="s">
        <v>1037</v>
      </c>
    </row>
    <row r="287" spans="1:2" x14ac:dyDescent="0.35">
      <c r="A287" t="s">
        <v>566</v>
      </c>
      <c r="B287" s="7" t="s">
        <v>1390</v>
      </c>
    </row>
    <row r="288" spans="1:2" x14ac:dyDescent="0.35">
      <c r="A288" t="s">
        <v>22</v>
      </c>
      <c r="B288" s="7" t="s">
        <v>851</v>
      </c>
    </row>
    <row r="289" spans="1:2" x14ac:dyDescent="0.35">
      <c r="A289" t="s">
        <v>379</v>
      </c>
      <c r="B289" s="7" t="s">
        <v>1203</v>
      </c>
    </row>
    <row r="290" spans="1:2" x14ac:dyDescent="0.35">
      <c r="A290" t="s">
        <v>242</v>
      </c>
      <c r="B290" s="7" t="s">
        <v>1068</v>
      </c>
    </row>
    <row r="291" spans="1:2" x14ac:dyDescent="0.35">
      <c r="A291" t="s">
        <v>776</v>
      </c>
      <c r="B291" s="7" t="s">
        <v>1600</v>
      </c>
    </row>
    <row r="292" spans="1:2" x14ac:dyDescent="0.35">
      <c r="A292" t="s">
        <v>169</v>
      </c>
      <c r="B292" s="7" t="s">
        <v>998</v>
      </c>
    </row>
    <row r="293" spans="1:2" x14ac:dyDescent="0.35">
      <c r="A293" t="s">
        <v>477</v>
      </c>
      <c r="B293" s="7" t="s">
        <v>1301</v>
      </c>
    </row>
    <row r="294" spans="1:2" x14ac:dyDescent="0.35">
      <c r="A294" t="s">
        <v>103</v>
      </c>
      <c r="B294" s="7" t="s">
        <v>932</v>
      </c>
    </row>
    <row r="295" spans="1:2" x14ac:dyDescent="0.35">
      <c r="A295" t="s">
        <v>42</v>
      </c>
      <c r="B295" s="7" t="s">
        <v>871</v>
      </c>
    </row>
    <row r="296" spans="1:2" x14ac:dyDescent="0.35">
      <c r="A296" t="s">
        <v>218</v>
      </c>
      <c r="B296" s="7" t="s">
        <v>1045</v>
      </c>
    </row>
    <row r="297" spans="1:2" x14ac:dyDescent="0.35">
      <c r="A297" t="s">
        <v>435</v>
      </c>
      <c r="B297" s="7" t="s">
        <v>1259</v>
      </c>
    </row>
    <row r="298" spans="1:2" x14ac:dyDescent="0.35">
      <c r="A298" t="s">
        <v>818</v>
      </c>
      <c r="B298" t="s">
        <v>1641</v>
      </c>
    </row>
    <row r="299" spans="1:2" x14ac:dyDescent="0.35">
      <c r="A299" t="s">
        <v>126</v>
      </c>
      <c r="B299" s="7" t="s">
        <v>955</v>
      </c>
    </row>
    <row r="300" spans="1:2" x14ac:dyDescent="0.35">
      <c r="A300" t="s">
        <v>269</v>
      </c>
      <c r="B300" s="7" t="s">
        <v>1095</v>
      </c>
    </row>
    <row r="301" spans="1:2" x14ac:dyDescent="0.35">
      <c r="A301" t="s">
        <v>56</v>
      </c>
      <c r="B301" s="7" t="s">
        <v>885</v>
      </c>
    </row>
    <row r="302" spans="1:2" x14ac:dyDescent="0.35">
      <c r="A302" t="s">
        <v>277</v>
      </c>
      <c r="B302" s="7" t="s">
        <v>1103</v>
      </c>
    </row>
    <row r="303" spans="1:2" x14ac:dyDescent="0.35">
      <c r="A303" t="s">
        <v>276</v>
      </c>
      <c r="B303" s="7" t="s">
        <v>1102</v>
      </c>
    </row>
    <row r="304" spans="1:2" x14ac:dyDescent="0.35">
      <c r="A304" t="s">
        <v>202</v>
      </c>
      <c r="B304" s="7" t="s">
        <v>1030</v>
      </c>
    </row>
    <row r="305" spans="1:2" x14ac:dyDescent="0.35">
      <c r="A305" t="s">
        <v>685</v>
      </c>
      <c r="B305" s="7" t="s">
        <v>1509</v>
      </c>
    </row>
    <row r="306" spans="1:2" x14ac:dyDescent="0.35">
      <c r="A306" t="s">
        <v>686</v>
      </c>
      <c r="B306" s="7" t="s">
        <v>1510</v>
      </c>
    </row>
    <row r="307" spans="1:2" x14ac:dyDescent="0.35">
      <c r="A307" t="s">
        <v>480</v>
      </c>
      <c r="B307" s="7" t="s">
        <v>1304</v>
      </c>
    </row>
    <row r="308" spans="1:2" x14ac:dyDescent="0.35">
      <c r="A308" t="s">
        <v>429</v>
      </c>
      <c r="B308" s="7" t="s">
        <v>1253</v>
      </c>
    </row>
    <row r="309" spans="1:2" x14ac:dyDescent="0.35">
      <c r="A309" t="s">
        <v>44</v>
      </c>
      <c r="B309" s="7" t="s">
        <v>873</v>
      </c>
    </row>
    <row r="310" spans="1:2" x14ac:dyDescent="0.35">
      <c r="A310" t="s">
        <v>308</v>
      </c>
      <c r="B310" s="7" t="s">
        <v>1133</v>
      </c>
    </row>
    <row r="311" spans="1:2" x14ac:dyDescent="0.35">
      <c r="A311" t="s">
        <v>173</v>
      </c>
      <c r="B311" s="7" t="s">
        <v>1002</v>
      </c>
    </row>
    <row r="312" spans="1:2" x14ac:dyDescent="0.35">
      <c r="A312" t="s">
        <v>618</v>
      </c>
      <c r="B312" s="7" t="s">
        <v>1442</v>
      </c>
    </row>
    <row r="313" spans="1:2" x14ac:dyDescent="0.35">
      <c r="A313" t="s">
        <v>3361</v>
      </c>
      <c r="B313" t="s">
        <v>3362</v>
      </c>
    </row>
    <row r="314" spans="1:2" x14ac:dyDescent="0.35">
      <c r="A314" t="s">
        <v>416</v>
      </c>
      <c r="B314" s="7" t="s">
        <v>1240</v>
      </c>
    </row>
    <row r="315" spans="1:2" x14ac:dyDescent="0.35">
      <c r="A315" t="s">
        <v>756</v>
      </c>
      <c r="B315" s="7" t="s">
        <v>1580</v>
      </c>
    </row>
    <row r="316" spans="1:2" x14ac:dyDescent="0.35">
      <c r="A316" t="s">
        <v>219</v>
      </c>
      <c r="B316" s="7" t="s">
        <v>1046</v>
      </c>
    </row>
    <row r="317" spans="1:2" x14ac:dyDescent="0.35">
      <c r="A317" t="s">
        <v>687</v>
      </c>
      <c r="B317" s="7" t="s">
        <v>1511</v>
      </c>
    </row>
    <row r="318" spans="1:2" x14ac:dyDescent="0.35">
      <c r="A318" t="s">
        <v>113</v>
      </c>
      <c r="B318" s="7" t="s">
        <v>942</v>
      </c>
    </row>
    <row r="319" spans="1:2" x14ac:dyDescent="0.35">
      <c r="A319" t="s">
        <v>688</v>
      </c>
      <c r="B319" s="7" t="s">
        <v>1512</v>
      </c>
    </row>
    <row r="320" spans="1:2" x14ac:dyDescent="0.35">
      <c r="A320" t="s">
        <v>330</v>
      </c>
      <c r="B320" s="7" t="s">
        <v>1155</v>
      </c>
    </row>
    <row r="321" spans="1:2" x14ac:dyDescent="0.35">
      <c r="A321" t="s">
        <v>260</v>
      </c>
      <c r="B321" s="7" t="s">
        <v>1086</v>
      </c>
    </row>
    <row r="322" spans="1:2" x14ac:dyDescent="0.35">
      <c r="A322" t="s">
        <v>295</v>
      </c>
      <c r="B322" s="7" t="s">
        <v>1120</v>
      </c>
    </row>
    <row r="323" spans="1:2" x14ac:dyDescent="0.35">
      <c r="A323" t="s">
        <v>194</v>
      </c>
      <c r="B323" s="7" t="s">
        <v>1022</v>
      </c>
    </row>
    <row r="324" spans="1:2" x14ac:dyDescent="0.35">
      <c r="A324" t="s">
        <v>2</v>
      </c>
      <c r="B324" s="7" t="s">
        <v>831</v>
      </c>
    </row>
    <row r="325" spans="1:2" x14ac:dyDescent="0.35">
      <c r="A325" t="s">
        <v>436</v>
      </c>
      <c r="B325" s="7" t="s">
        <v>1260</v>
      </c>
    </row>
    <row r="326" spans="1:2" x14ac:dyDescent="0.35">
      <c r="A326" t="s">
        <v>654</v>
      </c>
      <c r="B326" s="7" t="s">
        <v>1478</v>
      </c>
    </row>
    <row r="327" spans="1:2" x14ac:dyDescent="0.35">
      <c r="A327" t="s">
        <v>591</v>
      </c>
      <c r="B327" s="7" t="s">
        <v>1415</v>
      </c>
    </row>
    <row r="328" spans="1:2" x14ac:dyDescent="0.35">
      <c r="A328" s="1" t="s">
        <v>7</v>
      </c>
      <c r="B328" s="7" t="s">
        <v>836</v>
      </c>
    </row>
    <row r="329" spans="1:2" x14ac:dyDescent="0.35">
      <c r="A329" t="s">
        <v>290</v>
      </c>
      <c r="B329" s="7" t="s">
        <v>1115</v>
      </c>
    </row>
    <row r="330" spans="1:2" x14ac:dyDescent="0.35">
      <c r="A330" t="s">
        <v>152</v>
      </c>
      <c r="B330" s="7" t="s">
        <v>981</v>
      </c>
    </row>
    <row r="331" spans="1:2" x14ac:dyDescent="0.35">
      <c r="A331" t="s">
        <v>427</v>
      </c>
      <c r="B331" s="7" t="s">
        <v>1251</v>
      </c>
    </row>
    <row r="332" spans="1:2" x14ac:dyDescent="0.35">
      <c r="A332" t="s">
        <v>689</v>
      </c>
      <c r="B332" s="7" t="s">
        <v>1513</v>
      </c>
    </row>
    <row r="333" spans="1:2" x14ac:dyDescent="0.35">
      <c r="A333" t="s">
        <v>785</v>
      </c>
      <c r="B333" s="7" t="s">
        <v>1608</v>
      </c>
    </row>
    <row r="334" spans="1:2" x14ac:dyDescent="0.35">
      <c r="A334" s="4" t="s">
        <v>825</v>
      </c>
      <c r="B334" s="7" t="s">
        <v>1647</v>
      </c>
    </row>
    <row r="335" spans="1:2" x14ac:dyDescent="0.35">
      <c r="A335" t="s">
        <v>3338</v>
      </c>
      <c r="B335" t="s">
        <v>3339</v>
      </c>
    </row>
    <row r="336" spans="1:2" x14ac:dyDescent="0.35">
      <c r="A336" t="s">
        <v>3377</v>
      </c>
      <c r="B336" t="s">
        <v>3339</v>
      </c>
    </row>
    <row r="337" spans="1:2" x14ac:dyDescent="0.35">
      <c r="A337" t="s">
        <v>581</v>
      </c>
      <c r="B337" s="7" t="s">
        <v>1405</v>
      </c>
    </row>
    <row r="338" spans="1:2" x14ac:dyDescent="0.35">
      <c r="A338" t="s">
        <v>558</v>
      </c>
      <c r="B338" s="7" t="s">
        <v>1382</v>
      </c>
    </row>
    <row r="339" spans="1:2" x14ac:dyDescent="0.35">
      <c r="A339" t="s">
        <v>180</v>
      </c>
      <c r="B339" s="7" t="s">
        <v>1009</v>
      </c>
    </row>
    <row r="340" spans="1:2" x14ac:dyDescent="0.35">
      <c r="A340" t="s">
        <v>3340</v>
      </c>
      <c r="B340" t="s">
        <v>3341</v>
      </c>
    </row>
    <row r="341" spans="1:2" x14ac:dyDescent="0.35">
      <c r="A341" t="s">
        <v>3378</v>
      </c>
      <c r="B341" t="s">
        <v>3341</v>
      </c>
    </row>
    <row r="342" spans="1:2" x14ac:dyDescent="0.35">
      <c r="A342" t="s">
        <v>656</v>
      </c>
      <c r="B342" s="7" t="s">
        <v>1480</v>
      </c>
    </row>
    <row r="343" spans="1:2" x14ac:dyDescent="0.35">
      <c r="A343" t="s">
        <v>354</v>
      </c>
      <c r="B343" s="7" t="s">
        <v>1178</v>
      </c>
    </row>
    <row r="344" spans="1:2" x14ac:dyDescent="0.35">
      <c r="A344" t="s">
        <v>734</v>
      </c>
      <c r="B344" s="7" t="s">
        <v>1558</v>
      </c>
    </row>
    <row r="345" spans="1:2" x14ac:dyDescent="0.35">
      <c r="A345" t="s">
        <v>579</v>
      </c>
      <c r="B345" s="7" t="s">
        <v>1403</v>
      </c>
    </row>
    <row r="346" spans="1:2" x14ac:dyDescent="0.35">
      <c r="A346" t="s">
        <v>306</v>
      </c>
      <c r="B346" s="7" t="s">
        <v>1131</v>
      </c>
    </row>
    <row r="347" spans="1:2" x14ac:dyDescent="0.35">
      <c r="A347" t="s">
        <v>177</v>
      </c>
      <c r="B347" s="7" t="s">
        <v>1006</v>
      </c>
    </row>
    <row r="348" spans="1:2" x14ac:dyDescent="0.35">
      <c r="A348" t="s">
        <v>630</v>
      </c>
      <c r="B348" s="7" t="s">
        <v>1454</v>
      </c>
    </row>
    <row r="349" spans="1:2" x14ac:dyDescent="0.35">
      <c r="A349" t="s">
        <v>417</v>
      </c>
      <c r="B349" s="7" t="s">
        <v>1241</v>
      </c>
    </row>
    <row r="350" spans="1:2" x14ac:dyDescent="0.35">
      <c r="A350" t="s">
        <v>48</v>
      </c>
      <c r="B350" s="7" t="s">
        <v>877</v>
      </c>
    </row>
    <row r="351" spans="1:2" x14ac:dyDescent="0.35">
      <c r="A351" t="s">
        <v>625</v>
      </c>
      <c r="B351" s="7" t="s">
        <v>1449</v>
      </c>
    </row>
    <row r="352" spans="1:2" x14ac:dyDescent="0.35">
      <c r="A352" t="s">
        <v>292</v>
      </c>
      <c r="B352" s="7" t="s">
        <v>1117</v>
      </c>
    </row>
    <row r="353" spans="1:2" x14ac:dyDescent="0.35">
      <c r="A353" t="s">
        <v>583</v>
      </c>
      <c r="B353" s="7" t="s">
        <v>1407</v>
      </c>
    </row>
    <row r="354" spans="1:2" x14ac:dyDescent="0.35">
      <c r="A354" t="s">
        <v>606</v>
      </c>
      <c r="B354" s="7" t="s">
        <v>1430</v>
      </c>
    </row>
    <row r="355" spans="1:2" x14ac:dyDescent="0.35">
      <c r="A355" t="s">
        <v>301</v>
      </c>
      <c r="B355" s="7" t="s">
        <v>1126</v>
      </c>
    </row>
    <row r="356" spans="1:2" x14ac:dyDescent="0.35">
      <c r="A356" t="s">
        <v>349</v>
      </c>
      <c r="B356" s="7" t="s">
        <v>1173</v>
      </c>
    </row>
    <row r="357" spans="1:2" x14ac:dyDescent="0.35">
      <c r="A357" t="s">
        <v>9</v>
      </c>
      <c r="B357" s="7" t="s">
        <v>838</v>
      </c>
    </row>
    <row r="358" spans="1:2" x14ac:dyDescent="0.35">
      <c r="A358" t="s">
        <v>255</v>
      </c>
      <c r="B358" s="7" t="s">
        <v>1081</v>
      </c>
    </row>
    <row r="359" spans="1:2" x14ac:dyDescent="0.35">
      <c r="A359" s="6" t="s">
        <v>787</v>
      </c>
      <c r="B359" s="7" t="s">
        <v>1610</v>
      </c>
    </row>
    <row r="360" spans="1:2" x14ac:dyDescent="0.35">
      <c r="A360" s="4" t="s">
        <v>826</v>
      </c>
      <c r="B360" s="7" t="s">
        <v>1648</v>
      </c>
    </row>
    <row r="361" spans="1:2" x14ac:dyDescent="0.35">
      <c r="A361" t="s">
        <v>565</v>
      </c>
      <c r="B361" s="7" t="s">
        <v>1389</v>
      </c>
    </row>
    <row r="362" spans="1:2" x14ac:dyDescent="0.35">
      <c r="A362" s="4" t="s">
        <v>565</v>
      </c>
      <c r="B362" t="s">
        <v>1389</v>
      </c>
    </row>
    <row r="363" spans="1:2" x14ac:dyDescent="0.35">
      <c r="A363" t="s">
        <v>468</v>
      </c>
      <c r="B363" s="7" t="s">
        <v>1292</v>
      </c>
    </row>
    <row r="364" spans="1:2" x14ac:dyDescent="0.35">
      <c r="A364" t="s">
        <v>287</v>
      </c>
      <c r="B364" s="7" t="s">
        <v>1112</v>
      </c>
    </row>
    <row r="365" spans="1:2" x14ac:dyDescent="0.35">
      <c r="A365" t="s">
        <v>596</v>
      </c>
      <c r="B365" s="7" t="s">
        <v>1420</v>
      </c>
    </row>
    <row r="366" spans="1:2" x14ac:dyDescent="0.35">
      <c r="A366" t="s">
        <v>777</v>
      </c>
      <c r="B366" s="7" t="s">
        <v>1601</v>
      </c>
    </row>
    <row r="367" spans="1:2" x14ac:dyDescent="0.35">
      <c r="A367" t="s">
        <v>176</v>
      </c>
      <c r="B367" s="7" t="s">
        <v>1005</v>
      </c>
    </row>
    <row r="368" spans="1:2" x14ac:dyDescent="0.35">
      <c r="A368" t="s">
        <v>516</v>
      </c>
      <c r="B368" s="7" t="s">
        <v>1340</v>
      </c>
    </row>
    <row r="369" spans="1:2" x14ac:dyDescent="0.35">
      <c r="A369" t="s">
        <v>534</v>
      </c>
      <c r="B369" s="7" t="s">
        <v>1358</v>
      </c>
    </row>
    <row r="370" spans="1:2" x14ac:dyDescent="0.35">
      <c r="A370" t="s">
        <v>190</v>
      </c>
      <c r="B370" s="7" t="s">
        <v>1018</v>
      </c>
    </row>
    <row r="371" spans="1:2" x14ac:dyDescent="0.35">
      <c r="A371" t="s">
        <v>60</v>
      </c>
      <c r="B371" s="7" t="s">
        <v>889</v>
      </c>
    </row>
    <row r="372" spans="1:2" x14ac:dyDescent="0.35">
      <c r="A372" t="s">
        <v>675</v>
      </c>
      <c r="B372" s="7" t="s">
        <v>1499</v>
      </c>
    </row>
    <row r="373" spans="1:2" x14ac:dyDescent="0.35">
      <c r="A373" t="s">
        <v>333</v>
      </c>
      <c r="B373" s="7" t="s">
        <v>1158</v>
      </c>
    </row>
    <row r="374" spans="1:2" x14ac:dyDescent="0.35">
      <c r="A374" t="s">
        <v>628</v>
      </c>
      <c r="B374" s="7" t="s">
        <v>1452</v>
      </c>
    </row>
    <row r="375" spans="1:2" x14ac:dyDescent="0.35">
      <c r="A375" t="s">
        <v>690</v>
      </c>
      <c r="B375" s="7" t="s">
        <v>1514</v>
      </c>
    </row>
    <row r="376" spans="1:2" x14ac:dyDescent="0.35">
      <c r="A376" t="s">
        <v>3328</v>
      </c>
      <c r="B376" t="s">
        <v>3329</v>
      </c>
    </row>
    <row r="377" spans="1:2" x14ac:dyDescent="0.35">
      <c r="A377" t="s">
        <v>234</v>
      </c>
      <c r="B377" s="7" t="s">
        <v>1061</v>
      </c>
    </row>
    <row r="378" spans="1:2" x14ac:dyDescent="0.35">
      <c r="A378" t="s">
        <v>49</v>
      </c>
      <c r="B378" s="7" t="s">
        <v>878</v>
      </c>
    </row>
    <row r="379" spans="1:2" x14ac:dyDescent="0.35">
      <c r="A379" t="s">
        <v>3381</v>
      </c>
      <c r="B379" t="s">
        <v>3382</v>
      </c>
    </row>
    <row r="380" spans="1:2" x14ac:dyDescent="0.35">
      <c r="A380" t="s">
        <v>3342</v>
      </c>
      <c r="B380" t="s">
        <v>3343</v>
      </c>
    </row>
    <row r="381" spans="1:2" x14ac:dyDescent="0.35">
      <c r="A381" t="s">
        <v>3383</v>
      </c>
      <c r="B381" t="s">
        <v>3384</v>
      </c>
    </row>
    <row r="382" spans="1:2" x14ac:dyDescent="0.35">
      <c r="A382" t="s">
        <v>1879</v>
      </c>
      <c r="B382" t="s">
        <v>3344</v>
      </c>
    </row>
    <row r="383" spans="1:2" x14ac:dyDescent="0.35">
      <c r="A383" t="s">
        <v>452</v>
      </c>
      <c r="B383" s="7" t="s">
        <v>1276</v>
      </c>
    </row>
    <row r="384" spans="1:2" x14ac:dyDescent="0.35">
      <c r="A384" t="s">
        <v>191</v>
      </c>
      <c r="B384" s="7" t="s">
        <v>1019</v>
      </c>
    </row>
    <row r="385" spans="1:2" x14ac:dyDescent="0.35">
      <c r="A385" t="s">
        <v>154</v>
      </c>
      <c r="B385" s="7" t="s">
        <v>983</v>
      </c>
    </row>
    <row r="386" spans="1:2" x14ac:dyDescent="0.35">
      <c r="A386" t="s">
        <v>3414</v>
      </c>
      <c r="B386" t="s">
        <v>3419</v>
      </c>
    </row>
    <row r="387" spans="1:2" x14ac:dyDescent="0.35">
      <c r="A387" t="s">
        <v>3367</v>
      </c>
      <c r="B387" t="s">
        <v>3368</v>
      </c>
    </row>
    <row r="388" spans="1:2" x14ac:dyDescent="0.35">
      <c r="A388" t="s">
        <v>213</v>
      </c>
      <c r="B388" s="7" t="s">
        <v>1040</v>
      </c>
    </row>
    <row r="389" spans="1:2" x14ac:dyDescent="0.35">
      <c r="A389" t="s">
        <v>522</v>
      </c>
      <c r="B389" s="7" t="s">
        <v>1346</v>
      </c>
    </row>
    <row r="390" spans="1:2" x14ac:dyDescent="0.35">
      <c r="A390" t="s">
        <v>374</v>
      </c>
      <c r="B390" s="7" t="s">
        <v>1198</v>
      </c>
    </row>
    <row r="391" spans="1:2" x14ac:dyDescent="0.35">
      <c r="A391" t="s">
        <v>409</v>
      </c>
      <c r="B391" s="7" t="s">
        <v>1233</v>
      </c>
    </row>
    <row r="392" spans="1:2" x14ac:dyDescent="0.35">
      <c r="A392" t="s">
        <v>352</v>
      </c>
      <c r="B392" s="7" t="s">
        <v>1176</v>
      </c>
    </row>
    <row r="393" spans="1:2" x14ac:dyDescent="0.35">
      <c r="A393" t="s">
        <v>201</v>
      </c>
      <c r="B393" s="7" t="s">
        <v>1029</v>
      </c>
    </row>
    <row r="394" spans="1:2" x14ac:dyDescent="0.35">
      <c r="A394" t="s">
        <v>40</v>
      </c>
      <c r="B394" s="7" t="s">
        <v>869</v>
      </c>
    </row>
    <row r="395" spans="1:2" x14ac:dyDescent="0.35">
      <c r="A395" t="s">
        <v>419</v>
      </c>
      <c r="B395" s="7" t="s">
        <v>1243</v>
      </c>
    </row>
    <row r="396" spans="1:2" x14ac:dyDescent="0.35">
      <c r="A396" t="s">
        <v>735</v>
      </c>
      <c r="B396" s="7" t="s">
        <v>1559</v>
      </c>
    </row>
    <row r="397" spans="1:2" x14ac:dyDescent="0.35">
      <c r="A397" t="s">
        <v>608</v>
      </c>
      <c r="B397" s="7" t="s">
        <v>1432</v>
      </c>
    </row>
    <row r="398" spans="1:2" x14ac:dyDescent="0.35">
      <c r="A398" t="s">
        <v>553</v>
      </c>
      <c r="B398" s="7" t="s">
        <v>1377</v>
      </c>
    </row>
    <row r="399" spans="1:2" x14ac:dyDescent="0.35">
      <c r="A399" t="s">
        <v>511</v>
      </c>
      <c r="B399" s="7" t="s">
        <v>1335</v>
      </c>
    </row>
    <row r="400" spans="1:2" x14ac:dyDescent="0.35">
      <c r="A400" t="s">
        <v>133</v>
      </c>
      <c r="B400" s="7" t="s">
        <v>962</v>
      </c>
    </row>
    <row r="401" spans="1:2" x14ac:dyDescent="0.35">
      <c r="A401" t="s">
        <v>120</v>
      </c>
      <c r="B401" s="7" t="s">
        <v>949</v>
      </c>
    </row>
    <row r="402" spans="1:2" x14ac:dyDescent="0.35">
      <c r="A402" t="s">
        <v>117</v>
      </c>
      <c r="B402" s="7" t="s">
        <v>946</v>
      </c>
    </row>
    <row r="403" spans="1:2" x14ac:dyDescent="0.35">
      <c r="A403" t="s">
        <v>12</v>
      </c>
      <c r="B403" s="7" t="s">
        <v>841</v>
      </c>
    </row>
    <row r="404" spans="1:2" x14ac:dyDescent="0.35">
      <c r="A404" t="s">
        <v>350</v>
      </c>
      <c r="B404" s="7" t="s">
        <v>1174</v>
      </c>
    </row>
    <row r="405" spans="1:2" x14ac:dyDescent="0.35">
      <c r="A405" t="s">
        <v>643</v>
      </c>
      <c r="B405" s="7" t="s">
        <v>1467</v>
      </c>
    </row>
    <row r="406" spans="1:2" x14ac:dyDescent="0.35">
      <c r="A406" t="s">
        <v>142</v>
      </c>
      <c r="B406" s="7" t="s">
        <v>971</v>
      </c>
    </row>
    <row r="407" spans="1:2" x14ac:dyDescent="0.35">
      <c r="A407" t="s">
        <v>765</v>
      </c>
      <c r="B407" s="7" t="s">
        <v>1589</v>
      </c>
    </row>
    <row r="408" spans="1:2" x14ac:dyDescent="0.35">
      <c r="A408" t="s">
        <v>691</v>
      </c>
      <c r="B408" s="7" t="s">
        <v>1515</v>
      </c>
    </row>
    <row r="409" spans="1:2" x14ac:dyDescent="0.35">
      <c r="A409" t="s">
        <v>668</v>
      </c>
      <c r="B409" s="7" t="s">
        <v>1492</v>
      </c>
    </row>
    <row r="410" spans="1:2" x14ac:dyDescent="0.35">
      <c r="A410" t="s">
        <v>119</v>
      </c>
      <c r="B410" s="7" t="s">
        <v>948</v>
      </c>
    </row>
    <row r="411" spans="1:2" x14ac:dyDescent="0.35">
      <c r="A411" t="s">
        <v>669</v>
      </c>
      <c r="B411" s="7" t="s">
        <v>1493</v>
      </c>
    </row>
    <row r="412" spans="1:2" x14ac:dyDescent="0.35">
      <c r="A412" t="s">
        <v>677</v>
      </c>
      <c r="B412" s="7" t="s">
        <v>1501</v>
      </c>
    </row>
    <row r="413" spans="1:2" x14ac:dyDescent="0.35">
      <c r="A413" t="s">
        <v>617</v>
      </c>
      <c r="B413" s="7" t="s">
        <v>1441</v>
      </c>
    </row>
    <row r="414" spans="1:2" x14ac:dyDescent="0.35">
      <c r="A414" t="s">
        <v>434</v>
      </c>
      <c r="B414" s="7" t="s">
        <v>1258</v>
      </c>
    </row>
    <row r="415" spans="1:2" x14ac:dyDescent="0.35">
      <c r="A415" t="s">
        <v>670</v>
      </c>
      <c r="B415" s="7" t="s">
        <v>1494</v>
      </c>
    </row>
    <row r="416" spans="1:2" x14ac:dyDescent="0.35">
      <c r="A416" t="s">
        <v>671</v>
      </c>
      <c r="B416" s="7" t="s">
        <v>1495</v>
      </c>
    </row>
    <row r="417" spans="1:2" x14ac:dyDescent="0.35">
      <c r="A417" t="s">
        <v>215</v>
      </c>
      <c r="B417" s="7" t="s">
        <v>1042</v>
      </c>
    </row>
    <row r="418" spans="1:2" x14ac:dyDescent="0.35">
      <c r="A418" t="s">
        <v>547</v>
      </c>
      <c r="B418" s="7" t="s">
        <v>1371</v>
      </c>
    </row>
    <row r="419" spans="1:2" x14ac:dyDescent="0.35">
      <c r="A419" t="s">
        <v>567</v>
      </c>
      <c r="B419" s="7" t="s">
        <v>1391</v>
      </c>
    </row>
    <row r="420" spans="1:2" x14ac:dyDescent="0.35">
      <c r="A420" t="s">
        <v>484</v>
      </c>
      <c r="B420" s="7" t="s">
        <v>1308</v>
      </c>
    </row>
    <row r="421" spans="1:2" x14ac:dyDescent="0.35">
      <c r="A421" t="s">
        <v>771</v>
      </c>
      <c r="B421" s="7" t="s">
        <v>1595</v>
      </c>
    </row>
    <row r="422" spans="1:2" x14ac:dyDescent="0.35">
      <c r="A422" t="s">
        <v>311</v>
      </c>
      <c r="B422" s="7" t="s">
        <v>1136</v>
      </c>
    </row>
    <row r="423" spans="1:2" x14ac:dyDescent="0.35">
      <c r="A423" t="s">
        <v>692</v>
      </c>
      <c r="B423" s="7" t="s">
        <v>1516</v>
      </c>
    </row>
    <row r="424" spans="1:2" x14ac:dyDescent="0.35">
      <c r="A424" t="s">
        <v>513</v>
      </c>
      <c r="B424" s="7" t="s">
        <v>1337</v>
      </c>
    </row>
    <row r="425" spans="1:2" x14ac:dyDescent="0.35">
      <c r="A425" t="s">
        <v>501</v>
      </c>
      <c r="B425" s="7" t="s">
        <v>1325</v>
      </c>
    </row>
    <row r="426" spans="1:2" x14ac:dyDescent="0.35">
      <c r="A426" t="s">
        <v>645</v>
      </c>
      <c r="B426" s="7" t="s">
        <v>1469</v>
      </c>
    </row>
    <row r="427" spans="1:2" x14ac:dyDescent="0.35">
      <c r="A427" t="s">
        <v>109</v>
      </c>
      <c r="B427" s="7" t="s">
        <v>938</v>
      </c>
    </row>
    <row r="428" spans="1:2" x14ac:dyDescent="0.35">
      <c r="A428" t="s">
        <v>430</v>
      </c>
      <c r="B428" s="7" t="s">
        <v>1254</v>
      </c>
    </row>
    <row r="429" spans="1:2" x14ac:dyDescent="0.35">
      <c r="A429" t="s">
        <v>357</v>
      </c>
      <c r="B429" s="7" t="s">
        <v>1181</v>
      </c>
    </row>
    <row r="430" spans="1:2" x14ac:dyDescent="0.35">
      <c r="A430" t="s">
        <v>358</v>
      </c>
      <c r="B430" s="7" t="s">
        <v>1182</v>
      </c>
    </row>
    <row r="431" spans="1:2" x14ac:dyDescent="0.35">
      <c r="A431" t="s">
        <v>562</v>
      </c>
      <c r="B431" s="7" t="s">
        <v>1386</v>
      </c>
    </row>
    <row r="432" spans="1:2" x14ac:dyDescent="0.35">
      <c r="A432" t="s">
        <v>3408</v>
      </c>
      <c r="B432" t="s">
        <v>3416</v>
      </c>
    </row>
    <row r="433" spans="1:2" x14ac:dyDescent="0.35">
      <c r="A433" t="s">
        <v>293</v>
      </c>
      <c r="B433" s="7" t="s">
        <v>1118</v>
      </c>
    </row>
    <row r="434" spans="1:2" x14ac:dyDescent="0.35">
      <c r="A434" t="s">
        <v>376</v>
      </c>
      <c r="B434" s="7" t="s">
        <v>1200</v>
      </c>
    </row>
    <row r="435" spans="1:2" x14ac:dyDescent="0.35">
      <c r="A435" t="s">
        <v>302</v>
      </c>
      <c r="B435" s="7" t="s">
        <v>1127</v>
      </c>
    </row>
    <row r="436" spans="1:2" x14ac:dyDescent="0.35">
      <c r="A436" t="s">
        <v>156</v>
      </c>
      <c r="B436" s="7" t="s">
        <v>985</v>
      </c>
    </row>
    <row r="437" spans="1:2" x14ac:dyDescent="0.35">
      <c r="A437" t="s">
        <v>70</v>
      </c>
      <c r="B437" s="7" t="s">
        <v>899</v>
      </c>
    </row>
    <row r="438" spans="1:2" x14ac:dyDescent="0.35">
      <c r="A438" t="s">
        <v>3</v>
      </c>
      <c r="B438" s="7" t="s">
        <v>832</v>
      </c>
    </row>
    <row r="439" spans="1:2" x14ac:dyDescent="0.35">
      <c r="A439" t="s">
        <v>599</v>
      </c>
      <c r="B439" s="7" t="s">
        <v>1423</v>
      </c>
    </row>
    <row r="440" spans="1:2" x14ac:dyDescent="0.35">
      <c r="A440" t="s">
        <v>453</v>
      </c>
      <c r="B440" s="7" t="s">
        <v>1277</v>
      </c>
    </row>
    <row r="441" spans="1:2" x14ac:dyDescent="0.35">
      <c r="A441" t="s">
        <v>601</v>
      </c>
      <c r="B441" s="7" t="s">
        <v>1425</v>
      </c>
    </row>
    <row r="442" spans="1:2" x14ac:dyDescent="0.35">
      <c r="A442" t="s">
        <v>600</v>
      </c>
      <c r="B442" s="7" t="s">
        <v>1424</v>
      </c>
    </row>
    <row r="443" spans="1:2" x14ac:dyDescent="0.35">
      <c r="A443" t="s">
        <v>454</v>
      </c>
      <c r="B443" s="7" t="s">
        <v>1278</v>
      </c>
    </row>
    <row r="444" spans="1:2" x14ac:dyDescent="0.35">
      <c r="A444" t="s">
        <v>251</v>
      </c>
      <c r="B444" s="7" t="s">
        <v>1077</v>
      </c>
    </row>
    <row r="445" spans="1:2" x14ac:dyDescent="0.35">
      <c r="A445" t="s">
        <v>131</v>
      </c>
      <c r="B445" s="7" t="s">
        <v>960</v>
      </c>
    </row>
    <row r="446" spans="1:2" x14ac:dyDescent="0.35">
      <c r="A446" t="s">
        <v>392</v>
      </c>
      <c r="B446" s="7" t="s">
        <v>1216</v>
      </c>
    </row>
    <row r="447" spans="1:2" x14ac:dyDescent="0.35">
      <c r="A447" t="s">
        <v>54</v>
      </c>
      <c r="B447" s="7" t="s">
        <v>883</v>
      </c>
    </row>
    <row r="448" spans="1:2" x14ac:dyDescent="0.35">
      <c r="A448" t="s">
        <v>693</v>
      </c>
      <c r="B448" s="7" t="s">
        <v>1517</v>
      </c>
    </row>
    <row r="449" spans="1:2" x14ac:dyDescent="0.35">
      <c r="A449" t="s">
        <v>0</v>
      </c>
      <c r="B449" s="7" t="s">
        <v>829</v>
      </c>
    </row>
    <row r="450" spans="1:2" x14ac:dyDescent="0.35">
      <c r="A450" t="s">
        <v>320</v>
      </c>
      <c r="B450" s="7" t="s">
        <v>1145</v>
      </c>
    </row>
    <row r="451" spans="1:2" x14ac:dyDescent="0.35">
      <c r="A451" t="s">
        <v>437</v>
      </c>
      <c r="B451" s="7" t="s">
        <v>1261</v>
      </c>
    </row>
    <row r="452" spans="1:2" x14ac:dyDescent="0.35">
      <c r="A452" t="s">
        <v>450</v>
      </c>
      <c r="B452" s="7" t="s">
        <v>1274</v>
      </c>
    </row>
    <row r="453" spans="1:2" x14ac:dyDescent="0.35">
      <c r="A453" t="s">
        <v>347</v>
      </c>
      <c r="B453" s="7" t="s">
        <v>1171</v>
      </c>
    </row>
    <row r="454" spans="1:2" x14ac:dyDescent="0.35">
      <c r="A454" t="s">
        <v>801</v>
      </c>
      <c r="B454" s="7" t="s">
        <v>1624</v>
      </c>
    </row>
    <row r="455" spans="1:2" x14ac:dyDescent="0.35">
      <c r="A455" t="s">
        <v>51</v>
      </c>
      <c r="B455" s="7" t="s">
        <v>880</v>
      </c>
    </row>
    <row r="456" spans="1:2" x14ac:dyDescent="0.35">
      <c r="A456" t="s">
        <v>247</v>
      </c>
      <c r="B456" s="7" t="s">
        <v>1073</v>
      </c>
    </row>
    <row r="457" spans="1:2" x14ac:dyDescent="0.35">
      <c r="A457" t="s">
        <v>274</v>
      </c>
      <c r="B457" s="7" t="s">
        <v>1100</v>
      </c>
    </row>
    <row r="458" spans="1:2" x14ac:dyDescent="0.35">
      <c r="A458" t="s">
        <v>564</v>
      </c>
      <c r="B458" s="7" t="s">
        <v>1388</v>
      </c>
    </row>
    <row r="459" spans="1:2" x14ac:dyDescent="0.35">
      <c r="A459" t="s">
        <v>86</v>
      </c>
      <c r="B459" s="7" t="s">
        <v>915</v>
      </c>
    </row>
    <row r="460" spans="1:2" x14ac:dyDescent="0.35">
      <c r="A460" t="s">
        <v>767</v>
      </c>
      <c r="B460" s="7" t="s">
        <v>1591</v>
      </c>
    </row>
    <row r="461" spans="1:2" x14ac:dyDescent="0.35">
      <c r="A461" t="s">
        <v>24</v>
      </c>
      <c r="B461" s="7" t="s">
        <v>853</v>
      </c>
    </row>
    <row r="462" spans="1:2" x14ac:dyDescent="0.35">
      <c r="A462" t="s">
        <v>248</v>
      </c>
      <c r="B462" s="7" t="s">
        <v>1074</v>
      </c>
    </row>
    <row r="463" spans="1:2" x14ac:dyDescent="0.35">
      <c r="A463" t="s">
        <v>21</v>
      </c>
      <c r="B463" s="7" t="s">
        <v>850</v>
      </c>
    </row>
    <row r="464" spans="1:2" x14ac:dyDescent="0.35">
      <c r="A464" t="s">
        <v>250</v>
      </c>
      <c r="B464" s="7" t="s">
        <v>1076</v>
      </c>
    </row>
    <row r="465" spans="1:2" x14ac:dyDescent="0.35">
      <c r="A465" t="s">
        <v>197</v>
      </c>
      <c r="B465" s="7" t="s">
        <v>1025</v>
      </c>
    </row>
    <row r="466" spans="1:2" x14ac:dyDescent="0.35">
      <c r="A466" t="s">
        <v>404</v>
      </c>
      <c r="B466" s="7" t="s">
        <v>1228</v>
      </c>
    </row>
    <row r="467" spans="1:2" x14ac:dyDescent="0.35">
      <c r="A467" t="s">
        <v>442</v>
      </c>
      <c r="B467" s="7" t="s">
        <v>1266</v>
      </c>
    </row>
    <row r="468" spans="1:2" x14ac:dyDescent="0.35">
      <c r="A468" t="s">
        <v>26</v>
      </c>
      <c r="B468" s="7" t="s">
        <v>855</v>
      </c>
    </row>
    <row r="469" spans="1:2" x14ac:dyDescent="0.35">
      <c r="A469" t="s">
        <v>381</v>
      </c>
      <c r="B469" s="7" t="s">
        <v>1205</v>
      </c>
    </row>
    <row r="470" spans="1:2" x14ac:dyDescent="0.35">
      <c r="A470" t="s">
        <v>648</v>
      </c>
      <c r="B470" s="7" t="s">
        <v>1472</v>
      </c>
    </row>
    <row r="471" spans="1:2" x14ac:dyDescent="0.35">
      <c r="A471" t="s">
        <v>3371</v>
      </c>
      <c r="B471" t="s">
        <v>3372</v>
      </c>
    </row>
    <row r="472" spans="1:2" x14ac:dyDescent="0.35">
      <c r="A472" t="s">
        <v>582</v>
      </c>
      <c r="B472" s="7" t="s">
        <v>1406</v>
      </c>
    </row>
    <row r="473" spans="1:2" x14ac:dyDescent="0.35">
      <c r="A473" t="s">
        <v>31</v>
      </c>
      <c r="B473" s="7" t="s">
        <v>860</v>
      </c>
    </row>
    <row r="474" spans="1:2" x14ac:dyDescent="0.35">
      <c r="A474" t="s">
        <v>532</v>
      </c>
      <c r="B474" s="7" t="s">
        <v>1356</v>
      </c>
    </row>
    <row r="475" spans="1:2" x14ac:dyDescent="0.35">
      <c r="A475" t="s">
        <v>655</v>
      </c>
      <c r="B475" s="7" t="s">
        <v>1479</v>
      </c>
    </row>
    <row r="476" spans="1:2" x14ac:dyDescent="0.35">
      <c r="A476" t="s">
        <v>115</v>
      </c>
      <c r="B476" s="7" t="s">
        <v>944</v>
      </c>
    </row>
    <row r="477" spans="1:2" x14ac:dyDescent="0.35">
      <c r="A477" t="s">
        <v>647</v>
      </c>
      <c r="B477" s="7" t="s">
        <v>1471</v>
      </c>
    </row>
    <row r="478" spans="1:2" x14ac:dyDescent="0.35">
      <c r="A478" t="s">
        <v>605</v>
      </c>
      <c r="B478" s="7" t="s">
        <v>1429</v>
      </c>
    </row>
    <row r="479" spans="1:2" x14ac:dyDescent="0.35">
      <c r="A479" t="s">
        <v>271</v>
      </c>
      <c r="B479" s="7" t="s">
        <v>1097</v>
      </c>
    </row>
    <row r="480" spans="1:2" x14ac:dyDescent="0.35">
      <c r="A480" t="s">
        <v>137</v>
      </c>
      <c r="B480" s="7" t="s">
        <v>966</v>
      </c>
    </row>
    <row r="481" spans="1:2" x14ac:dyDescent="0.35">
      <c r="A481" t="s">
        <v>232</v>
      </c>
      <c r="B481" s="7" t="s">
        <v>1059</v>
      </c>
    </row>
    <row r="482" spans="1:2" x14ac:dyDescent="0.35">
      <c r="A482" t="s">
        <v>135</v>
      </c>
      <c r="B482" s="7" t="s">
        <v>964</v>
      </c>
    </row>
    <row r="483" spans="1:2" x14ac:dyDescent="0.35">
      <c r="A483" t="s">
        <v>368</v>
      </c>
      <c r="B483" s="7" t="s">
        <v>1192</v>
      </c>
    </row>
    <row r="484" spans="1:2" x14ac:dyDescent="0.35">
      <c r="A484" t="s">
        <v>136</v>
      </c>
      <c r="B484" s="7" t="s">
        <v>965</v>
      </c>
    </row>
    <row r="485" spans="1:2" x14ac:dyDescent="0.35">
      <c r="A485" t="s">
        <v>3357</v>
      </c>
      <c r="B485" t="s">
        <v>3358</v>
      </c>
    </row>
    <row r="486" spans="1:2" x14ac:dyDescent="0.35">
      <c r="A486" t="s">
        <v>3399</v>
      </c>
      <c r="B486" t="s">
        <v>3400</v>
      </c>
    </row>
    <row r="487" spans="1:2" x14ac:dyDescent="0.35">
      <c r="A487" s="4" t="s">
        <v>808</v>
      </c>
      <c r="B487" t="s">
        <v>1631</v>
      </c>
    </row>
    <row r="488" spans="1:2" x14ac:dyDescent="0.35">
      <c r="A488" t="s">
        <v>211</v>
      </c>
      <c r="B488" s="7" t="s">
        <v>1038</v>
      </c>
    </row>
    <row r="489" spans="1:2" x14ac:dyDescent="0.35">
      <c r="A489" t="s">
        <v>585</v>
      </c>
      <c r="B489" s="7" t="s">
        <v>1409</v>
      </c>
    </row>
    <row r="490" spans="1:2" x14ac:dyDescent="0.35">
      <c r="A490" t="s">
        <v>289</v>
      </c>
      <c r="B490" s="7" t="s">
        <v>1114</v>
      </c>
    </row>
    <row r="491" spans="1:2" x14ac:dyDescent="0.35">
      <c r="A491" t="s">
        <v>555</v>
      </c>
      <c r="B491" s="7" t="s">
        <v>1379</v>
      </c>
    </row>
    <row r="492" spans="1:2" x14ac:dyDescent="0.35">
      <c r="A492" t="s">
        <v>331</v>
      </c>
      <c r="B492" s="7" t="s">
        <v>1156</v>
      </c>
    </row>
    <row r="493" spans="1:2" x14ac:dyDescent="0.35">
      <c r="A493" t="s">
        <v>3385</v>
      </c>
      <c r="B493" t="s">
        <v>3386</v>
      </c>
    </row>
    <row r="494" spans="1:2" x14ac:dyDescent="0.35">
      <c r="A494" t="s">
        <v>231</v>
      </c>
      <c r="B494" s="7" t="s">
        <v>1058</v>
      </c>
    </row>
    <row r="495" spans="1:2" x14ac:dyDescent="0.35">
      <c r="A495" t="s">
        <v>3389</v>
      </c>
      <c r="B495" t="s">
        <v>3390</v>
      </c>
    </row>
    <row r="496" spans="1:2" x14ac:dyDescent="0.35">
      <c r="A496" t="s">
        <v>3391</v>
      </c>
      <c r="B496" t="s">
        <v>3392</v>
      </c>
    </row>
    <row r="497" spans="1:2" x14ac:dyDescent="0.35">
      <c r="A497" t="s">
        <v>399</v>
      </c>
      <c r="B497" s="7" t="s">
        <v>1223</v>
      </c>
    </row>
    <row r="498" spans="1:2" x14ac:dyDescent="0.35">
      <c r="A498" t="s">
        <v>148</v>
      </c>
      <c r="B498" s="7" t="s">
        <v>977</v>
      </c>
    </row>
    <row r="499" spans="1:2" x14ac:dyDescent="0.35">
      <c r="A499" t="s">
        <v>509</v>
      </c>
      <c r="B499" s="7" t="s">
        <v>1333</v>
      </c>
    </row>
    <row r="500" spans="1:2" x14ac:dyDescent="0.35">
      <c r="A500" t="s">
        <v>615</v>
      </c>
      <c r="B500" s="7" t="s">
        <v>1439</v>
      </c>
    </row>
    <row r="501" spans="1:2" x14ac:dyDescent="0.35">
      <c r="A501" t="s">
        <v>80</v>
      </c>
      <c r="B501" s="7" t="s">
        <v>909</v>
      </c>
    </row>
    <row r="502" spans="1:2" x14ac:dyDescent="0.35">
      <c r="A502" t="s">
        <v>79</v>
      </c>
      <c r="B502" s="7" t="s">
        <v>908</v>
      </c>
    </row>
    <row r="503" spans="1:2" x14ac:dyDescent="0.35">
      <c r="A503" t="s">
        <v>544</v>
      </c>
      <c r="B503" s="7" t="s">
        <v>1368</v>
      </c>
    </row>
    <row r="504" spans="1:2" x14ac:dyDescent="0.35">
      <c r="A504" t="s">
        <v>405</v>
      </c>
      <c r="B504" s="7" t="s">
        <v>1229</v>
      </c>
    </row>
    <row r="505" spans="1:2" x14ac:dyDescent="0.35">
      <c r="A505" t="s">
        <v>395</v>
      </c>
      <c r="B505" s="7" t="s">
        <v>1219</v>
      </c>
    </row>
    <row r="506" spans="1:2" x14ac:dyDescent="0.35">
      <c r="A506" t="s">
        <v>466</v>
      </c>
      <c r="B506" s="7" t="s">
        <v>1290</v>
      </c>
    </row>
    <row r="507" spans="1:2" x14ac:dyDescent="0.35">
      <c r="A507" t="s">
        <v>597</v>
      </c>
      <c r="B507" s="7" t="s">
        <v>1421</v>
      </c>
    </row>
    <row r="508" spans="1:2" x14ac:dyDescent="0.35">
      <c r="A508" t="s">
        <v>486</v>
      </c>
      <c r="B508" s="7" t="s">
        <v>1310</v>
      </c>
    </row>
    <row r="509" spans="1:2" x14ac:dyDescent="0.35">
      <c r="A509" t="s">
        <v>161</v>
      </c>
      <c r="B509" s="7" t="s">
        <v>990</v>
      </c>
    </row>
    <row r="510" spans="1:2" x14ac:dyDescent="0.35">
      <c r="A510" t="s">
        <v>196</v>
      </c>
      <c r="B510" s="7" t="s">
        <v>1024</v>
      </c>
    </row>
    <row r="511" spans="1:2" x14ac:dyDescent="0.35">
      <c r="A511" t="s">
        <v>739</v>
      </c>
      <c r="B511" s="7" t="s">
        <v>1563</v>
      </c>
    </row>
    <row r="512" spans="1:2" x14ac:dyDescent="0.35">
      <c r="A512" t="s">
        <v>543</v>
      </c>
      <c r="B512" s="7" t="s">
        <v>1367</v>
      </c>
    </row>
    <row r="513" spans="1:2" x14ac:dyDescent="0.35">
      <c r="A513" t="s">
        <v>588</v>
      </c>
      <c r="B513" s="7" t="s">
        <v>1412</v>
      </c>
    </row>
    <row r="514" spans="1:2" x14ac:dyDescent="0.35">
      <c r="A514" t="s">
        <v>94</v>
      </c>
      <c r="B514" s="7" t="s">
        <v>923</v>
      </c>
    </row>
    <row r="515" spans="1:2" x14ac:dyDescent="0.35">
      <c r="A515" t="s">
        <v>602</v>
      </c>
      <c r="B515" s="7" t="s">
        <v>1426</v>
      </c>
    </row>
    <row r="516" spans="1:2" x14ac:dyDescent="0.35">
      <c r="A516" t="s">
        <v>536</v>
      </c>
      <c r="B516" s="7" t="s">
        <v>1360</v>
      </c>
    </row>
    <row r="517" spans="1:2" x14ac:dyDescent="0.35">
      <c r="A517" t="s">
        <v>153</v>
      </c>
      <c r="B517" s="7" t="s">
        <v>982</v>
      </c>
    </row>
    <row r="518" spans="1:2" x14ac:dyDescent="0.35">
      <c r="A518" t="s">
        <v>166</v>
      </c>
      <c r="B518" s="7" t="s">
        <v>995</v>
      </c>
    </row>
    <row r="519" spans="1:2" x14ac:dyDescent="0.35">
      <c r="A519" t="s">
        <v>433</v>
      </c>
      <c r="B519" s="7" t="s">
        <v>1257</v>
      </c>
    </row>
    <row r="520" spans="1:2" x14ac:dyDescent="0.35">
      <c r="A520" t="s">
        <v>125</v>
      </c>
      <c r="B520" s="7" t="s">
        <v>954</v>
      </c>
    </row>
    <row r="521" spans="1:2" x14ac:dyDescent="0.35">
      <c r="A521" t="s">
        <v>528</v>
      </c>
      <c r="B521" s="7" t="s">
        <v>1352</v>
      </c>
    </row>
    <row r="522" spans="1:2" x14ac:dyDescent="0.35">
      <c r="A522" t="s">
        <v>102</v>
      </c>
      <c r="B522" s="7" t="s">
        <v>931</v>
      </c>
    </row>
    <row r="523" spans="1:2" x14ac:dyDescent="0.35">
      <c r="A523" t="s">
        <v>557</v>
      </c>
      <c r="B523" s="7" t="s">
        <v>1381</v>
      </c>
    </row>
    <row r="524" spans="1:2" x14ac:dyDescent="0.35">
      <c r="A524" t="s">
        <v>65</v>
      </c>
      <c r="B524" s="7" t="s">
        <v>894</v>
      </c>
    </row>
    <row r="525" spans="1:2" x14ac:dyDescent="0.35">
      <c r="A525" t="s">
        <v>563</v>
      </c>
      <c r="B525" s="7" t="s">
        <v>1387</v>
      </c>
    </row>
    <row r="526" spans="1:2" x14ac:dyDescent="0.35">
      <c r="A526" t="s">
        <v>644</v>
      </c>
      <c r="B526" s="7" t="s">
        <v>1468</v>
      </c>
    </row>
    <row r="527" spans="1:2" x14ac:dyDescent="0.35">
      <c r="A527" t="s">
        <v>652</v>
      </c>
      <c r="B527" s="7" t="s">
        <v>1476</v>
      </c>
    </row>
    <row r="528" spans="1:2" x14ac:dyDescent="0.35">
      <c r="A528" t="s">
        <v>268</v>
      </c>
      <c r="B528" s="7" t="s">
        <v>1094</v>
      </c>
    </row>
    <row r="529" spans="1:2" x14ac:dyDescent="0.35">
      <c r="A529" t="s">
        <v>546</v>
      </c>
      <c r="B529" s="7" t="s">
        <v>1370</v>
      </c>
    </row>
    <row r="530" spans="1:2" x14ac:dyDescent="0.35">
      <c r="A530" t="s">
        <v>58</v>
      </c>
      <c r="B530" s="7" t="s">
        <v>887</v>
      </c>
    </row>
    <row r="531" spans="1:2" x14ac:dyDescent="0.35">
      <c r="A531" t="s">
        <v>512</v>
      </c>
      <c r="B531" s="7" t="s">
        <v>1336</v>
      </c>
    </row>
    <row r="532" spans="1:2" x14ac:dyDescent="0.35">
      <c r="A532" t="s">
        <v>212</v>
      </c>
      <c r="B532" s="7" t="s">
        <v>1039</v>
      </c>
    </row>
    <row r="533" spans="1:2" x14ac:dyDescent="0.35">
      <c r="A533" t="s">
        <v>351</v>
      </c>
      <c r="B533" s="7" t="s">
        <v>1175</v>
      </c>
    </row>
    <row r="534" spans="1:2" x14ac:dyDescent="0.35">
      <c r="A534" t="s">
        <v>114</v>
      </c>
      <c r="B534" s="7" t="s">
        <v>943</v>
      </c>
    </row>
    <row r="535" spans="1:2" x14ac:dyDescent="0.35">
      <c r="A535" t="s">
        <v>736</v>
      </c>
      <c r="B535" s="7" t="s">
        <v>1560</v>
      </c>
    </row>
    <row r="536" spans="1:2" x14ac:dyDescent="0.35">
      <c r="A536" t="s">
        <v>259</v>
      </c>
      <c r="B536" s="7" t="s">
        <v>1085</v>
      </c>
    </row>
    <row r="537" spans="1:2" x14ac:dyDescent="0.35">
      <c r="A537" t="s">
        <v>89</v>
      </c>
      <c r="B537" s="7" t="s">
        <v>918</v>
      </c>
    </row>
    <row r="538" spans="1:2" x14ac:dyDescent="0.35">
      <c r="A538" t="s">
        <v>63</v>
      </c>
      <c r="B538" s="7" t="s">
        <v>892</v>
      </c>
    </row>
    <row r="539" spans="1:2" x14ac:dyDescent="0.35">
      <c r="A539" t="s">
        <v>614</v>
      </c>
      <c r="B539" s="7" t="s">
        <v>1438</v>
      </c>
    </row>
    <row r="540" spans="1:2" x14ac:dyDescent="0.35">
      <c r="A540" t="s">
        <v>121</v>
      </c>
      <c r="B540" s="7" t="s">
        <v>950</v>
      </c>
    </row>
    <row r="541" spans="1:2" x14ac:dyDescent="0.35">
      <c r="A541" t="s">
        <v>123</v>
      </c>
      <c r="B541" s="7" t="s">
        <v>952</v>
      </c>
    </row>
    <row r="542" spans="1:2" x14ac:dyDescent="0.35">
      <c r="A542" t="s">
        <v>500</v>
      </c>
      <c r="B542" s="7" t="s">
        <v>1324</v>
      </c>
    </row>
    <row r="543" spans="1:2" x14ac:dyDescent="0.35">
      <c r="A543" t="s">
        <v>593</v>
      </c>
      <c r="B543" s="7" t="s">
        <v>1417</v>
      </c>
    </row>
    <row r="544" spans="1:2" x14ac:dyDescent="0.35">
      <c r="A544" t="s">
        <v>20</v>
      </c>
      <c r="B544" s="7" t="s">
        <v>849</v>
      </c>
    </row>
    <row r="545" spans="1:2" x14ac:dyDescent="0.35">
      <c r="A545" t="s">
        <v>171</v>
      </c>
      <c r="B545" s="7" t="s">
        <v>1000</v>
      </c>
    </row>
    <row r="546" spans="1:2" x14ac:dyDescent="0.35">
      <c r="A546" t="s">
        <v>25</v>
      </c>
      <c r="B546" s="7" t="s">
        <v>854</v>
      </c>
    </row>
    <row r="547" spans="1:2" x14ac:dyDescent="0.35">
      <c r="A547" t="s">
        <v>778</v>
      </c>
      <c r="B547" s="7" t="s">
        <v>854</v>
      </c>
    </row>
    <row r="548" spans="1:2" x14ac:dyDescent="0.35">
      <c r="A548" t="s">
        <v>183</v>
      </c>
      <c r="B548" s="7" t="s">
        <v>1012</v>
      </c>
    </row>
    <row r="549" spans="1:2" x14ac:dyDescent="0.35">
      <c r="A549" t="s">
        <v>143</v>
      </c>
      <c r="B549" s="7" t="s">
        <v>972</v>
      </c>
    </row>
    <row r="550" spans="1:2" x14ac:dyDescent="0.35">
      <c r="A550" t="s">
        <v>694</v>
      </c>
      <c r="B550" s="7" t="s">
        <v>1518</v>
      </c>
    </row>
    <row r="551" spans="1:2" x14ac:dyDescent="0.35">
      <c r="A551" t="s">
        <v>458</v>
      </c>
      <c r="B551" s="7" t="s">
        <v>1282</v>
      </c>
    </row>
    <row r="552" spans="1:2" x14ac:dyDescent="0.35">
      <c r="A552" t="s">
        <v>225</v>
      </c>
      <c r="B552" s="7" t="s">
        <v>1052</v>
      </c>
    </row>
    <row r="553" spans="1:2" x14ac:dyDescent="0.35">
      <c r="A553" t="s">
        <v>222</v>
      </c>
      <c r="B553" s="7" t="s">
        <v>1049</v>
      </c>
    </row>
    <row r="554" spans="1:2" x14ac:dyDescent="0.35">
      <c r="A554" t="s">
        <v>672</v>
      </c>
      <c r="B554" s="7" t="s">
        <v>1496</v>
      </c>
    </row>
    <row r="555" spans="1:2" x14ac:dyDescent="0.35">
      <c r="A555" t="s">
        <v>220</v>
      </c>
      <c r="B555" s="7" t="s">
        <v>1047</v>
      </c>
    </row>
    <row r="556" spans="1:2" x14ac:dyDescent="0.35">
      <c r="A556" t="s">
        <v>282</v>
      </c>
      <c r="B556" s="7" t="s">
        <v>1108</v>
      </c>
    </row>
    <row r="557" spans="1:2" x14ac:dyDescent="0.35">
      <c r="A557" t="s">
        <v>495</v>
      </c>
      <c r="B557" s="7" t="s">
        <v>1319</v>
      </c>
    </row>
    <row r="558" spans="1:2" x14ac:dyDescent="0.35">
      <c r="A558" t="s">
        <v>586</v>
      </c>
      <c r="B558" s="7" t="s">
        <v>1410</v>
      </c>
    </row>
    <row r="559" spans="1:2" x14ac:dyDescent="0.35">
      <c r="A559" t="s">
        <v>163</v>
      </c>
      <c r="B559" s="7" t="s">
        <v>992</v>
      </c>
    </row>
    <row r="560" spans="1:2" x14ac:dyDescent="0.35">
      <c r="A560" t="s">
        <v>105</v>
      </c>
      <c r="B560" s="7" t="s">
        <v>934</v>
      </c>
    </row>
    <row r="561" spans="1:2" x14ac:dyDescent="0.35">
      <c r="A561" t="s">
        <v>627</v>
      </c>
      <c r="B561" s="7" t="s">
        <v>1451</v>
      </c>
    </row>
    <row r="562" spans="1:2" x14ac:dyDescent="0.35">
      <c r="A562" t="s">
        <v>646</v>
      </c>
      <c r="B562" s="7" t="s">
        <v>1470</v>
      </c>
    </row>
    <row r="563" spans="1:2" x14ac:dyDescent="0.35">
      <c r="A563" t="s">
        <v>244</v>
      </c>
      <c r="B563" s="7" t="s">
        <v>1070</v>
      </c>
    </row>
    <row r="564" spans="1:2" x14ac:dyDescent="0.35">
      <c r="A564" t="s">
        <v>653</v>
      </c>
      <c r="B564" s="7" t="s">
        <v>1477</v>
      </c>
    </row>
    <row r="565" spans="1:2" x14ac:dyDescent="0.35">
      <c r="A565" t="s">
        <v>16</v>
      </c>
      <c r="B565" s="7" t="s">
        <v>845</v>
      </c>
    </row>
    <row r="566" spans="1:2" x14ac:dyDescent="0.35">
      <c r="A566" t="s">
        <v>3412</v>
      </c>
      <c r="B566" t="s">
        <v>3417</v>
      </c>
    </row>
    <row r="567" spans="1:2" x14ac:dyDescent="0.35">
      <c r="A567" t="s">
        <v>257</v>
      </c>
      <c r="B567" s="7" t="s">
        <v>1083</v>
      </c>
    </row>
    <row r="568" spans="1:2" x14ac:dyDescent="0.35">
      <c r="A568" t="s">
        <v>493</v>
      </c>
      <c r="B568" s="7" t="s">
        <v>1317</v>
      </c>
    </row>
    <row r="569" spans="1:2" x14ac:dyDescent="0.35">
      <c r="A569" t="s">
        <v>207</v>
      </c>
      <c r="B569" s="7" t="s">
        <v>1034</v>
      </c>
    </row>
    <row r="570" spans="1:2" x14ac:dyDescent="0.35">
      <c r="A570" t="s">
        <v>140</v>
      </c>
      <c r="B570" s="7" t="s">
        <v>969</v>
      </c>
    </row>
    <row r="571" spans="1:2" x14ac:dyDescent="0.35">
      <c r="A571" t="s">
        <v>502</v>
      </c>
      <c r="B571" s="7" t="s">
        <v>1326</v>
      </c>
    </row>
    <row r="572" spans="1:2" x14ac:dyDescent="0.35">
      <c r="A572" t="s">
        <v>556</v>
      </c>
      <c r="B572" s="7" t="s">
        <v>1380</v>
      </c>
    </row>
    <row r="573" spans="1:2" x14ac:dyDescent="0.35">
      <c r="A573" t="s">
        <v>3345</v>
      </c>
      <c r="B573" t="s">
        <v>3346</v>
      </c>
    </row>
    <row r="574" spans="1:2" x14ac:dyDescent="0.35">
      <c r="A574" t="s">
        <v>604</v>
      </c>
      <c r="B574" s="7" t="s">
        <v>1428</v>
      </c>
    </row>
    <row r="575" spans="1:2" x14ac:dyDescent="0.35">
      <c r="A575" t="s">
        <v>299</v>
      </c>
      <c r="B575" s="7" t="s">
        <v>1124</v>
      </c>
    </row>
    <row r="576" spans="1:2" x14ac:dyDescent="0.35">
      <c r="A576" t="s">
        <v>17</v>
      </c>
      <c r="B576" s="7" t="s">
        <v>846</v>
      </c>
    </row>
    <row r="577" spans="1:2" x14ac:dyDescent="0.35">
      <c r="A577" t="s">
        <v>619</v>
      </c>
      <c r="B577" s="7" t="s">
        <v>1443</v>
      </c>
    </row>
    <row r="578" spans="1:2" x14ac:dyDescent="0.35">
      <c r="A578" t="s">
        <v>757</v>
      </c>
      <c r="B578" s="7" t="s">
        <v>1581</v>
      </c>
    </row>
    <row r="579" spans="1:2" x14ac:dyDescent="0.35">
      <c r="A579" t="s">
        <v>631</v>
      </c>
      <c r="B579" s="7" t="s">
        <v>1455</v>
      </c>
    </row>
    <row r="580" spans="1:2" x14ac:dyDescent="0.35">
      <c r="A580" t="s">
        <v>272</v>
      </c>
      <c r="B580" s="7" t="s">
        <v>1098</v>
      </c>
    </row>
    <row r="581" spans="1:2" x14ac:dyDescent="0.35">
      <c r="A581" t="s">
        <v>490</v>
      </c>
      <c r="B581" s="7" t="s">
        <v>1314</v>
      </c>
    </row>
    <row r="582" spans="1:2" x14ac:dyDescent="0.35">
      <c r="A582" t="s">
        <v>518</v>
      </c>
      <c r="B582" s="7" t="s">
        <v>1342</v>
      </c>
    </row>
    <row r="583" spans="1:2" x14ac:dyDescent="0.35">
      <c r="A583" t="s">
        <v>270</v>
      </c>
      <c r="B583" s="7" t="s">
        <v>1096</v>
      </c>
    </row>
    <row r="584" spans="1:2" x14ac:dyDescent="0.35">
      <c r="A584" t="s">
        <v>444</v>
      </c>
      <c r="B584" s="7" t="s">
        <v>1268</v>
      </c>
    </row>
    <row r="585" spans="1:2" x14ac:dyDescent="0.35">
      <c r="A585" t="s">
        <v>335</v>
      </c>
      <c r="B585" s="7" t="s">
        <v>1160</v>
      </c>
    </row>
    <row r="586" spans="1:2" x14ac:dyDescent="0.35">
      <c r="A586" t="s">
        <v>265</v>
      </c>
      <c r="B586" s="7" t="s">
        <v>1091</v>
      </c>
    </row>
    <row r="587" spans="1:2" x14ac:dyDescent="0.35">
      <c r="A587" t="s">
        <v>695</v>
      </c>
      <c r="B587" s="7" t="s">
        <v>1519</v>
      </c>
    </row>
    <row r="588" spans="1:2" x14ac:dyDescent="0.35">
      <c r="A588" t="s">
        <v>129</v>
      </c>
      <c r="B588" s="7" t="s">
        <v>958</v>
      </c>
    </row>
    <row r="589" spans="1:2" x14ac:dyDescent="0.35">
      <c r="A589" t="s">
        <v>425</v>
      </c>
      <c r="B589" s="7" t="s">
        <v>1249</v>
      </c>
    </row>
    <row r="590" spans="1:2" x14ac:dyDescent="0.35">
      <c r="A590" t="s">
        <v>696</v>
      </c>
      <c r="B590" s="7" t="s">
        <v>1520</v>
      </c>
    </row>
    <row r="591" spans="1:2" x14ac:dyDescent="0.35">
      <c r="A591" t="s">
        <v>415</v>
      </c>
      <c r="B591" s="7" t="s">
        <v>1239</v>
      </c>
    </row>
    <row r="592" spans="1:2" x14ac:dyDescent="0.35">
      <c r="A592" t="s">
        <v>57</v>
      </c>
      <c r="B592" s="7" t="s">
        <v>886</v>
      </c>
    </row>
    <row r="593" spans="1:2" x14ac:dyDescent="0.35">
      <c r="A593" t="s">
        <v>432</v>
      </c>
      <c r="B593" s="7" t="s">
        <v>1256</v>
      </c>
    </row>
    <row r="594" spans="1:2" x14ac:dyDescent="0.35">
      <c r="A594" t="s">
        <v>639</v>
      </c>
      <c r="B594" s="7" t="s">
        <v>1463</v>
      </c>
    </row>
    <row r="595" spans="1:2" x14ac:dyDescent="0.35">
      <c r="A595" t="s">
        <v>506</v>
      </c>
      <c r="B595" s="7" t="s">
        <v>1330</v>
      </c>
    </row>
    <row r="596" spans="1:2" x14ac:dyDescent="0.35">
      <c r="A596" t="s">
        <v>228</v>
      </c>
      <c r="B596" s="7" t="s">
        <v>1055</v>
      </c>
    </row>
    <row r="597" spans="1:2" x14ac:dyDescent="0.35">
      <c r="A597" t="s">
        <v>697</v>
      </c>
      <c r="B597" s="7" t="s">
        <v>1521</v>
      </c>
    </row>
    <row r="598" spans="1:2" x14ac:dyDescent="0.35">
      <c r="A598" t="s">
        <v>71</v>
      </c>
      <c r="B598" s="7" t="s">
        <v>900</v>
      </c>
    </row>
    <row r="599" spans="1:2" x14ac:dyDescent="0.35">
      <c r="A599" t="s">
        <v>82</v>
      </c>
      <c r="B599" s="7" t="s">
        <v>911</v>
      </c>
    </row>
    <row r="600" spans="1:2" x14ac:dyDescent="0.35">
      <c r="A600" t="s">
        <v>43</v>
      </c>
      <c r="B600" s="7" t="s">
        <v>872</v>
      </c>
    </row>
    <row r="601" spans="1:2" x14ac:dyDescent="0.35">
      <c r="A601" t="s">
        <v>412</v>
      </c>
      <c r="B601" s="7" t="s">
        <v>1236</v>
      </c>
    </row>
    <row r="602" spans="1:2" x14ac:dyDescent="0.35">
      <c r="A602" t="s">
        <v>478</v>
      </c>
      <c r="B602" s="7" t="s">
        <v>1302</v>
      </c>
    </row>
    <row r="603" spans="1:2" x14ac:dyDescent="0.35">
      <c r="A603" t="s">
        <v>570</v>
      </c>
      <c r="B603" s="7" t="s">
        <v>1394</v>
      </c>
    </row>
    <row r="604" spans="1:2" x14ac:dyDescent="0.35">
      <c r="A604" t="s">
        <v>332</v>
      </c>
      <c r="B604" s="7" t="s">
        <v>1157</v>
      </c>
    </row>
    <row r="605" spans="1:2" x14ac:dyDescent="0.35">
      <c r="A605" t="s">
        <v>554</v>
      </c>
      <c r="B605" s="7" t="s">
        <v>1378</v>
      </c>
    </row>
    <row r="606" spans="1:2" x14ac:dyDescent="0.35">
      <c r="A606" t="s">
        <v>440</v>
      </c>
      <c r="B606" s="7" t="s">
        <v>1264</v>
      </c>
    </row>
    <row r="607" spans="1:2" x14ac:dyDescent="0.35">
      <c r="A607" t="s">
        <v>307</v>
      </c>
      <c r="B607" s="7" t="s">
        <v>1132</v>
      </c>
    </row>
    <row r="608" spans="1:2" x14ac:dyDescent="0.35">
      <c r="A608" t="s">
        <v>369</v>
      </c>
      <c r="B608" s="7" t="s">
        <v>1193</v>
      </c>
    </row>
    <row r="609" spans="1:2" x14ac:dyDescent="0.35">
      <c r="A609" t="s">
        <v>35</v>
      </c>
      <c r="B609" s="7" t="s">
        <v>864</v>
      </c>
    </row>
    <row r="610" spans="1:2" x14ac:dyDescent="0.35">
      <c r="A610" s="4" t="s">
        <v>35</v>
      </c>
      <c r="B610" t="s">
        <v>864</v>
      </c>
    </row>
    <row r="611" spans="1:2" x14ac:dyDescent="0.35">
      <c r="A611" t="s">
        <v>820</v>
      </c>
      <c r="B611" s="7" t="s">
        <v>1642</v>
      </c>
    </row>
    <row r="612" spans="1:2" x14ac:dyDescent="0.35">
      <c r="A612" s="6" t="s">
        <v>797</v>
      </c>
      <c r="B612" s="7" t="s">
        <v>1620</v>
      </c>
    </row>
    <row r="613" spans="1:2" x14ac:dyDescent="0.35">
      <c r="A613" t="s">
        <v>431</v>
      </c>
      <c r="B613" s="7" t="s">
        <v>1255</v>
      </c>
    </row>
    <row r="614" spans="1:2" x14ac:dyDescent="0.35">
      <c r="A614" t="s">
        <v>329</v>
      </c>
      <c r="B614" s="7" t="s">
        <v>1154</v>
      </c>
    </row>
    <row r="615" spans="1:2" x14ac:dyDescent="0.35">
      <c r="A615" t="s">
        <v>324</v>
      </c>
      <c r="B615" s="7" t="s">
        <v>1149</v>
      </c>
    </row>
    <row r="616" spans="1:2" x14ac:dyDescent="0.35">
      <c r="A616" t="s">
        <v>187</v>
      </c>
      <c r="B616" s="7" t="s">
        <v>1015</v>
      </c>
    </row>
    <row r="617" spans="1:2" x14ac:dyDescent="0.35">
      <c r="A617" t="s">
        <v>53</v>
      </c>
      <c r="B617" s="7" t="s">
        <v>882</v>
      </c>
    </row>
    <row r="618" spans="1:2" x14ac:dyDescent="0.35">
      <c r="A618" t="s">
        <v>766</v>
      </c>
      <c r="B618" s="7" t="s">
        <v>1590</v>
      </c>
    </row>
    <row r="619" spans="1:2" x14ac:dyDescent="0.35">
      <c r="A619" t="s">
        <v>575</v>
      </c>
      <c r="B619" s="7" t="s">
        <v>1399</v>
      </c>
    </row>
    <row r="620" spans="1:2" x14ac:dyDescent="0.35">
      <c r="A620" t="s">
        <v>623</v>
      </c>
      <c r="B620" s="7" t="s">
        <v>1447</v>
      </c>
    </row>
    <row r="621" spans="1:2" x14ac:dyDescent="0.35">
      <c r="A621" t="s">
        <v>252</v>
      </c>
      <c r="B621" s="7" t="s">
        <v>1078</v>
      </c>
    </row>
    <row r="622" spans="1:2" x14ac:dyDescent="0.35">
      <c r="A622" t="s">
        <v>300</v>
      </c>
      <c r="B622" s="7" t="s">
        <v>1125</v>
      </c>
    </row>
    <row r="623" spans="1:2" x14ac:dyDescent="0.35">
      <c r="A623" t="s">
        <v>267</v>
      </c>
      <c r="B623" s="7" t="s">
        <v>1093</v>
      </c>
    </row>
    <row r="624" spans="1:2" x14ac:dyDescent="0.35">
      <c r="A624" t="s">
        <v>162</v>
      </c>
      <c r="B624" s="7" t="s">
        <v>991</v>
      </c>
    </row>
    <row r="625" spans="1:2" x14ac:dyDescent="0.35">
      <c r="A625" t="s">
        <v>523</v>
      </c>
      <c r="B625" s="7" t="s">
        <v>1347</v>
      </c>
    </row>
    <row r="626" spans="1:2" x14ac:dyDescent="0.35">
      <c r="A626" t="s">
        <v>318</v>
      </c>
      <c r="B626" s="7" t="s">
        <v>1143</v>
      </c>
    </row>
    <row r="627" spans="1:2" x14ac:dyDescent="0.35">
      <c r="A627" t="s">
        <v>106</v>
      </c>
      <c r="B627" s="7" t="s">
        <v>935</v>
      </c>
    </row>
    <row r="628" spans="1:2" x14ac:dyDescent="0.35">
      <c r="A628" t="s">
        <v>150</v>
      </c>
      <c r="B628" s="7" t="s">
        <v>979</v>
      </c>
    </row>
    <row r="629" spans="1:2" x14ac:dyDescent="0.35">
      <c r="A629" t="s">
        <v>504</v>
      </c>
      <c r="B629" s="7" t="s">
        <v>1328</v>
      </c>
    </row>
    <row r="630" spans="1:2" x14ac:dyDescent="0.35">
      <c r="A630" t="s">
        <v>698</v>
      </c>
      <c r="B630" s="7" t="s">
        <v>1522</v>
      </c>
    </row>
    <row r="631" spans="1:2" x14ac:dyDescent="0.35">
      <c r="A631" t="s">
        <v>68</v>
      </c>
      <c r="B631" s="7" t="s">
        <v>897</v>
      </c>
    </row>
    <row r="632" spans="1:2" x14ac:dyDescent="0.35">
      <c r="A632" t="s">
        <v>237</v>
      </c>
      <c r="B632" s="7" t="s">
        <v>897</v>
      </c>
    </row>
    <row r="633" spans="1:2" x14ac:dyDescent="0.35">
      <c r="A633" t="s">
        <v>390</v>
      </c>
      <c r="B633" s="7" t="s">
        <v>1214</v>
      </c>
    </row>
    <row r="634" spans="1:2" x14ac:dyDescent="0.35">
      <c r="A634" t="s">
        <v>334</v>
      </c>
      <c r="B634" s="7" t="s">
        <v>1159</v>
      </c>
    </row>
    <row r="635" spans="1:2" x14ac:dyDescent="0.35">
      <c r="A635" t="s">
        <v>344</v>
      </c>
      <c r="B635" s="7" t="s">
        <v>1168</v>
      </c>
    </row>
    <row r="636" spans="1:2" x14ac:dyDescent="0.35">
      <c r="A636" t="s">
        <v>223</v>
      </c>
      <c r="B636" s="7" t="s">
        <v>1050</v>
      </c>
    </row>
    <row r="637" spans="1:2" x14ac:dyDescent="0.35">
      <c r="A637" t="s">
        <v>155</v>
      </c>
      <c r="B637" s="7" t="s">
        <v>984</v>
      </c>
    </row>
    <row r="638" spans="1:2" x14ac:dyDescent="0.35">
      <c r="A638" t="s">
        <v>607</v>
      </c>
      <c r="B638" s="7" t="s">
        <v>1431</v>
      </c>
    </row>
    <row r="639" spans="1:2" x14ac:dyDescent="0.35">
      <c r="A639" t="s">
        <v>236</v>
      </c>
      <c r="B639" s="7" t="s">
        <v>1063</v>
      </c>
    </row>
    <row r="640" spans="1:2" x14ac:dyDescent="0.35">
      <c r="A640" t="s">
        <v>410</v>
      </c>
      <c r="B640" s="7" t="s">
        <v>1234</v>
      </c>
    </row>
    <row r="641" spans="1:2" x14ac:dyDescent="0.35">
      <c r="A641" t="s">
        <v>411</v>
      </c>
      <c r="B641" s="7" t="s">
        <v>1235</v>
      </c>
    </row>
    <row r="642" spans="1:2" x14ac:dyDescent="0.35">
      <c r="A642" t="s">
        <v>340</v>
      </c>
      <c r="B642" s="7" t="s">
        <v>1164</v>
      </c>
    </row>
    <row r="643" spans="1:2" x14ac:dyDescent="0.35">
      <c r="A643" t="s">
        <v>93</v>
      </c>
      <c r="B643" s="7" t="s">
        <v>922</v>
      </c>
    </row>
    <row r="644" spans="1:2" x14ac:dyDescent="0.35">
      <c r="A644" t="s">
        <v>30</v>
      </c>
      <c r="B644" s="7" t="s">
        <v>859</v>
      </c>
    </row>
    <row r="645" spans="1:2" x14ac:dyDescent="0.35">
      <c r="A645" t="s">
        <v>107</v>
      </c>
      <c r="B645" s="7" t="s">
        <v>936</v>
      </c>
    </row>
    <row r="646" spans="1:2" x14ac:dyDescent="0.35">
      <c r="A646" t="s">
        <v>108</v>
      </c>
      <c r="B646" s="7" t="s">
        <v>937</v>
      </c>
    </row>
    <row r="647" spans="1:2" x14ac:dyDescent="0.35">
      <c r="A647" t="s">
        <v>362</v>
      </c>
      <c r="B647" s="7" t="s">
        <v>1186</v>
      </c>
    </row>
    <row r="648" spans="1:2" x14ac:dyDescent="0.35">
      <c r="A648" t="s">
        <v>699</v>
      </c>
      <c r="B648" s="7" t="s">
        <v>1523</v>
      </c>
    </row>
    <row r="649" spans="1:2" x14ac:dyDescent="0.35">
      <c r="A649" t="s">
        <v>128</v>
      </c>
      <c r="B649" s="7" t="s">
        <v>957</v>
      </c>
    </row>
    <row r="650" spans="1:2" x14ac:dyDescent="0.35">
      <c r="A650" t="s">
        <v>3332</v>
      </c>
      <c r="B650" t="s">
        <v>3333</v>
      </c>
    </row>
    <row r="651" spans="1:2" x14ac:dyDescent="0.35">
      <c r="A651" t="s">
        <v>626</v>
      </c>
      <c r="B651" s="7" t="s">
        <v>1450</v>
      </c>
    </row>
    <row r="652" spans="1:2" x14ac:dyDescent="0.35">
      <c r="A652" t="s">
        <v>700</v>
      </c>
      <c r="B652" s="7" t="s">
        <v>1524</v>
      </c>
    </row>
    <row r="653" spans="1:2" x14ac:dyDescent="0.35">
      <c r="A653" t="s">
        <v>66</v>
      </c>
      <c r="B653" s="7" t="s">
        <v>895</v>
      </c>
    </row>
    <row r="654" spans="1:2" x14ac:dyDescent="0.35">
      <c r="A654" t="s">
        <v>439</v>
      </c>
      <c r="B654" s="7" t="s">
        <v>1263</v>
      </c>
    </row>
    <row r="655" spans="1:2" x14ac:dyDescent="0.35">
      <c r="A655" t="s">
        <v>471</v>
      </c>
      <c r="B655" s="7" t="s">
        <v>1295</v>
      </c>
    </row>
    <row r="656" spans="1:2" x14ac:dyDescent="0.35">
      <c r="A656" t="s">
        <v>461</v>
      </c>
      <c r="B656" s="7" t="s">
        <v>1285</v>
      </c>
    </row>
    <row r="657" spans="1:2" x14ac:dyDescent="0.35">
      <c r="A657" t="s">
        <v>474</v>
      </c>
      <c r="B657" s="7" t="s">
        <v>1298</v>
      </c>
    </row>
    <row r="658" spans="1:2" x14ac:dyDescent="0.35">
      <c r="A658" t="s">
        <v>422</v>
      </c>
      <c r="B658" s="7" t="s">
        <v>1246</v>
      </c>
    </row>
    <row r="659" spans="1:2" x14ac:dyDescent="0.35">
      <c r="A659" t="s">
        <v>364</v>
      </c>
      <c r="B659" s="7" t="s">
        <v>1188</v>
      </c>
    </row>
    <row r="660" spans="1:2" x14ac:dyDescent="0.35">
      <c r="A660" t="s">
        <v>192</v>
      </c>
      <c r="B660" s="7" t="s">
        <v>1020</v>
      </c>
    </row>
    <row r="661" spans="1:2" x14ac:dyDescent="0.35">
      <c r="A661" t="s">
        <v>385</v>
      </c>
      <c r="B661" s="7" t="s">
        <v>1209</v>
      </c>
    </row>
    <row r="662" spans="1:2" x14ac:dyDescent="0.35">
      <c r="A662" t="s">
        <v>701</v>
      </c>
      <c r="B662" s="7" t="s">
        <v>1525</v>
      </c>
    </row>
    <row r="663" spans="1:2" x14ac:dyDescent="0.35">
      <c r="A663" t="s">
        <v>391</v>
      </c>
      <c r="B663" s="7" t="s">
        <v>1215</v>
      </c>
    </row>
    <row r="664" spans="1:2" x14ac:dyDescent="0.35">
      <c r="A664" t="s">
        <v>116</v>
      </c>
      <c r="B664" s="7" t="s">
        <v>945</v>
      </c>
    </row>
    <row r="665" spans="1:2" x14ac:dyDescent="0.35">
      <c r="A665" s="3" t="s">
        <v>408</v>
      </c>
      <c r="B665" s="7" t="s">
        <v>1232</v>
      </c>
    </row>
    <row r="666" spans="1:2" x14ac:dyDescent="0.35">
      <c r="A666" t="s">
        <v>304</v>
      </c>
      <c r="B666" s="7" t="s">
        <v>1129</v>
      </c>
    </row>
    <row r="667" spans="1:2" x14ac:dyDescent="0.35">
      <c r="A667" t="s">
        <v>576</v>
      </c>
      <c r="B667" s="7" t="s">
        <v>1400</v>
      </c>
    </row>
    <row r="668" spans="1:2" x14ac:dyDescent="0.35">
      <c r="A668" t="s">
        <v>702</v>
      </c>
      <c r="B668" s="7" t="s">
        <v>1526</v>
      </c>
    </row>
    <row r="669" spans="1:2" x14ac:dyDescent="0.35">
      <c r="A669" t="s">
        <v>139</v>
      </c>
      <c r="B669" s="7" t="s">
        <v>968</v>
      </c>
    </row>
    <row r="670" spans="1:2" x14ac:dyDescent="0.35">
      <c r="A670" t="s">
        <v>138</v>
      </c>
      <c r="B670" s="7" t="s">
        <v>967</v>
      </c>
    </row>
    <row r="671" spans="1:2" x14ac:dyDescent="0.35">
      <c r="A671" t="s">
        <v>361</v>
      </c>
      <c r="B671" s="7" t="s">
        <v>1185</v>
      </c>
    </row>
    <row r="672" spans="1:2" x14ac:dyDescent="0.35">
      <c r="A672" t="s">
        <v>3375</v>
      </c>
      <c r="B672" t="s">
        <v>3376</v>
      </c>
    </row>
    <row r="673" spans="1:2" x14ac:dyDescent="0.35">
      <c r="A673" t="s">
        <v>181</v>
      </c>
      <c r="B673" s="7" t="s">
        <v>1010</v>
      </c>
    </row>
    <row r="674" spans="1:2" x14ac:dyDescent="0.35">
      <c r="A674" t="s">
        <v>634</v>
      </c>
      <c r="B674" s="7" t="s">
        <v>1458</v>
      </c>
    </row>
    <row r="675" spans="1:2" x14ac:dyDescent="0.35">
      <c r="A675" t="s">
        <v>315</v>
      </c>
      <c r="B675" s="7" t="s">
        <v>1140</v>
      </c>
    </row>
    <row r="676" spans="1:2" x14ac:dyDescent="0.35">
      <c r="A676" t="s">
        <v>314</v>
      </c>
      <c r="B676" s="7" t="s">
        <v>1139</v>
      </c>
    </row>
    <row r="677" spans="1:2" x14ac:dyDescent="0.35">
      <c r="A677" t="s">
        <v>758</v>
      </c>
      <c r="B677" s="7" t="s">
        <v>1582</v>
      </c>
    </row>
    <row r="678" spans="1:2" x14ac:dyDescent="0.35">
      <c r="A678" t="s">
        <v>759</v>
      </c>
      <c r="B678" s="7" t="s">
        <v>1583</v>
      </c>
    </row>
    <row r="679" spans="1:2" x14ac:dyDescent="0.35">
      <c r="A679" t="s">
        <v>731</v>
      </c>
      <c r="B679" s="7" t="s">
        <v>1555</v>
      </c>
    </row>
    <row r="680" spans="1:2" x14ac:dyDescent="0.35">
      <c r="A680" t="s">
        <v>262</v>
      </c>
      <c r="B680" s="7" t="s">
        <v>1088</v>
      </c>
    </row>
    <row r="681" spans="1:2" x14ac:dyDescent="0.35">
      <c r="A681" t="s">
        <v>768</v>
      </c>
      <c r="B681" s="7" t="s">
        <v>1592</v>
      </c>
    </row>
    <row r="682" spans="1:2" x14ac:dyDescent="0.35">
      <c r="A682" t="s">
        <v>47</v>
      </c>
      <c r="B682" s="7" t="s">
        <v>876</v>
      </c>
    </row>
    <row r="683" spans="1:2" x14ac:dyDescent="0.35">
      <c r="A683" t="s">
        <v>111</v>
      </c>
      <c r="B683" s="7" t="s">
        <v>940</v>
      </c>
    </row>
    <row r="684" spans="1:2" x14ac:dyDescent="0.35">
      <c r="A684" t="s">
        <v>742</v>
      </c>
      <c r="B684" s="7" t="s">
        <v>1566</v>
      </c>
    </row>
    <row r="685" spans="1:2" x14ac:dyDescent="0.35">
      <c r="A685" t="s">
        <v>743</v>
      </c>
      <c r="B685" s="7" t="s">
        <v>1567</v>
      </c>
    </row>
    <row r="686" spans="1:2" x14ac:dyDescent="0.35">
      <c r="A686" t="s">
        <v>744</v>
      </c>
      <c r="B686" s="7" t="s">
        <v>1568</v>
      </c>
    </row>
    <row r="687" spans="1:2" x14ac:dyDescent="0.35">
      <c r="A687" t="s">
        <v>745</v>
      </c>
      <c r="B687" s="7" t="s">
        <v>1569</v>
      </c>
    </row>
    <row r="688" spans="1:2" x14ac:dyDescent="0.35">
      <c r="A688" t="s">
        <v>746</v>
      </c>
      <c r="B688" s="7" t="s">
        <v>1570</v>
      </c>
    </row>
    <row r="689" spans="1:7" x14ac:dyDescent="0.35">
      <c r="A689" t="s">
        <v>747</v>
      </c>
      <c r="B689" s="7" t="s">
        <v>1571</v>
      </c>
    </row>
    <row r="690" spans="1:7" x14ac:dyDescent="0.35">
      <c r="A690" t="s">
        <v>748</v>
      </c>
      <c r="B690" s="7" t="s">
        <v>1572</v>
      </c>
    </row>
    <row r="691" spans="1:7" x14ac:dyDescent="0.35">
      <c r="A691" t="s">
        <v>749</v>
      </c>
      <c r="B691" s="7" t="s">
        <v>1573</v>
      </c>
      <c r="C691">
        <v>6.8</v>
      </c>
      <c r="D691" t="s">
        <v>4106</v>
      </c>
      <c r="E691" t="s">
        <v>4066</v>
      </c>
      <c r="F691" s="57">
        <v>44573</v>
      </c>
      <c r="G691" t="s">
        <v>1720</v>
      </c>
    </row>
    <row r="692" spans="1:7" x14ac:dyDescent="0.35">
      <c r="A692" t="s">
        <v>750</v>
      </c>
      <c r="B692" s="7" t="s">
        <v>1574</v>
      </c>
    </row>
    <row r="693" spans="1:7" x14ac:dyDescent="0.35">
      <c r="A693" t="s">
        <v>751</v>
      </c>
      <c r="B693" s="7" t="s">
        <v>1575</v>
      </c>
    </row>
    <row r="694" spans="1:7" x14ac:dyDescent="0.35">
      <c r="A694" t="s">
        <v>741</v>
      </c>
      <c r="B694" s="7" t="s">
        <v>1565</v>
      </c>
    </row>
    <row r="695" spans="1:7" x14ac:dyDescent="0.35">
      <c r="A695" t="s">
        <v>752</v>
      </c>
      <c r="B695" s="7" t="s">
        <v>1576</v>
      </c>
    </row>
    <row r="696" spans="1:7" x14ac:dyDescent="0.35">
      <c r="A696" t="s">
        <v>76</v>
      </c>
      <c r="B696" s="7" t="s">
        <v>905</v>
      </c>
    </row>
    <row r="697" spans="1:7" x14ac:dyDescent="0.35">
      <c r="A697" t="s">
        <v>3359</v>
      </c>
      <c r="B697" t="s">
        <v>3360</v>
      </c>
    </row>
    <row r="698" spans="1:7" x14ac:dyDescent="0.35">
      <c r="A698" t="s">
        <v>459</v>
      </c>
      <c r="B698" s="7" t="s">
        <v>1283</v>
      </c>
    </row>
    <row r="699" spans="1:7" x14ac:dyDescent="0.35">
      <c r="A699" t="s">
        <v>514</v>
      </c>
      <c r="B699" s="7" t="s">
        <v>1338</v>
      </c>
    </row>
    <row r="700" spans="1:7" x14ac:dyDescent="0.35">
      <c r="A700" t="s">
        <v>59</v>
      </c>
      <c r="B700" s="7" t="s">
        <v>888</v>
      </c>
    </row>
    <row r="701" spans="1:7" x14ac:dyDescent="0.35">
      <c r="A701" t="s">
        <v>823</v>
      </c>
      <c r="B701" s="7" t="s">
        <v>1645</v>
      </c>
    </row>
    <row r="702" spans="1:7" x14ac:dyDescent="0.35">
      <c r="A702" t="s">
        <v>189</v>
      </c>
      <c r="B702" s="7" t="s">
        <v>1017</v>
      </c>
    </row>
    <row r="703" spans="1:7" x14ac:dyDescent="0.35">
      <c r="A703" t="s">
        <v>18</v>
      </c>
      <c r="B703" s="7" t="s">
        <v>847</v>
      </c>
    </row>
    <row r="704" spans="1:7" x14ac:dyDescent="0.35">
      <c r="A704" t="s">
        <v>174</v>
      </c>
      <c r="B704" s="7" t="s">
        <v>1003</v>
      </c>
    </row>
    <row r="705" spans="1:2" x14ac:dyDescent="0.35">
      <c r="A705" t="s">
        <v>291</v>
      </c>
      <c r="B705" s="7" t="s">
        <v>1116</v>
      </c>
    </row>
    <row r="706" spans="1:2" x14ac:dyDescent="0.35">
      <c r="A706" t="s">
        <v>629</v>
      </c>
      <c r="B706" s="7" t="s">
        <v>1453</v>
      </c>
    </row>
    <row r="707" spans="1:2" x14ac:dyDescent="0.35">
      <c r="A707" s="2" t="s">
        <v>483</v>
      </c>
      <c r="B707" t="s">
        <v>1307</v>
      </c>
    </row>
    <row r="708" spans="1:2" x14ac:dyDescent="0.35">
      <c r="A708" t="s">
        <v>375</v>
      </c>
      <c r="B708" s="7" t="s">
        <v>1199</v>
      </c>
    </row>
    <row r="709" spans="1:2" x14ac:dyDescent="0.35">
      <c r="A709" t="s">
        <v>398</v>
      </c>
      <c r="B709" s="7" t="s">
        <v>1222</v>
      </c>
    </row>
    <row r="710" spans="1:2" x14ac:dyDescent="0.35">
      <c r="A710" t="s">
        <v>401</v>
      </c>
      <c r="B710" s="7" t="s">
        <v>1225</v>
      </c>
    </row>
    <row r="711" spans="1:2" x14ac:dyDescent="0.35">
      <c r="A711" t="s">
        <v>402</v>
      </c>
      <c r="B711" s="7" t="s">
        <v>1226</v>
      </c>
    </row>
    <row r="712" spans="1:2" x14ac:dyDescent="0.35">
      <c r="A712" t="s">
        <v>403</v>
      </c>
      <c r="B712" s="7" t="s">
        <v>1227</v>
      </c>
    </row>
    <row r="713" spans="1:2" x14ac:dyDescent="0.35">
      <c r="A713" t="s">
        <v>400</v>
      </c>
      <c r="B713" s="7" t="s">
        <v>1224</v>
      </c>
    </row>
    <row r="714" spans="1:2" x14ac:dyDescent="0.35">
      <c r="A714" t="s">
        <v>373</v>
      </c>
      <c r="B714" s="7" t="s">
        <v>1197</v>
      </c>
    </row>
    <row r="715" spans="1:2" x14ac:dyDescent="0.35">
      <c r="A715" t="s">
        <v>3347</v>
      </c>
      <c r="B715" t="s">
        <v>3348</v>
      </c>
    </row>
    <row r="716" spans="1:2" x14ac:dyDescent="0.35">
      <c r="A716" t="s">
        <v>3393</v>
      </c>
      <c r="B716" t="s">
        <v>3348</v>
      </c>
    </row>
    <row r="717" spans="1:2" x14ac:dyDescent="0.35">
      <c r="A717" t="s">
        <v>278</v>
      </c>
      <c r="B717" s="7" t="s">
        <v>1104</v>
      </c>
    </row>
    <row r="718" spans="1:2" x14ac:dyDescent="0.35">
      <c r="A718" t="s">
        <v>3413</v>
      </c>
      <c r="B718" t="s">
        <v>3418</v>
      </c>
    </row>
    <row r="719" spans="1:2" x14ac:dyDescent="0.35">
      <c r="A719" t="s">
        <v>3407</v>
      </c>
      <c r="B719" t="s">
        <v>3415</v>
      </c>
    </row>
    <row r="720" spans="1:2" x14ac:dyDescent="0.35">
      <c r="A720" t="s">
        <v>327</v>
      </c>
      <c r="B720" s="7" t="s">
        <v>1152</v>
      </c>
    </row>
    <row r="721" spans="1:2" x14ac:dyDescent="0.35">
      <c r="A721" t="s">
        <v>521</v>
      </c>
      <c r="B721" s="7" t="s">
        <v>1345</v>
      </c>
    </row>
    <row r="722" spans="1:2" x14ac:dyDescent="0.35">
      <c r="A722" t="s">
        <v>561</v>
      </c>
      <c r="B722" s="7" t="s">
        <v>1385</v>
      </c>
    </row>
    <row r="723" spans="1:2" x14ac:dyDescent="0.35">
      <c r="A723" t="s">
        <v>338</v>
      </c>
      <c r="B723" s="7" t="s">
        <v>1162</v>
      </c>
    </row>
    <row r="724" spans="1:2" x14ac:dyDescent="0.35">
      <c r="A724" t="s">
        <v>83</v>
      </c>
      <c r="B724" s="7" t="s">
        <v>912</v>
      </c>
    </row>
    <row r="725" spans="1:2" x14ac:dyDescent="0.35">
      <c r="A725" t="s">
        <v>288</v>
      </c>
      <c r="B725" s="7" t="s">
        <v>1113</v>
      </c>
    </row>
    <row r="726" spans="1:2" x14ac:dyDescent="0.35">
      <c r="A726" t="s">
        <v>261</v>
      </c>
      <c r="B726" s="7" t="s">
        <v>1087</v>
      </c>
    </row>
    <row r="727" spans="1:2" x14ac:dyDescent="0.35">
      <c r="A727" t="s">
        <v>520</v>
      </c>
      <c r="B727" s="7" t="s">
        <v>1344</v>
      </c>
    </row>
    <row r="728" spans="1:2" x14ac:dyDescent="0.35">
      <c r="A728" t="s">
        <v>659</v>
      </c>
      <c r="B728" s="7" t="s">
        <v>1483</v>
      </c>
    </row>
    <row r="729" spans="1:2" x14ac:dyDescent="0.35">
      <c r="A729" t="s">
        <v>221</v>
      </c>
      <c r="B729" s="7" t="s">
        <v>1048</v>
      </c>
    </row>
    <row r="730" spans="1:2" x14ac:dyDescent="0.35">
      <c r="A730" t="s">
        <v>313</v>
      </c>
      <c r="B730" s="7" t="s">
        <v>1138</v>
      </c>
    </row>
    <row r="731" spans="1:2" x14ac:dyDescent="0.35">
      <c r="A731" t="s">
        <v>673</v>
      </c>
      <c r="B731" s="7" t="s">
        <v>1497</v>
      </c>
    </row>
    <row r="732" spans="1:2" x14ac:dyDescent="0.35">
      <c r="A732" t="s">
        <v>160</v>
      </c>
      <c r="B732" s="7" t="s">
        <v>989</v>
      </c>
    </row>
    <row r="733" spans="1:2" x14ac:dyDescent="0.35">
      <c r="A733" t="s">
        <v>188</v>
      </c>
      <c r="B733" s="7" t="s">
        <v>1016</v>
      </c>
    </row>
    <row r="734" spans="1:2" x14ac:dyDescent="0.35">
      <c r="A734" t="s">
        <v>503</v>
      </c>
      <c r="B734" s="7" t="s">
        <v>1327</v>
      </c>
    </row>
    <row r="735" spans="1:2" x14ac:dyDescent="0.35">
      <c r="A735" t="s">
        <v>134</v>
      </c>
      <c r="B735" s="7" t="s">
        <v>963</v>
      </c>
    </row>
    <row r="736" spans="1:2" x14ac:dyDescent="0.35">
      <c r="A736" t="s">
        <v>145</v>
      </c>
      <c r="B736" s="7" t="s">
        <v>974</v>
      </c>
    </row>
    <row r="737" spans="1:2" x14ac:dyDescent="0.35">
      <c r="A737" t="s">
        <v>423</v>
      </c>
      <c r="B737" s="7" t="s">
        <v>1247</v>
      </c>
    </row>
    <row r="738" spans="1:2" x14ac:dyDescent="0.35">
      <c r="A738" t="s">
        <v>541</v>
      </c>
      <c r="B738" s="7" t="s">
        <v>1365</v>
      </c>
    </row>
    <row r="739" spans="1:2" x14ac:dyDescent="0.35">
      <c r="A739" t="s">
        <v>195</v>
      </c>
      <c r="B739" s="7" t="s">
        <v>1023</v>
      </c>
    </row>
    <row r="740" spans="1:2" x14ac:dyDescent="0.35">
      <c r="A740" t="s">
        <v>660</v>
      </c>
      <c r="B740" s="7" t="s">
        <v>1484</v>
      </c>
    </row>
    <row r="741" spans="1:2" x14ac:dyDescent="0.35">
      <c r="A741" t="s">
        <v>616</v>
      </c>
      <c r="B741" s="7" t="s">
        <v>1440</v>
      </c>
    </row>
    <row r="742" spans="1:2" x14ac:dyDescent="0.35">
      <c r="A742" t="s">
        <v>298</v>
      </c>
      <c r="B742" s="7" t="s">
        <v>1123</v>
      </c>
    </row>
    <row r="743" spans="1:2" x14ac:dyDescent="0.35">
      <c r="A743" t="s">
        <v>263</v>
      </c>
      <c r="B743" s="7" t="s">
        <v>1089</v>
      </c>
    </row>
    <row r="744" spans="1:2" x14ac:dyDescent="0.35">
      <c r="A744" t="s">
        <v>359</v>
      </c>
      <c r="B744" s="7" t="s">
        <v>1183</v>
      </c>
    </row>
    <row r="745" spans="1:2" x14ac:dyDescent="0.35">
      <c r="A745" t="s">
        <v>413</v>
      </c>
      <c r="B745" s="7" t="s">
        <v>1237</v>
      </c>
    </row>
    <row r="746" spans="1:2" x14ac:dyDescent="0.35">
      <c r="A746" t="s">
        <v>23</v>
      </c>
      <c r="B746" s="7" t="s">
        <v>852</v>
      </c>
    </row>
    <row r="747" spans="1:2" x14ac:dyDescent="0.35">
      <c r="A747" t="s">
        <v>3330</v>
      </c>
      <c r="B747" t="s">
        <v>3331</v>
      </c>
    </row>
    <row r="748" spans="1:2" x14ac:dyDescent="0.35">
      <c r="A748" t="s">
        <v>485</v>
      </c>
      <c r="B748" s="7" t="s">
        <v>1309</v>
      </c>
    </row>
    <row r="749" spans="1:2" x14ac:dyDescent="0.35">
      <c r="A749" t="s">
        <v>577</v>
      </c>
      <c r="B749" s="7" t="s">
        <v>1401</v>
      </c>
    </row>
    <row r="750" spans="1:2" x14ac:dyDescent="0.35">
      <c r="A750" t="s">
        <v>8</v>
      </c>
      <c r="B750" s="7" t="s">
        <v>837</v>
      </c>
    </row>
    <row r="751" spans="1:2" x14ac:dyDescent="0.35">
      <c r="A751" t="s">
        <v>13</v>
      </c>
      <c r="B751" s="7" t="s">
        <v>842</v>
      </c>
    </row>
    <row r="752" spans="1:2" x14ac:dyDescent="0.35">
      <c r="A752" t="s">
        <v>144</v>
      </c>
      <c r="B752" s="7" t="s">
        <v>973</v>
      </c>
    </row>
    <row r="753" spans="1:2" x14ac:dyDescent="0.35">
      <c r="A753" t="s">
        <v>624</v>
      </c>
      <c r="B753" s="7" t="s">
        <v>1448</v>
      </c>
    </row>
    <row r="754" spans="1:2" x14ac:dyDescent="0.35">
      <c r="A754" t="s">
        <v>571</v>
      </c>
      <c r="B754" s="7" t="s">
        <v>1395</v>
      </c>
    </row>
    <row r="755" spans="1:2" x14ac:dyDescent="0.35">
      <c r="A755" s="1" t="s">
        <v>38</v>
      </c>
      <c r="B755" s="7" t="s">
        <v>867</v>
      </c>
    </row>
    <row r="756" spans="1:2" x14ac:dyDescent="0.35">
      <c r="A756" t="s">
        <v>3334</v>
      </c>
      <c r="B756" t="s">
        <v>867</v>
      </c>
    </row>
    <row r="757" spans="1:2" x14ac:dyDescent="0.35">
      <c r="A757" t="s">
        <v>4</v>
      </c>
      <c r="B757" s="7" t="s">
        <v>833</v>
      </c>
    </row>
    <row r="758" spans="1:2" x14ac:dyDescent="0.35">
      <c r="A758" t="s">
        <v>64</v>
      </c>
      <c r="B758" s="7" t="s">
        <v>893</v>
      </c>
    </row>
    <row r="759" spans="1:2" x14ac:dyDescent="0.35">
      <c r="A759" t="s">
        <v>159</v>
      </c>
      <c r="B759" s="7" t="s">
        <v>988</v>
      </c>
    </row>
    <row r="760" spans="1:2" x14ac:dyDescent="0.35">
      <c r="A760" t="s">
        <v>635</v>
      </c>
      <c r="B760" s="7" t="s">
        <v>1459</v>
      </c>
    </row>
    <row r="761" spans="1:2" x14ac:dyDescent="0.35">
      <c r="A761" t="s">
        <v>384</v>
      </c>
      <c r="B761" s="7" t="s">
        <v>1208</v>
      </c>
    </row>
    <row r="762" spans="1:2" x14ac:dyDescent="0.35">
      <c r="A762" t="s">
        <v>527</v>
      </c>
      <c r="B762" s="7" t="s">
        <v>1351</v>
      </c>
    </row>
    <row r="763" spans="1:2" x14ac:dyDescent="0.35">
      <c r="A763" t="s">
        <v>84</v>
      </c>
      <c r="B763" s="7" t="s">
        <v>913</v>
      </c>
    </row>
    <row r="764" spans="1:2" x14ac:dyDescent="0.35">
      <c r="A764" t="s">
        <v>165</v>
      </c>
      <c r="B764" s="7" t="s">
        <v>994</v>
      </c>
    </row>
    <row r="765" spans="1:2" x14ac:dyDescent="0.35">
      <c r="A765" t="s">
        <v>146</v>
      </c>
      <c r="B765" s="7" t="s">
        <v>975</v>
      </c>
    </row>
    <row r="766" spans="1:2" x14ac:dyDescent="0.35">
      <c r="A766" t="s">
        <v>737</v>
      </c>
      <c r="B766" s="7" t="s">
        <v>1561</v>
      </c>
    </row>
    <row r="767" spans="1:2" x14ac:dyDescent="0.35">
      <c r="A767" t="s">
        <v>3349</v>
      </c>
      <c r="B767" t="s">
        <v>3350</v>
      </c>
    </row>
    <row r="768" spans="1:2" x14ac:dyDescent="0.35">
      <c r="A768" t="s">
        <v>3394</v>
      </c>
      <c r="B768" t="s">
        <v>3395</v>
      </c>
    </row>
    <row r="769" spans="1:2" x14ac:dyDescent="0.35">
      <c r="A769" t="s">
        <v>112</v>
      </c>
      <c r="B769" s="7" t="s">
        <v>941</v>
      </c>
    </row>
    <row r="770" spans="1:2" x14ac:dyDescent="0.35">
      <c r="A770" t="s">
        <v>90</v>
      </c>
      <c r="B770" s="7" t="s">
        <v>919</v>
      </c>
    </row>
    <row r="771" spans="1:2" x14ac:dyDescent="0.35">
      <c r="A771" t="s">
        <v>91</v>
      </c>
      <c r="B771" s="7" t="s">
        <v>920</v>
      </c>
    </row>
    <row r="772" spans="1:2" x14ac:dyDescent="0.35">
      <c r="A772" t="s">
        <v>167</v>
      </c>
      <c r="B772" s="7" t="s">
        <v>996</v>
      </c>
    </row>
    <row r="773" spans="1:2" x14ac:dyDescent="0.35">
      <c r="A773" t="s">
        <v>158</v>
      </c>
      <c r="B773" s="7" t="s">
        <v>987</v>
      </c>
    </row>
    <row r="774" spans="1:2" x14ac:dyDescent="0.35">
      <c r="A774" t="s">
        <v>460</v>
      </c>
      <c r="B774" s="7" t="s">
        <v>1284</v>
      </c>
    </row>
    <row r="775" spans="1:2" x14ac:dyDescent="0.35">
      <c r="A775" t="s">
        <v>540</v>
      </c>
      <c r="B775" s="7" t="s">
        <v>1364</v>
      </c>
    </row>
    <row r="776" spans="1:2" x14ac:dyDescent="0.35">
      <c r="A776" t="s">
        <v>590</v>
      </c>
      <c r="B776" s="7" t="s">
        <v>1414</v>
      </c>
    </row>
    <row r="777" spans="1:2" x14ac:dyDescent="0.35">
      <c r="A777" t="s">
        <v>88</v>
      </c>
      <c r="B777" s="7" t="s">
        <v>917</v>
      </c>
    </row>
    <row r="778" spans="1:2" x14ac:dyDescent="0.35">
      <c r="A778" t="s">
        <v>594</v>
      </c>
      <c r="B778" s="7" t="s">
        <v>1418</v>
      </c>
    </row>
    <row r="779" spans="1:2" x14ac:dyDescent="0.35">
      <c r="A779" t="s">
        <v>296</v>
      </c>
      <c r="B779" s="7" t="s">
        <v>1121</v>
      </c>
    </row>
    <row r="780" spans="1:2" x14ac:dyDescent="0.35">
      <c r="A780" t="s">
        <v>164</v>
      </c>
      <c r="B780" s="7" t="s">
        <v>993</v>
      </c>
    </row>
    <row r="781" spans="1:2" x14ac:dyDescent="0.35">
      <c r="A781" t="s">
        <v>297</v>
      </c>
      <c r="B781" s="7" t="s">
        <v>1122</v>
      </c>
    </row>
    <row r="782" spans="1:2" x14ac:dyDescent="0.35">
      <c r="A782" t="s">
        <v>465</v>
      </c>
      <c r="B782" s="7" t="s">
        <v>1289</v>
      </c>
    </row>
    <row r="783" spans="1:2" x14ac:dyDescent="0.35">
      <c r="A783" t="s">
        <v>241</v>
      </c>
      <c r="B783" s="7" t="s">
        <v>1067</v>
      </c>
    </row>
    <row r="784" spans="1:2" x14ac:dyDescent="0.35">
      <c r="A784" t="s">
        <v>738</v>
      </c>
      <c r="B784" s="7" t="s">
        <v>1562</v>
      </c>
    </row>
    <row r="785" spans="1:2" x14ac:dyDescent="0.35">
      <c r="A785" t="s">
        <v>592</v>
      </c>
      <c r="B785" s="7" t="s">
        <v>1416</v>
      </c>
    </row>
    <row r="786" spans="1:2" x14ac:dyDescent="0.35">
      <c r="A786" t="s">
        <v>760</v>
      </c>
      <c r="B786" s="7" t="s">
        <v>1584</v>
      </c>
    </row>
    <row r="787" spans="1:2" x14ac:dyDescent="0.35">
      <c r="A787" t="s">
        <v>525</v>
      </c>
      <c r="B787" s="7" t="s">
        <v>1349</v>
      </c>
    </row>
    <row r="788" spans="1:2" x14ac:dyDescent="0.35">
      <c r="A788" t="s">
        <v>141</v>
      </c>
      <c r="B788" s="7" t="s">
        <v>970</v>
      </c>
    </row>
    <row r="789" spans="1:2" x14ac:dyDescent="0.35">
      <c r="A789" t="s">
        <v>589</v>
      </c>
      <c r="B789" s="7" t="s">
        <v>1413</v>
      </c>
    </row>
    <row r="790" spans="1:2" x14ac:dyDescent="0.35">
      <c r="A790" t="s">
        <v>124</v>
      </c>
      <c r="B790" s="7" t="s">
        <v>953</v>
      </c>
    </row>
    <row r="791" spans="1:2" x14ac:dyDescent="0.35">
      <c r="A791" t="s">
        <v>533</v>
      </c>
      <c r="B791" s="7" t="s">
        <v>1357</v>
      </c>
    </row>
    <row r="792" spans="1:2" x14ac:dyDescent="0.35">
      <c r="A792" t="s">
        <v>3396</v>
      </c>
      <c r="B792" t="s">
        <v>3397</v>
      </c>
    </row>
    <row r="793" spans="1:2" x14ac:dyDescent="0.35">
      <c r="A793" t="s">
        <v>321</v>
      </c>
      <c r="B793" s="7" t="s">
        <v>1146</v>
      </c>
    </row>
    <row r="794" spans="1:2" x14ac:dyDescent="0.35">
      <c r="A794" t="s">
        <v>642</v>
      </c>
      <c r="B794" s="7" t="s">
        <v>1466</v>
      </c>
    </row>
    <row r="795" spans="1:2" x14ac:dyDescent="0.35">
      <c r="A795" t="s">
        <v>488</v>
      </c>
      <c r="B795" s="7" t="s">
        <v>1312</v>
      </c>
    </row>
    <row r="796" spans="1:2" x14ac:dyDescent="0.35">
      <c r="A796" t="s">
        <v>770</v>
      </c>
      <c r="B796" s="7" t="s">
        <v>1594</v>
      </c>
    </row>
    <row r="797" spans="1:2" x14ac:dyDescent="0.35">
      <c r="A797" t="s">
        <v>638</v>
      </c>
      <c r="B797" s="7" t="s">
        <v>1462</v>
      </c>
    </row>
    <row r="798" spans="1:2" x14ac:dyDescent="0.35">
      <c r="A798" t="s">
        <v>632</v>
      </c>
      <c r="B798" s="7" t="s">
        <v>1456</v>
      </c>
    </row>
    <row r="799" spans="1:2" x14ac:dyDescent="0.35">
      <c r="A799" t="s">
        <v>621</v>
      </c>
      <c r="B799" s="7" t="s">
        <v>1445</v>
      </c>
    </row>
    <row r="800" spans="1:2" x14ac:dyDescent="0.35">
      <c r="A800" t="s">
        <v>10</v>
      </c>
      <c r="B800" s="7" t="s">
        <v>839</v>
      </c>
    </row>
    <row r="801" spans="1:2" x14ac:dyDescent="0.35">
      <c r="A801" t="s">
        <v>3351</v>
      </c>
      <c r="B801" t="s">
        <v>3352</v>
      </c>
    </row>
    <row r="802" spans="1:2" x14ac:dyDescent="0.35">
      <c r="A802" t="s">
        <v>3398</v>
      </c>
      <c r="B802" t="s">
        <v>3352</v>
      </c>
    </row>
    <row r="803" spans="1:2" x14ac:dyDescent="0.35">
      <c r="A803" t="s">
        <v>341</v>
      </c>
      <c r="B803" s="7" t="s">
        <v>1165</v>
      </c>
    </row>
    <row r="804" spans="1:2" x14ac:dyDescent="0.35">
      <c r="A804" t="s">
        <v>3379</v>
      </c>
      <c r="B804" t="s">
        <v>3380</v>
      </c>
    </row>
    <row r="805" spans="1:2" x14ac:dyDescent="0.35">
      <c r="A805" t="s">
        <v>3401</v>
      </c>
      <c r="B805" t="s">
        <v>3402</v>
      </c>
    </row>
    <row r="806" spans="1:2" x14ac:dyDescent="0.35">
      <c r="A806" t="s">
        <v>3353</v>
      </c>
      <c r="B806" t="s">
        <v>3354</v>
      </c>
    </row>
    <row r="807" spans="1:2" x14ac:dyDescent="0.35">
      <c r="A807" t="s">
        <v>3355</v>
      </c>
      <c r="B807" t="s">
        <v>3356</v>
      </c>
    </row>
    <row r="808" spans="1:2" x14ac:dyDescent="0.35">
      <c r="A808" t="s">
        <v>92</v>
      </c>
      <c r="B808" s="7" t="s">
        <v>921</v>
      </c>
    </row>
    <row r="809" spans="1:2" x14ac:dyDescent="0.35">
      <c r="A809" t="s">
        <v>62</v>
      </c>
      <c r="B809" s="7" t="s">
        <v>891</v>
      </c>
    </row>
    <row r="810" spans="1:2" x14ac:dyDescent="0.35">
      <c r="A810" t="s">
        <v>732</v>
      </c>
      <c r="B810" s="7" t="s">
        <v>1556</v>
      </c>
    </row>
    <row r="811" spans="1:2" x14ac:dyDescent="0.35">
      <c r="A811" t="s">
        <v>208</v>
      </c>
      <c r="B811" s="7" t="s">
        <v>1035</v>
      </c>
    </row>
    <row r="812" spans="1:2" x14ac:dyDescent="0.35">
      <c r="A812" t="s">
        <v>572</v>
      </c>
      <c r="B812" s="7" t="s">
        <v>1396</v>
      </c>
    </row>
    <row r="813" spans="1:2" x14ac:dyDescent="0.35">
      <c r="A813" t="s">
        <v>239</v>
      </c>
      <c r="B813" s="7" t="s">
        <v>1065</v>
      </c>
    </row>
    <row r="814" spans="1:2" x14ac:dyDescent="0.35">
      <c r="A814" t="s">
        <v>240</v>
      </c>
      <c r="B814" s="7" t="s">
        <v>1066</v>
      </c>
    </row>
    <row r="815" spans="1:2" x14ac:dyDescent="0.35">
      <c r="A815" t="s">
        <v>238</v>
      </c>
      <c r="B815" s="7" t="s">
        <v>1064</v>
      </c>
    </row>
    <row r="816" spans="1:2" x14ac:dyDescent="0.35">
      <c r="A816" t="s">
        <v>637</v>
      </c>
      <c r="B816" s="7" t="s">
        <v>1461</v>
      </c>
    </row>
    <row r="817" spans="1:2" x14ac:dyDescent="0.35">
      <c r="A817" t="s">
        <v>206</v>
      </c>
      <c r="B817" s="7" t="s">
        <v>1033</v>
      </c>
    </row>
    <row r="818" spans="1:2" x14ac:dyDescent="0.35">
      <c r="A818" t="s">
        <v>674</v>
      </c>
      <c r="B818" s="7" t="s">
        <v>1498</v>
      </c>
    </row>
    <row r="819" spans="1:2" x14ac:dyDescent="0.35">
      <c r="A819" t="s">
        <v>578</v>
      </c>
      <c r="B819" s="7" t="s">
        <v>1402</v>
      </c>
    </row>
    <row r="820" spans="1:2" x14ac:dyDescent="0.35">
      <c r="A820" t="s">
        <v>622</v>
      </c>
      <c r="B820" s="7" t="s">
        <v>1446</v>
      </c>
    </row>
    <row r="821" spans="1:2" x14ac:dyDescent="0.35">
      <c r="A821" t="s">
        <v>214</v>
      </c>
      <c r="B821" s="7" t="s">
        <v>1041</v>
      </c>
    </row>
    <row r="822" spans="1:2" x14ac:dyDescent="0.35">
      <c r="A822" t="s">
        <v>519</v>
      </c>
      <c r="B822" s="7" t="s">
        <v>1343</v>
      </c>
    </row>
    <row r="823" spans="1:2" x14ac:dyDescent="0.35">
      <c r="A823" t="s">
        <v>3369</v>
      </c>
      <c r="B823" t="s">
        <v>3370</v>
      </c>
    </row>
    <row r="824" spans="1:2" x14ac:dyDescent="0.35">
      <c r="A824" t="s">
        <v>3363</v>
      </c>
      <c r="B824" t="s">
        <v>3364</v>
      </c>
    </row>
    <row r="825" spans="1:2" x14ac:dyDescent="0.35">
      <c r="A825" t="s">
        <v>515</v>
      </c>
      <c r="B825" s="7" t="s">
        <v>1339</v>
      </c>
    </row>
    <row r="826" spans="1:2" x14ac:dyDescent="0.35">
      <c r="A826" t="s">
        <v>388</v>
      </c>
      <c r="B826" s="7" t="s">
        <v>1212</v>
      </c>
    </row>
    <row r="827" spans="1:2" x14ac:dyDescent="0.35">
      <c r="A827" t="s">
        <v>110</v>
      </c>
      <c r="B827" s="7" t="s">
        <v>939</v>
      </c>
    </row>
    <row r="828" spans="1:2" x14ac:dyDescent="0.35">
      <c r="A828" t="s">
        <v>661</v>
      </c>
      <c r="B828" s="7" t="s">
        <v>1485</v>
      </c>
    </row>
    <row r="829" spans="1:2" x14ac:dyDescent="0.35">
      <c r="A829" t="s">
        <v>476</v>
      </c>
      <c r="B829" s="7" t="s">
        <v>1300</v>
      </c>
    </row>
    <row r="830" spans="1:2" x14ac:dyDescent="0.35">
      <c r="A830" t="s">
        <v>613</v>
      </c>
      <c r="B830" s="7" t="s">
        <v>1437</v>
      </c>
    </row>
    <row r="831" spans="1:2" x14ac:dyDescent="0.35">
      <c r="A831" t="s">
        <v>170</v>
      </c>
      <c r="B831" s="7" t="s">
        <v>999</v>
      </c>
    </row>
    <row r="832" spans="1:2" x14ac:dyDescent="0.35">
      <c r="A832" t="s">
        <v>548</v>
      </c>
      <c r="B832" s="7" t="s">
        <v>1372</v>
      </c>
    </row>
    <row r="833" spans="1:2" x14ac:dyDescent="0.35">
      <c r="A833" t="s">
        <v>396</v>
      </c>
      <c r="B833" s="7" t="s">
        <v>1220</v>
      </c>
    </row>
    <row r="834" spans="1:2" x14ac:dyDescent="0.35">
      <c r="A834" t="s">
        <v>377</v>
      </c>
      <c r="B834" s="7" t="s">
        <v>1201</v>
      </c>
    </row>
    <row r="835" spans="1:2" x14ac:dyDescent="0.35">
      <c r="A835" t="s">
        <v>5</v>
      </c>
      <c r="B835" s="7" t="s">
        <v>834</v>
      </c>
    </row>
    <row r="836" spans="1:2" x14ac:dyDescent="0.35">
      <c r="A836" t="s">
        <v>235</v>
      </c>
      <c r="B836" s="7" t="s">
        <v>1062</v>
      </c>
    </row>
    <row r="837" spans="1:2" x14ac:dyDescent="0.35">
      <c r="A837" t="s">
        <v>393</v>
      </c>
      <c r="B837" s="7" t="s">
        <v>1217</v>
      </c>
    </row>
    <row r="838" spans="1:2" x14ac:dyDescent="0.35">
      <c r="A838" t="s">
        <v>328</v>
      </c>
      <c r="B838" s="7" t="s">
        <v>1153</v>
      </c>
    </row>
    <row r="839" spans="1:2" x14ac:dyDescent="0.35">
      <c r="A839" t="s">
        <v>209</v>
      </c>
      <c r="B839" s="7" t="s">
        <v>1036</v>
      </c>
    </row>
    <row r="840" spans="1:2" x14ac:dyDescent="0.35">
      <c r="A840" t="s">
        <v>275</v>
      </c>
      <c r="B840" s="7" t="s">
        <v>1101</v>
      </c>
    </row>
    <row r="841" spans="1:2" x14ac:dyDescent="0.35">
      <c r="A841" t="s">
        <v>316</v>
      </c>
      <c r="B841" s="7" t="s">
        <v>1141</v>
      </c>
    </row>
    <row r="842" spans="1:2" x14ac:dyDescent="0.35">
      <c r="A842" t="s">
        <v>178</v>
      </c>
      <c r="B842" s="7" t="s">
        <v>1007</v>
      </c>
    </row>
    <row r="843" spans="1:2" x14ac:dyDescent="0.35">
      <c r="A843" t="s">
        <v>151</v>
      </c>
      <c r="B843" s="7" t="s">
        <v>980</v>
      </c>
    </row>
    <row r="844" spans="1:2" x14ac:dyDescent="0.35">
      <c r="A844" t="s">
        <v>761</v>
      </c>
      <c r="B844" s="7" t="s">
        <v>1585</v>
      </c>
    </row>
    <row r="845" spans="1:2" x14ac:dyDescent="0.35">
      <c r="A845" t="s">
        <v>424</v>
      </c>
      <c r="B845" s="7" t="s">
        <v>1248</v>
      </c>
    </row>
    <row r="846" spans="1:2" x14ac:dyDescent="0.35">
      <c r="A846" t="s">
        <v>317</v>
      </c>
      <c r="B846" s="7" t="s">
        <v>1142</v>
      </c>
    </row>
    <row r="847" spans="1:2" x14ac:dyDescent="0.35">
      <c r="A847" t="s">
        <v>96</v>
      </c>
      <c r="B847" s="7" t="s">
        <v>925</v>
      </c>
    </row>
    <row r="848" spans="1:2" x14ac:dyDescent="0.35">
      <c r="A848" t="s">
        <v>580</v>
      </c>
      <c r="B848" s="7" t="s">
        <v>1404</v>
      </c>
    </row>
    <row r="849" spans="1:7" x14ac:dyDescent="0.35">
      <c r="A849" t="s">
        <v>560</v>
      </c>
      <c r="B849" s="7" t="s">
        <v>1384</v>
      </c>
    </row>
    <row r="850" spans="1:7" x14ac:dyDescent="0.35">
      <c r="A850" t="s">
        <v>651</v>
      </c>
      <c r="B850" s="7" t="s">
        <v>1475</v>
      </c>
    </row>
    <row r="851" spans="1:7" x14ac:dyDescent="0.35">
      <c r="A851" t="s">
        <v>245</v>
      </c>
      <c r="B851" s="7" t="s">
        <v>1071</v>
      </c>
    </row>
    <row r="852" spans="1:7" x14ac:dyDescent="0.35">
      <c r="A852" t="s">
        <v>343</v>
      </c>
      <c r="B852" s="7" t="s">
        <v>1167</v>
      </c>
      <c r="C852">
        <v>0.47</v>
      </c>
      <c r="D852" t="s">
        <v>4106</v>
      </c>
      <c r="E852" t="s">
        <v>4066</v>
      </c>
      <c r="F852" s="57">
        <v>44573</v>
      </c>
      <c r="G852" t="s">
        <v>1720</v>
      </c>
    </row>
    <row r="853" spans="1:7" x14ac:dyDescent="0.35">
      <c r="A853" t="s">
        <v>100</v>
      </c>
      <c r="B853" s="7" t="s">
        <v>929</v>
      </c>
    </row>
    <row r="854" spans="1:7" x14ac:dyDescent="0.35">
      <c r="A854" t="s">
        <v>99</v>
      </c>
      <c r="B854" s="7" t="s">
        <v>928</v>
      </c>
    </row>
    <row r="855" spans="1:7" x14ac:dyDescent="0.35">
      <c r="A855" t="s">
        <v>535</v>
      </c>
      <c r="B855" s="7" t="s">
        <v>1359</v>
      </c>
    </row>
    <row r="856" spans="1:7" x14ac:dyDescent="0.35">
      <c r="A856" t="s">
        <v>507</v>
      </c>
      <c r="B856" s="7" t="s">
        <v>1331</v>
      </c>
    </row>
    <row r="857" spans="1:7" x14ac:dyDescent="0.35">
      <c r="A857" t="s">
        <v>127</v>
      </c>
      <c r="B857" s="7" t="s">
        <v>956</v>
      </c>
    </row>
    <row r="858" spans="1:7" x14ac:dyDescent="0.35">
      <c r="A858" s="6" t="s">
        <v>816</v>
      </c>
      <c r="B858" s="7" t="s">
        <v>1639</v>
      </c>
    </row>
    <row r="859" spans="1:7" x14ac:dyDescent="0.35">
      <c r="A859" t="s">
        <v>612</v>
      </c>
      <c r="B859" s="7" t="s">
        <v>1436</v>
      </c>
    </row>
    <row r="860" spans="1:7" x14ac:dyDescent="0.35">
      <c r="A860" t="s">
        <v>550</v>
      </c>
      <c r="B860" s="7" t="s">
        <v>1374</v>
      </c>
    </row>
    <row r="861" spans="1:7" x14ac:dyDescent="0.35">
      <c r="A861" t="s">
        <v>95</v>
      </c>
      <c r="B861" s="7" t="s">
        <v>924</v>
      </c>
    </row>
    <row r="862" spans="1:7" x14ac:dyDescent="0.35">
      <c r="A862" t="s">
        <v>611</v>
      </c>
      <c r="B862" s="7" t="s">
        <v>1435</v>
      </c>
    </row>
    <row r="863" spans="1:7" x14ac:dyDescent="0.35">
      <c r="A863" t="s">
        <v>551</v>
      </c>
      <c r="B863" s="7" t="s">
        <v>1375</v>
      </c>
    </row>
    <row r="864" spans="1:7" x14ac:dyDescent="0.35">
      <c r="A864" t="s">
        <v>98</v>
      </c>
      <c r="B864" s="7" t="s">
        <v>927</v>
      </c>
    </row>
    <row r="865" spans="1:2" x14ac:dyDescent="0.35">
      <c r="A865" t="s">
        <v>421</v>
      </c>
      <c r="B865" s="7" t="s">
        <v>1245</v>
      </c>
    </row>
    <row r="866" spans="1:2" x14ac:dyDescent="0.35">
      <c r="A866" t="s">
        <v>762</v>
      </c>
      <c r="B866" s="7" t="s">
        <v>1586</v>
      </c>
    </row>
    <row r="867" spans="1:2" x14ac:dyDescent="0.35">
      <c r="A867" t="s">
        <v>200</v>
      </c>
      <c r="B867" s="7" t="s">
        <v>1028</v>
      </c>
    </row>
    <row r="868" spans="1:2" x14ac:dyDescent="0.35">
      <c r="A868" t="s">
        <v>367</v>
      </c>
      <c r="B868" s="7" t="s">
        <v>1191</v>
      </c>
    </row>
    <row r="869" spans="1:2" x14ac:dyDescent="0.35">
      <c r="A869" t="s">
        <v>587</v>
      </c>
      <c r="B869" s="7" t="s">
        <v>1411</v>
      </c>
    </row>
    <row r="870" spans="1:2" x14ac:dyDescent="0.35">
      <c r="A870" t="s">
        <v>545</v>
      </c>
      <c r="B870" s="7" t="s">
        <v>1369</v>
      </c>
    </row>
    <row r="871" spans="1:2" x14ac:dyDescent="0.35">
      <c r="A871" t="s">
        <v>538</v>
      </c>
      <c r="B871" s="7" t="s">
        <v>1362</v>
      </c>
    </row>
    <row r="872" spans="1:2" x14ac:dyDescent="0.35">
      <c r="A872" t="s">
        <v>29</v>
      </c>
      <c r="B872" s="7" t="s">
        <v>858</v>
      </c>
    </row>
    <row r="873" spans="1:2" x14ac:dyDescent="0.35">
      <c r="A873" s="2" t="s">
        <v>499</v>
      </c>
      <c r="B873" s="7" t="s">
        <v>1323</v>
      </c>
    </row>
    <row r="874" spans="1:2" x14ac:dyDescent="0.35">
      <c r="A874" t="s">
        <v>733</v>
      </c>
      <c r="B874" s="7" t="s">
        <v>1557</v>
      </c>
    </row>
    <row r="875" spans="1:2" x14ac:dyDescent="0.35">
      <c r="A875" t="s">
        <v>78</v>
      </c>
      <c r="B875" s="7" t="s">
        <v>907</v>
      </c>
    </row>
    <row r="876" spans="1:2" x14ac:dyDescent="0.35">
      <c r="A876" t="s">
        <v>542</v>
      </c>
      <c r="B876" s="7" t="s">
        <v>1366</v>
      </c>
    </row>
    <row r="877" spans="1:2" x14ac:dyDescent="0.35">
      <c r="A877" t="s">
        <v>303</v>
      </c>
      <c r="B877" s="7" t="s">
        <v>1128</v>
      </c>
    </row>
    <row r="878" spans="1:2" x14ac:dyDescent="0.35">
      <c r="A878" s="2" t="s">
        <v>184</v>
      </c>
    </row>
    <row r="879" spans="1:2" x14ac:dyDescent="0.35">
      <c r="A879" s="2" t="s">
        <v>203</v>
      </c>
    </row>
    <row r="880" spans="1:2" x14ac:dyDescent="0.35">
      <c r="A880" s="2" t="s">
        <v>284</v>
      </c>
    </row>
    <row r="881" spans="1:1" x14ac:dyDescent="0.35">
      <c r="A881" t="s">
        <v>819</v>
      </c>
    </row>
    <row r="882" spans="1:1" x14ac:dyDescent="0.35">
      <c r="A882" t="s">
        <v>3325</v>
      </c>
    </row>
    <row r="883" spans="1:1" x14ac:dyDescent="0.35">
      <c r="A883" t="s">
        <v>3409</v>
      </c>
    </row>
    <row r="884" spans="1:1" x14ac:dyDescent="0.35">
      <c r="A884" t="s">
        <v>3410</v>
      </c>
    </row>
    <row r="885" spans="1:1" x14ac:dyDescent="0.35">
      <c r="A885" t="s">
        <v>3411</v>
      </c>
    </row>
  </sheetData>
  <autoFilter ref="A1:G885" xr:uid="{69567753-82A0-4722-B098-B9B017B4F5A0}">
    <sortState xmlns:xlrd2="http://schemas.microsoft.com/office/spreadsheetml/2017/richdata2" ref="A2:G885">
      <sortCondition ref="B1:B885"/>
    </sortState>
  </autoFilter>
  <hyperlinks>
    <hyperlink ref="A156" r:id="rId1" display="DTXSID5037523" xr:uid="{FB135977-237A-40CE-A88B-B7DB87526DE9}"/>
    <hyperlink ref="A394" r:id="rId2" display="DTXSID1032482" xr:uid="{FB782693-E05B-4AB6-AEF7-2A9D42053D4E}"/>
    <hyperlink ref="A137" r:id="rId3" display="DTXSID4058499" xr:uid="{2279F273-F9C7-4B2C-8E87-B6ED9D1F9F3B}"/>
    <hyperlink ref="A295" r:id="rId4" display="DTXSID9037539" xr:uid="{BF653D0D-A01E-4DBE-88FC-FBA776CC48E5}"/>
    <hyperlink ref="A600" r:id="rId5" display="DTXSID1032640" xr:uid="{BED7C6AB-4EC2-4B38-8149-2CDA6BCE7498}"/>
    <hyperlink ref="A309" r:id="rId6" display="DTXSID2052736" xr:uid="{B0366DBD-E945-4429-9525-2969C7746388}"/>
    <hyperlink ref="A191" r:id="rId7" display="DTXSID6020147" xr:uid="{E8E9F668-1254-4AEC-9B75-D4D4612F5FA2}"/>
    <hyperlink ref="A117" r:id="rId8" display="DTXSID5020819" xr:uid="{0E7986BC-ACD2-4ACF-992E-E340D91D2358}"/>
    <hyperlink ref="A682" r:id="rId9" display="DTXSID5037571" xr:uid="{DAFAA2E8-318B-4DBE-9B37-0DABBD559696}"/>
    <hyperlink ref="A350" r:id="rId10" display="DTXSID1023445" xr:uid="{4872EA93-146A-4F48-AF57-D7AAF89518B9}"/>
    <hyperlink ref="A378" r:id="rId11" display="DTXSID0020442" xr:uid="{1856FEAA-7D00-4898-A101-3549B73E0145}"/>
    <hyperlink ref="A269" r:id="rId12" display="DTXSID4024195" xr:uid="{E4717134-9DC4-4F4F-BAB7-6F18BE399871}"/>
    <hyperlink ref="A455" r:id="rId13" display="DTXSID2024113" xr:uid="{0A7B091A-D360-43C9-979C-3E9C5D11DB47}"/>
    <hyperlink ref="A209" r:id="rId14" display="DTXSID9020322" xr:uid="{826EEF14-50F5-43B3-A159-56384BA93AF1}"/>
    <hyperlink ref="A617" r:id="rId15" display="DTXSID9034868" xr:uid="{2C827192-1FEA-49EA-A86D-BF701F3DEADC}"/>
    <hyperlink ref="A447" r:id="rId16" display="DTXSID2020636" xr:uid="{750691DC-BEC2-474D-BF70-9273FC1E58B9}"/>
    <hyperlink ref="A242" r:id="rId17" display="DTXSID9024194" xr:uid="{7CA1544B-DCC2-432A-B3FB-1A457B92CCD0}"/>
    <hyperlink ref="A301" r:id="rId18" display="DTXSID5040675" xr:uid="{BA59DFA7-5F6A-40ED-8CFE-8733A0CCA597}"/>
    <hyperlink ref="A592" r:id="rId19" display="DTXSID8023975" xr:uid="{545AB766-F5C6-4BB6-A263-FAF7A967CB2F}"/>
    <hyperlink ref="A530" r:id="rId20" display="DTXSID1024465" xr:uid="{6D714DE2-F8F4-44CC-88BF-24D458D0512F}"/>
    <hyperlink ref="A700" r:id="rId21" display="DTXSID6023737" xr:uid="{A1536229-A120-4FEA-B397-4D1A751B67DF}"/>
    <hyperlink ref="A371" r:id="rId22" display="DTXSID40869118" xr:uid="{817880DA-BF2C-4ABA-AA72-E3D07F629CFA}"/>
    <hyperlink ref="A200" r:id="rId23" display="DTXSID5023114" xr:uid="{1E2EE6BF-69A7-4548-823C-D8B8575385FD}"/>
    <hyperlink ref="A809" r:id="rId24" display="DTXSID4020161" xr:uid="{9AB7B820-4976-4107-8DED-0C71CCF4D7FB}"/>
    <hyperlink ref="A538" r:id="rId25" display="DTXSID4020878" xr:uid="{5DC05A4F-B9D4-45EF-814A-5A892729F28C}"/>
    <hyperlink ref="A758" r:id="rId26" display="DTXSID4022658" xr:uid="{A987C95D-3603-4A7F-8008-1B6A9EAF264E}"/>
    <hyperlink ref="A524" r:id="rId27" display="DTXSID8020913" xr:uid="{C3DB3A82-43E0-4E9B-B245-7A60BEC5BE19}"/>
    <hyperlink ref="A653" r:id="rId28" display="DTXSID0023955" xr:uid="{9D2B0231-E4B7-482C-B82F-CADEF8A56ECA}"/>
    <hyperlink ref="A211" r:id="rId29" display="DTXSID9020877" xr:uid="{C6568E23-B22D-4EA4-A00B-749BDE9441A2}"/>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F1769-DFA3-488A-ADF2-13AA9F6314D6}">
  <dimension ref="A1:G885"/>
  <sheetViews>
    <sheetView workbookViewId="0">
      <pane ySplit="1" topLeftCell="A258" activePane="bottomLeft" state="frozen"/>
      <selection pane="bottomLeft" activeCell="F496" sqref="F496"/>
    </sheetView>
  </sheetViews>
  <sheetFormatPr defaultRowHeight="14.5" x14ac:dyDescent="0.35"/>
  <cols>
    <col min="1" max="1" width="22.54296875" bestFit="1" customWidth="1"/>
    <col min="2" max="2" width="21.7265625" customWidth="1"/>
    <col min="3" max="3" width="13.453125" bestFit="1" customWidth="1"/>
    <col min="4" max="4" width="15.453125" bestFit="1" customWidth="1"/>
    <col min="5" max="6" width="14.81640625" customWidth="1"/>
  </cols>
  <sheetData>
    <row r="1" spans="1:7" s="14" customFormat="1" x14ac:dyDescent="0.35">
      <c r="A1" s="14" t="s">
        <v>828</v>
      </c>
      <c r="B1" s="14" t="s">
        <v>1650</v>
      </c>
      <c r="C1" s="14" t="s">
        <v>1684</v>
      </c>
      <c r="D1" s="14" t="s">
        <v>1685</v>
      </c>
      <c r="E1" s="14" t="s">
        <v>3479</v>
      </c>
      <c r="F1" s="14" t="s">
        <v>4081</v>
      </c>
      <c r="G1" s="14" t="s">
        <v>1719</v>
      </c>
    </row>
    <row r="2" spans="1:7" x14ac:dyDescent="0.35">
      <c r="A2" t="s">
        <v>305</v>
      </c>
      <c r="B2" s="7" t="s">
        <v>1130</v>
      </c>
    </row>
    <row r="3" spans="1:7" x14ac:dyDescent="0.35">
      <c r="A3" t="s">
        <v>266</v>
      </c>
      <c r="B3" s="7" t="s">
        <v>1092</v>
      </c>
    </row>
    <row r="4" spans="1:7" x14ac:dyDescent="0.35">
      <c r="A4" t="s">
        <v>179</v>
      </c>
      <c r="B4" s="7" t="s">
        <v>1008</v>
      </c>
    </row>
    <row r="5" spans="1:7" x14ac:dyDescent="0.35">
      <c r="A5" t="s">
        <v>264</v>
      </c>
      <c r="B5" s="7" t="s">
        <v>1090</v>
      </c>
    </row>
    <row r="6" spans="1:7" x14ac:dyDescent="0.35">
      <c r="A6" s="4" t="s">
        <v>779</v>
      </c>
      <c r="B6" s="7" t="s">
        <v>1602</v>
      </c>
    </row>
    <row r="7" spans="1:7" x14ac:dyDescent="0.35">
      <c r="A7" t="s">
        <v>539</v>
      </c>
      <c r="B7" s="7" t="s">
        <v>1363</v>
      </c>
    </row>
    <row r="8" spans="1:7" x14ac:dyDescent="0.35">
      <c r="A8" t="s">
        <v>517</v>
      </c>
      <c r="B8" s="7" t="s">
        <v>1341</v>
      </c>
    </row>
    <row r="9" spans="1:7" x14ac:dyDescent="0.35">
      <c r="A9" t="s">
        <v>462</v>
      </c>
      <c r="B9" s="7" t="s">
        <v>1286</v>
      </c>
    </row>
    <row r="10" spans="1:7" x14ac:dyDescent="0.35">
      <c r="A10" t="s">
        <v>258</v>
      </c>
      <c r="B10" s="7" t="s">
        <v>1084</v>
      </c>
    </row>
    <row r="11" spans="1:7" x14ac:dyDescent="0.35">
      <c r="A11" t="s">
        <v>253</v>
      </c>
      <c r="B11" s="7" t="s">
        <v>1079</v>
      </c>
    </row>
    <row r="12" spans="1:7" x14ac:dyDescent="0.35">
      <c r="A12" t="s">
        <v>708</v>
      </c>
      <c r="B12" s="7" t="s">
        <v>1532</v>
      </c>
    </row>
    <row r="13" spans="1:7" x14ac:dyDescent="0.35">
      <c r="A13" t="s">
        <v>729</v>
      </c>
      <c r="B13" s="7" t="s">
        <v>1553</v>
      </c>
    </row>
    <row r="14" spans="1:7" x14ac:dyDescent="0.35">
      <c r="A14" t="s">
        <v>718</v>
      </c>
      <c r="B14" s="7" t="s">
        <v>1542</v>
      </c>
    </row>
    <row r="15" spans="1:7" x14ac:dyDescent="0.35">
      <c r="A15" t="s">
        <v>715</v>
      </c>
      <c r="B15" s="7" t="s">
        <v>1539</v>
      </c>
    </row>
    <row r="16" spans="1:7" x14ac:dyDescent="0.35">
      <c r="A16" t="s">
        <v>824</v>
      </c>
      <c r="B16" s="7" t="s">
        <v>1646</v>
      </c>
    </row>
    <row r="17" spans="1:2" x14ac:dyDescent="0.35">
      <c r="A17" t="s">
        <v>15</v>
      </c>
      <c r="B17" s="7" t="s">
        <v>844</v>
      </c>
    </row>
    <row r="18" spans="1:2" x14ac:dyDescent="0.35">
      <c r="A18" t="s">
        <v>707</v>
      </c>
      <c r="B18" s="7" t="s">
        <v>1531</v>
      </c>
    </row>
    <row r="19" spans="1:2" x14ac:dyDescent="0.35">
      <c r="A19" s="6" t="s">
        <v>817</v>
      </c>
      <c r="B19" t="s">
        <v>1640</v>
      </c>
    </row>
    <row r="20" spans="1:2" x14ac:dyDescent="0.35">
      <c r="A20" t="s">
        <v>813</v>
      </c>
      <c r="B20" s="7" t="s">
        <v>1636</v>
      </c>
    </row>
    <row r="21" spans="1:2" x14ac:dyDescent="0.35">
      <c r="A21" t="s">
        <v>795</v>
      </c>
      <c r="B21" s="7" t="s">
        <v>1618</v>
      </c>
    </row>
    <row r="22" spans="1:2" x14ac:dyDescent="0.35">
      <c r="A22" t="s">
        <v>227</v>
      </c>
      <c r="B22" s="7" t="s">
        <v>1054</v>
      </c>
    </row>
    <row r="23" spans="1:2" x14ac:dyDescent="0.35">
      <c r="A23" t="s">
        <v>319</v>
      </c>
      <c r="B23" s="7" t="s">
        <v>1144</v>
      </c>
    </row>
    <row r="24" spans="1:2" x14ac:dyDescent="0.35">
      <c r="A24" t="s">
        <v>457</v>
      </c>
      <c r="B24" s="7" t="s">
        <v>1281</v>
      </c>
    </row>
    <row r="25" spans="1:2" x14ac:dyDescent="0.35">
      <c r="A25" t="s">
        <v>132</v>
      </c>
      <c r="B25" s="7" t="s">
        <v>961</v>
      </c>
    </row>
    <row r="26" spans="1:2" x14ac:dyDescent="0.35">
      <c r="A26" t="s">
        <v>310</v>
      </c>
      <c r="B26" s="7" t="s">
        <v>1135</v>
      </c>
    </row>
    <row r="27" spans="1:2" x14ac:dyDescent="0.35">
      <c r="A27" t="s">
        <v>723</v>
      </c>
      <c r="B27" s="7" t="s">
        <v>1547</v>
      </c>
    </row>
    <row r="28" spans="1:2" x14ac:dyDescent="0.35">
      <c r="A28" t="s">
        <v>800</v>
      </c>
      <c r="B28" s="7" t="s">
        <v>1623</v>
      </c>
    </row>
    <row r="29" spans="1:2" x14ac:dyDescent="0.35">
      <c r="A29" t="s">
        <v>822</v>
      </c>
      <c r="B29" s="7" t="s">
        <v>1644</v>
      </c>
    </row>
    <row r="30" spans="1:2" x14ac:dyDescent="0.35">
      <c r="A30" t="s">
        <v>633</v>
      </c>
      <c r="B30" s="7" t="s">
        <v>1457</v>
      </c>
    </row>
    <row r="31" spans="1:2" x14ac:dyDescent="0.35">
      <c r="A31" t="s">
        <v>428</v>
      </c>
      <c r="B31" s="7" t="s">
        <v>1252</v>
      </c>
    </row>
    <row r="32" spans="1:2" x14ac:dyDescent="0.35">
      <c r="A32" t="s">
        <v>186</v>
      </c>
      <c r="B32" s="7" t="s">
        <v>1014</v>
      </c>
    </row>
    <row r="33" spans="1:6" x14ac:dyDescent="0.35">
      <c r="A33" t="s">
        <v>807</v>
      </c>
      <c r="B33" s="7" t="s">
        <v>1630</v>
      </c>
    </row>
    <row r="34" spans="1:6" x14ac:dyDescent="0.35">
      <c r="A34" t="s">
        <v>279</v>
      </c>
      <c r="B34" s="7" t="s">
        <v>1105</v>
      </c>
    </row>
    <row r="35" spans="1:6" x14ac:dyDescent="0.35">
      <c r="A35" t="s">
        <v>753</v>
      </c>
      <c r="B35" s="7" t="s">
        <v>1577</v>
      </c>
    </row>
    <row r="36" spans="1:6" x14ac:dyDescent="0.35">
      <c r="A36" t="s">
        <v>610</v>
      </c>
      <c r="B36" s="7" t="s">
        <v>1434</v>
      </c>
    </row>
    <row r="37" spans="1:6" x14ac:dyDescent="0.35">
      <c r="A37" s="26" t="s">
        <v>3403</v>
      </c>
      <c r="B37" s="26" t="s">
        <v>3404</v>
      </c>
      <c r="C37" s="26"/>
      <c r="D37" s="26"/>
      <c r="E37" s="26"/>
      <c r="F37" s="26"/>
    </row>
    <row r="38" spans="1:6" x14ac:dyDescent="0.35">
      <c r="A38" t="s">
        <v>378</v>
      </c>
      <c r="B38" s="7" t="s">
        <v>1202</v>
      </c>
    </row>
    <row r="39" spans="1:6" x14ac:dyDescent="0.35">
      <c r="A39" t="s">
        <v>663</v>
      </c>
      <c r="B39" s="7" t="s">
        <v>1487</v>
      </c>
    </row>
    <row r="40" spans="1:6" x14ac:dyDescent="0.35">
      <c r="A40" t="s">
        <v>664</v>
      </c>
      <c r="B40" s="7" t="s">
        <v>1488</v>
      </c>
    </row>
    <row r="41" spans="1:6" x14ac:dyDescent="0.35">
      <c r="A41" t="s">
        <v>676</v>
      </c>
      <c r="B41" s="7" t="s">
        <v>1500</v>
      </c>
    </row>
    <row r="42" spans="1:6" x14ac:dyDescent="0.35">
      <c r="A42" t="s">
        <v>665</v>
      </c>
      <c r="B42" s="7" t="s">
        <v>1489</v>
      </c>
    </row>
    <row r="43" spans="1:6" x14ac:dyDescent="0.35">
      <c r="A43" t="s">
        <v>730</v>
      </c>
      <c r="B43" s="7" t="s">
        <v>1554</v>
      </c>
    </row>
    <row r="44" spans="1:6" x14ac:dyDescent="0.35">
      <c r="A44" t="s">
        <v>706</v>
      </c>
      <c r="B44" s="7" t="s">
        <v>1530</v>
      </c>
    </row>
    <row r="45" spans="1:6" x14ac:dyDescent="0.35">
      <c r="A45" t="s">
        <v>620</v>
      </c>
      <c r="B45" s="7" t="s">
        <v>1444</v>
      </c>
    </row>
    <row r="46" spans="1:6" x14ac:dyDescent="0.35">
      <c r="A46" t="s">
        <v>383</v>
      </c>
      <c r="B46" s="7" t="s">
        <v>1207</v>
      </c>
    </row>
    <row r="47" spans="1:6" x14ac:dyDescent="0.35">
      <c r="A47" t="s">
        <v>791</v>
      </c>
      <c r="B47" s="7" t="s">
        <v>1614</v>
      </c>
    </row>
    <row r="48" spans="1:6" x14ac:dyDescent="0.35">
      <c r="A48" t="s">
        <v>786</v>
      </c>
      <c r="B48" s="7" t="s">
        <v>1609</v>
      </c>
    </row>
    <row r="49" spans="1:2" x14ac:dyDescent="0.35">
      <c r="A49" t="s">
        <v>487</v>
      </c>
      <c r="B49" s="7" t="s">
        <v>1311</v>
      </c>
    </row>
    <row r="50" spans="1:2" x14ac:dyDescent="0.35">
      <c r="A50" t="s">
        <v>37</v>
      </c>
      <c r="B50" s="7" t="s">
        <v>866</v>
      </c>
    </row>
    <row r="51" spans="1:2" x14ac:dyDescent="0.35">
      <c r="A51" t="s">
        <v>789</v>
      </c>
      <c r="B51" s="7" t="s">
        <v>1612</v>
      </c>
    </row>
    <row r="52" spans="1:2" x14ac:dyDescent="0.35">
      <c r="A52" t="s">
        <v>640</v>
      </c>
      <c r="B52" s="7" t="s">
        <v>1464</v>
      </c>
    </row>
    <row r="53" spans="1:2" x14ac:dyDescent="0.35">
      <c r="A53" t="s">
        <v>717</v>
      </c>
      <c r="B53" s="7" t="s">
        <v>1541</v>
      </c>
    </row>
    <row r="54" spans="1:2" x14ac:dyDescent="0.35">
      <c r="A54" t="s">
        <v>447</v>
      </c>
      <c r="B54" s="7" t="s">
        <v>1271</v>
      </c>
    </row>
    <row r="55" spans="1:2" x14ac:dyDescent="0.35">
      <c r="A55" t="s">
        <v>481</v>
      </c>
      <c r="B55" s="7" t="s">
        <v>1305</v>
      </c>
    </row>
    <row r="56" spans="1:2" x14ac:dyDescent="0.35">
      <c r="A56" t="s">
        <v>149</v>
      </c>
      <c r="B56" s="7" t="s">
        <v>978</v>
      </c>
    </row>
    <row r="57" spans="1:2" x14ac:dyDescent="0.35">
      <c r="A57" t="s">
        <v>448</v>
      </c>
      <c r="B57" s="7" t="s">
        <v>1272</v>
      </c>
    </row>
    <row r="58" spans="1:2" x14ac:dyDescent="0.35">
      <c r="A58" t="s">
        <v>193</v>
      </c>
      <c r="B58" s="7" t="s">
        <v>1021</v>
      </c>
    </row>
    <row r="59" spans="1:2" x14ac:dyDescent="0.35">
      <c r="A59" t="s">
        <v>711</v>
      </c>
      <c r="B59" s="7" t="s">
        <v>1535</v>
      </c>
    </row>
    <row r="60" spans="1:2" x14ac:dyDescent="0.35">
      <c r="A60" t="s">
        <v>472</v>
      </c>
      <c r="B60" s="7" t="s">
        <v>1296</v>
      </c>
    </row>
    <row r="61" spans="1:2" x14ac:dyDescent="0.35">
      <c r="A61" t="s">
        <v>249</v>
      </c>
      <c r="B61" s="7" t="s">
        <v>1075</v>
      </c>
    </row>
    <row r="62" spans="1:2" x14ac:dyDescent="0.35">
      <c r="A62" t="s">
        <v>722</v>
      </c>
      <c r="B62" s="7" t="s">
        <v>1546</v>
      </c>
    </row>
    <row r="63" spans="1:2" x14ac:dyDescent="0.35">
      <c r="A63" t="s">
        <v>712</v>
      </c>
      <c r="B63" s="7" t="s">
        <v>1536</v>
      </c>
    </row>
    <row r="64" spans="1:2" x14ac:dyDescent="0.35">
      <c r="A64" t="s">
        <v>704</v>
      </c>
      <c r="B64" s="7" t="s">
        <v>1528</v>
      </c>
    </row>
    <row r="65" spans="1:2" x14ac:dyDescent="0.35">
      <c r="A65" t="s">
        <v>473</v>
      </c>
      <c r="B65" s="7" t="s">
        <v>1297</v>
      </c>
    </row>
    <row r="66" spans="1:2" x14ac:dyDescent="0.35">
      <c r="A66" t="s">
        <v>725</v>
      </c>
      <c r="B66" s="7" t="s">
        <v>1549</v>
      </c>
    </row>
    <row r="67" spans="1:2" x14ac:dyDescent="0.35">
      <c r="A67" t="s">
        <v>719</v>
      </c>
      <c r="B67" s="7" t="s">
        <v>1543</v>
      </c>
    </row>
    <row r="68" spans="1:2" x14ac:dyDescent="0.35">
      <c r="A68" t="s">
        <v>769</v>
      </c>
      <c r="B68" s="7" t="s">
        <v>1593</v>
      </c>
    </row>
    <row r="69" spans="1:2" x14ac:dyDescent="0.35">
      <c r="A69" t="s">
        <v>803</v>
      </c>
      <c r="B69" s="7" t="s">
        <v>1626</v>
      </c>
    </row>
    <row r="70" spans="1:2" x14ac:dyDescent="0.35">
      <c r="A70" t="s">
        <v>312</v>
      </c>
      <c r="B70" s="7" t="s">
        <v>1137</v>
      </c>
    </row>
    <row r="71" spans="1:2" x14ac:dyDescent="0.35">
      <c r="A71" t="s">
        <v>774</v>
      </c>
      <c r="B71" s="7" t="s">
        <v>1598</v>
      </c>
    </row>
    <row r="72" spans="1:2" x14ac:dyDescent="0.35">
      <c r="A72" t="s">
        <v>810</v>
      </c>
      <c r="B72" s="7" t="s">
        <v>1633</v>
      </c>
    </row>
    <row r="73" spans="1:2" x14ac:dyDescent="0.35">
      <c r="A73" t="s">
        <v>81</v>
      </c>
      <c r="B73" s="7" t="s">
        <v>910</v>
      </c>
    </row>
    <row r="74" spans="1:2" x14ac:dyDescent="0.35">
      <c r="A74" s="6" t="s">
        <v>812</v>
      </c>
      <c r="B74" s="7" t="s">
        <v>1635</v>
      </c>
    </row>
    <row r="75" spans="1:2" x14ac:dyDescent="0.35">
      <c r="A75" t="s">
        <v>713</v>
      </c>
      <c r="B75" s="7" t="s">
        <v>1537</v>
      </c>
    </row>
    <row r="76" spans="1:2" x14ac:dyDescent="0.35">
      <c r="A76" t="s">
        <v>724</v>
      </c>
      <c r="B76" s="7" t="s">
        <v>1548</v>
      </c>
    </row>
    <row r="77" spans="1:2" x14ac:dyDescent="0.35">
      <c r="A77" t="s">
        <v>19</v>
      </c>
      <c r="B77" s="7" t="s">
        <v>848</v>
      </c>
    </row>
    <row r="78" spans="1:2" x14ac:dyDescent="0.35">
      <c r="A78" t="s">
        <v>809</v>
      </c>
      <c r="B78" s="7" t="s">
        <v>1632</v>
      </c>
    </row>
    <row r="79" spans="1:2" x14ac:dyDescent="0.35">
      <c r="A79" t="s">
        <v>216</v>
      </c>
      <c r="B79" s="7" t="s">
        <v>1043</v>
      </c>
    </row>
    <row r="80" spans="1:2" x14ac:dyDescent="0.35">
      <c r="A80" t="s">
        <v>814</v>
      </c>
      <c r="B80" s="7" t="s">
        <v>1637</v>
      </c>
    </row>
    <row r="81" spans="1:2" x14ac:dyDescent="0.35">
      <c r="A81" t="s">
        <v>185</v>
      </c>
      <c r="B81" s="7" t="s">
        <v>1013</v>
      </c>
    </row>
    <row r="82" spans="1:2" x14ac:dyDescent="0.35">
      <c r="A82" t="s">
        <v>772</v>
      </c>
      <c r="B82" s="7" t="s">
        <v>1596</v>
      </c>
    </row>
    <row r="83" spans="1:2" x14ac:dyDescent="0.35">
      <c r="A83" t="s">
        <v>455</v>
      </c>
      <c r="B83" s="7" t="s">
        <v>1279</v>
      </c>
    </row>
    <row r="84" spans="1:2" x14ac:dyDescent="0.35">
      <c r="A84" t="s">
        <v>420</v>
      </c>
      <c r="B84" s="7" t="s">
        <v>1244</v>
      </c>
    </row>
    <row r="85" spans="1:2" x14ac:dyDescent="0.35">
      <c r="A85" t="s">
        <v>28</v>
      </c>
      <c r="B85" s="7" t="s">
        <v>857</v>
      </c>
    </row>
    <row r="86" spans="1:2" x14ac:dyDescent="0.35">
      <c r="A86" t="s">
        <v>366</v>
      </c>
      <c r="B86" s="7" t="s">
        <v>1190</v>
      </c>
    </row>
    <row r="87" spans="1:2" x14ac:dyDescent="0.35">
      <c r="A87" t="s">
        <v>147</v>
      </c>
      <c r="B87" s="7" t="s">
        <v>976</v>
      </c>
    </row>
    <row r="88" spans="1:2" x14ac:dyDescent="0.35">
      <c r="A88" t="s">
        <v>740</v>
      </c>
      <c r="B88" s="7" t="s">
        <v>1564</v>
      </c>
    </row>
    <row r="89" spans="1:2" x14ac:dyDescent="0.35">
      <c r="A89" t="s">
        <v>438</v>
      </c>
      <c r="B89" s="7" t="s">
        <v>1262</v>
      </c>
    </row>
    <row r="90" spans="1:2" x14ac:dyDescent="0.35">
      <c r="A90" t="s">
        <v>678</v>
      </c>
      <c r="B90" s="7" t="s">
        <v>1502</v>
      </c>
    </row>
    <row r="91" spans="1:2" x14ac:dyDescent="0.35">
      <c r="A91" t="s">
        <v>389</v>
      </c>
      <c r="B91" s="7" t="s">
        <v>1213</v>
      </c>
    </row>
    <row r="92" spans="1:2" x14ac:dyDescent="0.35">
      <c r="A92" t="s">
        <v>394</v>
      </c>
      <c r="B92" s="7" t="s">
        <v>1218</v>
      </c>
    </row>
    <row r="93" spans="1:2" x14ac:dyDescent="0.35">
      <c r="A93" s="6" t="s">
        <v>792</v>
      </c>
      <c r="B93" s="7" t="s">
        <v>1615</v>
      </c>
    </row>
    <row r="94" spans="1:2" x14ac:dyDescent="0.35">
      <c r="A94" s="5" t="s">
        <v>782</v>
      </c>
      <c r="B94" s="7" t="s">
        <v>1605</v>
      </c>
    </row>
    <row r="95" spans="1:2" x14ac:dyDescent="0.35">
      <c r="A95" t="s">
        <v>33</v>
      </c>
      <c r="B95" s="7" t="s">
        <v>862</v>
      </c>
    </row>
    <row r="96" spans="1:2" x14ac:dyDescent="0.35">
      <c r="A96" t="s">
        <v>406</v>
      </c>
      <c r="B96" s="7" t="s">
        <v>1230</v>
      </c>
    </row>
    <row r="97" spans="1:6" x14ac:dyDescent="0.35">
      <c r="A97" t="s">
        <v>529</v>
      </c>
      <c r="B97" s="7" t="s">
        <v>1353</v>
      </c>
    </row>
    <row r="98" spans="1:6" x14ac:dyDescent="0.35">
      <c r="A98" t="s">
        <v>657</v>
      </c>
      <c r="B98" s="7" t="s">
        <v>1481</v>
      </c>
    </row>
    <row r="99" spans="1:6" x14ac:dyDescent="0.35">
      <c r="A99" t="s">
        <v>595</v>
      </c>
      <c r="B99" s="7" t="s">
        <v>1419</v>
      </c>
    </row>
    <row r="100" spans="1:6" x14ac:dyDescent="0.35">
      <c r="A100" t="s">
        <v>705</v>
      </c>
      <c r="B100" s="7" t="s">
        <v>1529</v>
      </c>
    </row>
    <row r="101" spans="1:6" x14ac:dyDescent="0.35">
      <c r="A101" t="s">
        <v>649</v>
      </c>
      <c r="B101" s="7" t="s">
        <v>1473</v>
      </c>
    </row>
    <row r="102" spans="1:6" x14ac:dyDescent="0.35">
      <c r="A102" t="s">
        <v>418</v>
      </c>
      <c r="B102" s="7" t="s">
        <v>1242</v>
      </c>
    </row>
    <row r="103" spans="1:6" x14ac:dyDescent="0.35">
      <c r="A103" t="s">
        <v>230</v>
      </c>
      <c r="B103" s="7" t="s">
        <v>1057</v>
      </c>
    </row>
    <row r="104" spans="1:6" x14ac:dyDescent="0.35">
      <c r="A104" t="s">
        <v>508</v>
      </c>
      <c r="B104" s="7" t="s">
        <v>1332</v>
      </c>
    </row>
    <row r="105" spans="1:6" x14ac:dyDescent="0.35">
      <c r="A105" t="s">
        <v>168</v>
      </c>
      <c r="B105" s="7" t="s">
        <v>997</v>
      </c>
    </row>
    <row r="106" spans="1:6" x14ac:dyDescent="0.35">
      <c r="A106" t="s">
        <v>365</v>
      </c>
      <c r="B106" s="7" t="s">
        <v>1189</v>
      </c>
    </row>
    <row r="107" spans="1:6" x14ac:dyDescent="0.35">
      <c r="A107" t="s">
        <v>494</v>
      </c>
      <c r="B107" s="7" t="s">
        <v>1318</v>
      </c>
    </row>
    <row r="108" spans="1:6" x14ac:dyDescent="0.35">
      <c r="A108" t="s">
        <v>781</v>
      </c>
      <c r="B108" s="7" t="s">
        <v>1604</v>
      </c>
    </row>
    <row r="109" spans="1:6" x14ac:dyDescent="0.35">
      <c r="A109" t="s">
        <v>74</v>
      </c>
      <c r="B109" s="7" t="s">
        <v>903</v>
      </c>
    </row>
    <row r="110" spans="1:6" x14ac:dyDescent="0.35">
      <c r="A110" t="s">
        <v>323</v>
      </c>
      <c r="B110" s="7" t="s">
        <v>1148</v>
      </c>
    </row>
    <row r="111" spans="1:6" x14ac:dyDescent="0.35">
      <c r="A111" t="s">
        <v>537</v>
      </c>
      <c r="B111" s="7" t="s">
        <v>1361</v>
      </c>
      <c r="C111">
        <v>0.1</v>
      </c>
      <c r="E111" t="s">
        <v>4106</v>
      </c>
      <c r="F111" s="57">
        <v>44573</v>
      </c>
    </row>
    <row r="112" spans="1:6" x14ac:dyDescent="0.35">
      <c r="A112" t="s">
        <v>710</v>
      </c>
      <c r="B112" s="7" t="s">
        <v>1534</v>
      </c>
    </row>
    <row r="113" spans="1:6" x14ac:dyDescent="0.35">
      <c r="A113" t="s">
        <v>441</v>
      </c>
      <c r="B113" s="7" t="s">
        <v>1265</v>
      </c>
    </row>
    <row r="114" spans="1:6" x14ac:dyDescent="0.35">
      <c r="A114" t="s">
        <v>799</v>
      </c>
      <c r="B114" s="7" t="s">
        <v>1622</v>
      </c>
    </row>
    <row r="115" spans="1:6" x14ac:dyDescent="0.35">
      <c r="A115" t="s">
        <v>662</v>
      </c>
      <c r="B115" s="7" t="s">
        <v>1486</v>
      </c>
    </row>
    <row r="116" spans="1:6" x14ac:dyDescent="0.35">
      <c r="A116" t="s">
        <v>285</v>
      </c>
      <c r="B116" s="7" t="s">
        <v>1110</v>
      </c>
    </row>
    <row r="117" spans="1:6" x14ac:dyDescent="0.35">
      <c r="A117" t="s">
        <v>46</v>
      </c>
      <c r="B117" s="7" t="s">
        <v>875</v>
      </c>
    </row>
    <row r="118" spans="1:6" x14ac:dyDescent="0.35">
      <c r="A118" t="s">
        <v>650</v>
      </c>
      <c r="B118" s="7" t="s">
        <v>1474</v>
      </c>
    </row>
    <row r="119" spans="1:6" x14ac:dyDescent="0.35">
      <c r="A119" s="26" t="s">
        <v>3335</v>
      </c>
      <c r="B119" s="26" t="s">
        <v>3336</v>
      </c>
      <c r="C119" s="26"/>
      <c r="D119" s="26"/>
      <c r="E119" s="26"/>
      <c r="F119" s="26"/>
    </row>
    <row r="120" spans="1:6" x14ac:dyDescent="0.35">
      <c r="A120" t="s">
        <v>27</v>
      </c>
      <c r="B120" s="7" t="s">
        <v>856</v>
      </c>
    </row>
    <row r="121" spans="1:6" x14ac:dyDescent="0.35">
      <c r="A121" t="s">
        <v>199</v>
      </c>
      <c r="B121" s="7" t="s">
        <v>1027</v>
      </c>
    </row>
    <row r="122" spans="1:6" x14ac:dyDescent="0.35">
      <c r="A122" t="s">
        <v>679</v>
      </c>
      <c r="B122" s="7" t="s">
        <v>1503</v>
      </c>
    </row>
    <row r="123" spans="1:6" x14ac:dyDescent="0.35">
      <c r="A123" t="s">
        <v>680</v>
      </c>
      <c r="B123" s="7" t="s">
        <v>1504</v>
      </c>
    </row>
    <row r="124" spans="1:6" x14ac:dyDescent="0.35">
      <c r="A124" t="s">
        <v>681</v>
      </c>
      <c r="B124" s="7" t="s">
        <v>1505</v>
      </c>
    </row>
    <row r="125" spans="1:6" x14ac:dyDescent="0.35">
      <c r="A125" t="s">
        <v>387</v>
      </c>
      <c r="B125" s="7" t="s">
        <v>1211</v>
      </c>
    </row>
    <row r="126" spans="1:6" x14ac:dyDescent="0.35">
      <c r="A126" s="26" t="s">
        <v>3387</v>
      </c>
      <c r="B126" s="26" t="s">
        <v>3388</v>
      </c>
      <c r="C126" s="26"/>
      <c r="D126" s="26"/>
      <c r="E126" s="26"/>
      <c r="F126" s="26"/>
    </row>
    <row r="127" spans="1:6" x14ac:dyDescent="0.35">
      <c r="A127" t="s">
        <v>371</v>
      </c>
      <c r="B127" s="7" t="s">
        <v>1195</v>
      </c>
    </row>
    <row r="128" spans="1:6" x14ac:dyDescent="0.35">
      <c r="A128" s="6" t="s">
        <v>788</v>
      </c>
      <c r="B128" t="s">
        <v>1611</v>
      </c>
    </row>
    <row r="129" spans="1:7" x14ac:dyDescent="0.35">
      <c r="A129" s="26" t="s">
        <v>3326</v>
      </c>
      <c r="B129" s="26" t="s">
        <v>3327</v>
      </c>
      <c r="C129" s="26">
        <v>0.3</v>
      </c>
      <c r="D129" s="26">
        <v>2</v>
      </c>
      <c r="E129" t="s">
        <v>4106</v>
      </c>
      <c r="F129" s="48">
        <v>44573</v>
      </c>
    </row>
    <row r="130" spans="1:7" x14ac:dyDescent="0.35">
      <c r="A130" s="26" t="s">
        <v>3405</v>
      </c>
      <c r="B130" s="26" t="s">
        <v>3406</v>
      </c>
      <c r="C130" s="26"/>
      <c r="D130" s="26"/>
      <c r="E130" s="26"/>
      <c r="F130" s="26"/>
    </row>
    <row r="131" spans="1:7" x14ac:dyDescent="0.35">
      <c r="A131" t="s">
        <v>482</v>
      </c>
      <c r="B131" s="7" t="s">
        <v>1306</v>
      </c>
    </row>
    <row r="132" spans="1:7" x14ac:dyDescent="0.35">
      <c r="A132" t="s">
        <v>172</v>
      </c>
      <c r="B132" s="7" t="s">
        <v>1001</v>
      </c>
    </row>
    <row r="133" spans="1:7" x14ac:dyDescent="0.35">
      <c r="A133" t="s">
        <v>226</v>
      </c>
      <c r="B133" s="7" t="s">
        <v>1053</v>
      </c>
    </row>
    <row r="134" spans="1:7" x14ac:dyDescent="0.35">
      <c r="A134" t="s">
        <v>498</v>
      </c>
      <c r="B134" s="7" t="s">
        <v>1322</v>
      </c>
    </row>
    <row r="135" spans="1:7" x14ac:dyDescent="0.35">
      <c r="A135" t="s">
        <v>667</v>
      </c>
      <c r="B135" s="7" t="s">
        <v>1491</v>
      </c>
    </row>
    <row r="136" spans="1:7" x14ac:dyDescent="0.35">
      <c r="A136" t="s">
        <v>445</v>
      </c>
      <c r="B136" s="7" t="s">
        <v>1269</v>
      </c>
    </row>
    <row r="137" spans="1:7" x14ac:dyDescent="0.35">
      <c r="A137" t="s">
        <v>41</v>
      </c>
      <c r="B137" s="7" t="s">
        <v>870</v>
      </c>
    </row>
    <row r="138" spans="1:7" x14ac:dyDescent="0.35">
      <c r="A138" t="s">
        <v>281</v>
      </c>
      <c r="B138" s="7" t="s">
        <v>1107</v>
      </c>
    </row>
    <row r="139" spans="1:7" x14ac:dyDescent="0.35">
      <c r="A139" t="s">
        <v>273</v>
      </c>
      <c r="B139" s="7" t="s">
        <v>1099</v>
      </c>
    </row>
    <row r="140" spans="1:7" x14ac:dyDescent="0.35">
      <c r="A140" t="s">
        <v>256</v>
      </c>
      <c r="B140" s="7" t="s">
        <v>1082</v>
      </c>
    </row>
    <row r="141" spans="1:7" x14ac:dyDescent="0.35">
      <c r="A141" t="s">
        <v>549</v>
      </c>
      <c r="B141" s="7" t="s">
        <v>1373</v>
      </c>
    </row>
    <row r="142" spans="1:7" x14ac:dyDescent="0.35">
      <c r="A142" t="s">
        <v>783</v>
      </c>
      <c r="B142" s="7" t="s">
        <v>1606</v>
      </c>
    </row>
    <row r="143" spans="1:7" x14ac:dyDescent="0.35">
      <c r="A143" t="s">
        <v>342</v>
      </c>
      <c r="B143" s="7" t="s">
        <v>1166</v>
      </c>
    </row>
    <row r="144" spans="1:7" x14ac:dyDescent="0.35">
      <c r="A144" t="s">
        <v>796</v>
      </c>
      <c r="B144" s="7" t="s">
        <v>1619</v>
      </c>
      <c r="G144" t="s">
        <v>2101</v>
      </c>
    </row>
    <row r="145" spans="1:2" x14ac:dyDescent="0.35">
      <c r="A145" t="s">
        <v>798</v>
      </c>
      <c r="B145" s="7" t="s">
        <v>1621</v>
      </c>
    </row>
    <row r="146" spans="1:2" x14ac:dyDescent="0.35">
      <c r="A146" t="s">
        <v>811</v>
      </c>
      <c r="B146" s="7" t="s">
        <v>1634</v>
      </c>
    </row>
    <row r="147" spans="1:2" x14ac:dyDescent="0.35">
      <c r="A147" t="s">
        <v>805</v>
      </c>
      <c r="B147" s="7" t="s">
        <v>1628</v>
      </c>
    </row>
    <row r="148" spans="1:2" x14ac:dyDescent="0.35">
      <c r="A148" t="s">
        <v>443</v>
      </c>
      <c r="B148" s="7" t="s">
        <v>1267</v>
      </c>
    </row>
    <row r="149" spans="1:2" x14ac:dyDescent="0.35">
      <c r="A149" t="s">
        <v>784</v>
      </c>
      <c r="B149" s="7" t="s">
        <v>1607</v>
      </c>
    </row>
    <row r="150" spans="1:2" x14ac:dyDescent="0.35">
      <c r="A150" t="s">
        <v>815</v>
      </c>
      <c r="B150" t="s">
        <v>1638</v>
      </c>
    </row>
    <row r="151" spans="1:2" x14ac:dyDescent="0.35">
      <c r="A151" t="s">
        <v>806</v>
      </c>
      <c r="B151" s="7" t="s">
        <v>1629</v>
      </c>
    </row>
    <row r="152" spans="1:2" x14ac:dyDescent="0.35">
      <c r="A152" t="s">
        <v>802</v>
      </c>
      <c r="B152" s="7" t="s">
        <v>1625</v>
      </c>
    </row>
    <row r="153" spans="1:2" x14ac:dyDescent="0.35">
      <c r="A153" t="s">
        <v>526</v>
      </c>
      <c r="B153" s="7" t="s">
        <v>1350</v>
      </c>
    </row>
    <row r="154" spans="1:2" x14ac:dyDescent="0.35">
      <c r="A154" t="s">
        <v>101</v>
      </c>
      <c r="B154" s="7" t="s">
        <v>930</v>
      </c>
    </row>
    <row r="155" spans="1:2" x14ac:dyDescent="0.35">
      <c r="A155" t="s">
        <v>552</v>
      </c>
      <c r="B155" s="7" t="s">
        <v>1376</v>
      </c>
    </row>
    <row r="156" spans="1:2" x14ac:dyDescent="0.35">
      <c r="A156" t="s">
        <v>39</v>
      </c>
      <c r="B156" s="7" t="s">
        <v>868</v>
      </c>
    </row>
    <row r="157" spans="1:2" x14ac:dyDescent="0.35">
      <c r="A157" t="s">
        <v>75</v>
      </c>
      <c r="B157" s="7" t="s">
        <v>904</v>
      </c>
    </row>
    <row r="158" spans="1:2" x14ac:dyDescent="0.35">
      <c r="A158" t="s">
        <v>446</v>
      </c>
      <c r="B158" s="7" t="s">
        <v>1270</v>
      </c>
    </row>
    <row r="159" spans="1:2" x14ac:dyDescent="0.35">
      <c r="A159" t="s">
        <v>363</v>
      </c>
      <c r="B159" s="7" t="s">
        <v>1187</v>
      </c>
    </row>
    <row r="160" spans="1:2" x14ac:dyDescent="0.35">
      <c r="A160" t="s">
        <v>345</v>
      </c>
      <c r="B160" s="7" t="s">
        <v>1169</v>
      </c>
    </row>
    <row r="161" spans="1:6" x14ac:dyDescent="0.35">
      <c r="A161" t="s">
        <v>353</v>
      </c>
      <c r="B161" s="7" t="s">
        <v>1177</v>
      </c>
    </row>
    <row r="162" spans="1:6" x14ac:dyDescent="0.35">
      <c r="A162" t="s">
        <v>198</v>
      </c>
      <c r="B162" s="7" t="s">
        <v>1026</v>
      </c>
    </row>
    <row r="163" spans="1:6" x14ac:dyDescent="0.35">
      <c r="A163" t="s">
        <v>641</v>
      </c>
      <c r="B163" s="7" t="s">
        <v>1465</v>
      </c>
    </row>
    <row r="164" spans="1:6" x14ac:dyDescent="0.35">
      <c r="A164" s="26" t="s">
        <v>3365</v>
      </c>
      <c r="B164" s="26" t="s">
        <v>3366</v>
      </c>
      <c r="C164" s="26"/>
      <c r="D164" s="26"/>
      <c r="E164" s="26"/>
      <c r="F164" s="26"/>
    </row>
    <row r="165" spans="1:6" x14ac:dyDescent="0.35">
      <c r="A165" t="s">
        <v>204</v>
      </c>
      <c r="B165" s="7" t="s">
        <v>1031</v>
      </c>
    </row>
    <row r="166" spans="1:6" x14ac:dyDescent="0.35">
      <c r="A166" t="s">
        <v>339</v>
      </c>
      <c r="B166" s="7" t="s">
        <v>1163</v>
      </c>
    </row>
    <row r="167" spans="1:6" x14ac:dyDescent="0.35">
      <c r="A167" t="s">
        <v>475</v>
      </c>
      <c r="B167" s="7" t="s">
        <v>1299</v>
      </c>
    </row>
    <row r="168" spans="1:6" x14ac:dyDescent="0.35">
      <c r="A168" t="s">
        <v>464</v>
      </c>
      <c r="B168" s="7" t="s">
        <v>1288</v>
      </c>
    </row>
    <row r="169" spans="1:6" x14ac:dyDescent="0.35">
      <c r="A169" t="s">
        <v>182</v>
      </c>
      <c r="B169" s="7" t="s">
        <v>1011</v>
      </c>
    </row>
    <row r="170" spans="1:6" x14ac:dyDescent="0.35">
      <c r="A170" t="s">
        <v>6</v>
      </c>
      <c r="B170" s="7" t="s">
        <v>835</v>
      </c>
    </row>
    <row r="171" spans="1:6" x14ac:dyDescent="0.35">
      <c r="A171" t="s">
        <v>1</v>
      </c>
      <c r="B171" s="7" t="s">
        <v>830</v>
      </c>
    </row>
    <row r="172" spans="1:6" x14ac:dyDescent="0.35">
      <c r="A172" t="s">
        <v>205</v>
      </c>
      <c r="B172" s="7" t="s">
        <v>1032</v>
      </c>
    </row>
    <row r="173" spans="1:6" x14ac:dyDescent="0.35">
      <c r="A173" t="s">
        <v>505</v>
      </c>
      <c r="B173" s="7" t="s">
        <v>1329</v>
      </c>
      <c r="C173">
        <v>0.3</v>
      </c>
      <c r="D173">
        <v>0.7</v>
      </c>
      <c r="E173" t="s">
        <v>4106</v>
      </c>
      <c r="F173" s="57">
        <v>44573</v>
      </c>
    </row>
    <row r="174" spans="1:6" x14ac:dyDescent="0.35">
      <c r="A174" t="s">
        <v>531</v>
      </c>
      <c r="B174" s="7" t="s">
        <v>1355</v>
      </c>
    </row>
    <row r="175" spans="1:6" x14ac:dyDescent="0.35">
      <c r="A175" t="s">
        <v>489</v>
      </c>
      <c r="B175" s="7" t="s">
        <v>1313</v>
      </c>
    </row>
    <row r="176" spans="1:6" x14ac:dyDescent="0.35">
      <c r="A176" t="s">
        <v>294</v>
      </c>
      <c r="B176" s="7" t="s">
        <v>1119</v>
      </c>
    </row>
    <row r="177" spans="1:7" x14ac:dyDescent="0.35">
      <c r="A177" t="s">
        <v>479</v>
      </c>
      <c r="B177" s="7" t="s">
        <v>1303</v>
      </c>
    </row>
    <row r="178" spans="1:7" x14ac:dyDescent="0.35">
      <c r="A178" t="s">
        <v>609</v>
      </c>
      <c r="B178" s="7" t="s">
        <v>1433</v>
      </c>
    </row>
    <row r="179" spans="1:7" x14ac:dyDescent="0.35">
      <c r="A179" t="s">
        <v>497</v>
      </c>
      <c r="B179" s="7" t="s">
        <v>1321</v>
      </c>
    </row>
    <row r="180" spans="1:7" x14ac:dyDescent="0.35">
      <c r="A180" t="s">
        <v>496</v>
      </c>
      <c r="B180" s="7" t="s">
        <v>1320</v>
      </c>
    </row>
    <row r="181" spans="1:7" x14ac:dyDescent="0.35">
      <c r="A181" t="s">
        <v>763</v>
      </c>
      <c r="B181" s="7" t="s">
        <v>1587</v>
      </c>
      <c r="C181">
        <v>0.01</v>
      </c>
      <c r="E181" t="s">
        <v>4106</v>
      </c>
      <c r="F181" s="57">
        <v>44573</v>
      </c>
    </row>
    <row r="182" spans="1:7" x14ac:dyDescent="0.35">
      <c r="A182" t="s">
        <v>356</v>
      </c>
      <c r="B182" s="7" t="s">
        <v>1180</v>
      </c>
    </row>
    <row r="183" spans="1:7" x14ac:dyDescent="0.35">
      <c r="A183" t="s">
        <v>325</v>
      </c>
      <c r="B183" s="7" t="s">
        <v>1150</v>
      </c>
    </row>
    <row r="184" spans="1:7" x14ac:dyDescent="0.35">
      <c r="A184" t="s">
        <v>382</v>
      </c>
      <c r="B184" s="7" t="s">
        <v>1206</v>
      </c>
    </row>
    <row r="185" spans="1:7" x14ac:dyDescent="0.35">
      <c r="A185" t="s">
        <v>243</v>
      </c>
      <c r="B185" s="7" t="s">
        <v>1069</v>
      </c>
    </row>
    <row r="186" spans="1:7" x14ac:dyDescent="0.35">
      <c r="A186" t="s">
        <v>73</v>
      </c>
      <c r="B186" s="7" t="s">
        <v>902</v>
      </c>
    </row>
    <row r="187" spans="1:7" x14ac:dyDescent="0.35">
      <c r="A187" t="s">
        <v>397</v>
      </c>
      <c r="B187" s="7" t="s">
        <v>1221</v>
      </c>
    </row>
    <row r="188" spans="1:7" x14ac:dyDescent="0.35">
      <c r="A188" s="26" t="s">
        <v>3373</v>
      </c>
      <c r="B188" s="26" t="s">
        <v>3374</v>
      </c>
      <c r="C188" s="26"/>
      <c r="D188" s="26"/>
      <c r="E188" s="26"/>
      <c r="F188" s="26"/>
    </row>
    <row r="189" spans="1:7" x14ac:dyDescent="0.35">
      <c r="A189" t="s">
        <v>463</v>
      </c>
      <c r="B189" s="7" t="s">
        <v>1287</v>
      </c>
    </row>
    <row r="190" spans="1:7" x14ac:dyDescent="0.35">
      <c r="A190" t="s">
        <v>283</v>
      </c>
      <c r="B190" s="7" t="s">
        <v>1109</v>
      </c>
    </row>
    <row r="191" spans="1:7" x14ac:dyDescent="0.35">
      <c r="A191" t="s">
        <v>45</v>
      </c>
      <c r="B191" s="7" t="s">
        <v>874</v>
      </c>
    </row>
    <row r="192" spans="1:7" x14ac:dyDescent="0.35">
      <c r="A192" t="s">
        <v>224</v>
      </c>
      <c r="B192" s="7" t="s">
        <v>1051</v>
      </c>
      <c r="G192" t="s">
        <v>2101</v>
      </c>
    </row>
    <row r="193" spans="1:6" x14ac:dyDescent="0.35">
      <c r="A193" t="s">
        <v>370</v>
      </c>
      <c r="B193" s="7" t="s">
        <v>1194</v>
      </c>
    </row>
    <row r="194" spans="1:6" x14ac:dyDescent="0.35">
      <c r="A194" t="s">
        <v>682</v>
      </c>
      <c r="B194" s="7" t="s">
        <v>1506</v>
      </c>
    </row>
    <row r="195" spans="1:6" x14ac:dyDescent="0.35">
      <c r="A195" t="s">
        <v>666</v>
      </c>
      <c r="B195" s="7" t="s">
        <v>1490</v>
      </c>
    </row>
    <row r="196" spans="1:6" x14ac:dyDescent="0.35">
      <c r="A196" t="s">
        <v>683</v>
      </c>
      <c r="B196" s="7" t="s">
        <v>1507</v>
      </c>
    </row>
    <row r="197" spans="1:6" x14ac:dyDescent="0.35">
      <c r="A197" t="s">
        <v>684</v>
      </c>
      <c r="B197" s="7" t="s">
        <v>1508</v>
      </c>
    </row>
    <row r="198" spans="1:6" x14ac:dyDescent="0.35">
      <c r="A198" t="s">
        <v>598</v>
      </c>
      <c r="B198" s="7" t="s">
        <v>1422</v>
      </c>
      <c r="C198">
        <v>0.1</v>
      </c>
      <c r="D198">
        <v>0.1</v>
      </c>
      <c r="E198" t="s">
        <v>4106</v>
      </c>
      <c r="F198" s="57">
        <v>44573</v>
      </c>
    </row>
    <row r="199" spans="1:6" x14ac:dyDescent="0.35">
      <c r="A199" s="6" t="s">
        <v>821</v>
      </c>
      <c r="B199" s="7" t="s">
        <v>1643</v>
      </c>
    </row>
    <row r="200" spans="1:6" x14ac:dyDescent="0.35">
      <c r="A200" t="s">
        <v>61</v>
      </c>
      <c r="B200" s="7" t="s">
        <v>890</v>
      </c>
    </row>
    <row r="201" spans="1:6" x14ac:dyDescent="0.35">
      <c r="A201" t="s">
        <v>574</v>
      </c>
      <c r="B201" s="7" t="s">
        <v>1398</v>
      </c>
    </row>
    <row r="202" spans="1:6" x14ac:dyDescent="0.35">
      <c r="A202" t="s">
        <v>426</v>
      </c>
      <c r="B202" s="7" t="s">
        <v>1250</v>
      </c>
    </row>
    <row r="203" spans="1:6" x14ac:dyDescent="0.35">
      <c r="A203" t="s">
        <v>530</v>
      </c>
      <c r="B203" s="7" t="s">
        <v>1354</v>
      </c>
    </row>
    <row r="204" spans="1:6" x14ac:dyDescent="0.35">
      <c r="A204" t="s">
        <v>280</v>
      </c>
      <c r="B204" s="7" t="s">
        <v>1106</v>
      </c>
    </row>
    <row r="205" spans="1:6" x14ac:dyDescent="0.35">
      <c r="A205" t="s">
        <v>348</v>
      </c>
      <c r="B205" s="7" t="s">
        <v>1172</v>
      </c>
    </row>
    <row r="206" spans="1:6" x14ac:dyDescent="0.35">
      <c r="A206" t="s">
        <v>380</v>
      </c>
      <c r="B206" s="7" t="s">
        <v>1204</v>
      </c>
    </row>
    <row r="207" spans="1:6" x14ac:dyDescent="0.35">
      <c r="A207" t="s">
        <v>559</v>
      </c>
      <c r="B207" s="7" t="s">
        <v>1383</v>
      </c>
    </row>
    <row r="208" spans="1:6" x14ac:dyDescent="0.35">
      <c r="A208" t="s">
        <v>470</v>
      </c>
      <c r="B208" s="7" t="s">
        <v>1294</v>
      </c>
      <c r="C208">
        <v>0.6</v>
      </c>
      <c r="D208">
        <v>2</v>
      </c>
      <c r="E208" t="s">
        <v>4106</v>
      </c>
      <c r="F208" s="57">
        <v>44573</v>
      </c>
    </row>
    <row r="209" spans="1:2" x14ac:dyDescent="0.35">
      <c r="A209" t="s">
        <v>52</v>
      </c>
      <c r="B209" s="7" t="s">
        <v>881</v>
      </c>
    </row>
    <row r="210" spans="1:2" x14ac:dyDescent="0.35">
      <c r="A210" t="s">
        <v>11</v>
      </c>
      <c r="B210" s="7" t="s">
        <v>840</v>
      </c>
    </row>
    <row r="211" spans="1:2" x14ac:dyDescent="0.35">
      <c r="A211" t="s">
        <v>67</v>
      </c>
      <c r="B211" s="7" t="s">
        <v>896</v>
      </c>
    </row>
    <row r="212" spans="1:2" x14ac:dyDescent="0.35">
      <c r="A212" t="s">
        <v>568</v>
      </c>
      <c r="B212" s="7" t="s">
        <v>1392</v>
      </c>
    </row>
    <row r="213" spans="1:2" x14ac:dyDescent="0.35">
      <c r="A213" t="s">
        <v>85</v>
      </c>
      <c r="B213" s="7" t="s">
        <v>914</v>
      </c>
    </row>
    <row r="214" spans="1:2" x14ac:dyDescent="0.35">
      <c r="A214" t="s">
        <v>714</v>
      </c>
      <c r="B214" s="7" t="s">
        <v>1538</v>
      </c>
    </row>
    <row r="215" spans="1:2" x14ac:dyDescent="0.35">
      <c r="A215" t="s">
        <v>716</v>
      </c>
      <c r="B215" s="7" t="s">
        <v>1540</v>
      </c>
    </row>
    <row r="216" spans="1:2" x14ac:dyDescent="0.35">
      <c r="A216" t="s">
        <v>720</v>
      </c>
      <c r="B216" s="7" t="s">
        <v>1544</v>
      </c>
    </row>
    <row r="217" spans="1:2" x14ac:dyDescent="0.35">
      <c r="A217" t="s">
        <v>721</v>
      </c>
      <c r="B217" s="7" t="s">
        <v>1545</v>
      </c>
    </row>
    <row r="218" spans="1:2" x14ac:dyDescent="0.35">
      <c r="A218" t="s">
        <v>709</v>
      </c>
      <c r="B218" s="7" t="s">
        <v>1533</v>
      </c>
    </row>
    <row r="219" spans="1:2" x14ac:dyDescent="0.35">
      <c r="A219" t="s">
        <v>726</v>
      </c>
      <c r="B219" s="7" t="s">
        <v>1550</v>
      </c>
    </row>
    <row r="220" spans="1:2" x14ac:dyDescent="0.35">
      <c r="A220" t="s">
        <v>727</v>
      </c>
      <c r="B220" s="7" t="s">
        <v>1551</v>
      </c>
    </row>
    <row r="221" spans="1:2" x14ac:dyDescent="0.35">
      <c r="A221" t="s">
        <v>728</v>
      </c>
      <c r="B221" s="7" t="s">
        <v>1552</v>
      </c>
    </row>
    <row r="222" spans="1:2" x14ac:dyDescent="0.35">
      <c r="A222" t="s">
        <v>130</v>
      </c>
      <c r="B222" s="7" t="s">
        <v>959</v>
      </c>
    </row>
    <row r="223" spans="1:2" x14ac:dyDescent="0.35">
      <c r="A223" t="s">
        <v>407</v>
      </c>
      <c r="B223" s="7" t="s">
        <v>1231</v>
      </c>
    </row>
    <row r="224" spans="1:2" x14ac:dyDescent="0.35">
      <c r="A224" t="s">
        <v>233</v>
      </c>
      <c r="B224" s="7" t="s">
        <v>1060</v>
      </c>
    </row>
    <row r="225" spans="1:6" x14ac:dyDescent="0.35">
      <c r="A225" t="s">
        <v>703</v>
      </c>
      <c r="B225" s="7" t="s">
        <v>1527</v>
      </c>
    </row>
    <row r="226" spans="1:6" x14ac:dyDescent="0.35">
      <c r="A226" t="s">
        <v>286</v>
      </c>
      <c r="B226" s="7" t="s">
        <v>1111</v>
      </c>
      <c r="C226" s="35">
        <v>1.7000000000000001E-4</v>
      </c>
      <c r="D226">
        <v>0.27</v>
      </c>
      <c r="E226" t="s">
        <v>4106</v>
      </c>
      <c r="F226" s="57">
        <v>44573</v>
      </c>
    </row>
    <row r="227" spans="1:6" x14ac:dyDescent="0.35">
      <c r="A227" t="s">
        <v>451</v>
      </c>
      <c r="B227" s="7" t="s">
        <v>1275</v>
      </c>
      <c r="D227">
        <v>1.7000000000000001E-2</v>
      </c>
      <c r="E227" t="s">
        <v>4106</v>
      </c>
      <c r="F227" s="57">
        <v>44573</v>
      </c>
    </row>
    <row r="228" spans="1:6" x14ac:dyDescent="0.35">
      <c r="A228" t="s">
        <v>790</v>
      </c>
      <c r="B228" s="7" t="s">
        <v>1613</v>
      </c>
    </row>
    <row r="229" spans="1:6" x14ac:dyDescent="0.35">
      <c r="A229" t="s">
        <v>794</v>
      </c>
      <c r="B229" s="7" t="s">
        <v>1617</v>
      </c>
    </row>
    <row r="230" spans="1:6" x14ac:dyDescent="0.35">
      <c r="A230" t="s">
        <v>467</v>
      </c>
      <c r="B230" s="7" t="s">
        <v>1291</v>
      </c>
    </row>
    <row r="231" spans="1:6" x14ac:dyDescent="0.35">
      <c r="A231" t="s">
        <v>469</v>
      </c>
      <c r="B231" s="7" t="s">
        <v>1293</v>
      </c>
      <c r="D231" s="35">
        <v>8.2000000000000007E-3</v>
      </c>
      <c r="E231" t="s">
        <v>4106</v>
      </c>
      <c r="F231" s="57">
        <v>44573</v>
      </c>
    </row>
    <row r="232" spans="1:6" x14ac:dyDescent="0.35">
      <c r="A232" t="s">
        <v>449</v>
      </c>
      <c r="B232" s="7" t="s">
        <v>1273</v>
      </c>
      <c r="D232">
        <v>1.7000000000000001E-2</v>
      </c>
      <c r="E232" t="s">
        <v>4106</v>
      </c>
      <c r="F232" s="57">
        <v>44573</v>
      </c>
    </row>
    <row r="233" spans="1:6" x14ac:dyDescent="0.35">
      <c r="A233" t="s">
        <v>414</v>
      </c>
      <c r="B233" s="7" t="s">
        <v>1238</v>
      </c>
    </row>
    <row r="234" spans="1:6" x14ac:dyDescent="0.35">
      <c r="A234" t="s">
        <v>827</v>
      </c>
      <c r="B234" s="7" t="s">
        <v>1649</v>
      </c>
    </row>
    <row r="235" spans="1:6" x14ac:dyDescent="0.35">
      <c r="A235" t="s">
        <v>804</v>
      </c>
      <c r="B235" s="7" t="s">
        <v>1627</v>
      </c>
    </row>
    <row r="236" spans="1:6" x14ac:dyDescent="0.35">
      <c r="A236" t="s">
        <v>603</v>
      </c>
      <c r="B236" s="7" t="s">
        <v>1427</v>
      </c>
    </row>
    <row r="237" spans="1:6" x14ac:dyDescent="0.35">
      <c r="A237" t="s">
        <v>14</v>
      </c>
      <c r="B237" s="7" t="s">
        <v>843</v>
      </c>
    </row>
    <row r="238" spans="1:6" x14ac:dyDescent="0.35">
      <c r="A238" s="4" t="s">
        <v>780</v>
      </c>
      <c r="B238" s="7" t="s">
        <v>843</v>
      </c>
    </row>
    <row r="239" spans="1:6" x14ac:dyDescent="0.35">
      <c r="A239" t="s">
        <v>773</v>
      </c>
      <c r="B239" s="7" t="s">
        <v>1597</v>
      </c>
    </row>
    <row r="240" spans="1:6" x14ac:dyDescent="0.35">
      <c r="A240" t="s">
        <v>34</v>
      </c>
      <c r="B240" s="7" t="s">
        <v>863</v>
      </c>
    </row>
    <row r="241" spans="1:2" x14ac:dyDescent="0.35">
      <c r="A241" t="s">
        <v>55</v>
      </c>
      <c r="B241" s="7" t="s">
        <v>884</v>
      </c>
    </row>
    <row r="242" spans="1:2" x14ac:dyDescent="0.35">
      <c r="A242" t="s">
        <v>355</v>
      </c>
      <c r="B242" s="7" t="s">
        <v>1179</v>
      </c>
    </row>
    <row r="243" spans="1:2" x14ac:dyDescent="0.35">
      <c r="A243" t="s">
        <v>322</v>
      </c>
      <c r="B243" s="7" t="s">
        <v>1147</v>
      </c>
    </row>
    <row r="244" spans="1:2" x14ac:dyDescent="0.35">
      <c r="A244" t="s">
        <v>72</v>
      </c>
      <c r="B244" s="7" t="s">
        <v>901</v>
      </c>
    </row>
    <row r="245" spans="1:2" x14ac:dyDescent="0.35">
      <c r="A245" t="s">
        <v>309</v>
      </c>
      <c r="B245" s="7" t="s">
        <v>1134</v>
      </c>
    </row>
    <row r="246" spans="1:2" x14ac:dyDescent="0.35">
      <c r="A246" t="s">
        <v>77</v>
      </c>
      <c r="B246" s="7" t="s">
        <v>906</v>
      </c>
    </row>
    <row r="247" spans="1:2" x14ac:dyDescent="0.35">
      <c r="A247" t="s">
        <v>32</v>
      </c>
      <c r="B247" s="7" t="s">
        <v>861</v>
      </c>
    </row>
    <row r="248" spans="1:2" x14ac:dyDescent="0.35">
      <c r="A248" t="s">
        <v>87</v>
      </c>
      <c r="B248" s="7" t="s">
        <v>916</v>
      </c>
    </row>
    <row r="249" spans="1:2" x14ac:dyDescent="0.35">
      <c r="A249" t="s">
        <v>360</v>
      </c>
      <c r="B249" s="7" t="s">
        <v>1184</v>
      </c>
    </row>
    <row r="250" spans="1:2" x14ac:dyDescent="0.35">
      <c r="A250" t="s">
        <v>122</v>
      </c>
      <c r="B250" s="7" t="s">
        <v>951</v>
      </c>
    </row>
    <row r="251" spans="1:2" x14ac:dyDescent="0.35">
      <c r="A251" t="s">
        <v>492</v>
      </c>
      <c r="B251" s="7" t="s">
        <v>1316</v>
      </c>
    </row>
    <row r="252" spans="1:2" x14ac:dyDescent="0.35">
      <c r="A252" t="s">
        <v>386</v>
      </c>
      <c r="B252" s="7" t="s">
        <v>1210</v>
      </c>
    </row>
    <row r="253" spans="1:2" x14ac:dyDescent="0.35">
      <c r="A253" t="s">
        <v>336</v>
      </c>
      <c r="B253" s="7" t="s">
        <v>1161</v>
      </c>
    </row>
    <row r="254" spans="1:2" x14ac:dyDescent="0.35">
      <c r="A254" t="s">
        <v>337</v>
      </c>
      <c r="B254" s="7" t="s">
        <v>1161</v>
      </c>
    </row>
    <row r="255" spans="1:2" x14ac:dyDescent="0.35">
      <c r="A255" t="s">
        <v>754</v>
      </c>
      <c r="B255" s="7" t="s">
        <v>1578</v>
      </c>
    </row>
    <row r="256" spans="1:2" x14ac:dyDescent="0.35">
      <c r="A256" t="s">
        <v>584</v>
      </c>
      <c r="B256" s="7" t="s">
        <v>1408</v>
      </c>
    </row>
    <row r="257" spans="1:2" x14ac:dyDescent="0.35">
      <c r="A257" t="s">
        <v>104</v>
      </c>
      <c r="B257" s="7" t="s">
        <v>933</v>
      </c>
    </row>
    <row r="258" spans="1:2" x14ac:dyDescent="0.35">
      <c r="A258" t="s">
        <v>346</v>
      </c>
      <c r="B258" s="7" t="s">
        <v>1170</v>
      </c>
    </row>
    <row r="259" spans="1:2" x14ac:dyDescent="0.35">
      <c r="A259" t="s">
        <v>456</v>
      </c>
      <c r="B259" s="7" t="s">
        <v>1280</v>
      </c>
    </row>
    <row r="260" spans="1:2" x14ac:dyDescent="0.35">
      <c r="A260" s="4" t="s">
        <v>793</v>
      </c>
      <c r="B260" s="4" t="s">
        <v>1616</v>
      </c>
    </row>
    <row r="261" spans="1:2" x14ac:dyDescent="0.35">
      <c r="A261" t="s">
        <v>217</v>
      </c>
      <c r="B261" s="7" t="s">
        <v>1044</v>
      </c>
    </row>
    <row r="262" spans="1:2" x14ac:dyDescent="0.35">
      <c r="A262" t="s">
        <v>118</v>
      </c>
      <c r="B262" s="7" t="s">
        <v>947</v>
      </c>
    </row>
    <row r="263" spans="1:2" x14ac:dyDescent="0.35">
      <c r="A263" t="s">
        <v>764</v>
      </c>
      <c r="B263" s="7" t="s">
        <v>1588</v>
      </c>
    </row>
    <row r="264" spans="1:2" x14ac:dyDescent="0.35">
      <c r="A264" t="s">
        <v>755</v>
      </c>
      <c r="B264" s="7" t="s">
        <v>1579</v>
      </c>
    </row>
    <row r="265" spans="1:2" x14ac:dyDescent="0.35">
      <c r="A265" t="s">
        <v>372</v>
      </c>
      <c r="B265" s="7" t="s">
        <v>1196</v>
      </c>
    </row>
    <row r="266" spans="1:2" x14ac:dyDescent="0.35">
      <c r="A266" t="s">
        <v>326</v>
      </c>
      <c r="B266" s="7" t="s">
        <v>1151</v>
      </c>
    </row>
    <row r="267" spans="1:2" x14ac:dyDescent="0.35">
      <c r="A267" t="s">
        <v>175</v>
      </c>
      <c r="B267" s="7" t="s">
        <v>1004</v>
      </c>
    </row>
    <row r="268" spans="1:2" x14ac:dyDescent="0.35">
      <c r="A268" t="s">
        <v>50</v>
      </c>
      <c r="B268" s="7" t="s">
        <v>879</v>
      </c>
    </row>
    <row r="269" spans="1:2" x14ac:dyDescent="0.35">
      <c r="A269" t="s">
        <v>636</v>
      </c>
      <c r="B269" s="7" t="s">
        <v>1460</v>
      </c>
    </row>
    <row r="270" spans="1:2" x14ac:dyDescent="0.35">
      <c r="A270" t="s">
        <v>510</v>
      </c>
      <c r="B270" s="7" t="s">
        <v>1334</v>
      </c>
    </row>
    <row r="271" spans="1:2" x14ac:dyDescent="0.35">
      <c r="A271" t="s">
        <v>157</v>
      </c>
      <c r="B271" s="7" t="s">
        <v>986</v>
      </c>
    </row>
    <row r="272" spans="1:2" x14ac:dyDescent="0.35">
      <c r="A272" t="s">
        <v>97</v>
      </c>
      <c r="B272" s="7" t="s">
        <v>926</v>
      </c>
    </row>
    <row r="273" spans="1:6" x14ac:dyDescent="0.35">
      <c r="A273" t="s">
        <v>254</v>
      </c>
      <c r="B273" s="7" t="s">
        <v>1080</v>
      </c>
    </row>
    <row r="274" spans="1:6" x14ac:dyDescent="0.35">
      <c r="A274" t="s">
        <v>246</v>
      </c>
      <c r="B274" s="7" t="s">
        <v>1072</v>
      </c>
    </row>
    <row r="275" spans="1:6" x14ac:dyDescent="0.35">
      <c r="A275" t="s">
        <v>491</v>
      </c>
      <c r="B275" s="7" t="s">
        <v>1315</v>
      </c>
    </row>
    <row r="276" spans="1:6" x14ac:dyDescent="0.35">
      <c r="A276" t="s">
        <v>569</v>
      </c>
      <c r="B276" s="7" t="s">
        <v>1393</v>
      </c>
    </row>
    <row r="277" spans="1:6" x14ac:dyDescent="0.35">
      <c r="A277" t="s">
        <v>524</v>
      </c>
      <c r="B277" s="7" t="s">
        <v>1348</v>
      </c>
    </row>
    <row r="278" spans="1:6" x14ac:dyDescent="0.35">
      <c r="A278" t="s">
        <v>69</v>
      </c>
      <c r="B278" s="7" t="s">
        <v>898</v>
      </c>
    </row>
    <row r="279" spans="1:6" x14ac:dyDescent="0.35">
      <c r="A279" t="s">
        <v>658</v>
      </c>
      <c r="B279" s="7" t="s">
        <v>1482</v>
      </c>
    </row>
    <row r="280" spans="1:6" x14ac:dyDescent="0.35">
      <c r="A280" t="s">
        <v>229</v>
      </c>
      <c r="B280" s="7" t="s">
        <v>1056</v>
      </c>
    </row>
    <row r="281" spans="1:6" x14ac:dyDescent="0.35">
      <c r="A281" t="s">
        <v>36</v>
      </c>
      <c r="B281" s="7" t="s">
        <v>865</v>
      </c>
    </row>
    <row r="282" spans="1:6" x14ac:dyDescent="0.35">
      <c r="A282" t="s">
        <v>573</v>
      </c>
      <c r="B282" t="s">
        <v>1397</v>
      </c>
    </row>
    <row r="283" spans="1:6" x14ac:dyDescent="0.35">
      <c r="A283" s="26" t="s">
        <v>3337</v>
      </c>
      <c r="B283" s="26" t="s">
        <v>1397</v>
      </c>
      <c r="C283" s="26"/>
      <c r="D283" s="26"/>
      <c r="E283" s="26"/>
      <c r="F283" s="26"/>
    </row>
    <row r="284" spans="1:6" x14ac:dyDescent="0.35">
      <c r="A284" t="s">
        <v>775</v>
      </c>
      <c r="B284" s="7" t="s">
        <v>1599</v>
      </c>
    </row>
    <row r="285" spans="1:6" x14ac:dyDescent="0.35">
      <c r="A285" t="s">
        <v>210</v>
      </c>
      <c r="B285" s="7" t="s">
        <v>1037</v>
      </c>
    </row>
    <row r="286" spans="1:6" x14ac:dyDescent="0.35">
      <c r="A286" t="s">
        <v>566</v>
      </c>
      <c r="B286" s="7" t="s">
        <v>1390</v>
      </c>
    </row>
    <row r="287" spans="1:6" x14ac:dyDescent="0.35">
      <c r="A287" t="s">
        <v>22</v>
      </c>
      <c r="B287" s="7" t="s">
        <v>851</v>
      </c>
    </row>
    <row r="288" spans="1:6" x14ac:dyDescent="0.35">
      <c r="A288" t="s">
        <v>379</v>
      </c>
      <c r="B288" s="7" t="s">
        <v>1203</v>
      </c>
      <c r="C288">
        <v>0.03</v>
      </c>
      <c r="D288">
        <v>0.1</v>
      </c>
      <c r="E288" t="s">
        <v>4106</v>
      </c>
      <c r="F288" s="57">
        <v>44573</v>
      </c>
    </row>
    <row r="289" spans="1:2" x14ac:dyDescent="0.35">
      <c r="A289" t="s">
        <v>242</v>
      </c>
      <c r="B289" s="7" t="s">
        <v>1068</v>
      </c>
    </row>
    <row r="290" spans="1:2" x14ac:dyDescent="0.35">
      <c r="A290" t="s">
        <v>776</v>
      </c>
      <c r="B290" s="7" t="s">
        <v>1600</v>
      </c>
    </row>
    <row r="291" spans="1:2" x14ac:dyDescent="0.35">
      <c r="A291" t="s">
        <v>169</v>
      </c>
      <c r="B291" s="7" t="s">
        <v>998</v>
      </c>
    </row>
    <row r="292" spans="1:2" x14ac:dyDescent="0.35">
      <c r="A292" t="s">
        <v>477</v>
      </c>
      <c r="B292" s="7" t="s">
        <v>1301</v>
      </c>
    </row>
    <row r="293" spans="1:2" x14ac:dyDescent="0.35">
      <c r="A293" t="s">
        <v>103</v>
      </c>
      <c r="B293" s="7" t="s">
        <v>932</v>
      </c>
    </row>
    <row r="294" spans="1:2" x14ac:dyDescent="0.35">
      <c r="A294" t="s">
        <v>42</v>
      </c>
      <c r="B294" s="7" t="s">
        <v>871</v>
      </c>
    </row>
    <row r="295" spans="1:2" x14ac:dyDescent="0.35">
      <c r="A295" t="s">
        <v>218</v>
      </c>
      <c r="B295" s="7" t="s">
        <v>1045</v>
      </c>
    </row>
    <row r="296" spans="1:2" x14ac:dyDescent="0.35">
      <c r="A296" t="s">
        <v>435</v>
      </c>
      <c r="B296" s="7" t="s">
        <v>1259</v>
      </c>
    </row>
    <row r="297" spans="1:2" x14ac:dyDescent="0.35">
      <c r="A297" t="s">
        <v>818</v>
      </c>
      <c r="B297" t="s">
        <v>1641</v>
      </c>
    </row>
    <row r="298" spans="1:2" x14ac:dyDescent="0.35">
      <c r="A298" t="s">
        <v>126</v>
      </c>
      <c r="B298" s="7" t="s">
        <v>955</v>
      </c>
    </row>
    <row r="299" spans="1:2" x14ac:dyDescent="0.35">
      <c r="A299" t="s">
        <v>269</v>
      </c>
      <c r="B299" s="7" t="s">
        <v>1095</v>
      </c>
    </row>
    <row r="300" spans="1:2" x14ac:dyDescent="0.35">
      <c r="A300" t="s">
        <v>56</v>
      </c>
      <c r="B300" s="7" t="s">
        <v>885</v>
      </c>
    </row>
    <row r="301" spans="1:2" x14ac:dyDescent="0.35">
      <c r="A301" t="s">
        <v>277</v>
      </c>
      <c r="B301" s="7" t="s">
        <v>1103</v>
      </c>
    </row>
    <row r="302" spans="1:2" x14ac:dyDescent="0.35">
      <c r="A302" t="s">
        <v>276</v>
      </c>
      <c r="B302" s="7" t="s">
        <v>1102</v>
      </c>
    </row>
    <row r="303" spans="1:2" x14ac:dyDescent="0.35">
      <c r="A303" t="s">
        <v>202</v>
      </c>
      <c r="B303" s="7" t="s">
        <v>1030</v>
      </c>
    </row>
    <row r="304" spans="1:2" x14ac:dyDescent="0.35">
      <c r="A304" t="s">
        <v>685</v>
      </c>
      <c r="B304" s="7" t="s">
        <v>1509</v>
      </c>
    </row>
    <row r="305" spans="1:6" x14ac:dyDescent="0.35">
      <c r="A305" t="s">
        <v>686</v>
      </c>
      <c r="B305" s="7" t="s">
        <v>1510</v>
      </c>
    </row>
    <row r="306" spans="1:6" x14ac:dyDescent="0.35">
      <c r="A306" t="s">
        <v>480</v>
      </c>
      <c r="B306" s="7" t="s">
        <v>1304</v>
      </c>
    </row>
    <row r="307" spans="1:6" x14ac:dyDescent="0.35">
      <c r="A307" t="s">
        <v>429</v>
      </c>
      <c r="B307" s="7" t="s">
        <v>1253</v>
      </c>
    </row>
    <row r="308" spans="1:6" x14ac:dyDescent="0.35">
      <c r="A308" t="s">
        <v>44</v>
      </c>
      <c r="B308" s="7" t="s">
        <v>873</v>
      </c>
    </row>
    <row r="309" spans="1:6" x14ac:dyDescent="0.35">
      <c r="A309" t="s">
        <v>308</v>
      </c>
      <c r="B309" s="7" t="s">
        <v>1133</v>
      </c>
    </row>
    <row r="310" spans="1:6" x14ac:dyDescent="0.35">
      <c r="A310" t="s">
        <v>173</v>
      </c>
      <c r="B310" s="7" t="s">
        <v>1002</v>
      </c>
    </row>
    <row r="311" spans="1:6" x14ac:dyDescent="0.35">
      <c r="A311" t="s">
        <v>618</v>
      </c>
      <c r="B311" s="7" t="s">
        <v>1442</v>
      </c>
    </row>
    <row r="312" spans="1:6" x14ac:dyDescent="0.35">
      <c r="A312" s="26" t="s">
        <v>3361</v>
      </c>
      <c r="B312" s="26" t="s">
        <v>3362</v>
      </c>
      <c r="C312" s="26"/>
      <c r="D312" s="26"/>
      <c r="E312" s="26"/>
      <c r="F312" s="26"/>
    </row>
    <row r="313" spans="1:6" x14ac:dyDescent="0.35">
      <c r="A313" t="s">
        <v>416</v>
      </c>
      <c r="B313" s="7" t="s">
        <v>1240</v>
      </c>
    </row>
    <row r="314" spans="1:6" x14ac:dyDescent="0.35">
      <c r="A314" t="s">
        <v>756</v>
      </c>
      <c r="B314" s="7" t="s">
        <v>1580</v>
      </c>
    </row>
    <row r="315" spans="1:6" x14ac:dyDescent="0.35">
      <c r="A315" t="s">
        <v>219</v>
      </c>
      <c r="B315" s="7" t="s">
        <v>1046</v>
      </c>
    </row>
    <row r="316" spans="1:6" x14ac:dyDescent="0.35">
      <c r="A316" t="s">
        <v>687</v>
      </c>
      <c r="B316" s="7" t="s">
        <v>1511</v>
      </c>
    </row>
    <row r="317" spans="1:6" x14ac:dyDescent="0.35">
      <c r="A317" t="s">
        <v>113</v>
      </c>
      <c r="B317" s="7" t="s">
        <v>942</v>
      </c>
    </row>
    <row r="318" spans="1:6" x14ac:dyDescent="0.35">
      <c r="A318" t="s">
        <v>688</v>
      </c>
      <c r="B318" s="7" t="s">
        <v>1512</v>
      </c>
    </row>
    <row r="319" spans="1:6" x14ac:dyDescent="0.35">
      <c r="A319" t="s">
        <v>330</v>
      </c>
      <c r="B319" s="7" t="s">
        <v>1155</v>
      </c>
    </row>
    <row r="320" spans="1:6" x14ac:dyDescent="0.35">
      <c r="A320" t="s">
        <v>260</v>
      </c>
      <c r="B320" s="7" t="s">
        <v>1086</v>
      </c>
    </row>
    <row r="321" spans="1:6" x14ac:dyDescent="0.35">
      <c r="A321" t="s">
        <v>295</v>
      </c>
      <c r="B321" s="7" t="s">
        <v>1120</v>
      </c>
    </row>
    <row r="322" spans="1:6" x14ac:dyDescent="0.35">
      <c r="A322" t="s">
        <v>194</v>
      </c>
      <c r="B322" s="7" t="s">
        <v>1022</v>
      </c>
    </row>
    <row r="323" spans="1:6" x14ac:dyDescent="0.35">
      <c r="A323" t="s">
        <v>2</v>
      </c>
      <c r="B323" s="7" t="s">
        <v>831</v>
      </c>
    </row>
    <row r="324" spans="1:6" x14ac:dyDescent="0.35">
      <c r="A324" t="s">
        <v>436</v>
      </c>
      <c r="B324" s="7" t="s">
        <v>1260</v>
      </c>
    </row>
    <row r="325" spans="1:6" x14ac:dyDescent="0.35">
      <c r="A325" t="s">
        <v>654</v>
      </c>
      <c r="B325" s="7" t="s">
        <v>1478</v>
      </c>
    </row>
    <row r="326" spans="1:6" x14ac:dyDescent="0.35">
      <c r="A326" t="s">
        <v>591</v>
      </c>
      <c r="B326" s="7" t="s">
        <v>1415</v>
      </c>
    </row>
    <row r="327" spans="1:6" x14ac:dyDescent="0.35">
      <c r="A327" s="1" t="s">
        <v>7</v>
      </c>
      <c r="B327" s="7" t="s">
        <v>836</v>
      </c>
    </row>
    <row r="328" spans="1:6" x14ac:dyDescent="0.35">
      <c r="A328" t="s">
        <v>290</v>
      </c>
      <c r="B328" s="7" t="s">
        <v>1115</v>
      </c>
    </row>
    <row r="329" spans="1:6" x14ac:dyDescent="0.35">
      <c r="A329" t="s">
        <v>152</v>
      </c>
      <c r="B329" s="7" t="s">
        <v>981</v>
      </c>
    </row>
    <row r="330" spans="1:6" x14ac:dyDescent="0.35">
      <c r="A330" t="s">
        <v>427</v>
      </c>
      <c r="B330" s="7" t="s">
        <v>1251</v>
      </c>
    </row>
    <row r="331" spans="1:6" x14ac:dyDescent="0.35">
      <c r="A331" t="s">
        <v>689</v>
      </c>
      <c r="B331" s="7" t="s">
        <v>1513</v>
      </c>
    </row>
    <row r="332" spans="1:6" x14ac:dyDescent="0.35">
      <c r="A332" t="s">
        <v>785</v>
      </c>
      <c r="B332" s="7" t="s">
        <v>1608</v>
      </c>
    </row>
    <row r="333" spans="1:6" x14ac:dyDescent="0.35">
      <c r="A333" s="4" t="s">
        <v>825</v>
      </c>
      <c r="B333" s="7" t="s">
        <v>1647</v>
      </c>
    </row>
    <row r="334" spans="1:6" x14ac:dyDescent="0.35">
      <c r="A334" s="26" t="s">
        <v>3338</v>
      </c>
      <c r="B334" s="26" t="s">
        <v>3339</v>
      </c>
      <c r="C334" s="26"/>
      <c r="D334" s="26"/>
      <c r="E334" s="26"/>
      <c r="F334" s="26"/>
    </row>
    <row r="335" spans="1:6" x14ac:dyDescent="0.35">
      <c r="A335" s="26" t="s">
        <v>3377</v>
      </c>
      <c r="B335" s="26" t="s">
        <v>3339</v>
      </c>
      <c r="C335" s="26"/>
      <c r="D335" s="26"/>
      <c r="E335" s="26"/>
      <c r="F335" s="26"/>
    </row>
    <row r="336" spans="1:6" x14ac:dyDescent="0.35">
      <c r="A336" t="s">
        <v>581</v>
      </c>
      <c r="B336" s="7" t="s">
        <v>1405</v>
      </c>
    </row>
    <row r="337" spans="1:6" x14ac:dyDescent="0.35">
      <c r="A337" t="s">
        <v>558</v>
      </c>
      <c r="B337" s="7" t="s">
        <v>1382</v>
      </c>
    </row>
    <row r="338" spans="1:6" x14ac:dyDescent="0.35">
      <c r="A338" t="s">
        <v>180</v>
      </c>
      <c r="B338" s="7" t="s">
        <v>1009</v>
      </c>
    </row>
    <row r="339" spans="1:6" x14ac:dyDescent="0.35">
      <c r="A339" s="26" t="s">
        <v>3340</v>
      </c>
      <c r="B339" s="26" t="s">
        <v>3341</v>
      </c>
      <c r="C339" s="26"/>
      <c r="D339" s="26"/>
      <c r="E339" s="26"/>
      <c r="F339" s="26"/>
    </row>
    <row r="340" spans="1:6" x14ac:dyDescent="0.35">
      <c r="A340" s="26" t="s">
        <v>3378</v>
      </c>
      <c r="B340" s="26" t="s">
        <v>3341</v>
      </c>
      <c r="C340" s="26"/>
      <c r="D340" s="26"/>
      <c r="E340" s="26"/>
      <c r="F340" s="26"/>
    </row>
    <row r="341" spans="1:6" x14ac:dyDescent="0.35">
      <c r="A341" t="s">
        <v>656</v>
      </c>
      <c r="B341" s="7" t="s">
        <v>1480</v>
      </c>
    </row>
    <row r="342" spans="1:6" x14ac:dyDescent="0.35">
      <c r="A342" t="s">
        <v>354</v>
      </c>
      <c r="B342" s="7" t="s">
        <v>1178</v>
      </c>
    </row>
    <row r="343" spans="1:6" x14ac:dyDescent="0.35">
      <c r="A343" t="s">
        <v>734</v>
      </c>
      <c r="B343" s="7" t="s">
        <v>1558</v>
      </c>
    </row>
    <row r="344" spans="1:6" x14ac:dyDescent="0.35">
      <c r="A344" t="s">
        <v>579</v>
      </c>
      <c r="B344" s="7" t="s">
        <v>1403</v>
      </c>
    </row>
    <row r="345" spans="1:6" x14ac:dyDescent="0.35">
      <c r="A345" t="s">
        <v>306</v>
      </c>
      <c r="B345" s="7" t="s">
        <v>1131</v>
      </c>
    </row>
    <row r="346" spans="1:6" x14ac:dyDescent="0.35">
      <c r="A346" t="s">
        <v>177</v>
      </c>
      <c r="B346" s="7" t="s">
        <v>1006</v>
      </c>
    </row>
    <row r="347" spans="1:6" x14ac:dyDescent="0.35">
      <c r="A347" t="s">
        <v>630</v>
      </c>
      <c r="B347" s="7" t="s">
        <v>1454</v>
      </c>
    </row>
    <row r="348" spans="1:6" x14ac:dyDescent="0.35">
      <c r="A348" t="s">
        <v>417</v>
      </c>
      <c r="B348" s="7" t="s">
        <v>1241</v>
      </c>
    </row>
    <row r="349" spans="1:6" x14ac:dyDescent="0.35">
      <c r="A349" t="s">
        <v>48</v>
      </c>
      <c r="B349" s="7" t="s">
        <v>877</v>
      </c>
    </row>
    <row r="350" spans="1:6" x14ac:dyDescent="0.35">
      <c r="A350" t="s">
        <v>625</v>
      </c>
      <c r="B350" s="7" t="s">
        <v>1449</v>
      </c>
    </row>
    <row r="351" spans="1:6" x14ac:dyDescent="0.35">
      <c r="A351" t="s">
        <v>292</v>
      </c>
      <c r="B351" s="7" t="s">
        <v>1117</v>
      </c>
    </row>
    <row r="352" spans="1:6" x14ac:dyDescent="0.35">
      <c r="A352" t="s">
        <v>583</v>
      </c>
      <c r="B352" s="7" t="s">
        <v>1407</v>
      </c>
    </row>
    <row r="353" spans="1:6" x14ac:dyDescent="0.35">
      <c r="A353" t="s">
        <v>606</v>
      </c>
      <c r="B353" s="7" t="s">
        <v>1430</v>
      </c>
      <c r="C353">
        <v>1.3</v>
      </c>
      <c r="E353" t="s">
        <v>4106</v>
      </c>
      <c r="F353" s="57">
        <v>44573</v>
      </c>
    </row>
    <row r="354" spans="1:6" x14ac:dyDescent="0.35">
      <c r="A354" t="s">
        <v>301</v>
      </c>
      <c r="B354" s="7" t="s">
        <v>1126</v>
      </c>
    </row>
    <row r="355" spans="1:6" x14ac:dyDescent="0.35">
      <c r="A355" t="s">
        <v>349</v>
      </c>
      <c r="B355" s="7" t="s">
        <v>1173</v>
      </c>
    </row>
    <row r="356" spans="1:6" x14ac:dyDescent="0.35">
      <c r="A356" t="s">
        <v>9</v>
      </c>
      <c r="B356" s="7" t="s">
        <v>838</v>
      </c>
    </row>
    <row r="357" spans="1:6" x14ac:dyDescent="0.35">
      <c r="A357" t="s">
        <v>255</v>
      </c>
      <c r="B357" s="7" t="s">
        <v>1081</v>
      </c>
    </row>
    <row r="358" spans="1:6" x14ac:dyDescent="0.35">
      <c r="A358" s="6" t="s">
        <v>787</v>
      </c>
      <c r="B358" s="7" t="s">
        <v>1610</v>
      </c>
    </row>
    <row r="359" spans="1:6" x14ac:dyDescent="0.35">
      <c r="A359" s="4" t="s">
        <v>826</v>
      </c>
      <c r="B359" s="7" t="s">
        <v>1648</v>
      </c>
    </row>
    <row r="360" spans="1:6" x14ac:dyDescent="0.35">
      <c r="A360" t="s">
        <v>565</v>
      </c>
      <c r="B360" s="7" t="s">
        <v>1389</v>
      </c>
    </row>
    <row r="361" spans="1:6" x14ac:dyDescent="0.35">
      <c r="A361" s="4" t="s">
        <v>565</v>
      </c>
      <c r="B361" t="s">
        <v>1389</v>
      </c>
    </row>
    <row r="362" spans="1:6" x14ac:dyDescent="0.35">
      <c r="A362" t="s">
        <v>468</v>
      </c>
      <c r="B362" s="7" t="s">
        <v>1292</v>
      </c>
    </row>
    <row r="363" spans="1:6" x14ac:dyDescent="0.35">
      <c r="A363" t="s">
        <v>287</v>
      </c>
      <c r="B363" s="7" t="s">
        <v>1112</v>
      </c>
      <c r="C363">
        <v>0.01</v>
      </c>
      <c r="E363" t="s">
        <v>4106</v>
      </c>
      <c r="F363" s="57">
        <v>44573</v>
      </c>
    </row>
    <row r="364" spans="1:6" x14ac:dyDescent="0.35">
      <c r="A364" t="s">
        <v>596</v>
      </c>
      <c r="B364" s="7" t="s">
        <v>1420</v>
      </c>
    </row>
    <row r="365" spans="1:6" x14ac:dyDescent="0.35">
      <c r="A365" t="s">
        <v>777</v>
      </c>
      <c r="B365" s="7" t="s">
        <v>1601</v>
      </c>
    </row>
    <row r="366" spans="1:6" x14ac:dyDescent="0.35">
      <c r="A366" t="s">
        <v>176</v>
      </c>
      <c r="B366" s="7" t="s">
        <v>1005</v>
      </c>
      <c r="C366" s="35">
        <v>5.9999999999999995E-4</v>
      </c>
      <c r="D366" s="35">
        <v>6.9999999999999999E-4</v>
      </c>
      <c r="E366" t="s">
        <v>4106</v>
      </c>
      <c r="F366" s="57">
        <v>44573</v>
      </c>
    </row>
    <row r="367" spans="1:6" x14ac:dyDescent="0.35">
      <c r="A367" t="s">
        <v>516</v>
      </c>
      <c r="B367" s="7" t="s">
        <v>1340</v>
      </c>
    </row>
    <row r="368" spans="1:6" x14ac:dyDescent="0.35">
      <c r="A368" t="s">
        <v>534</v>
      </c>
      <c r="B368" s="7" t="s">
        <v>1358</v>
      </c>
    </row>
    <row r="369" spans="1:6" x14ac:dyDescent="0.35">
      <c r="A369" t="s">
        <v>190</v>
      </c>
      <c r="B369" s="7" t="s">
        <v>1018</v>
      </c>
      <c r="C369">
        <v>0.01</v>
      </c>
      <c r="E369" t="s">
        <v>4106</v>
      </c>
      <c r="F369" s="57">
        <v>44573</v>
      </c>
    </row>
    <row r="370" spans="1:6" x14ac:dyDescent="0.35">
      <c r="A370" t="s">
        <v>60</v>
      </c>
      <c r="B370" s="7" t="s">
        <v>889</v>
      </c>
    </row>
    <row r="371" spans="1:6" x14ac:dyDescent="0.35">
      <c r="A371" t="s">
        <v>675</v>
      </c>
      <c r="B371" s="7" t="s">
        <v>1499</v>
      </c>
    </row>
    <row r="372" spans="1:6" x14ac:dyDescent="0.35">
      <c r="A372" t="s">
        <v>333</v>
      </c>
      <c r="B372" s="7" t="s">
        <v>1158</v>
      </c>
    </row>
    <row r="373" spans="1:6" x14ac:dyDescent="0.35">
      <c r="A373" t="s">
        <v>628</v>
      </c>
      <c r="B373" s="7" t="s">
        <v>1452</v>
      </c>
    </row>
    <row r="374" spans="1:6" x14ac:dyDescent="0.35">
      <c r="A374" t="s">
        <v>690</v>
      </c>
      <c r="B374" s="7" t="s">
        <v>1514</v>
      </c>
    </row>
    <row r="375" spans="1:6" x14ac:dyDescent="0.35">
      <c r="A375" s="26" t="s">
        <v>3328</v>
      </c>
      <c r="B375" s="26" t="s">
        <v>3329</v>
      </c>
      <c r="C375" s="26"/>
      <c r="D375" s="26"/>
      <c r="E375" s="26"/>
      <c r="F375" s="26"/>
    </row>
    <row r="376" spans="1:6" x14ac:dyDescent="0.35">
      <c r="A376" t="s">
        <v>234</v>
      </c>
      <c r="B376" s="7" t="s">
        <v>1061</v>
      </c>
    </row>
    <row r="377" spans="1:6" x14ac:dyDescent="0.35">
      <c r="A377" t="s">
        <v>49</v>
      </c>
      <c r="B377" s="7" t="s">
        <v>878</v>
      </c>
    </row>
    <row r="378" spans="1:6" x14ac:dyDescent="0.35">
      <c r="A378" s="26" t="s">
        <v>3381</v>
      </c>
      <c r="B378" s="26" t="s">
        <v>3382</v>
      </c>
      <c r="C378" s="26"/>
      <c r="D378" s="26"/>
      <c r="E378" s="26"/>
      <c r="F378" s="26"/>
    </row>
    <row r="379" spans="1:6" x14ac:dyDescent="0.35">
      <c r="A379" s="26" t="s">
        <v>3342</v>
      </c>
      <c r="B379" s="26" t="s">
        <v>3343</v>
      </c>
      <c r="C379" s="26"/>
      <c r="D379" s="26"/>
      <c r="E379" s="26"/>
      <c r="F379" s="26"/>
    </row>
    <row r="380" spans="1:6" x14ac:dyDescent="0.35">
      <c r="A380" s="26" t="s">
        <v>3383</v>
      </c>
      <c r="B380" s="26" t="s">
        <v>3384</v>
      </c>
      <c r="C380" s="26"/>
      <c r="D380" s="26"/>
      <c r="E380" s="26"/>
      <c r="F380" s="26"/>
    </row>
    <row r="381" spans="1:6" x14ac:dyDescent="0.35">
      <c r="A381" s="26" t="s">
        <v>1879</v>
      </c>
      <c r="B381" s="26" t="s">
        <v>3344</v>
      </c>
      <c r="C381" s="26"/>
      <c r="D381" s="26"/>
      <c r="E381" s="26"/>
      <c r="F381" s="26"/>
    </row>
    <row r="382" spans="1:6" x14ac:dyDescent="0.35">
      <c r="A382" t="s">
        <v>452</v>
      </c>
      <c r="B382" s="7" t="s">
        <v>1276</v>
      </c>
    </row>
    <row r="383" spans="1:6" x14ac:dyDescent="0.35">
      <c r="A383" t="s">
        <v>191</v>
      </c>
      <c r="B383" s="7" t="s">
        <v>1019</v>
      </c>
    </row>
    <row r="384" spans="1:6" x14ac:dyDescent="0.35">
      <c r="A384" t="s">
        <v>154</v>
      </c>
      <c r="B384" s="7" t="s">
        <v>983</v>
      </c>
    </row>
    <row r="385" spans="1:6" x14ac:dyDescent="0.35">
      <c r="A385" s="26" t="s">
        <v>3414</v>
      </c>
      <c r="B385" s="26" t="s">
        <v>3419</v>
      </c>
      <c r="C385" s="26"/>
      <c r="D385" s="26"/>
      <c r="E385" s="26"/>
      <c r="F385" s="26"/>
    </row>
    <row r="386" spans="1:6" x14ac:dyDescent="0.35">
      <c r="A386" s="26" t="s">
        <v>3367</v>
      </c>
      <c r="B386" s="26" t="s">
        <v>3368</v>
      </c>
      <c r="C386" s="26"/>
      <c r="D386" s="26"/>
      <c r="E386" s="26"/>
      <c r="F386" s="26"/>
    </row>
    <row r="387" spans="1:6" x14ac:dyDescent="0.35">
      <c r="A387" t="s">
        <v>213</v>
      </c>
      <c r="B387" s="7" t="s">
        <v>1040</v>
      </c>
    </row>
    <row r="388" spans="1:6" x14ac:dyDescent="0.35">
      <c r="A388" t="s">
        <v>522</v>
      </c>
      <c r="B388" s="7" t="s">
        <v>1346</v>
      </c>
    </row>
    <row r="389" spans="1:6" x14ac:dyDescent="0.35">
      <c r="A389" t="s">
        <v>374</v>
      </c>
      <c r="B389" s="7" t="s">
        <v>1198</v>
      </c>
    </row>
    <row r="390" spans="1:6" x14ac:dyDescent="0.35">
      <c r="A390" t="s">
        <v>409</v>
      </c>
      <c r="B390" s="7" t="s">
        <v>1233</v>
      </c>
    </row>
    <row r="391" spans="1:6" x14ac:dyDescent="0.35">
      <c r="A391" t="s">
        <v>352</v>
      </c>
      <c r="B391" s="7" t="s">
        <v>1176</v>
      </c>
      <c r="C391">
        <v>0.2</v>
      </c>
      <c r="D391">
        <v>1.8</v>
      </c>
      <c r="E391" t="s">
        <v>4106</v>
      </c>
      <c r="F391" s="57">
        <v>44573</v>
      </c>
    </row>
    <row r="392" spans="1:6" x14ac:dyDescent="0.35">
      <c r="A392" t="s">
        <v>201</v>
      </c>
      <c r="B392" s="7" t="s">
        <v>1029</v>
      </c>
    </row>
    <row r="393" spans="1:6" x14ac:dyDescent="0.35">
      <c r="A393" t="s">
        <v>40</v>
      </c>
      <c r="B393" s="7" t="s">
        <v>869</v>
      </c>
    </row>
    <row r="394" spans="1:6" x14ac:dyDescent="0.35">
      <c r="A394" t="s">
        <v>419</v>
      </c>
      <c r="B394" s="7" t="s">
        <v>1243</v>
      </c>
    </row>
    <row r="395" spans="1:6" x14ac:dyDescent="0.35">
      <c r="A395" t="s">
        <v>735</v>
      </c>
      <c r="B395" s="7" t="s">
        <v>1559</v>
      </c>
    </row>
    <row r="396" spans="1:6" x14ac:dyDescent="0.35">
      <c r="A396" t="s">
        <v>608</v>
      </c>
      <c r="B396" s="7" t="s">
        <v>1432</v>
      </c>
    </row>
    <row r="397" spans="1:6" x14ac:dyDescent="0.35">
      <c r="A397" t="s">
        <v>553</v>
      </c>
      <c r="B397" s="7" t="s">
        <v>1377</v>
      </c>
    </row>
    <row r="398" spans="1:6" x14ac:dyDescent="0.35">
      <c r="A398" t="s">
        <v>511</v>
      </c>
      <c r="B398" s="7" t="s">
        <v>1335</v>
      </c>
    </row>
    <row r="399" spans="1:6" x14ac:dyDescent="0.35">
      <c r="A399" t="s">
        <v>133</v>
      </c>
      <c r="B399" s="7" t="s">
        <v>962</v>
      </c>
    </row>
    <row r="400" spans="1:6" x14ac:dyDescent="0.35">
      <c r="A400" t="s">
        <v>120</v>
      </c>
      <c r="B400" s="7" t="s">
        <v>949</v>
      </c>
    </row>
    <row r="401" spans="1:6" x14ac:dyDescent="0.35">
      <c r="A401" t="s">
        <v>117</v>
      </c>
      <c r="B401" s="7" t="s">
        <v>946</v>
      </c>
    </row>
    <row r="402" spans="1:6" x14ac:dyDescent="0.35">
      <c r="A402" t="s">
        <v>12</v>
      </c>
      <c r="B402" s="7" t="s">
        <v>841</v>
      </c>
    </row>
    <row r="403" spans="1:6" x14ac:dyDescent="0.35">
      <c r="A403" t="s">
        <v>350</v>
      </c>
      <c r="B403" s="7" t="s">
        <v>1174</v>
      </c>
    </row>
    <row r="404" spans="1:6" x14ac:dyDescent="0.35">
      <c r="A404" t="s">
        <v>643</v>
      </c>
      <c r="B404" s="7" t="s">
        <v>1467</v>
      </c>
    </row>
    <row r="405" spans="1:6" x14ac:dyDescent="0.35">
      <c r="A405" t="s">
        <v>142</v>
      </c>
      <c r="B405" s="7" t="s">
        <v>971</v>
      </c>
      <c r="C405">
        <v>0.01</v>
      </c>
      <c r="E405" t="s">
        <v>4106</v>
      </c>
      <c r="F405" s="57">
        <v>44573</v>
      </c>
    </row>
    <row r="406" spans="1:6" x14ac:dyDescent="0.35">
      <c r="A406" t="s">
        <v>765</v>
      </c>
      <c r="B406" s="7" t="s">
        <v>1589</v>
      </c>
    </row>
    <row r="407" spans="1:6" x14ac:dyDescent="0.35">
      <c r="A407" t="s">
        <v>691</v>
      </c>
      <c r="B407" s="7" t="s">
        <v>1515</v>
      </c>
    </row>
    <row r="408" spans="1:6" x14ac:dyDescent="0.35">
      <c r="A408" t="s">
        <v>668</v>
      </c>
      <c r="B408" s="7" t="s">
        <v>1492</v>
      </c>
    </row>
    <row r="409" spans="1:6" x14ac:dyDescent="0.35">
      <c r="A409" t="s">
        <v>119</v>
      </c>
      <c r="B409" s="7" t="s">
        <v>948</v>
      </c>
    </row>
    <row r="410" spans="1:6" x14ac:dyDescent="0.35">
      <c r="A410" t="s">
        <v>669</v>
      </c>
      <c r="B410" s="7" t="s">
        <v>1493</v>
      </c>
    </row>
    <row r="411" spans="1:6" x14ac:dyDescent="0.35">
      <c r="A411" t="s">
        <v>677</v>
      </c>
      <c r="B411" s="7" t="s">
        <v>1501</v>
      </c>
    </row>
    <row r="412" spans="1:6" x14ac:dyDescent="0.35">
      <c r="A412" t="s">
        <v>617</v>
      </c>
      <c r="B412" s="7" t="s">
        <v>1441</v>
      </c>
    </row>
    <row r="413" spans="1:6" x14ac:dyDescent="0.35">
      <c r="A413" t="s">
        <v>434</v>
      </c>
      <c r="B413" s="7" t="s">
        <v>1258</v>
      </c>
    </row>
    <row r="414" spans="1:6" x14ac:dyDescent="0.35">
      <c r="A414" t="s">
        <v>670</v>
      </c>
      <c r="B414" s="7" t="s">
        <v>1494</v>
      </c>
    </row>
    <row r="415" spans="1:6" x14ac:dyDescent="0.35">
      <c r="A415" t="s">
        <v>671</v>
      </c>
      <c r="B415" s="7" t="s">
        <v>1495</v>
      </c>
    </row>
    <row r="416" spans="1:6" x14ac:dyDescent="0.35">
      <c r="A416" t="s">
        <v>215</v>
      </c>
      <c r="B416" s="7" t="s">
        <v>1042</v>
      </c>
    </row>
    <row r="417" spans="1:6" x14ac:dyDescent="0.35">
      <c r="A417" t="s">
        <v>547</v>
      </c>
      <c r="B417" s="7" t="s">
        <v>1371</v>
      </c>
    </row>
    <row r="418" spans="1:6" x14ac:dyDescent="0.35">
      <c r="A418" t="s">
        <v>567</v>
      </c>
      <c r="B418" s="7" t="s">
        <v>1391</v>
      </c>
    </row>
    <row r="419" spans="1:6" x14ac:dyDescent="0.35">
      <c r="A419" t="s">
        <v>484</v>
      </c>
      <c r="B419" s="7" t="s">
        <v>1308</v>
      </c>
    </row>
    <row r="420" spans="1:6" x14ac:dyDescent="0.35">
      <c r="A420" t="s">
        <v>771</v>
      </c>
      <c r="B420" s="7" t="s">
        <v>1595</v>
      </c>
    </row>
    <row r="421" spans="1:6" x14ac:dyDescent="0.35">
      <c r="A421" t="s">
        <v>311</v>
      </c>
      <c r="B421" s="7" t="s">
        <v>1136</v>
      </c>
    </row>
    <row r="422" spans="1:6" x14ac:dyDescent="0.35">
      <c r="A422" t="s">
        <v>692</v>
      </c>
      <c r="B422" s="7" t="s">
        <v>1516</v>
      </c>
    </row>
    <row r="423" spans="1:6" x14ac:dyDescent="0.35">
      <c r="A423" t="s">
        <v>513</v>
      </c>
      <c r="B423" s="7" t="s">
        <v>1337</v>
      </c>
    </row>
    <row r="424" spans="1:6" x14ac:dyDescent="0.35">
      <c r="A424" t="s">
        <v>501</v>
      </c>
      <c r="B424" s="7" t="s">
        <v>1325</v>
      </c>
    </row>
    <row r="425" spans="1:6" x14ac:dyDescent="0.35">
      <c r="A425" t="s">
        <v>645</v>
      </c>
      <c r="B425" s="7" t="s">
        <v>1469</v>
      </c>
    </row>
    <row r="426" spans="1:6" x14ac:dyDescent="0.35">
      <c r="A426" t="s">
        <v>109</v>
      </c>
      <c r="B426" s="7" t="s">
        <v>938</v>
      </c>
    </row>
    <row r="427" spans="1:6" x14ac:dyDescent="0.35">
      <c r="A427" t="s">
        <v>430</v>
      </c>
      <c r="B427" s="7" t="s">
        <v>1254</v>
      </c>
    </row>
    <row r="428" spans="1:6" x14ac:dyDescent="0.35">
      <c r="A428" t="s">
        <v>357</v>
      </c>
      <c r="B428" s="7" t="s">
        <v>1181</v>
      </c>
    </row>
    <row r="429" spans="1:6" x14ac:dyDescent="0.35">
      <c r="A429" t="s">
        <v>358</v>
      </c>
      <c r="B429" s="7" t="s">
        <v>1182</v>
      </c>
    </row>
    <row r="430" spans="1:6" x14ac:dyDescent="0.35">
      <c r="A430" t="s">
        <v>562</v>
      </c>
      <c r="B430" s="7" t="s">
        <v>1386</v>
      </c>
    </row>
    <row r="431" spans="1:6" x14ac:dyDescent="0.35">
      <c r="A431" s="26" t="s">
        <v>3408</v>
      </c>
      <c r="B431" s="26" t="s">
        <v>3416</v>
      </c>
      <c r="C431" s="26"/>
      <c r="D431" s="26"/>
      <c r="E431" s="26"/>
      <c r="F431" s="26"/>
    </row>
    <row r="432" spans="1:6" x14ac:dyDescent="0.35">
      <c r="A432" t="s">
        <v>293</v>
      </c>
      <c r="B432" s="7" t="s">
        <v>1118</v>
      </c>
    </row>
    <row r="433" spans="1:2" x14ac:dyDescent="0.35">
      <c r="A433" t="s">
        <v>376</v>
      </c>
      <c r="B433" s="7" t="s">
        <v>1200</v>
      </c>
    </row>
    <row r="434" spans="1:2" x14ac:dyDescent="0.35">
      <c r="A434" t="s">
        <v>302</v>
      </c>
      <c r="B434" s="7" t="s">
        <v>1127</v>
      </c>
    </row>
    <row r="435" spans="1:2" x14ac:dyDescent="0.35">
      <c r="A435" t="s">
        <v>156</v>
      </c>
      <c r="B435" s="7" t="s">
        <v>985</v>
      </c>
    </row>
    <row r="436" spans="1:2" x14ac:dyDescent="0.35">
      <c r="A436" t="s">
        <v>70</v>
      </c>
      <c r="B436" s="7" t="s">
        <v>899</v>
      </c>
    </row>
    <row r="437" spans="1:2" x14ac:dyDescent="0.35">
      <c r="A437" t="s">
        <v>3</v>
      </c>
      <c r="B437" s="7" t="s">
        <v>832</v>
      </c>
    </row>
    <row r="438" spans="1:2" x14ac:dyDescent="0.35">
      <c r="A438" t="s">
        <v>599</v>
      </c>
      <c r="B438" s="7" t="s">
        <v>1423</v>
      </c>
    </row>
    <row r="439" spans="1:2" x14ac:dyDescent="0.35">
      <c r="A439" t="s">
        <v>453</v>
      </c>
      <c r="B439" s="7" t="s">
        <v>1277</v>
      </c>
    </row>
    <row r="440" spans="1:2" x14ac:dyDescent="0.35">
      <c r="A440" t="s">
        <v>601</v>
      </c>
      <c r="B440" s="7" t="s">
        <v>1425</v>
      </c>
    </row>
    <row r="441" spans="1:2" x14ac:dyDescent="0.35">
      <c r="A441" t="s">
        <v>600</v>
      </c>
      <c r="B441" s="7" t="s">
        <v>1424</v>
      </c>
    </row>
    <row r="442" spans="1:2" x14ac:dyDescent="0.35">
      <c r="A442" t="s">
        <v>454</v>
      </c>
      <c r="B442" s="7" t="s">
        <v>1278</v>
      </c>
    </row>
    <row r="443" spans="1:2" x14ac:dyDescent="0.35">
      <c r="A443" t="s">
        <v>251</v>
      </c>
      <c r="B443" s="7" t="s">
        <v>1077</v>
      </c>
    </row>
    <row r="444" spans="1:2" x14ac:dyDescent="0.35">
      <c r="A444" t="s">
        <v>131</v>
      </c>
      <c r="B444" s="7" t="s">
        <v>960</v>
      </c>
    </row>
    <row r="445" spans="1:2" x14ac:dyDescent="0.35">
      <c r="A445" t="s">
        <v>392</v>
      </c>
      <c r="B445" s="7" t="s">
        <v>1216</v>
      </c>
    </row>
    <row r="446" spans="1:2" x14ac:dyDescent="0.35">
      <c r="A446" t="s">
        <v>54</v>
      </c>
      <c r="B446" s="7" t="s">
        <v>883</v>
      </c>
    </row>
    <row r="447" spans="1:2" x14ac:dyDescent="0.35">
      <c r="A447" t="s">
        <v>693</v>
      </c>
      <c r="B447" s="7" t="s">
        <v>1517</v>
      </c>
    </row>
    <row r="448" spans="1:2" x14ac:dyDescent="0.35">
      <c r="A448" t="s">
        <v>0</v>
      </c>
      <c r="B448" s="7" t="s">
        <v>829</v>
      </c>
    </row>
    <row r="449" spans="1:7" x14ac:dyDescent="0.35">
      <c r="A449" t="s">
        <v>320</v>
      </c>
      <c r="B449" s="7" t="s">
        <v>1145</v>
      </c>
    </row>
    <row r="450" spans="1:7" x14ac:dyDescent="0.35">
      <c r="A450" t="s">
        <v>437</v>
      </c>
      <c r="B450" s="7" t="s">
        <v>1261</v>
      </c>
      <c r="G450" t="s">
        <v>2102</v>
      </c>
    </row>
    <row r="451" spans="1:7" x14ac:dyDescent="0.35">
      <c r="A451" t="s">
        <v>450</v>
      </c>
      <c r="B451" s="7" t="s">
        <v>1274</v>
      </c>
      <c r="C451">
        <v>6.3E-3</v>
      </c>
      <c r="D451">
        <v>0.12</v>
      </c>
      <c r="E451" t="s">
        <v>4106</v>
      </c>
      <c r="F451" s="57">
        <v>44573</v>
      </c>
    </row>
    <row r="452" spans="1:7" x14ac:dyDescent="0.35">
      <c r="A452" t="s">
        <v>347</v>
      </c>
      <c r="B452" s="7" t="s">
        <v>1171</v>
      </c>
      <c r="G452" t="s">
        <v>2102</v>
      </c>
    </row>
    <row r="453" spans="1:7" x14ac:dyDescent="0.35">
      <c r="A453" t="s">
        <v>801</v>
      </c>
      <c r="B453" s="7" t="s">
        <v>1624</v>
      </c>
    </row>
    <row r="454" spans="1:7" x14ac:dyDescent="0.35">
      <c r="A454" t="s">
        <v>51</v>
      </c>
      <c r="B454" s="7" t="s">
        <v>880</v>
      </c>
    </row>
    <row r="455" spans="1:7" x14ac:dyDescent="0.35">
      <c r="A455" t="s">
        <v>247</v>
      </c>
      <c r="B455" s="7" t="s">
        <v>1073</v>
      </c>
    </row>
    <row r="456" spans="1:7" x14ac:dyDescent="0.35">
      <c r="A456" t="s">
        <v>274</v>
      </c>
      <c r="B456" s="7" t="s">
        <v>1100</v>
      </c>
    </row>
    <row r="457" spans="1:7" x14ac:dyDescent="0.35">
      <c r="A457" t="s">
        <v>564</v>
      </c>
      <c r="B457" s="7" t="s">
        <v>1388</v>
      </c>
    </row>
    <row r="458" spans="1:7" x14ac:dyDescent="0.35">
      <c r="A458" t="s">
        <v>86</v>
      </c>
      <c r="B458" s="7" t="s">
        <v>915</v>
      </c>
    </row>
    <row r="459" spans="1:7" x14ac:dyDescent="0.35">
      <c r="A459" t="s">
        <v>767</v>
      </c>
      <c r="B459" s="7" t="s">
        <v>1591</v>
      </c>
    </row>
    <row r="460" spans="1:7" x14ac:dyDescent="0.35">
      <c r="A460" t="s">
        <v>24</v>
      </c>
      <c r="B460" s="7" t="s">
        <v>853</v>
      </c>
    </row>
    <row r="461" spans="1:7" x14ac:dyDescent="0.35">
      <c r="A461" t="s">
        <v>248</v>
      </c>
      <c r="B461" s="7" t="s">
        <v>1074</v>
      </c>
    </row>
    <row r="462" spans="1:7" x14ac:dyDescent="0.35">
      <c r="A462" t="s">
        <v>21</v>
      </c>
      <c r="B462" s="7" t="s">
        <v>850</v>
      </c>
    </row>
    <row r="463" spans="1:7" x14ac:dyDescent="0.35">
      <c r="A463" t="s">
        <v>250</v>
      </c>
      <c r="B463" s="7" t="s">
        <v>1076</v>
      </c>
    </row>
    <row r="464" spans="1:7" x14ac:dyDescent="0.35">
      <c r="A464" t="s">
        <v>197</v>
      </c>
      <c r="B464" s="7" t="s">
        <v>1025</v>
      </c>
    </row>
    <row r="465" spans="1:6" x14ac:dyDescent="0.35">
      <c r="A465" t="s">
        <v>404</v>
      </c>
      <c r="B465" s="7" t="s">
        <v>1228</v>
      </c>
    </row>
    <row r="466" spans="1:6" x14ac:dyDescent="0.35">
      <c r="A466" t="s">
        <v>442</v>
      </c>
      <c r="B466" s="7" t="s">
        <v>1266</v>
      </c>
    </row>
    <row r="467" spans="1:6" x14ac:dyDescent="0.35">
      <c r="A467" t="s">
        <v>26</v>
      </c>
      <c r="B467" s="7" t="s">
        <v>855</v>
      </c>
    </row>
    <row r="468" spans="1:6" x14ac:dyDescent="0.35">
      <c r="A468" t="s">
        <v>381</v>
      </c>
      <c r="B468" s="7" t="s">
        <v>1205</v>
      </c>
    </row>
    <row r="469" spans="1:6" x14ac:dyDescent="0.35">
      <c r="A469" t="s">
        <v>648</v>
      </c>
      <c r="B469" s="7" t="s">
        <v>1472</v>
      </c>
    </row>
    <row r="470" spans="1:6" x14ac:dyDescent="0.35">
      <c r="A470" s="26" t="s">
        <v>3371</v>
      </c>
      <c r="B470" s="26" t="s">
        <v>3372</v>
      </c>
      <c r="C470" s="26"/>
      <c r="D470" s="26"/>
      <c r="E470" s="26"/>
      <c r="F470" s="26"/>
    </row>
    <row r="471" spans="1:6" x14ac:dyDescent="0.35">
      <c r="A471" t="s">
        <v>582</v>
      </c>
      <c r="B471" s="7" t="s">
        <v>1406</v>
      </c>
    </row>
    <row r="472" spans="1:6" x14ac:dyDescent="0.35">
      <c r="A472" t="s">
        <v>31</v>
      </c>
      <c r="B472" s="7" t="s">
        <v>860</v>
      </c>
    </row>
    <row r="473" spans="1:6" x14ac:dyDescent="0.35">
      <c r="A473" t="s">
        <v>532</v>
      </c>
      <c r="B473" s="7" t="s">
        <v>1356</v>
      </c>
    </row>
    <row r="474" spans="1:6" x14ac:dyDescent="0.35">
      <c r="A474" t="s">
        <v>655</v>
      </c>
      <c r="B474" s="7" t="s">
        <v>1479</v>
      </c>
    </row>
    <row r="475" spans="1:6" x14ac:dyDescent="0.35">
      <c r="A475" t="s">
        <v>115</v>
      </c>
      <c r="B475" s="7" t="s">
        <v>944</v>
      </c>
      <c r="C475" s="35"/>
      <c r="D475" s="35">
        <v>2.9999999999999997E-4</v>
      </c>
      <c r="E475" t="s">
        <v>4106</v>
      </c>
      <c r="F475" s="57">
        <v>44573</v>
      </c>
    </row>
    <row r="476" spans="1:6" x14ac:dyDescent="0.35">
      <c r="A476" t="s">
        <v>647</v>
      </c>
      <c r="B476" s="7" t="s">
        <v>1471</v>
      </c>
      <c r="C476" s="35"/>
      <c r="D476" s="35">
        <v>2.9999999999999997E-4</v>
      </c>
      <c r="E476" t="s">
        <v>4106</v>
      </c>
      <c r="F476" s="57">
        <v>44573</v>
      </c>
    </row>
    <row r="477" spans="1:6" x14ac:dyDescent="0.35">
      <c r="A477" t="s">
        <v>605</v>
      </c>
      <c r="B477" s="7" t="s">
        <v>1429</v>
      </c>
      <c r="D477">
        <v>0.05</v>
      </c>
      <c r="E477" t="s">
        <v>4106</v>
      </c>
      <c r="F477" s="57">
        <v>44573</v>
      </c>
    </row>
    <row r="478" spans="1:6" x14ac:dyDescent="0.35">
      <c r="A478" t="s">
        <v>271</v>
      </c>
      <c r="B478" s="7" t="s">
        <v>1097</v>
      </c>
    </row>
    <row r="479" spans="1:6" x14ac:dyDescent="0.35">
      <c r="A479" t="s">
        <v>137</v>
      </c>
      <c r="B479" s="7" t="s">
        <v>966</v>
      </c>
    </row>
    <row r="480" spans="1:6" x14ac:dyDescent="0.35">
      <c r="A480" t="s">
        <v>232</v>
      </c>
      <c r="B480" s="7" t="s">
        <v>1059</v>
      </c>
    </row>
    <row r="481" spans="1:6" x14ac:dyDescent="0.35">
      <c r="A481" t="s">
        <v>135</v>
      </c>
      <c r="B481" s="7" t="s">
        <v>964</v>
      </c>
    </row>
    <row r="482" spans="1:6" x14ac:dyDescent="0.35">
      <c r="A482" t="s">
        <v>368</v>
      </c>
      <c r="B482" s="7" t="s">
        <v>1192</v>
      </c>
    </row>
    <row r="483" spans="1:6" x14ac:dyDescent="0.35">
      <c r="A483" t="s">
        <v>136</v>
      </c>
      <c r="B483" s="7" t="s">
        <v>965</v>
      </c>
    </row>
    <row r="484" spans="1:6" x14ac:dyDescent="0.35">
      <c r="A484" s="26" t="s">
        <v>3357</v>
      </c>
      <c r="B484" s="26" t="s">
        <v>3358</v>
      </c>
      <c r="C484" s="26"/>
      <c r="D484" s="26"/>
      <c r="E484" s="26"/>
      <c r="F484" s="26"/>
    </row>
    <row r="485" spans="1:6" x14ac:dyDescent="0.35">
      <c r="A485" s="26" t="s">
        <v>3399</v>
      </c>
      <c r="B485" s="26" t="s">
        <v>3400</v>
      </c>
      <c r="C485" s="26"/>
      <c r="D485" s="26"/>
      <c r="E485" s="26"/>
      <c r="F485" s="26"/>
    </row>
    <row r="486" spans="1:6" x14ac:dyDescent="0.35">
      <c r="A486" s="4" t="s">
        <v>808</v>
      </c>
      <c r="B486" t="s">
        <v>1631</v>
      </c>
    </row>
    <row r="487" spans="1:6" x14ac:dyDescent="0.35">
      <c r="A487" t="s">
        <v>211</v>
      </c>
      <c r="B487" s="7" t="s">
        <v>1038</v>
      </c>
    </row>
    <row r="488" spans="1:6" x14ac:dyDescent="0.35">
      <c r="A488" t="s">
        <v>585</v>
      </c>
      <c r="B488" s="7" t="s">
        <v>1409</v>
      </c>
    </row>
    <row r="489" spans="1:6" x14ac:dyDescent="0.35">
      <c r="A489" t="s">
        <v>289</v>
      </c>
      <c r="B489" s="7" t="s">
        <v>1114</v>
      </c>
    </row>
    <row r="490" spans="1:6" x14ac:dyDescent="0.35">
      <c r="A490" t="s">
        <v>555</v>
      </c>
      <c r="B490" s="7" t="s">
        <v>1379</v>
      </c>
    </row>
    <row r="491" spans="1:6" x14ac:dyDescent="0.35">
      <c r="A491" t="s">
        <v>331</v>
      </c>
      <c r="B491" s="7" t="s">
        <v>1156</v>
      </c>
    </row>
    <row r="492" spans="1:6" x14ac:dyDescent="0.35">
      <c r="A492" s="26" t="s">
        <v>3385</v>
      </c>
      <c r="B492" s="26" t="s">
        <v>3386</v>
      </c>
      <c r="C492" s="26"/>
      <c r="D492" s="26"/>
      <c r="E492" s="26"/>
      <c r="F492" s="26"/>
    </row>
    <row r="493" spans="1:6" x14ac:dyDescent="0.35">
      <c r="A493" t="s">
        <v>231</v>
      </c>
      <c r="B493" s="7" t="s">
        <v>1058</v>
      </c>
    </row>
    <row r="494" spans="1:6" x14ac:dyDescent="0.35">
      <c r="A494" s="26" t="s">
        <v>3389</v>
      </c>
      <c r="B494" s="26" t="s">
        <v>3390</v>
      </c>
      <c r="C494" s="26"/>
      <c r="D494" s="26"/>
      <c r="E494" s="26"/>
      <c r="F494" s="26"/>
    </row>
    <row r="495" spans="1:6" x14ac:dyDescent="0.35">
      <c r="A495" s="26" t="s">
        <v>3391</v>
      </c>
      <c r="B495" s="26" t="s">
        <v>3392</v>
      </c>
      <c r="C495" s="26"/>
      <c r="D495" s="26"/>
      <c r="E495" s="26"/>
      <c r="F495" s="26"/>
    </row>
    <row r="496" spans="1:6" x14ac:dyDescent="0.35">
      <c r="A496" t="s">
        <v>399</v>
      </c>
      <c r="B496" s="7" t="s">
        <v>1223</v>
      </c>
    </row>
    <row r="497" spans="1:2" x14ac:dyDescent="0.35">
      <c r="A497" t="s">
        <v>148</v>
      </c>
      <c r="B497" s="7" t="s">
        <v>977</v>
      </c>
    </row>
    <row r="498" spans="1:2" x14ac:dyDescent="0.35">
      <c r="A498" t="s">
        <v>509</v>
      </c>
      <c r="B498" s="7" t="s">
        <v>1333</v>
      </c>
    </row>
    <row r="499" spans="1:2" x14ac:dyDescent="0.35">
      <c r="A499" t="s">
        <v>615</v>
      </c>
      <c r="B499" s="7" t="s">
        <v>1439</v>
      </c>
    </row>
    <row r="500" spans="1:2" x14ac:dyDescent="0.35">
      <c r="A500" t="s">
        <v>80</v>
      </c>
      <c r="B500" s="7" t="s">
        <v>909</v>
      </c>
    </row>
    <row r="501" spans="1:2" x14ac:dyDescent="0.35">
      <c r="A501" t="s">
        <v>79</v>
      </c>
      <c r="B501" s="7" t="s">
        <v>908</v>
      </c>
    </row>
    <row r="502" spans="1:2" x14ac:dyDescent="0.35">
      <c r="A502" t="s">
        <v>544</v>
      </c>
      <c r="B502" s="7" t="s">
        <v>1368</v>
      </c>
    </row>
    <row r="503" spans="1:2" x14ac:dyDescent="0.35">
      <c r="A503" t="s">
        <v>405</v>
      </c>
      <c r="B503" s="7" t="s">
        <v>1229</v>
      </c>
    </row>
    <row r="504" spans="1:2" x14ac:dyDescent="0.35">
      <c r="A504" t="s">
        <v>395</v>
      </c>
      <c r="B504" s="7" t="s">
        <v>1219</v>
      </c>
    </row>
    <row r="505" spans="1:2" x14ac:dyDescent="0.35">
      <c r="A505" t="s">
        <v>466</v>
      </c>
      <c r="B505" s="7" t="s">
        <v>1290</v>
      </c>
    </row>
    <row r="506" spans="1:2" x14ac:dyDescent="0.35">
      <c r="A506" t="s">
        <v>597</v>
      </c>
      <c r="B506" s="7" t="s">
        <v>1421</v>
      </c>
    </row>
    <row r="507" spans="1:2" x14ac:dyDescent="0.35">
      <c r="A507" t="s">
        <v>486</v>
      </c>
      <c r="B507" s="7" t="s">
        <v>1310</v>
      </c>
    </row>
    <row r="508" spans="1:2" x14ac:dyDescent="0.35">
      <c r="A508" t="s">
        <v>161</v>
      </c>
      <c r="B508" s="7" t="s">
        <v>990</v>
      </c>
    </row>
    <row r="509" spans="1:2" x14ac:dyDescent="0.35">
      <c r="A509" t="s">
        <v>196</v>
      </c>
      <c r="B509" s="7" t="s">
        <v>1024</v>
      </c>
    </row>
    <row r="510" spans="1:2" x14ac:dyDescent="0.35">
      <c r="A510" t="s">
        <v>739</v>
      </c>
      <c r="B510" s="7" t="s">
        <v>1563</v>
      </c>
    </row>
    <row r="511" spans="1:2" x14ac:dyDescent="0.35">
      <c r="A511" t="s">
        <v>543</v>
      </c>
      <c r="B511" s="7" t="s">
        <v>1367</v>
      </c>
    </row>
    <row r="512" spans="1:2" x14ac:dyDescent="0.35">
      <c r="A512" t="s">
        <v>588</v>
      </c>
      <c r="B512" s="7" t="s">
        <v>1412</v>
      </c>
    </row>
    <row r="513" spans="1:2" x14ac:dyDescent="0.35">
      <c r="A513" t="s">
        <v>94</v>
      </c>
      <c r="B513" s="7" t="s">
        <v>923</v>
      </c>
    </row>
    <row r="514" spans="1:2" x14ac:dyDescent="0.35">
      <c r="A514" t="s">
        <v>602</v>
      </c>
      <c r="B514" s="7" t="s">
        <v>1426</v>
      </c>
    </row>
    <row r="515" spans="1:2" x14ac:dyDescent="0.35">
      <c r="A515" t="s">
        <v>536</v>
      </c>
      <c r="B515" s="7" t="s">
        <v>1360</v>
      </c>
    </row>
    <row r="516" spans="1:2" x14ac:dyDescent="0.35">
      <c r="A516" t="s">
        <v>153</v>
      </c>
      <c r="B516" s="7" t="s">
        <v>982</v>
      </c>
    </row>
    <row r="517" spans="1:2" x14ac:dyDescent="0.35">
      <c r="A517" t="s">
        <v>166</v>
      </c>
      <c r="B517" s="7" t="s">
        <v>995</v>
      </c>
    </row>
    <row r="518" spans="1:2" x14ac:dyDescent="0.35">
      <c r="A518" t="s">
        <v>433</v>
      </c>
      <c r="B518" s="7" t="s">
        <v>1257</v>
      </c>
    </row>
    <row r="519" spans="1:2" x14ac:dyDescent="0.35">
      <c r="A519" t="s">
        <v>125</v>
      </c>
      <c r="B519" s="7" t="s">
        <v>954</v>
      </c>
    </row>
    <row r="520" spans="1:2" x14ac:dyDescent="0.35">
      <c r="A520" t="s">
        <v>528</v>
      </c>
      <c r="B520" s="7" t="s">
        <v>1352</v>
      </c>
    </row>
    <row r="521" spans="1:2" x14ac:dyDescent="0.35">
      <c r="A521" t="s">
        <v>102</v>
      </c>
      <c r="B521" s="7" t="s">
        <v>931</v>
      </c>
    </row>
    <row r="522" spans="1:2" x14ac:dyDescent="0.35">
      <c r="A522" t="s">
        <v>557</v>
      </c>
      <c r="B522" s="7" t="s">
        <v>1381</v>
      </c>
    </row>
    <row r="523" spans="1:2" x14ac:dyDescent="0.35">
      <c r="A523" t="s">
        <v>65</v>
      </c>
      <c r="B523" s="7" t="s">
        <v>894</v>
      </c>
    </row>
    <row r="524" spans="1:2" x14ac:dyDescent="0.35">
      <c r="A524" t="s">
        <v>563</v>
      </c>
      <c r="B524" s="7" t="s">
        <v>1387</v>
      </c>
    </row>
    <row r="525" spans="1:2" x14ac:dyDescent="0.35">
      <c r="A525" t="s">
        <v>644</v>
      </c>
      <c r="B525" s="7" t="s">
        <v>1468</v>
      </c>
    </row>
    <row r="526" spans="1:2" x14ac:dyDescent="0.35">
      <c r="A526" t="s">
        <v>652</v>
      </c>
      <c r="B526" s="7" t="s">
        <v>1476</v>
      </c>
    </row>
    <row r="527" spans="1:2" x14ac:dyDescent="0.35">
      <c r="A527" t="s">
        <v>268</v>
      </c>
      <c r="B527" s="7" t="s">
        <v>1094</v>
      </c>
    </row>
    <row r="528" spans="1:2" x14ac:dyDescent="0.35">
      <c r="A528" t="s">
        <v>546</v>
      </c>
      <c r="B528" s="7" t="s">
        <v>1370</v>
      </c>
    </row>
    <row r="529" spans="1:2" x14ac:dyDescent="0.35">
      <c r="A529" t="s">
        <v>58</v>
      </c>
      <c r="B529" s="7" t="s">
        <v>887</v>
      </c>
    </row>
    <row r="530" spans="1:2" x14ac:dyDescent="0.35">
      <c r="A530" t="s">
        <v>512</v>
      </c>
      <c r="B530" s="7" t="s">
        <v>1336</v>
      </c>
    </row>
    <row r="531" spans="1:2" x14ac:dyDescent="0.35">
      <c r="A531" t="s">
        <v>212</v>
      </c>
      <c r="B531" s="7" t="s">
        <v>1039</v>
      </c>
    </row>
    <row r="532" spans="1:2" x14ac:dyDescent="0.35">
      <c r="A532" t="s">
        <v>351</v>
      </c>
      <c r="B532" s="7" t="s">
        <v>1175</v>
      </c>
    </row>
    <row r="533" spans="1:2" x14ac:dyDescent="0.35">
      <c r="A533" t="s">
        <v>114</v>
      </c>
      <c r="B533" s="7" t="s">
        <v>943</v>
      </c>
    </row>
    <row r="534" spans="1:2" x14ac:dyDescent="0.35">
      <c r="A534" t="s">
        <v>736</v>
      </c>
      <c r="B534" s="7" t="s">
        <v>1560</v>
      </c>
    </row>
    <row r="535" spans="1:2" x14ac:dyDescent="0.35">
      <c r="A535" t="s">
        <v>259</v>
      </c>
      <c r="B535" s="7" t="s">
        <v>1085</v>
      </c>
    </row>
    <row r="536" spans="1:2" x14ac:dyDescent="0.35">
      <c r="A536" t="s">
        <v>89</v>
      </c>
      <c r="B536" s="7" t="s">
        <v>918</v>
      </c>
    </row>
    <row r="537" spans="1:2" x14ac:dyDescent="0.35">
      <c r="A537" t="s">
        <v>63</v>
      </c>
      <c r="B537" s="7" t="s">
        <v>892</v>
      </c>
    </row>
    <row r="538" spans="1:2" x14ac:dyDescent="0.35">
      <c r="A538" t="s">
        <v>614</v>
      </c>
      <c r="B538" s="7" t="s">
        <v>1438</v>
      </c>
    </row>
    <row r="539" spans="1:2" x14ac:dyDescent="0.35">
      <c r="A539" t="s">
        <v>121</v>
      </c>
      <c r="B539" s="7" t="s">
        <v>950</v>
      </c>
    </row>
    <row r="540" spans="1:2" x14ac:dyDescent="0.35">
      <c r="A540" t="s">
        <v>123</v>
      </c>
      <c r="B540" s="7" t="s">
        <v>952</v>
      </c>
    </row>
    <row r="541" spans="1:2" x14ac:dyDescent="0.35">
      <c r="A541" t="s">
        <v>500</v>
      </c>
      <c r="B541" s="7" t="s">
        <v>1324</v>
      </c>
    </row>
    <row r="542" spans="1:2" x14ac:dyDescent="0.35">
      <c r="A542" t="s">
        <v>593</v>
      </c>
      <c r="B542" s="7" t="s">
        <v>1417</v>
      </c>
    </row>
    <row r="543" spans="1:2" x14ac:dyDescent="0.35">
      <c r="A543" t="s">
        <v>20</v>
      </c>
      <c r="B543" s="7" t="s">
        <v>849</v>
      </c>
    </row>
    <row r="544" spans="1:2" x14ac:dyDescent="0.35">
      <c r="A544" t="s">
        <v>171</v>
      </c>
      <c r="B544" s="7" t="s">
        <v>1000</v>
      </c>
    </row>
    <row r="545" spans="1:2" x14ac:dyDescent="0.35">
      <c r="A545" t="s">
        <v>25</v>
      </c>
      <c r="B545" s="7" t="s">
        <v>854</v>
      </c>
    </row>
    <row r="546" spans="1:2" x14ac:dyDescent="0.35">
      <c r="A546" t="s">
        <v>778</v>
      </c>
      <c r="B546" s="7" t="s">
        <v>854</v>
      </c>
    </row>
    <row r="547" spans="1:2" x14ac:dyDescent="0.35">
      <c r="A547" t="s">
        <v>183</v>
      </c>
      <c r="B547" s="7" t="s">
        <v>1012</v>
      </c>
    </row>
    <row r="548" spans="1:2" x14ac:dyDescent="0.35">
      <c r="A548" t="s">
        <v>143</v>
      </c>
      <c r="B548" s="7" t="s">
        <v>972</v>
      </c>
    </row>
    <row r="549" spans="1:2" x14ac:dyDescent="0.35">
      <c r="A549" t="s">
        <v>694</v>
      </c>
      <c r="B549" s="7" t="s">
        <v>1518</v>
      </c>
    </row>
    <row r="550" spans="1:2" x14ac:dyDescent="0.35">
      <c r="A550" t="s">
        <v>458</v>
      </c>
      <c r="B550" s="7" t="s">
        <v>1282</v>
      </c>
    </row>
    <row r="551" spans="1:2" x14ac:dyDescent="0.35">
      <c r="A551" t="s">
        <v>225</v>
      </c>
      <c r="B551" s="7" t="s">
        <v>1052</v>
      </c>
    </row>
    <row r="552" spans="1:2" x14ac:dyDescent="0.35">
      <c r="A552" t="s">
        <v>222</v>
      </c>
      <c r="B552" s="7" t="s">
        <v>1049</v>
      </c>
    </row>
    <row r="553" spans="1:2" x14ac:dyDescent="0.35">
      <c r="A553" t="s">
        <v>672</v>
      </c>
      <c r="B553" s="7" t="s">
        <v>1496</v>
      </c>
    </row>
    <row r="554" spans="1:2" x14ac:dyDescent="0.35">
      <c r="A554" t="s">
        <v>220</v>
      </c>
      <c r="B554" s="7" t="s">
        <v>1047</v>
      </c>
    </row>
    <row r="555" spans="1:2" x14ac:dyDescent="0.35">
      <c r="A555" t="s">
        <v>282</v>
      </c>
      <c r="B555" s="7" t="s">
        <v>1108</v>
      </c>
    </row>
    <row r="556" spans="1:2" x14ac:dyDescent="0.35">
      <c r="A556" t="s">
        <v>495</v>
      </c>
      <c r="B556" s="7" t="s">
        <v>1319</v>
      </c>
    </row>
    <row r="557" spans="1:2" x14ac:dyDescent="0.35">
      <c r="A557" t="s">
        <v>586</v>
      </c>
      <c r="B557" s="7" t="s">
        <v>1410</v>
      </c>
    </row>
    <row r="558" spans="1:2" x14ac:dyDescent="0.35">
      <c r="A558" t="s">
        <v>163</v>
      </c>
      <c r="B558" s="7" t="s">
        <v>992</v>
      </c>
    </row>
    <row r="559" spans="1:2" x14ac:dyDescent="0.35">
      <c r="A559" t="s">
        <v>105</v>
      </c>
      <c r="B559" s="7" t="s">
        <v>934</v>
      </c>
    </row>
    <row r="560" spans="1:2" x14ac:dyDescent="0.35">
      <c r="A560" t="s">
        <v>627</v>
      </c>
      <c r="B560" s="7" t="s">
        <v>1451</v>
      </c>
    </row>
    <row r="561" spans="1:6" x14ac:dyDescent="0.35">
      <c r="A561" t="s">
        <v>646</v>
      </c>
      <c r="B561" s="7" t="s">
        <v>1470</v>
      </c>
    </row>
    <row r="562" spans="1:6" x14ac:dyDescent="0.35">
      <c r="A562" t="s">
        <v>244</v>
      </c>
      <c r="B562" s="7" t="s">
        <v>1070</v>
      </c>
    </row>
    <row r="563" spans="1:6" x14ac:dyDescent="0.35">
      <c r="A563" t="s">
        <v>653</v>
      </c>
      <c r="B563" s="7" t="s">
        <v>1477</v>
      </c>
    </row>
    <row r="564" spans="1:6" x14ac:dyDescent="0.35">
      <c r="A564" t="s">
        <v>16</v>
      </c>
      <c r="B564" s="7" t="s">
        <v>845</v>
      </c>
    </row>
    <row r="565" spans="1:6" x14ac:dyDescent="0.35">
      <c r="A565" s="26" t="s">
        <v>3412</v>
      </c>
      <c r="B565" s="26" t="s">
        <v>3417</v>
      </c>
      <c r="C565" s="26"/>
      <c r="D565" s="26"/>
      <c r="E565" s="26"/>
      <c r="F565" s="26"/>
    </row>
    <row r="566" spans="1:6" x14ac:dyDescent="0.35">
      <c r="A566" t="s">
        <v>257</v>
      </c>
      <c r="B566" s="7" t="s">
        <v>1083</v>
      </c>
    </row>
    <row r="567" spans="1:6" x14ac:dyDescent="0.35">
      <c r="A567" t="s">
        <v>493</v>
      </c>
      <c r="B567" s="7" t="s">
        <v>1317</v>
      </c>
    </row>
    <row r="568" spans="1:6" x14ac:dyDescent="0.35">
      <c r="A568" t="s">
        <v>207</v>
      </c>
      <c r="B568" s="7" t="s">
        <v>1034</v>
      </c>
    </row>
    <row r="569" spans="1:6" x14ac:dyDescent="0.35">
      <c r="A569" t="s">
        <v>140</v>
      </c>
      <c r="B569" s="7" t="s">
        <v>969</v>
      </c>
    </row>
    <row r="570" spans="1:6" x14ac:dyDescent="0.35">
      <c r="A570" t="s">
        <v>502</v>
      </c>
      <c r="B570" s="7" t="s">
        <v>1326</v>
      </c>
    </row>
    <row r="571" spans="1:6" x14ac:dyDescent="0.35">
      <c r="A571" t="s">
        <v>556</v>
      </c>
      <c r="B571" s="7" t="s">
        <v>1380</v>
      </c>
    </row>
    <row r="572" spans="1:6" x14ac:dyDescent="0.35">
      <c r="A572" s="26" t="s">
        <v>3345</v>
      </c>
      <c r="B572" s="26" t="s">
        <v>3346</v>
      </c>
      <c r="C572" s="26"/>
      <c r="D572" s="26"/>
      <c r="E572" s="26"/>
      <c r="F572" s="26"/>
    </row>
    <row r="573" spans="1:6" x14ac:dyDescent="0.35">
      <c r="A573" t="s">
        <v>604</v>
      </c>
      <c r="B573" s="7" t="s">
        <v>1428</v>
      </c>
    </row>
    <row r="574" spans="1:6" x14ac:dyDescent="0.35">
      <c r="A574" t="s">
        <v>299</v>
      </c>
      <c r="B574" s="7" t="s">
        <v>1124</v>
      </c>
    </row>
    <row r="575" spans="1:6" x14ac:dyDescent="0.35">
      <c r="A575" t="s">
        <v>17</v>
      </c>
      <c r="B575" s="7" t="s">
        <v>846</v>
      </c>
    </row>
    <row r="576" spans="1:6" x14ac:dyDescent="0.35">
      <c r="A576" t="s">
        <v>619</v>
      </c>
      <c r="B576" s="7" t="s">
        <v>1443</v>
      </c>
    </row>
    <row r="577" spans="1:2" x14ac:dyDescent="0.35">
      <c r="A577" t="s">
        <v>757</v>
      </c>
      <c r="B577" s="7" t="s">
        <v>1581</v>
      </c>
    </row>
    <row r="578" spans="1:2" x14ac:dyDescent="0.35">
      <c r="A578" t="s">
        <v>631</v>
      </c>
      <c r="B578" s="7" t="s">
        <v>1455</v>
      </c>
    </row>
    <row r="579" spans="1:2" x14ac:dyDescent="0.35">
      <c r="A579" t="s">
        <v>272</v>
      </c>
      <c r="B579" s="7" t="s">
        <v>1098</v>
      </c>
    </row>
    <row r="580" spans="1:2" x14ac:dyDescent="0.35">
      <c r="A580" t="s">
        <v>490</v>
      </c>
      <c r="B580" s="7" t="s">
        <v>1314</v>
      </c>
    </row>
    <row r="581" spans="1:2" x14ac:dyDescent="0.35">
      <c r="A581" t="s">
        <v>518</v>
      </c>
      <c r="B581" s="7" t="s">
        <v>1342</v>
      </c>
    </row>
    <row r="582" spans="1:2" x14ac:dyDescent="0.35">
      <c r="A582" t="s">
        <v>270</v>
      </c>
      <c r="B582" s="7" t="s">
        <v>1096</v>
      </c>
    </row>
    <row r="583" spans="1:2" x14ac:dyDescent="0.35">
      <c r="A583" t="s">
        <v>444</v>
      </c>
      <c r="B583" s="7" t="s">
        <v>1268</v>
      </c>
    </row>
    <row r="584" spans="1:2" x14ac:dyDescent="0.35">
      <c r="A584" t="s">
        <v>335</v>
      </c>
      <c r="B584" s="7" t="s">
        <v>1160</v>
      </c>
    </row>
    <row r="585" spans="1:2" x14ac:dyDescent="0.35">
      <c r="A585" t="s">
        <v>265</v>
      </c>
      <c r="B585" s="7" t="s">
        <v>1091</v>
      </c>
    </row>
    <row r="586" spans="1:2" x14ac:dyDescent="0.35">
      <c r="A586" t="s">
        <v>695</v>
      </c>
      <c r="B586" s="7" t="s">
        <v>1519</v>
      </c>
    </row>
    <row r="587" spans="1:2" x14ac:dyDescent="0.35">
      <c r="A587" t="s">
        <v>129</v>
      </c>
      <c r="B587" s="7" t="s">
        <v>958</v>
      </c>
    </row>
    <row r="588" spans="1:2" x14ac:dyDescent="0.35">
      <c r="A588" t="s">
        <v>425</v>
      </c>
      <c r="B588" s="7" t="s">
        <v>1249</v>
      </c>
    </row>
    <row r="589" spans="1:2" x14ac:dyDescent="0.35">
      <c r="A589" t="s">
        <v>696</v>
      </c>
      <c r="B589" s="7" t="s">
        <v>1520</v>
      </c>
    </row>
    <row r="590" spans="1:2" x14ac:dyDescent="0.35">
      <c r="A590" t="s">
        <v>415</v>
      </c>
      <c r="B590" s="7" t="s">
        <v>1239</v>
      </c>
    </row>
    <row r="591" spans="1:2" x14ac:dyDescent="0.35">
      <c r="A591" t="s">
        <v>57</v>
      </c>
      <c r="B591" s="7" t="s">
        <v>886</v>
      </c>
    </row>
    <row r="592" spans="1:2" x14ac:dyDescent="0.35">
      <c r="A592" t="s">
        <v>432</v>
      </c>
      <c r="B592" s="7" t="s">
        <v>1256</v>
      </c>
    </row>
    <row r="593" spans="1:6" x14ac:dyDescent="0.35">
      <c r="A593" t="s">
        <v>639</v>
      </c>
      <c r="B593" s="7" t="s">
        <v>1463</v>
      </c>
    </row>
    <row r="594" spans="1:6" x14ac:dyDescent="0.35">
      <c r="A594" t="s">
        <v>506</v>
      </c>
      <c r="B594" s="7" t="s">
        <v>1330</v>
      </c>
    </row>
    <row r="595" spans="1:6" x14ac:dyDescent="0.35">
      <c r="A595" t="s">
        <v>228</v>
      </c>
      <c r="B595" s="7" t="s">
        <v>1055</v>
      </c>
    </row>
    <row r="596" spans="1:6" x14ac:dyDescent="0.35">
      <c r="A596" t="s">
        <v>697</v>
      </c>
      <c r="B596" s="7" t="s">
        <v>1521</v>
      </c>
    </row>
    <row r="597" spans="1:6" x14ac:dyDescent="0.35">
      <c r="A597" t="s">
        <v>71</v>
      </c>
      <c r="B597" s="7" t="s">
        <v>900</v>
      </c>
    </row>
    <row r="598" spans="1:6" x14ac:dyDescent="0.35">
      <c r="A598" t="s">
        <v>82</v>
      </c>
      <c r="B598" s="7" t="s">
        <v>911</v>
      </c>
    </row>
    <row r="599" spans="1:6" x14ac:dyDescent="0.35">
      <c r="A599" t="s">
        <v>43</v>
      </c>
      <c r="B599" s="7" t="s">
        <v>872</v>
      </c>
    </row>
    <row r="600" spans="1:6" x14ac:dyDescent="0.35">
      <c r="A600" t="s">
        <v>412</v>
      </c>
      <c r="B600" s="7" t="s">
        <v>1236</v>
      </c>
    </row>
    <row r="601" spans="1:6" x14ac:dyDescent="0.35">
      <c r="A601" t="s">
        <v>478</v>
      </c>
      <c r="B601" s="7" t="s">
        <v>1302</v>
      </c>
    </row>
    <row r="602" spans="1:6" x14ac:dyDescent="0.35">
      <c r="A602" t="s">
        <v>570</v>
      </c>
      <c r="B602" s="7" t="s">
        <v>1394</v>
      </c>
    </row>
    <row r="603" spans="1:6" x14ac:dyDescent="0.35">
      <c r="A603" t="s">
        <v>332</v>
      </c>
      <c r="B603" s="7" t="s">
        <v>1157</v>
      </c>
    </row>
    <row r="604" spans="1:6" x14ac:dyDescent="0.35">
      <c r="A604" t="s">
        <v>554</v>
      </c>
      <c r="B604" s="7" t="s">
        <v>1378</v>
      </c>
    </row>
    <row r="605" spans="1:6" x14ac:dyDescent="0.35">
      <c r="A605" t="s">
        <v>440</v>
      </c>
      <c r="B605" s="7" t="s">
        <v>1264</v>
      </c>
    </row>
    <row r="606" spans="1:6" x14ac:dyDescent="0.35">
      <c r="A606" t="s">
        <v>307</v>
      </c>
      <c r="B606" s="7" t="s">
        <v>1132</v>
      </c>
    </row>
    <row r="607" spans="1:6" x14ac:dyDescent="0.35">
      <c r="A607" t="s">
        <v>369</v>
      </c>
      <c r="B607" s="7" t="s">
        <v>1193</v>
      </c>
    </row>
    <row r="608" spans="1:6" x14ac:dyDescent="0.35">
      <c r="A608" s="4" t="s">
        <v>35</v>
      </c>
      <c r="B608" t="s">
        <v>864</v>
      </c>
      <c r="C608">
        <v>2</v>
      </c>
      <c r="D608">
        <v>130</v>
      </c>
      <c r="E608" t="s">
        <v>4106</v>
      </c>
      <c r="F608" s="57">
        <v>44573</v>
      </c>
    </row>
    <row r="609" spans="1:2" x14ac:dyDescent="0.35">
      <c r="A609" t="s">
        <v>820</v>
      </c>
      <c r="B609" s="7" t="s">
        <v>1642</v>
      </c>
    </row>
    <row r="610" spans="1:2" x14ac:dyDescent="0.35">
      <c r="A610" s="6" t="s">
        <v>797</v>
      </c>
      <c r="B610" s="7" t="s">
        <v>1620</v>
      </c>
    </row>
    <row r="611" spans="1:2" x14ac:dyDescent="0.35">
      <c r="A611" t="s">
        <v>431</v>
      </c>
      <c r="B611" s="7" t="s">
        <v>1255</v>
      </c>
    </row>
    <row r="612" spans="1:2" x14ac:dyDescent="0.35">
      <c r="A612" t="s">
        <v>329</v>
      </c>
      <c r="B612" s="7" t="s">
        <v>1154</v>
      </c>
    </row>
    <row r="613" spans="1:2" x14ac:dyDescent="0.35">
      <c r="A613" t="s">
        <v>324</v>
      </c>
      <c r="B613" s="7" t="s">
        <v>1149</v>
      </c>
    </row>
    <row r="614" spans="1:2" x14ac:dyDescent="0.35">
      <c r="A614" t="s">
        <v>187</v>
      </c>
      <c r="B614" s="7" t="s">
        <v>1015</v>
      </c>
    </row>
    <row r="615" spans="1:2" x14ac:dyDescent="0.35">
      <c r="A615" t="s">
        <v>53</v>
      </c>
      <c r="B615" s="7" t="s">
        <v>882</v>
      </c>
    </row>
    <row r="616" spans="1:2" x14ac:dyDescent="0.35">
      <c r="A616" t="s">
        <v>766</v>
      </c>
      <c r="B616" s="7" t="s">
        <v>1590</v>
      </c>
    </row>
    <row r="617" spans="1:2" x14ac:dyDescent="0.35">
      <c r="A617" t="s">
        <v>575</v>
      </c>
      <c r="B617" s="7" t="s">
        <v>1399</v>
      </c>
    </row>
    <row r="618" spans="1:2" x14ac:dyDescent="0.35">
      <c r="A618" t="s">
        <v>623</v>
      </c>
      <c r="B618" s="7" t="s">
        <v>1447</v>
      </c>
    </row>
    <row r="619" spans="1:2" x14ac:dyDescent="0.35">
      <c r="A619" t="s">
        <v>252</v>
      </c>
      <c r="B619" s="7" t="s">
        <v>1078</v>
      </c>
    </row>
    <row r="620" spans="1:2" x14ac:dyDescent="0.35">
      <c r="A620" t="s">
        <v>300</v>
      </c>
      <c r="B620" s="7" t="s">
        <v>1125</v>
      </c>
    </row>
    <row r="621" spans="1:2" x14ac:dyDescent="0.35">
      <c r="A621" t="s">
        <v>267</v>
      </c>
      <c r="B621" s="7" t="s">
        <v>1093</v>
      </c>
    </row>
    <row r="622" spans="1:2" x14ac:dyDescent="0.35">
      <c r="A622" t="s">
        <v>162</v>
      </c>
      <c r="B622" s="7" t="s">
        <v>991</v>
      </c>
    </row>
    <row r="623" spans="1:2" x14ac:dyDescent="0.35">
      <c r="A623" t="s">
        <v>523</v>
      </c>
      <c r="B623" s="7" t="s">
        <v>1347</v>
      </c>
    </row>
    <row r="624" spans="1:2" x14ac:dyDescent="0.35">
      <c r="A624" t="s">
        <v>318</v>
      </c>
      <c r="B624" s="7" t="s">
        <v>1143</v>
      </c>
    </row>
    <row r="625" spans="1:2" x14ac:dyDescent="0.35">
      <c r="A625" t="s">
        <v>106</v>
      </c>
      <c r="B625" s="7" t="s">
        <v>935</v>
      </c>
    </row>
    <row r="626" spans="1:2" x14ac:dyDescent="0.35">
      <c r="A626" t="s">
        <v>150</v>
      </c>
      <c r="B626" s="7" t="s">
        <v>979</v>
      </c>
    </row>
    <row r="627" spans="1:2" x14ac:dyDescent="0.35">
      <c r="A627" t="s">
        <v>504</v>
      </c>
      <c r="B627" s="7" t="s">
        <v>1328</v>
      </c>
    </row>
    <row r="628" spans="1:2" x14ac:dyDescent="0.35">
      <c r="A628" t="s">
        <v>698</v>
      </c>
      <c r="B628" s="7" t="s">
        <v>1522</v>
      </c>
    </row>
    <row r="629" spans="1:2" x14ac:dyDescent="0.35">
      <c r="A629" t="s">
        <v>68</v>
      </c>
      <c r="B629" s="7" t="s">
        <v>897</v>
      </c>
    </row>
    <row r="630" spans="1:2" x14ac:dyDescent="0.35">
      <c r="A630" t="s">
        <v>237</v>
      </c>
      <c r="B630" s="7" t="s">
        <v>897</v>
      </c>
    </row>
    <row r="631" spans="1:2" x14ac:dyDescent="0.35">
      <c r="A631" t="s">
        <v>390</v>
      </c>
      <c r="B631" s="7" t="s">
        <v>1214</v>
      </c>
    </row>
    <row r="632" spans="1:2" x14ac:dyDescent="0.35">
      <c r="A632" t="s">
        <v>334</v>
      </c>
      <c r="B632" s="7" t="s">
        <v>1159</v>
      </c>
    </row>
    <row r="633" spans="1:2" x14ac:dyDescent="0.35">
      <c r="A633" t="s">
        <v>344</v>
      </c>
      <c r="B633" s="7" t="s">
        <v>1168</v>
      </c>
    </row>
    <row r="634" spans="1:2" x14ac:dyDescent="0.35">
      <c r="A634" t="s">
        <v>223</v>
      </c>
      <c r="B634" s="7" t="s">
        <v>1050</v>
      </c>
    </row>
    <row r="635" spans="1:2" x14ac:dyDescent="0.35">
      <c r="A635" t="s">
        <v>155</v>
      </c>
      <c r="B635" s="7" t="s">
        <v>984</v>
      </c>
    </row>
    <row r="636" spans="1:2" x14ac:dyDescent="0.35">
      <c r="A636" t="s">
        <v>607</v>
      </c>
      <c r="B636" s="7" t="s">
        <v>1431</v>
      </c>
    </row>
    <row r="637" spans="1:2" x14ac:dyDescent="0.35">
      <c r="A637" t="s">
        <v>236</v>
      </c>
      <c r="B637" s="7" t="s">
        <v>1063</v>
      </c>
    </row>
    <row r="638" spans="1:2" x14ac:dyDescent="0.35">
      <c r="A638" t="s">
        <v>410</v>
      </c>
      <c r="B638" s="7" t="s">
        <v>1234</v>
      </c>
    </row>
    <row r="639" spans="1:2" x14ac:dyDescent="0.35">
      <c r="A639" t="s">
        <v>411</v>
      </c>
      <c r="B639" s="7" t="s">
        <v>1235</v>
      </c>
    </row>
    <row r="640" spans="1:2" x14ac:dyDescent="0.35">
      <c r="A640" t="s">
        <v>340</v>
      </c>
      <c r="B640" s="7" t="s">
        <v>1164</v>
      </c>
    </row>
    <row r="641" spans="1:6" x14ac:dyDescent="0.35">
      <c r="A641" t="s">
        <v>93</v>
      </c>
      <c r="B641" s="7" t="s">
        <v>922</v>
      </c>
    </row>
    <row r="642" spans="1:6" x14ac:dyDescent="0.35">
      <c r="A642" t="s">
        <v>30</v>
      </c>
      <c r="B642" s="7" t="s">
        <v>859</v>
      </c>
    </row>
    <row r="643" spans="1:6" x14ac:dyDescent="0.35">
      <c r="A643" t="s">
        <v>107</v>
      </c>
      <c r="B643" s="7" t="s">
        <v>936</v>
      </c>
    </row>
    <row r="644" spans="1:6" x14ac:dyDescent="0.35">
      <c r="A644" t="s">
        <v>108</v>
      </c>
      <c r="B644" s="7" t="s">
        <v>937</v>
      </c>
    </row>
    <row r="645" spans="1:6" x14ac:dyDescent="0.35">
      <c r="A645" t="s">
        <v>362</v>
      </c>
      <c r="B645" s="7" t="s">
        <v>1186</v>
      </c>
    </row>
    <row r="646" spans="1:6" x14ac:dyDescent="0.35">
      <c r="A646" t="s">
        <v>699</v>
      </c>
      <c r="B646" s="7" t="s">
        <v>1523</v>
      </c>
    </row>
    <row r="647" spans="1:6" x14ac:dyDescent="0.35">
      <c r="A647" t="s">
        <v>128</v>
      </c>
      <c r="B647" s="7" t="s">
        <v>957</v>
      </c>
    </row>
    <row r="648" spans="1:6" x14ac:dyDescent="0.35">
      <c r="A648" s="26" t="s">
        <v>3332</v>
      </c>
      <c r="B648" s="26" t="s">
        <v>3333</v>
      </c>
      <c r="C648" s="26"/>
      <c r="D648" s="26"/>
      <c r="E648" s="26"/>
      <c r="F648" s="26"/>
    </row>
    <row r="649" spans="1:6" x14ac:dyDescent="0.35">
      <c r="A649" t="s">
        <v>626</v>
      </c>
      <c r="B649" s="7" t="s">
        <v>1450</v>
      </c>
    </row>
    <row r="650" spans="1:6" x14ac:dyDescent="0.35">
      <c r="A650" t="s">
        <v>700</v>
      </c>
      <c r="B650" s="7" t="s">
        <v>1524</v>
      </c>
    </row>
    <row r="651" spans="1:6" x14ac:dyDescent="0.35">
      <c r="A651" t="s">
        <v>66</v>
      </c>
      <c r="B651" s="7" t="s">
        <v>895</v>
      </c>
    </row>
    <row r="652" spans="1:6" x14ac:dyDescent="0.35">
      <c r="A652" t="s">
        <v>439</v>
      </c>
      <c r="B652" s="7" t="s">
        <v>1263</v>
      </c>
    </row>
    <row r="653" spans="1:6" x14ac:dyDescent="0.35">
      <c r="A653" t="s">
        <v>471</v>
      </c>
      <c r="B653" s="7" t="s">
        <v>1295</v>
      </c>
    </row>
    <row r="654" spans="1:6" x14ac:dyDescent="0.35">
      <c r="A654" t="s">
        <v>461</v>
      </c>
      <c r="B654" s="7" t="s">
        <v>1285</v>
      </c>
    </row>
    <row r="655" spans="1:6" x14ac:dyDescent="0.35">
      <c r="A655" t="s">
        <v>474</v>
      </c>
      <c r="B655" s="7" t="s">
        <v>1298</v>
      </c>
    </row>
    <row r="656" spans="1:6" x14ac:dyDescent="0.35">
      <c r="A656" t="s">
        <v>422</v>
      </c>
      <c r="B656" s="7" t="s">
        <v>1246</v>
      </c>
    </row>
    <row r="657" spans="1:6" x14ac:dyDescent="0.35">
      <c r="A657" t="s">
        <v>364</v>
      </c>
      <c r="B657" s="7" t="s">
        <v>1188</v>
      </c>
    </row>
    <row r="658" spans="1:6" x14ac:dyDescent="0.35">
      <c r="A658" t="s">
        <v>192</v>
      </c>
      <c r="B658" s="7" t="s">
        <v>1020</v>
      </c>
    </row>
    <row r="659" spans="1:6" x14ac:dyDescent="0.35">
      <c r="A659" t="s">
        <v>385</v>
      </c>
      <c r="B659" s="7" t="s">
        <v>1209</v>
      </c>
    </row>
    <row r="660" spans="1:6" x14ac:dyDescent="0.35">
      <c r="A660" t="s">
        <v>701</v>
      </c>
      <c r="B660" s="7" t="s">
        <v>1525</v>
      </c>
    </row>
    <row r="661" spans="1:6" x14ac:dyDescent="0.35">
      <c r="A661" t="s">
        <v>391</v>
      </c>
      <c r="B661" s="7" t="s">
        <v>1215</v>
      </c>
    </row>
    <row r="662" spans="1:6" x14ac:dyDescent="0.35">
      <c r="A662" t="s">
        <v>116</v>
      </c>
      <c r="B662" s="7" t="s">
        <v>945</v>
      </c>
    </row>
    <row r="663" spans="1:6" x14ac:dyDescent="0.35">
      <c r="A663" s="3" t="s">
        <v>408</v>
      </c>
      <c r="B663" s="7" t="s">
        <v>1232</v>
      </c>
    </row>
    <row r="664" spans="1:6" x14ac:dyDescent="0.35">
      <c r="A664" t="s">
        <v>304</v>
      </c>
      <c r="B664" s="7" t="s">
        <v>1129</v>
      </c>
    </row>
    <row r="665" spans="1:6" x14ac:dyDescent="0.35">
      <c r="A665" t="s">
        <v>576</v>
      </c>
      <c r="B665" s="7" t="s">
        <v>1400</v>
      </c>
    </row>
    <row r="666" spans="1:6" x14ac:dyDescent="0.35">
      <c r="A666" t="s">
        <v>702</v>
      </c>
      <c r="B666" s="7" t="s">
        <v>1526</v>
      </c>
    </row>
    <row r="667" spans="1:6" x14ac:dyDescent="0.35">
      <c r="A667" t="s">
        <v>139</v>
      </c>
      <c r="B667" s="7" t="s">
        <v>968</v>
      </c>
    </row>
    <row r="668" spans="1:6" x14ac:dyDescent="0.35">
      <c r="A668" t="s">
        <v>138</v>
      </c>
      <c r="B668" s="7" t="s">
        <v>967</v>
      </c>
    </row>
    <row r="669" spans="1:6" x14ac:dyDescent="0.35">
      <c r="A669" t="s">
        <v>361</v>
      </c>
      <c r="B669" s="7" t="s">
        <v>1185</v>
      </c>
    </row>
    <row r="670" spans="1:6" x14ac:dyDescent="0.35">
      <c r="A670" s="26" t="s">
        <v>3375</v>
      </c>
      <c r="B670" s="26" t="s">
        <v>3376</v>
      </c>
      <c r="C670" s="26"/>
      <c r="D670" s="26"/>
      <c r="E670" s="26"/>
      <c r="F670" s="26"/>
    </row>
    <row r="671" spans="1:6" x14ac:dyDescent="0.35">
      <c r="A671" t="s">
        <v>181</v>
      </c>
      <c r="B671" s="7" t="s">
        <v>1010</v>
      </c>
    </row>
    <row r="672" spans="1:6" x14ac:dyDescent="0.35">
      <c r="A672" t="s">
        <v>634</v>
      </c>
      <c r="B672" s="7" t="s">
        <v>1458</v>
      </c>
    </row>
    <row r="673" spans="1:6" x14ac:dyDescent="0.35">
      <c r="A673" t="s">
        <v>315</v>
      </c>
      <c r="B673" s="7" t="s">
        <v>1140</v>
      </c>
    </row>
    <row r="674" spans="1:6" x14ac:dyDescent="0.35">
      <c r="A674" t="s">
        <v>314</v>
      </c>
      <c r="B674" s="7" t="s">
        <v>1139</v>
      </c>
    </row>
    <row r="675" spans="1:6" x14ac:dyDescent="0.35">
      <c r="A675" t="s">
        <v>758</v>
      </c>
      <c r="B675" s="7" t="s">
        <v>1582</v>
      </c>
    </row>
    <row r="676" spans="1:6" x14ac:dyDescent="0.35">
      <c r="A676" t="s">
        <v>759</v>
      </c>
      <c r="B676" s="7" t="s">
        <v>1583</v>
      </c>
    </row>
    <row r="677" spans="1:6" x14ac:dyDescent="0.35">
      <c r="A677" t="s">
        <v>731</v>
      </c>
      <c r="B677" s="7" t="s">
        <v>1555</v>
      </c>
      <c r="D677">
        <v>1.4E-2</v>
      </c>
      <c r="E677" t="s">
        <v>4106</v>
      </c>
      <c r="F677" s="57">
        <v>44573</v>
      </c>
    </row>
    <row r="678" spans="1:6" x14ac:dyDescent="0.35">
      <c r="A678" t="s">
        <v>262</v>
      </c>
      <c r="B678" s="7" t="s">
        <v>1088</v>
      </c>
    </row>
    <row r="679" spans="1:6" x14ac:dyDescent="0.35">
      <c r="A679" t="s">
        <v>768</v>
      </c>
      <c r="B679" s="7" t="s">
        <v>1592</v>
      </c>
    </row>
    <row r="680" spans="1:6" x14ac:dyDescent="0.35">
      <c r="A680" t="s">
        <v>47</v>
      </c>
      <c r="B680" s="7" t="s">
        <v>876</v>
      </c>
      <c r="C680">
        <v>0.4</v>
      </c>
      <c r="D680">
        <v>1</v>
      </c>
      <c r="E680" t="s">
        <v>4106</v>
      </c>
      <c r="F680" s="57">
        <v>44573</v>
      </c>
    </row>
    <row r="681" spans="1:6" x14ac:dyDescent="0.35">
      <c r="A681" t="s">
        <v>111</v>
      </c>
      <c r="B681" s="7" t="s">
        <v>940</v>
      </c>
    </row>
    <row r="682" spans="1:6" x14ac:dyDescent="0.35">
      <c r="A682" t="s">
        <v>742</v>
      </c>
      <c r="B682" s="7" t="s">
        <v>1566</v>
      </c>
    </row>
    <row r="683" spans="1:6" x14ac:dyDescent="0.35">
      <c r="A683" t="s">
        <v>743</v>
      </c>
      <c r="B683" s="7" t="s">
        <v>1567</v>
      </c>
    </row>
    <row r="684" spans="1:6" x14ac:dyDescent="0.35">
      <c r="A684" t="s">
        <v>744</v>
      </c>
      <c r="B684" s="7" t="s">
        <v>1568</v>
      </c>
    </row>
    <row r="685" spans="1:6" x14ac:dyDescent="0.35">
      <c r="A685" t="s">
        <v>745</v>
      </c>
      <c r="B685" s="7" t="s">
        <v>1569</v>
      </c>
    </row>
    <row r="686" spans="1:6" x14ac:dyDescent="0.35">
      <c r="A686" t="s">
        <v>746</v>
      </c>
      <c r="B686" s="7" t="s">
        <v>1570</v>
      </c>
    </row>
    <row r="687" spans="1:6" x14ac:dyDescent="0.35">
      <c r="A687" t="s">
        <v>747</v>
      </c>
      <c r="B687" s="7" t="s">
        <v>1571</v>
      </c>
    </row>
    <row r="688" spans="1:6" x14ac:dyDescent="0.35">
      <c r="A688" t="s">
        <v>748</v>
      </c>
      <c r="B688" s="7" t="s">
        <v>1572</v>
      </c>
    </row>
    <row r="689" spans="1:6" x14ac:dyDescent="0.35">
      <c r="A689" t="s">
        <v>749</v>
      </c>
      <c r="B689" s="7" t="s">
        <v>1573</v>
      </c>
    </row>
    <row r="690" spans="1:6" x14ac:dyDescent="0.35">
      <c r="A690" t="s">
        <v>750</v>
      </c>
      <c r="B690" s="7" t="s">
        <v>1574</v>
      </c>
    </row>
    <row r="691" spans="1:6" x14ac:dyDescent="0.35">
      <c r="A691" t="s">
        <v>751</v>
      </c>
      <c r="B691" s="7" t="s">
        <v>1575</v>
      </c>
    </row>
    <row r="692" spans="1:6" x14ac:dyDescent="0.35">
      <c r="A692" t="s">
        <v>741</v>
      </c>
      <c r="B692" s="7" t="s">
        <v>1565</v>
      </c>
    </row>
    <row r="693" spans="1:6" x14ac:dyDescent="0.35">
      <c r="A693" t="s">
        <v>752</v>
      </c>
      <c r="B693" s="7" t="s">
        <v>1576</v>
      </c>
    </row>
    <row r="694" spans="1:6" x14ac:dyDescent="0.35">
      <c r="A694" t="s">
        <v>76</v>
      </c>
      <c r="B694" s="7" t="s">
        <v>905</v>
      </c>
    </row>
    <row r="695" spans="1:6" x14ac:dyDescent="0.35">
      <c r="A695" s="26" t="s">
        <v>3359</v>
      </c>
      <c r="B695" s="26" t="s">
        <v>3360</v>
      </c>
      <c r="C695" s="26"/>
      <c r="D695" s="26"/>
      <c r="E695" s="26"/>
      <c r="F695" s="26"/>
    </row>
    <row r="696" spans="1:6" x14ac:dyDescent="0.35">
      <c r="A696" t="s">
        <v>459</v>
      </c>
      <c r="B696" s="7" t="s">
        <v>1283</v>
      </c>
    </row>
    <row r="697" spans="1:6" x14ac:dyDescent="0.35">
      <c r="A697" t="s">
        <v>514</v>
      </c>
      <c r="B697" s="7" t="s">
        <v>1338</v>
      </c>
    </row>
    <row r="698" spans="1:6" x14ac:dyDescent="0.35">
      <c r="A698" t="s">
        <v>59</v>
      </c>
      <c r="B698" s="7" t="s">
        <v>888</v>
      </c>
    </row>
    <row r="699" spans="1:6" x14ac:dyDescent="0.35">
      <c r="A699" t="s">
        <v>823</v>
      </c>
      <c r="B699" s="7" t="s">
        <v>1645</v>
      </c>
    </row>
    <row r="700" spans="1:6" x14ac:dyDescent="0.35">
      <c r="A700" t="s">
        <v>189</v>
      </c>
      <c r="B700" s="7" t="s">
        <v>1017</v>
      </c>
    </row>
    <row r="701" spans="1:6" x14ac:dyDescent="0.35">
      <c r="A701" t="s">
        <v>18</v>
      </c>
      <c r="B701" s="7" t="s">
        <v>847</v>
      </c>
    </row>
    <row r="702" spans="1:6" x14ac:dyDescent="0.35">
      <c r="A702" t="s">
        <v>174</v>
      </c>
      <c r="B702" s="7" t="s">
        <v>1003</v>
      </c>
    </row>
    <row r="703" spans="1:6" x14ac:dyDescent="0.35">
      <c r="A703" t="s">
        <v>291</v>
      </c>
      <c r="B703" s="7" t="s">
        <v>1116</v>
      </c>
    </row>
    <row r="704" spans="1:6" x14ac:dyDescent="0.35">
      <c r="A704" t="s">
        <v>629</v>
      </c>
      <c r="B704" s="7" t="s">
        <v>1453</v>
      </c>
    </row>
    <row r="705" spans="1:6" x14ac:dyDescent="0.35">
      <c r="A705" s="2" t="s">
        <v>483</v>
      </c>
      <c r="B705" t="s">
        <v>1307</v>
      </c>
    </row>
    <row r="706" spans="1:6" x14ac:dyDescent="0.35">
      <c r="A706" t="s">
        <v>375</v>
      </c>
      <c r="B706" s="7" t="s">
        <v>1199</v>
      </c>
    </row>
    <row r="707" spans="1:6" x14ac:dyDescent="0.35">
      <c r="A707" t="s">
        <v>398</v>
      </c>
      <c r="B707" s="7" t="s">
        <v>1222</v>
      </c>
    </row>
    <row r="708" spans="1:6" x14ac:dyDescent="0.35">
      <c r="A708" t="s">
        <v>401</v>
      </c>
      <c r="B708" s="7" t="s">
        <v>1225</v>
      </c>
    </row>
    <row r="709" spans="1:6" x14ac:dyDescent="0.35">
      <c r="A709" t="s">
        <v>402</v>
      </c>
      <c r="B709" s="7" t="s">
        <v>1226</v>
      </c>
    </row>
    <row r="710" spans="1:6" x14ac:dyDescent="0.35">
      <c r="A710" t="s">
        <v>403</v>
      </c>
      <c r="B710" s="7" t="s">
        <v>1227</v>
      </c>
    </row>
    <row r="711" spans="1:6" x14ac:dyDescent="0.35">
      <c r="A711" t="s">
        <v>400</v>
      </c>
      <c r="B711" s="7" t="s">
        <v>1224</v>
      </c>
    </row>
    <row r="712" spans="1:6" x14ac:dyDescent="0.35">
      <c r="A712" t="s">
        <v>373</v>
      </c>
      <c r="B712" s="7" t="s">
        <v>1197</v>
      </c>
    </row>
    <row r="713" spans="1:6" x14ac:dyDescent="0.35">
      <c r="A713" s="26" t="s">
        <v>3347</v>
      </c>
      <c r="B713" s="26" t="s">
        <v>3348</v>
      </c>
      <c r="C713" s="26"/>
      <c r="D713" s="26"/>
      <c r="E713" s="26"/>
      <c r="F713" s="26"/>
    </row>
    <row r="714" spans="1:6" x14ac:dyDescent="0.35">
      <c r="A714" s="26" t="s">
        <v>3393</v>
      </c>
      <c r="B714" s="26" t="s">
        <v>3348</v>
      </c>
      <c r="C714" s="26"/>
      <c r="D714" s="26"/>
      <c r="E714" s="26"/>
      <c r="F714" s="26"/>
    </row>
    <row r="715" spans="1:6" x14ac:dyDescent="0.35">
      <c r="A715" t="s">
        <v>278</v>
      </c>
      <c r="B715" s="7" t="s">
        <v>1104</v>
      </c>
    </row>
    <row r="716" spans="1:6" x14ac:dyDescent="0.35">
      <c r="A716" s="26" t="s">
        <v>3413</v>
      </c>
      <c r="B716" s="26" t="s">
        <v>3418</v>
      </c>
      <c r="C716" s="26"/>
      <c r="D716" s="26"/>
      <c r="E716" s="26"/>
      <c r="F716" s="26"/>
    </row>
    <row r="717" spans="1:6" x14ac:dyDescent="0.35">
      <c r="A717" s="26" t="s">
        <v>3407</v>
      </c>
      <c r="B717" s="26" t="s">
        <v>3415</v>
      </c>
      <c r="C717" s="26"/>
      <c r="D717" s="26"/>
      <c r="E717" s="26"/>
      <c r="F717" s="26"/>
    </row>
    <row r="718" spans="1:6" x14ac:dyDescent="0.35">
      <c r="A718" t="s">
        <v>327</v>
      </c>
      <c r="B718" s="7" t="s">
        <v>1152</v>
      </c>
    </row>
    <row r="719" spans="1:6" x14ac:dyDescent="0.35">
      <c r="A719" t="s">
        <v>521</v>
      </c>
      <c r="B719" s="7" t="s">
        <v>1345</v>
      </c>
    </row>
    <row r="720" spans="1:6" x14ac:dyDescent="0.35">
      <c r="A720" t="s">
        <v>561</v>
      </c>
      <c r="B720" s="7" t="s">
        <v>1385</v>
      </c>
    </row>
    <row r="721" spans="1:2" x14ac:dyDescent="0.35">
      <c r="A721" t="s">
        <v>338</v>
      </c>
      <c r="B721" s="7" t="s">
        <v>1162</v>
      </c>
    </row>
    <row r="722" spans="1:2" x14ac:dyDescent="0.35">
      <c r="A722" t="s">
        <v>83</v>
      </c>
      <c r="B722" s="7" t="s">
        <v>912</v>
      </c>
    </row>
    <row r="723" spans="1:2" x14ac:dyDescent="0.35">
      <c r="A723" t="s">
        <v>288</v>
      </c>
      <c r="B723" s="7" t="s">
        <v>1113</v>
      </c>
    </row>
    <row r="724" spans="1:2" x14ac:dyDescent="0.35">
      <c r="A724" t="s">
        <v>261</v>
      </c>
      <c r="B724" s="7" t="s">
        <v>1087</v>
      </c>
    </row>
    <row r="725" spans="1:2" x14ac:dyDescent="0.35">
      <c r="A725" t="s">
        <v>520</v>
      </c>
      <c r="B725" s="7" t="s">
        <v>1344</v>
      </c>
    </row>
    <row r="726" spans="1:2" x14ac:dyDescent="0.35">
      <c r="A726" t="s">
        <v>659</v>
      </c>
      <c r="B726" s="7" t="s">
        <v>1483</v>
      </c>
    </row>
    <row r="727" spans="1:2" x14ac:dyDescent="0.35">
      <c r="A727" t="s">
        <v>221</v>
      </c>
      <c r="B727" s="7" t="s">
        <v>1048</v>
      </c>
    </row>
    <row r="728" spans="1:2" x14ac:dyDescent="0.35">
      <c r="A728" t="s">
        <v>313</v>
      </c>
      <c r="B728" s="7" t="s">
        <v>1138</v>
      </c>
    </row>
    <row r="729" spans="1:2" x14ac:dyDescent="0.35">
      <c r="A729" t="s">
        <v>673</v>
      </c>
      <c r="B729" s="7" t="s">
        <v>1497</v>
      </c>
    </row>
    <row r="730" spans="1:2" x14ac:dyDescent="0.35">
      <c r="A730" t="s">
        <v>160</v>
      </c>
      <c r="B730" s="7" t="s">
        <v>989</v>
      </c>
    </row>
    <row r="731" spans="1:2" x14ac:dyDescent="0.35">
      <c r="A731" t="s">
        <v>188</v>
      </c>
      <c r="B731" s="7" t="s">
        <v>1016</v>
      </c>
    </row>
    <row r="732" spans="1:2" x14ac:dyDescent="0.35">
      <c r="A732" t="s">
        <v>503</v>
      </c>
      <c r="B732" s="7" t="s">
        <v>1327</v>
      </c>
    </row>
    <row r="733" spans="1:2" x14ac:dyDescent="0.35">
      <c r="A733" t="s">
        <v>134</v>
      </c>
      <c r="B733" s="7" t="s">
        <v>963</v>
      </c>
    </row>
    <row r="734" spans="1:2" x14ac:dyDescent="0.35">
      <c r="A734" t="s">
        <v>145</v>
      </c>
      <c r="B734" s="7" t="s">
        <v>974</v>
      </c>
    </row>
    <row r="735" spans="1:2" x14ac:dyDescent="0.35">
      <c r="A735" t="s">
        <v>423</v>
      </c>
      <c r="B735" s="7" t="s">
        <v>1247</v>
      </c>
    </row>
    <row r="736" spans="1:2" x14ac:dyDescent="0.35">
      <c r="A736" t="s">
        <v>541</v>
      </c>
      <c r="B736" s="7" t="s">
        <v>1365</v>
      </c>
    </row>
    <row r="737" spans="1:6" x14ac:dyDescent="0.35">
      <c r="A737" t="s">
        <v>195</v>
      </c>
      <c r="B737" s="7" t="s">
        <v>1023</v>
      </c>
    </row>
    <row r="738" spans="1:6" x14ac:dyDescent="0.35">
      <c r="A738" t="s">
        <v>660</v>
      </c>
      <c r="B738" s="7" t="s">
        <v>1484</v>
      </c>
    </row>
    <row r="739" spans="1:6" x14ac:dyDescent="0.35">
      <c r="A739" t="s">
        <v>616</v>
      </c>
      <c r="B739" s="7" t="s">
        <v>1440</v>
      </c>
    </row>
    <row r="740" spans="1:6" x14ac:dyDescent="0.35">
      <c r="A740" t="s">
        <v>298</v>
      </c>
      <c r="B740" s="7" t="s">
        <v>1123</v>
      </c>
    </row>
    <row r="741" spans="1:6" x14ac:dyDescent="0.35">
      <c r="A741" t="s">
        <v>263</v>
      </c>
      <c r="B741" s="7" t="s">
        <v>1089</v>
      </c>
    </row>
    <row r="742" spans="1:6" x14ac:dyDescent="0.35">
      <c r="A742" t="s">
        <v>359</v>
      </c>
      <c r="B742" s="7" t="s">
        <v>1183</v>
      </c>
    </row>
    <row r="743" spans="1:6" x14ac:dyDescent="0.35">
      <c r="A743" t="s">
        <v>413</v>
      </c>
      <c r="B743" s="7" t="s">
        <v>1237</v>
      </c>
    </row>
    <row r="744" spans="1:6" x14ac:dyDescent="0.35">
      <c r="A744" t="s">
        <v>23</v>
      </c>
      <c r="B744" s="7" t="s">
        <v>852</v>
      </c>
    </row>
    <row r="745" spans="1:6" x14ac:dyDescent="0.35">
      <c r="A745" s="26" t="s">
        <v>3330</v>
      </c>
      <c r="B745" s="26" t="s">
        <v>3331</v>
      </c>
      <c r="C745" s="26"/>
      <c r="D745" s="26"/>
      <c r="E745" s="26"/>
      <c r="F745" s="26"/>
    </row>
    <row r="746" spans="1:6" x14ac:dyDescent="0.35">
      <c r="A746" t="s">
        <v>485</v>
      </c>
      <c r="B746" s="7" t="s">
        <v>1309</v>
      </c>
    </row>
    <row r="747" spans="1:6" x14ac:dyDescent="0.35">
      <c r="A747" t="s">
        <v>577</v>
      </c>
      <c r="B747" s="7" t="s">
        <v>1401</v>
      </c>
    </row>
    <row r="748" spans="1:6" x14ac:dyDescent="0.35">
      <c r="A748" t="s">
        <v>8</v>
      </c>
      <c r="B748" s="7" t="s">
        <v>837</v>
      </c>
    </row>
    <row r="749" spans="1:6" x14ac:dyDescent="0.35">
      <c r="A749" t="s">
        <v>13</v>
      </c>
      <c r="B749" s="7" t="s">
        <v>842</v>
      </c>
    </row>
    <row r="750" spans="1:6" x14ac:dyDescent="0.35">
      <c r="A750" t="s">
        <v>144</v>
      </c>
      <c r="B750" s="7" t="s">
        <v>973</v>
      </c>
    </row>
    <row r="751" spans="1:6" x14ac:dyDescent="0.35">
      <c r="A751" t="s">
        <v>624</v>
      </c>
      <c r="B751" s="7" t="s">
        <v>1448</v>
      </c>
    </row>
    <row r="752" spans="1:6" x14ac:dyDescent="0.35">
      <c r="A752" t="s">
        <v>571</v>
      </c>
      <c r="B752" s="7" t="s">
        <v>1395</v>
      </c>
    </row>
    <row r="753" spans="1:7" x14ac:dyDescent="0.35">
      <c r="A753" s="1" t="s">
        <v>38</v>
      </c>
      <c r="B753" s="7" t="s">
        <v>867</v>
      </c>
    </row>
    <row r="754" spans="1:7" x14ac:dyDescent="0.35">
      <c r="A754" s="26" t="s">
        <v>3334</v>
      </c>
      <c r="B754" s="26" t="s">
        <v>867</v>
      </c>
      <c r="C754" s="26"/>
      <c r="D754" s="26"/>
      <c r="E754" s="26"/>
      <c r="F754" s="26"/>
    </row>
    <row r="755" spans="1:7" x14ac:dyDescent="0.35">
      <c r="A755" t="s">
        <v>4</v>
      </c>
      <c r="B755" s="7" t="s">
        <v>833</v>
      </c>
    </row>
    <row r="756" spans="1:7" x14ac:dyDescent="0.35">
      <c r="A756" t="s">
        <v>64</v>
      </c>
      <c r="B756" s="7" t="s">
        <v>893</v>
      </c>
    </row>
    <row r="757" spans="1:7" x14ac:dyDescent="0.35">
      <c r="A757" t="s">
        <v>159</v>
      </c>
      <c r="B757" s="7" t="s">
        <v>988</v>
      </c>
    </row>
    <row r="758" spans="1:7" x14ac:dyDescent="0.35">
      <c r="A758" t="s">
        <v>635</v>
      </c>
      <c r="B758" s="7" t="s">
        <v>1459</v>
      </c>
    </row>
    <row r="759" spans="1:7" x14ac:dyDescent="0.35">
      <c r="A759" t="s">
        <v>384</v>
      </c>
      <c r="B759" s="7" t="s">
        <v>1208</v>
      </c>
    </row>
    <row r="760" spans="1:7" x14ac:dyDescent="0.35">
      <c r="A760" t="s">
        <v>527</v>
      </c>
      <c r="B760" s="7" t="s">
        <v>1351</v>
      </c>
    </row>
    <row r="761" spans="1:7" x14ac:dyDescent="0.35">
      <c r="A761" t="s">
        <v>84</v>
      </c>
      <c r="B761" s="7" t="s">
        <v>913</v>
      </c>
    </row>
    <row r="762" spans="1:7" x14ac:dyDescent="0.35">
      <c r="A762" t="s">
        <v>165</v>
      </c>
      <c r="B762" s="7" t="s">
        <v>994</v>
      </c>
    </row>
    <row r="763" spans="1:7" x14ac:dyDescent="0.35">
      <c r="A763" t="s">
        <v>146</v>
      </c>
      <c r="B763" s="7" t="s">
        <v>975</v>
      </c>
      <c r="G763" t="s">
        <v>2101</v>
      </c>
    </row>
    <row r="764" spans="1:7" x14ac:dyDescent="0.35">
      <c r="A764" t="s">
        <v>737</v>
      </c>
      <c r="B764" s="7" t="s">
        <v>1561</v>
      </c>
    </row>
    <row r="765" spans="1:7" x14ac:dyDescent="0.35">
      <c r="A765" s="26" t="s">
        <v>3349</v>
      </c>
      <c r="B765" s="26" t="s">
        <v>3350</v>
      </c>
      <c r="C765" s="26"/>
      <c r="D765" s="26"/>
      <c r="E765" s="26"/>
      <c r="F765" s="26"/>
    </row>
    <row r="766" spans="1:7" x14ac:dyDescent="0.35">
      <c r="A766" s="26" t="s">
        <v>3394</v>
      </c>
      <c r="B766" s="26" t="s">
        <v>3395</v>
      </c>
      <c r="C766" s="26"/>
      <c r="D766" s="26"/>
      <c r="E766" s="26"/>
      <c r="F766" s="26"/>
    </row>
    <row r="767" spans="1:7" x14ac:dyDescent="0.35">
      <c r="A767" t="s">
        <v>112</v>
      </c>
      <c r="B767" s="7" t="s">
        <v>941</v>
      </c>
    </row>
    <row r="768" spans="1:7" x14ac:dyDescent="0.35">
      <c r="A768" t="s">
        <v>90</v>
      </c>
      <c r="B768" s="7" t="s">
        <v>919</v>
      </c>
    </row>
    <row r="769" spans="1:6" x14ac:dyDescent="0.35">
      <c r="A769" t="s">
        <v>91</v>
      </c>
      <c r="B769" s="7" t="s">
        <v>920</v>
      </c>
    </row>
    <row r="770" spans="1:6" x14ac:dyDescent="0.35">
      <c r="A770" t="s">
        <v>167</v>
      </c>
      <c r="B770" s="7" t="s">
        <v>996</v>
      </c>
    </row>
    <row r="771" spans="1:6" x14ac:dyDescent="0.35">
      <c r="A771" t="s">
        <v>158</v>
      </c>
      <c r="B771" s="7" t="s">
        <v>987</v>
      </c>
    </row>
    <row r="772" spans="1:6" x14ac:dyDescent="0.35">
      <c r="A772" t="s">
        <v>460</v>
      </c>
      <c r="B772" s="7" t="s">
        <v>1284</v>
      </c>
    </row>
    <row r="773" spans="1:6" x14ac:dyDescent="0.35">
      <c r="A773" t="s">
        <v>540</v>
      </c>
      <c r="B773" s="7" t="s">
        <v>1364</v>
      </c>
    </row>
    <row r="774" spans="1:6" x14ac:dyDescent="0.35">
      <c r="A774" t="s">
        <v>590</v>
      </c>
      <c r="B774" s="7" t="s">
        <v>1414</v>
      </c>
      <c r="C774">
        <v>1</v>
      </c>
      <c r="D774">
        <v>4</v>
      </c>
      <c r="E774" t="s">
        <v>4106</v>
      </c>
      <c r="F774" s="57">
        <v>44573</v>
      </c>
    </row>
    <row r="775" spans="1:6" x14ac:dyDescent="0.35">
      <c r="A775" t="s">
        <v>88</v>
      </c>
      <c r="B775" s="7" t="s">
        <v>917</v>
      </c>
    </row>
    <row r="776" spans="1:6" x14ac:dyDescent="0.35">
      <c r="A776" t="s">
        <v>594</v>
      </c>
      <c r="B776" s="7" t="s">
        <v>1418</v>
      </c>
    </row>
    <row r="777" spans="1:6" x14ac:dyDescent="0.35">
      <c r="A777" t="s">
        <v>296</v>
      </c>
      <c r="B777" s="7" t="s">
        <v>1121</v>
      </c>
    </row>
    <row r="778" spans="1:6" x14ac:dyDescent="0.35">
      <c r="A778" t="s">
        <v>164</v>
      </c>
      <c r="B778" s="7" t="s">
        <v>993</v>
      </c>
    </row>
    <row r="779" spans="1:6" x14ac:dyDescent="0.35">
      <c r="A779" t="s">
        <v>297</v>
      </c>
      <c r="B779" s="7" t="s">
        <v>1122</v>
      </c>
    </row>
    <row r="780" spans="1:6" x14ac:dyDescent="0.35">
      <c r="A780" t="s">
        <v>465</v>
      </c>
      <c r="B780" s="7" t="s">
        <v>1289</v>
      </c>
    </row>
    <row r="781" spans="1:6" x14ac:dyDescent="0.35">
      <c r="A781" t="s">
        <v>241</v>
      </c>
      <c r="B781" s="7" t="s">
        <v>1067</v>
      </c>
    </row>
    <row r="782" spans="1:6" x14ac:dyDescent="0.35">
      <c r="A782" t="s">
        <v>738</v>
      </c>
      <c r="B782" s="7" t="s">
        <v>1562</v>
      </c>
    </row>
    <row r="783" spans="1:6" x14ac:dyDescent="0.35">
      <c r="A783" t="s">
        <v>592</v>
      </c>
      <c r="B783" s="7" t="s">
        <v>1416</v>
      </c>
    </row>
    <row r="784" spans="1:6" x14ac:dyDescent="0.35">
      <c r="A784" t="s">
        <v>760</v>
      </c>
      <c r="B784" s="7" t="s">
        <v>1584</v>
      </c>
    </row>
    <row r="785" spans="1:6" x14ac:dyDescent="0.35">
      <c r="A785" t="s">
        <v>525</v>
      </c>
      <c r="B785" s="7" t="s">
        <v>1349</v>
      </c>
    </row>
    <row r="786" spans="1:6" x14ac:dyDescent="0.35">
      <c r="A786" t="s">
        <v>141</v>
      </c>
      <c r="B786" s="7" t="s">
        <v>970</v>
      </c>
    </row>
    <row r="787" spans="1:6" x14ac:dyDescent="0.35">
      <c r="A787" t="s">
        <v>589</v>
      </c>
      <c r="B787" s="7" t="s">
        <v>1413</v>
      </c>
    </row>
    <row r="788" spans="1:6" x14ac:dyDescent="0.35">
      <c r="A788" t="s">
        <v>124</v>
      </c>
      <c r="B788" s="7" t="s">
        <v>953</v>
      </c>
    </row>
    <row r="789" spans="1:6" x14ac:dyDescent="0.35">
      <c r="A789" t="s">
        <v>533</v>
      </c>
      <c r="B789" s="7" t="s">
        <v>1357</v>
      </c>
    </row>
    <row r="790" spans="1:6" x14ac:dyDescent="0.35">
      <c r="A790" s="26" t="s">
        <v>3396</v>
      </c>
      <c r="B790" s="26" t="s">
        <v>3397</v>
      </c>
      <c r="C790" s="26"/>
      <c r="D790" s="26"/>
      <c r="E790" s="26"/>
      <c r="F790" s="26"/>
    </row>
    <row r="791" spans="1:6" x14ac:dyDescent="0.35">
      <c r="A791" t="s">
        <v>321</v>
      </c>
      <c r="B791" s="7" t="s">
        <v>1146</v>
      </c>
    </row>
    <row r="792" spans="1:6" x14ac:dyDescent="0.35">
      <c r="A792" t="s">
        <v>642</v>
      </c>
      <c r="B792" s="7" t="s">
        <v>1466</v>
      </c>
    </row>
    <row r="793" spans="1:6" x14ac:dyDescent="0.35">
      <c r="A793" t="s">
        <v>488</v>
      </c>
      <c r="B793" s="7" t="s">
        <v>1312</v>
      </c>
    </row>
    <row r="794" spans="1:6" x14ac:dyDescent="0.35">
      <c r="A794" t="s">
        <v>770</v>
      </c>
      <c r="B794" s="7" t="s">
        <v>1594</v>
      </c>
    </row>
    <row r="795" spans="1:6" x14ac:dyDescent="0.35">
      <c r="A795" t="s">
        <v>638</v>
      </c>
      <c r="B795" s="7" t="s">
        <v>1462</v>
      </c>
    </row>
    <row r="796" spans="1:6" x14ac:dyDescent="0.35">
      <c r="A796" t="s">
        <v>632</v>
      </c>
      <c r="B796" s="7" t="s">
        <v>1456</v>
      </c>
    </row>
    <row r="797" spans="1:6" x14ac:dyDescent="0.35">
      <c r="A797" t="s">
        <v>621</v>
      </c>
      <c r="B797" s="7" t="s">
        <v>1445</v>
      </c>
    </row>
    <row r="798" spans="1:6" x14ac:dyDescent="0.35">
      <c r="A798" t="s">
        <v>10</v>
      </c>
      <c r="B798" s="7" t="s">
        <v>839</v>
      </c>
    </row>
    <row r="799" spans="1:6" x14ac:dyDescent="0.35">
      <c r="A799" s="26" t="s">
        <v>3351</v>
      </c>
      <c r="B799" s="26" t="s">
        <v>3352</v>
      </c>
      <c r="C799" s="26"/>
      <c r="D799" s="26"/>
      <c r="E799" s="26"/>
      <c r="F799" s="26"/>
    </row>
    <row r="800" spans="1:6" x14ac:dyDescent="0.35">
      <c r="A800" s="26" t="s">
        <v>3398</v>
      </c>
      <c r="B800" s="26" t="s">
        <v>3352</v>
      </c>
      <c r="C800" s="26"/>
      <c r="D800" s="26"/>
      <c r="E800" s="26"/>
      <c r="F800" s="26"/>
    </row>
    <row r="801" spans="1:6" x14ac:dyDescent="0.35">
      <c r="A801" t="s">
        <v>341</v>
      </c>
      <c r="B801" s="7" t="s">
        <v>1165</v>
      </c>
    </row>
    <row r="802" spans="1:6" x14ac:dyDescent="0.35">
      <c r="A802" s="26" t="s">
        <v>3379</v>
      </c>
      <c r="B802" s="26" t="s">
        <v>3380</v>
      </c>
      <c r="C802" s="26"/>
      <c r="D802" s="26"/>
      <c r="E802" s="26"/>
      <c r="F802" s="26"/>
    </row>
    <row r="803" spans="1:6" x14ac:dyDescent="0.35">
      <c r="A803" s="26" t="s">
        <v>3401</v>
      </c>
      <c r="B803" s="26" t="s">
        <v>3402</v>
      </c>
      <c r="C803" s="26"/>
      <c r="D803" s="26"/>
      <c r="E803" s="26"/>
      <c r="F803" s="26"/>
    </row>
    <row r="804" spans="1:6" x14ac:dyDescent="0.35">
      <c r="A804" s="26" t="s">
        <v>3353</v>
      </c>
      <c r="B804" s="26" t="s">
        <v>3354</v>
      </c>
      <c r="C804" s="26"/>
      <c r="D804" s="26"/>
      <c r="E804" s="26"/>
      <c r="F804" s="26"/>
    </row>
    <row r="805" spans="1:6" x14ac:dyDescent="0.35">
      <c r="A805" s="26" t="s">
        <v>3355</v>
      </c>
      <c r="B805" s="26" t="s">
        <v>3356</v>
      </c>
      <c r="C805" s="26"/>
      <c r="D805" s="26"/>
      <c r="E805" s="26"/>
      <c r="F805" s="26"/>
    </row>
    <row r="806" spans="1:6" x14ac:dyDescent="0.35">
      <c r="A806" t="s">
        <v>92</v>
      </c>
      <c r="B806" s="7" t="s">
        <v>921</v>
      </c>
    </row>
    <row r="807" spans="1:6" x14ac:dyDescent="0.35">
      <c r="A807" t="s">
        <v>62</v>
      </c>
      <c r="B807" s="7" t="s">
        <v>891</v>
      </c>
    </row>
    <row r="808" spans="1:6" x14ac:dyDescent="0.35">
      <c r="A808" t="s">
        <v>732</v>
      </c>
      <c r="B808" s="7" t="s">
        <v>1556</v>
      </c>
    </row>
    <row r="809" spans="1:6" x14ac:dyDescent="0.35">
      <c r="A809" t="s">
        <v>208</v>
      </c>
      <c r="B809" s="7" t="s">
        <v>1035</v>
      </c>
    </row>
    <row r="810" spans="1:6" x14ac:dyDescent="0.35">
      <c r="A810" t="s">
        <v>572</v>
      </c>
      <c r="B810" s="7" t="s">
        <v>1396</v>
      </c>
    </row>
    <row r="811" spans="1:6" x14ac:dyDescent="0.35">
      <c r="A811" t="s">
        <v>239</v>
      </c>
      <c r="B811" s="7" t="s">
        <v>1065</v>
      </c>
    </row>
    <row r="812" spans="1:6" x14ac:dyDescent="0.35">
      <c r="A812" t="s">
        <v>240</v>
      </c>
      <c r="B812" s="7" t="s">
        <v>1066</v>
      </c>
    </row>
    <row r="813" spans="1:6" x14ac:dyDescent="0.35">
      <c r="A813" t="s">
        <v>238</v>
      </c>
      <c r="B813" s="7" t="s">
        <v>1064</v>
      </c>
    </row>
    <row r="814" spans="1:6" x14ac:dyDescent="0.35">
      <c r="A814" t="s">
        <v>637</v>
      </c>
      <c r="B814" s="7" t="s">
        <v>1461</v>
      </c>
    </row>
    <row r="815" spans="1:6" x14ac:dyDescent="0.35">
      <c r="A815" t="s">
        <v>206</v>
      </c>
      <c r="B815" s="7" t="s">
        <v>1033</v>
      </c>
    </row>
    <row r="816" spans="1:6" x14ac:dyDescent="0.35">
      <c r="A816" t="s">
        <v>674</v>
      </c>
      <c r="B816" s="7" t="s">
        <v>1498</v>
      </c>
    </row>
    <row r="817" spans="1:6" x14ac:dyDescent="0.35">
      <c r="A817" t="s">
        <v>578</v>
      </c>
      <c r="B817" s="7" t="s">
        <v>1402</v>
      </c>
      <c r="C817">
        <v>10</v>
      </c>
      <c r="E817" t="s">
        <v>4106</v>
      </c>
      <c r="F817" s="57">
        <v>44573</v>
      </c>
    </row>
    <row r="818" spans="1:6" x14ac:dyDescent="0.35">
      <c r="A818" t="s">
        <v>622</v>
      </c>
      <c r="B818" s="7" t="s">
        <v>1446</v>
      </c>
    </row>
    <row r="819" spans="1:6" x14ac:dyDescent="0.35">
      <c r="A819" t="s">
        <v>214</v>
      </c>
      <c r="B819" s="7" t="s">
        <v>1041</v>
      </c>
    </row>
    <row r="820" spans="1:6" x14ac:dyDescent="0.35">
      <c r="A820" t="s">
        <v>519</v>
      </c>
      <c r="B820" s="7" t="s">
        <v>1343</v>
      </c>
    </row>
    <row r="821" spans="1:6" x14ac:dyDescent="0.35">
      <c r="A821" s="26" t="s">
        <v>3369</v>
      </c>
      <c r="B821" s="26" t="s">
        <v>3370</v>
      </c>
      <c r="C821" s="26"/>
      <c r="D821" s="26"/>
      <c r="E821" s="26"/>
      <c r="F821" s="26"/>
    </row>
    <row r="822" spans="1:6" x14ac:dyDescent="0.35">
      <c r="A822" s="26" t="s">
        <v>3363</v>
      </c>
      <c r="B822" s="26" t="s">
        <v>3364</v>
      </c>
      <c r="C822" s="26"/>
      <c r="D822" s="26"/>
      <c r="E822" s="26"/>
      <c r="F822" s="26"/>
    </row>
    <row r="823" spans="1:6" x14ac:dyDescent="0.35">
      <c r="A823" t="s">
        <v>515</v>
      </c>
      <c r="B823" s="7" t="s">
        <v>1339</v>
      </c>
    </row>
    <row r="824" spans="1:6" x14ac:dyDescent="0.35">
      <c r="A824" t="s">
        <v>388</v>
      </c>
      <c r="B824" s="7" t="s">
        <v>1212</v>
      </c>
    </row>
    <row r="825" spans="1:6" x14ac:dyDescent="0.35">
      <c r="A825" t="s">
        <v>110</v>
      </c>
      <c r="B825" s="7" t="s">
        <v>939</v>
      </c>
    </row>
    <row r="826" spans="1:6" x14ac:dyDescent="0.35">
      <c r="A826" t="s">
        <v>661</v>
      </c>
      <c r="B826" s="7" t="s">
        <v>1485</v>
      </c>
    </row>
    <row r="827" spans="1:6" x14ac:dyDescent="0.35">
      <c r="A827" t="s">
        <v>476</v>
      </c>
      <c r="B827" s="7" t="s">
        <v>1300</v>
      </c>
    </row>
    <row r="828" spans="1:6" x14ac:dyDescent="0.35">
      <c r="A828" t="s">
        <v>613</v>
      </c>
      <c r="B828" s="7" t="s">
        <v>1437</v>
      </c>
    </row>
    <row r="829" spans="1:6" x14ac:dyDescent="0.35">
      <c r="A829" t="s">
        <v>170</v>
      </c>
      <c r="B829" s="7" t="s">
        <v>999</v>
      </c>
    </row>
    <row r="830" spans="1:6" x14ac:dyDescent="0.35">
      <c r="A830" t="s">
        <v>548</v>
      </c>
      <c r="B830" s="7" t="s">
        <v>1372</v>
      </c>
    </row>
    <row r="831" spans="1:6" s="26" customFormat="1" ht="15.5" customHeight="1" x14ac:dyDescent="0.35">
      <c r="A831" t="s">
        <v>396</v>
      </c>
      <c r="B831" s="7" t="s">
        <v>1220</v>
      </c>
      <c r="C831"/>
      <c r="D831"/>
      <c r="E831"/>
      <c r="F831"/>
    </row>
    <row r="832" spans="1:6" s="26" customFormat="1" x14ac:dyDescent="0.35">
      <c r="A832" t="s">
        <v>377</v>
      </c>
      <c r="B832" s="7" t="s">
        <v>1201</v>
      </c>
      <c r="C832"/>
      <c r="D832"/>
      <c r="E832"/>
      <c r="F832"/>
    </row>
    <row r="833" spans="1:6" s="26" customFormat="1" x14ac:dyDescent="0.35">
      <c r="A833" t="s">
        <v>5</v>
      </c>
      <c r="B833" s="7" t="s">
        <v>834</v>
      </c>
      <c r="C833"/>
      <c r="D833"/>
      <c r="E833"/>
      <c r="F833"/>
    </row>
    <row r="834" spans="1:6" s="26" customFormat="1" x14ac:dyDescent="0.35">
      <c r="A834" t="s">
        <v>235</v>
      </c>
      <c r="B834" s="7" t="s">
        <v>1062</v>
      </c>
      <c r="C834"/>
      <c r="D834"/>
      <c r="E834"/>
      <c r="F834"/>
    </row>
    <row r="835" spans="1:6" s="26" customFormat="1" x14ac:dyDescent="0.35">
      <c r="A835" t="s">
        <v>393</v>
      </c>
      <c r="B835" s="7" t="s">
        <v>1217</v>
      </c>
      <c r="C835"/>
      <c r="D835"/>
      <c r="E835"/>
      <c r="F835"/>
    </row>
    <row r="836" spans="1:6" s="26" customFormat="1" x14ac:dyDescent="0.35">
      <c r="A836" t="s">
        <v>328</v>
      </c>
      <c r="B836" s="7" t="s">
        <v>1153</v>
      </c>
      <c r="C836"/>
      <c r="D836"/>
      <c r="E836"/>
      <c r="F836"/>
    </row>
    <row r="837" spans="1:6" s="26" customFormat="1" x14ac:dyDescent="0.35">
      <c r="A837" t="s">
        <v>209</v>
      </c>
      <c r="B837" s="7" t="s">
        <v>1036</v>
      </c>
      <c r="C837"/>
      <c r="D837"/>
      <c r="E837"/>
      <c r="F837"/>
    </row>
    <row r="838" spans="1:6" s="26" customFormat="1" x14ac:dyDescent="0.35">
      <c r="A838" t="s">
        <v>275</v>
      </c>
      <c r="B838" s="7" t="s">
        <v>1101</v>
      </c>
      <c r="C838"/>
      <c r="D838"/>
      <c r="E838"/>
      <c r="F838"/>
    </row>
    <row r="839" spans="1:6" s="26" customFormat="1" x14ac:dyDescent="0.35">
      <c r="A839" t="s">
        <v>316</v>
      </c>
      <c r="B839" s="7" t="s">
        <v>1141</v>
      </c>
      <c r="C839"/>
      <c r="D839"/>
      <c r="E839"/>
      <c r="F839"/>
    </row>
    <row r="840" spans="1:6" s="26" customFormat="1" x14ac:dyDescent="0.35">
      <c r="A840" t="s">
        <v>178</v>
      </c>
      <c r="B840" s="7" t="s">
        <v>1007</v>
      </c>
      <c r="C840"/>
      <c r="D840"/>
      <c r="E840"/>
      <c r="F840"/>
    </row>
    <row r="841" spans="1:6" s="26" customFormat="1" x14ac:dyDescent="0.35">
      <c r="A841" t="s">
        <v>151</v>
      </c>
      <c r="B841" s="7" t="s">
        <v>980</v>
      </c>
      <c r="C841"/>
      <c r="D841"/>
      <c r="E841"/>
      <c r="F841"/>
    </row>
    <row r="842" spans="1:6" s="26" customFormat="1" x14ac:dyDescent="0.35">
      <c r="A842" t="s">
        <v>761</v>
      </c>
      <c r="B842" s="7" t="s">
        <v>1585</v>
      </c>
      <c r="C842"/>
      <c r="D842"/>
      <c r="E842"/>
      <c r="F842"/>
    </row>
    <row r="843" spans="1:6" s="26" customFormat="1" x14ac:dyDescent="0.35">
      <c r="A843" t="s">
        <v>424</v>
      </c>
      <c r="B843" s="7" t="s">
        <v>1248</v>
      </c>
      <c r="C843"/>
      <c r="D843"/>
      <c r="E843"/>
      <c r="F843"/>
    </row>
    <row r="844" spans="1:6" s="26" customFormat="1" x14ac:dyDescent="0.35">
      <c r="A844" t="s">
        <v>317</v>
      </c>
      <c r="B844" s="7" t="s">
        <v>1142</v>
      </c>
      <c r="C844"/>
      <c r="D844"/>
      <c r="E844"/>
      <c r="F844"/>
    </row>
    <row r="845" spans="1:6" s="26" customFormat="1" x14ac:dyDescent="0.35">
      <c r="A845" t="s">
        <v>96</v>
      </c>
      <c r="B845" s="7" t="s">
        <v>925</v>
      </c>
      <c r="C845"/>
      <c r="D845"/>
      <c r="E845"/>
      <c r="F845"/>
    </row>
    <row r="846" spans="1:6" s="26" customFormat="1" x14ac:dyDescent="0.35">
      <c r="A846" t="s">
        <v>580</v>
      </c>
      <c r="B846" s="7" t="s">
        <v>1404</v>
      </c>
      <c r="C846"/>
      <c r="D846"/>
      <c r="E846"/>
      <c r="F846"/>
    </row>
    <row r="847" spans="1:6" s="26" customFormat="1" x14ac:dyDescent="0.35">
      <c r="A847" t="s">
        <v>560</v>
      </c>
      <c r="B847" s="7" t="s">
        <v>1384</v>
      </c>
      <c r="C847"/>
      <c r="D847"/>
      <c r="E847"/>
      <c r="F847"/>
    </row>
    <row r="848" spans="1:6" s="26" customFormat="1" x14ac:dyDescent="0.35">
      <c r="A848" t="s">
        <v>651</v>
      </c>
      <c r="B848" s="7" t="s">
        <v>1475</v>
      </c>
      <c r="C848"/>
      <c r="D848"/>
      <c r="E848"/>
      <c r="F848"/>
    </row>
    <row r="849" spans="1:6" s="26" customFormat="1" x14ac:dyDescent="0.35">
      <c r="A849" t="s">
        <v>245</v>
      </c>
      <c r="B849" s="7" t="s">
        <v>1071</v>
      </c>
      <c r="C849"/>
      <c r="D849"/>
      <c r="E849"/>
      <c r="F849"/>
    </row>
    <row r="850" spans="1:6" s="26" customFormat="1" ht="17" customHeight="1" x14ac:dyDescent="0.35">
      <c r="A850" t="s">
        <v>343</v>
      </c>
      <c r="B850" s="7" t="s">
        <v>1167</v>
      </c>
      <c r="C850"/>
      <c r="D850"/>
      <c r="E850"/>
      <c r="F850"/>
    </row>
    <row r="851" spans="1:6" s="26" customFormat="1" x14ac:dyDescent="0.35">
      <c r="A851" t="s">
        <v>100</v>
      </c>
      <c r="B851" s="7" t="s">
        <v>929</v>
      </c>
      <c r="C851"/>
      <c r="D851"/>
      <c r="E851"/>
      <c r="F851"/>
    </row>
    <row r="852" spans="1:6" s="26" customFormat="1" x14ac:dyDescent="0.35">
      <c r="A852" t="s">
        <v>99</v>
      </c>
      <c r="B852" s="7" t="s">
        <v>928</v>
      </c>
      <c r="C852"/>
      <c r="D852"/>
      <c r="E852"/>
      <c r="F852"/>
    </row>
    <row r="853" spans="1:6" s="26" customFormat="1" x14ac:dyDescent="0.35">
      <c r="A853" t="s">
        <v>535</v>
      </c>
      <c r="B853" s="7" t="s">
        <v>1359</v>
      </c>
      <c r="C853"/>
      <c r="D853"/>
      <c r="E853"/>
      <c r="F853"/>
    </row>
    <row r="854" spans="1:6" s="26" customFormat="1" x14ac:dyDescent="0.35">
      <c r="A854" t="s">
        <v>507</v>
      </c>
      <c r="B854" s="7" t="s">
        <v>1331</v>
      </c>
      <c r="C854">
        <v>0.03</v>
      </c>
      <c r="D854"/>
      <c r="E854" t="s">
        <v>4106</v>
      </c>
      <c r="F854" s="57">
        <v>44573</v>
      </c>
    </row>
    <row r="855" spans="1:6" s="26" customFormat="1" x14ac:dyDescent="0.35">
      <c r="A855" t="s">
        <v>127</v>
      </c>
      <c r="B855" s="7" t="s">
        <v>956</v>
      </c>
      <c r="C855"/>
      <c r="D855"/>
      <c r="E855"/>
      <c r="F855"/>
    </row>
    <row r="856" spans="1:6" s="26" customFormat="1" x14ac:dyDescent="0.35">
      <c r="A856" s="6" t="s">
        <v>816</v>
      </c>
      <c r="B856" s="7" t="s">
        <v>1639</v>
      </c>
      <c r="C856"/>
      <c r="D856"/>
      <c r="E856"/>
      <c r="F856"/>
    </row>
    <row r="857" spans="1:6" s="26" customFormat="1" x14ac:dyDescent="0.35">
      <c r="A857" t="s">
        <v>612</v>
      </c>
      <c r="B857" s="7" t="s">
        <v>1436</v>
      </c>
      <c r="C857"/>
      <c r="D857"/>
      <c r="E857"/>
      <c r="F857"/>
    </row>
    <row r="858" spans="1:6" s="26" customFormat="1" x14ac:dyDescent="0.35">
      <c r="A858" t="s">
        <v>550</v>
      </c>
      <c r="B858" s="7" t="s">
        <v>1374</v>
      </c>
      <c r="C858"/>
      <c r="D858"/>
      <c r="E858"/>
      <c r="F858"/>
    </row>
    <row r="859" spans="1:6" s="26" customFormat="1" x14ac:dyDescent="0.35">
      <c r="A859" t="s">
        <v>95</v>
      </c>
      <c r="B859" s="7" t="s">
        <v>924</v>
      </c>
      <c r="C859"/>
      <c r="D859"/>
      <c r="E859"/>
      <c r="F859"/>
    </row>
    <row r="860" spans="1:6" s="26" customFormat="1" x14ac:dyDescent="0.35">
      <c r="A860" t="s">
        <v>611</v>
      </c>
      <c r="B860" s="7" t="s">
        <v>1435</v>
      </c>
      <c r="C860"/>
      <c r="D860"/>
      <c r="E860"/>
      <c r="F860"/>
    </row>
    <row r="861" spans="1:6" s="26" customFormat="1" x14ac:dyDescent="0.35">
      <c r="A861" t="s">
        <v>551</v>
      </c>
      <c r="B861" s="7" t="s">
        <v>1375</v>
      </c>
      <c r="C861"/>
      <c r="D861"/>
      <c r="E861"/>
      <c r="F861"/>
    </row>
    <row r="862" spans="1:6" s="26" customFormat="1" x14ac:dyDescent="0.35">
      <c r="A862" t="s">
        <v>98</v>
      </c>
      <c r="B862" s="7" t="s">
        <v>927</v>
      </c>
      <c r="C862"/>
      <c r="D862"/>
      <c r="E862"/>
      <c r="F862"/>
    </row>
    <row r="863" spans="1:6" s="26" customFormat="1" x14ac:dyDescent="0.35">
      <c r="A863" t="s">
        <v>421</v>
      </c>
      <c r="B863" s="7" t="s">
        <v>1245</v>
      </c>
      <c r="C863"/>
      <c r="D863"/>
      <c r="E863"/>
      <c r="F863"/>
    </row>
    <row r="864" spans="1:6" s="26" customFormat="1" ht="15.5" customHeight="1" x14ac:dyDescent="0.35">
      <c r="A864" t="s">
        <v>762</v>
      </c>
      <c r="B864" s="7" t="s">
        <v>1586</v>
      </c>
      <c r="C864"/>
      <c r="D864"/>
      <c r="E864"/>
      <c r="F864"/>
    </row>
    <row r="865" spans="1:6" s="26" customFormat="1" x14ac:dyDescent="0.35">
      <c r="A865" t="s">
        <v>200</v>
      </c>
      <c r="B865" s="7" t="s">
        <v>1028</v>
      </c>
      <c r="C865"/>
      <c r="D865"/>
      <c r="E865"/>
      <c r="F865"/>
    </row>
    <row r="866" spans="1:6" s="26" customFormat="1" x14ac:dyDescent="0.35">
      <c r="A866" t="s">
        <v>367</v>
      </c>
      <c r="B866" s="7" t="s">
        <v>1191</v>
      </c>
      <c r="C866"/>
      <c r="D866"/>
      <c r="E866"/>
      <c r="F866"/>
    </row>
    <row r="867" spans="1:6" s="26" customFormat="1" x14ac:dyDescent="0.35">
      <c r="A867" t="s">
        <v>587</v>
      </c>
      <c r="B867" s="7" t="s">
        <v>1411</v>
      </c>
      <c r="C867"/>
      <c r="D867"/>
      <c r="E867"/>
      <c r="F867"/>
    </row>
    <row r="868" spans="1:6" s="26" customFormat="1" x14ac:dyDescent="0.35">
      <c r="A868" t="s">
        <v>545</v>
      </c>
      <c r="B868" s="7" t="s">
        <v>1369</v>
      </c>
      <c r="C868"/>
      <c r="D868"/>
      <c r="E868"/>
      <c r="F868"/>
    </row>
    <row r="869" spans="1:6" s="26" customFormat="1" x14ac:dyDescent="0.35">
      <c r="A869" t="s">
        <v>538</v>
      </c>
      <c r="B869" s="7" t="s">
        <v>1362</v>
      </c>
      <c r="C869"/>
      <c r="D869"/>
      <c r="E869"/>
      <c r="F869"/>
    </row>
    <row r="870" spans="1:6" s="26" customFormat="1" x14ac:dyDescent="0.35">
      <c r="A870" t="s">
        <v>29</v>
      </c>
      <c r="B870" s="7" t="s">
        <v>858</v>
      </c>
      <c r="C870"/>
      <c r="D870"/>
      <c r="E870"/>
      <c r="F870"/>
    </row>
    <row r="871" spans="1:6" s="26" customFormat="1" x14ac:dyDescent="0.35">
      <c r="A871" s="2" t="s">
        <v>499</v>
      </c>
      <c r="B871" s="7" t="s">
        <v>1323</v>
      </c>
      <c r="C871"/>
      <c r="D871"/>
      <c r="E871"/>
      <c r="F871"/>
    </row>
    <row r="872" spans="1:6" s="26" customFormat="1" x14ac:dyDescent="0.35">
      <c r="A872" t="s">
        <v>733</v>
      </c>
      <c r="B872" s="7" t="s">
        <v>1557</v>
      </c>
      <c r="C872"/>
      <c r="D872"/>
      <c r="E872"/>
      <c r="F872"/>
    </row>
    <row r="873" spans="1:6" s="26" customFormat="1" x14ac:dyDescent="0.35">
      <c r="A873" t="s">
        <v>78</v>
      </c>
      <c r="B873" s="7" t="s">
        <v>907</v>
      </c>
      <c r="C873"/>
      <c r="D873"/>
      <c r="E873"/>
      <c r="F873"/>
    </row>
    <row r="874" spans="1:6" s="26" customFormat="1" x14ac:dyDescent="0.35">
      <c r="A874" t="s">
        <v>542</v>
      </c>
      <c r="B874" s="7" t="s">
        <v>1366</v>
      </c>
      <c r="C874"/>
      <c r="D874"/>
      <c r="E874"/>
      <c r="F874"/>
    </row>
    <row r="875" spans="1:6" s="26" customFormat="1" x14ac:dyDescent="0.35">
      <c r="A875" t="s">
        <v>303</v>
      </c>
      <c r="B875" s="7" t="s">
        <v>1128</v>
      </c>
      <c r="C875"/>
      <c r="D875"/>
      <c r="E875"/>
      <c r="F875"/>
    </row>
    <row r="876" spans="1:6" s="26" customFormat="1" x14ac:dyDescent="0.35">
      <c r="A876" s="2" t="s">
        <v>184</v>
      </c>
      <c r="B876"/>
      <c r="C876"/>
      <c r="D876"/>
      <c r="E876"/>
      <c r="F876"/>
    </row>
    <row r="877" spans="1:6" s="26" customFormat="1" x14ac:dyDescent="0.35">
      <c r="A877" s="2" t="s">
        <v>203</v>
      </c>
      <c r="B877"/>
      <c r="C877"/>
      <c r="D877"/>
      <c r="E877"/>
      <c r="F877"/>
    </row>
    <row r="878" spans="1:6" s="26" customFormat="1" x14ac:dyDescent="0.35">
      <c r="A878" s="2" t="s">
        <v>284</v>
      </c>
      <c r="B878"/>
      <c r="C878"/>
      <c r="D878"/>
      <c r="E878"/>
      <c r="F878"/>
    </row>
    <row r="879" spans="1:6" s="26" customFormat="1" x14ac:dyDescent="0.35">
      <c r="A879" t="s">
        <v>819</v>
      </c>
      <c r="B879"/>
      <c r="C879"/>
      <c r="D879"/>
      <c r="E879"/>
      <c r="F879"/>
    </row>
    <row r="880" spans="1:6" s="26" customFormat="1" x14ac:dyDescent="0.35">
      <c r="A880" s="26" t="s">
        <v>3325</v>
      </c>
    </row>
    <row r="881" spans="1:7" s="26" customFormat="1" x14ac:dyDescent="0.35">
      <c r="A881" s="26" t="s">
        <v>3409</v>
      </c>
    </row>
    <row r="882" spans="1:7" s="26" customFormat="1" x14ac:dyDescent="0.35">
      <c r="A882" s="26" t="s">
        <v>3410</v>
      </c>
    </row>
    <row r="883" spans="1:7" s="26" customFormat="1" x14ac:dyDescent="0.35">
      <c r="A883" s="26" t="s">
        <v>3411</v>
      </c>
    </row>
    <row r="884" spans="1:7" x14ac:dyDescent="0.35">
      <c r="G884" s="26"/>
    </row>
    <row r="885" spans="1:7" x14ac:dyDescent="0.35">
      <c r="G885" s="26"/>
    </row>
  </sheetData>
  <autoFilter ref="A1:G883" xr:uid="{841B9764-5881-4EA8-83A8-6AA86D6FAC34}"/>
  <hyperlinks>
    <hyperlink ref="A156" r:id="rId1" display="DTXSID5037523" xr:uid="{1F67DD5C-EDD6-4111-901B-9F11E7E390D1}"/>
    <hyperlink ref="A393" r:id="rId2" display="DTXSID1032482" xr:uid="{7BAB4C06-3C03-4A62-B6CF-A48A9618650A}"/>
    <hyperlink ref="A137" r:id="rId3" display="DTXSID4058499" xr:uid="{F1D76434-C8F0-46B7-B666-DD2B0E9058D5}"/>
    <hyperlink ref="A294" r:id="rId4" display="DTXSID9037539" xr:uid="{E0E3921A-4A92-4212-B8AE-B15B5ECFA540}"/>
    <hyperlink ref="A599" r:id="rId5" display="DTXSID1032640" xr:uid="{DB7E586C-19E3-4E31-94E6-33CFA4B39C77}"/>
    <hyperlink ref="A308" r:id="rId6" display="DTXSID2052736" xr:uid="{C3604930-529A-4175-A27F-D60125290133}"/>
    <hyperlink ref="A191" r:id="rId7" display="DTXSID6020147" xr:uid="{EC9244BA-CCE1-4B9F-BD2A-8AF4DA402A32}"/>
    <hyperlink ref="A117" r:id="rId8" display="DTXSID5020819" xr:uid="{AA509FF9-67E4-4209-89D8-718B04A04FD0}"/>
    <hyperlink ref="A680" r:id="rId9" display="DTXSID5037571" xr:uid="{A92707CD-B369-4273-AD80-1AC3B778F471}"/>
    <hyperlink ref="A349" r:id="rId10" display="DTXSID1023445" xr:uid="{F3AA8D98-5D1F-443E-BBBB-5BBB16F7FB84}"/>
    <hyperlink ref="A377" r:id="rId11" display="DTXSID0020442" xr:uid="{B68F6311-DB35-4E36-B0FB-BD8B04CC9DD1}"/>
    <hyperlink ref="A268" r:id="rId12" display="DTXSID4024195" xr:uid="{E1168C48-CD4A-4CB5-8D04-E9314E50FD70}"/>
    <hyperlink ref="A454" r:id="rId13" display="DTXSID2024113" xr:uid="{C1ED33E5-E5B7-40E4-BCAE-95CE3FFA65EF}"/>
    <hyperlink ref="A209" r:id="rId14" display="DTXSID9020322" xr:uid="{A501798B-951E-4427-A268-06AFEFF31CE4}"/>
    <hyperlink ref="A615" r:id="rId15" display="DTXSID9034868" xr:uid="{7D55A74F-EF65-4A9D-B461-44AA83B41CF3}"/>
    <hyperlink ref="A446" r:id="rId16" display="DTXSID2020636" xr:uid="{2E0870D7-08A5-4B8B-8804-87C326670E8B}"/>
    <hyperlink ref="A241" r:id="rId17" display="DTXSID9024194" xr:uid="{03361A1F-3CCD-4ED0-BB30-EF650305D14B}"/>
    <hyperlink ref="A300" r:id="rId18" display="DTXSID5040675" xr:uid="{DFA69EC2-4E61-4306-A714-2BA7175AB877}"/>
    <hyperlink ref="A591" r:id="rId19" display="DTXSID8023975" xr:uid="{4A6C5CC6-E482-4D3D-8372-C3028ACBF35F}"/>
    <hyperlink ref="A529" r:id="rId20" display="DTXSID1024465" xr:uid="{2A333525-7BB2-458D-BBF8-7DFA988852C5}"/>
    <hyperlink ref="A698" r:id="rId21" display="DTXSID6023737" xr:uid="{90E66001-6465-4B95-98EC-88B4D4E9BCBD}"/>
    <hyperlink ref="A370" r:id="rId22" display="DTXSID40869118" xr:uid="{D8BA976D-87F9-4A8F-9D96-B59EB8EBBA1D}"/>
    <hyperlink ref="A200" r:id="rId23" display="DTXSID5023114" xr:uid="{4757B553-BE9A-4D67-BFCC-27B9F9D50394}"/>
    <hyperlink ref="A807" r:id="rId24" display="DTXSID4020161" xr:uid="{F93CA041-ACB5-4493-84F1-15433321E2A3}"/>
    <hyperlink ref="A537" r:id="rId25" display="DTXSID4020878" xr:uid="{535534C6-7345-4228-97EA-412A90B34031}"/>
    <hyperlink ref="A756" r:id="rId26" display="DTXSID4022658" xr:uid="{0F061C88-00AA-473A-ABD3-E8ECAD78C481}"/>
    <hyperlink ref="A523" r:id="rId27" display="DTXSID8020913" xr:uid="{559DDA2A-6505-4C8E-B8F9-80BA6302B8BC}"/>
    <hyperlink ref="A651" r:id="rId28" display="DTXSID0023955" xr:uid="{DA43A5EB-A8E1-46B0-89C1-11A58EAC1666}"/>
    <hyperlink ref="A211" r:id="rId29" display="DTXSID9020877" xr:uid="{0ED021C4-45F9-4644-9AB7-F75DE563F951}"/>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82B172-D27D-49C4-9701-50D7AA862FEB}">
  <dimension ref="A1:V883"/>
  <sheetViews>
    <sheetView workbookViewId="0">
      <pane ySplit="1" topLeftCell="A367" activePane="bottomLeft" state="frozen"/>
      <selection pane="bottomLeft" activeCell="F357" sqref="F357"/>
    </sheetView>
  </sheetViews>
  <sheetFormatPr defaultRowHeight="14.5" x14ac:dyDescent="0.35"/>
  <cols>
    <col min="1" max="1" width="22.54296875" bestFit="1" customWidth="1"/>
    <col min="2" max="2" width="21.7265625" customWidth="1"/>
    <col min="3" max="3" width="22.81640625" bestFit="1" customWidth="1"/>
    <col min="4" max="4" width="12.1796875" bestFit="1" customWidth="1"/>
    <col min="5" max="5" width="12.1796875" customWidth="1"/>
    <col min="6" max="6" width="24.453125" bestFit="1" customWidth="1"/>
    <col min="7" max="8" width="14" customWidth="1"/>
    <col min="9" max="9" width="28.36328125" bestFit="1" customWidth="1"/>
    <col min="12" max="12" width="8.453125" customWidth="1"/>
    <col min="21" max="21" width="10.453125" bestFit="1" customWidth="1"/>
  </cols>
  <sheetData>
    <row r="1" spans="1:22" s="16" customFormat="1" x14ac:dyDescent="0.35">
      <c r="A1" s="15" t="s">
        <v>828</v>
      </c>
      <c r="B1" s="15" t="s">
        <v>1650</v>
      </c>
      <c r="C1" s="16" t="s">
        <v>2083</v>
      </c>
      <c r="D1" s="16" t="s">
        <v>2084</v>
      </c>
      <c r="E1" s="16" t="s">
        <v>3492</v>
      </c>
      <c r="F1" s="16" t="s">
        <v>2085</v>
      </c>
      <c r="G1" s="16" t="s">
        <v>2086</v>
      </c>
      <c r="H1" s="16" t="s">
        <v>3493</v>
      </c>
      <c r="I1" s="16" t="s">
        <v>2087</v>
      </c>
      <c r="J1" s="16" t="s">
        <v>2088</v>
      </c>
      <c r="K1" s="16" t="s">
        <v>3494</v>
      </c>
      <c r="L1" s="16" t="s">
        <v>2089</v>
      </c>
      <c r="M1" s="16" t="s">
        <v>2090</v>
      </c>
      <c r="N1" s="16" t="s">
        <v>3495</v>
      </c>
      <c r="O1" s="16" t="s">
        <v>2091</v>
      </c>
      <c r="P1" s="16" t="s">
        <v>2092</v>
      </c>
      <c r="Q1" s="16" t="s">
        <v>3496</v>
      </c>
      <c r="R1" s="16" t="s">
        <v>2093</v>
      </c>
      <c r="S1" s="16" t="s">
        <v>2094</v>
      </c>
      <c r="T1" s="16" t="s">
        <v>3497</v>
      </c>
      <c r="U1" s="16" t="s">
        <v>4107</v>
      </c>
      <c r="V1" s="16" t="s">
        <v>1689</v>
      </c>
    </row>
    <row r="2" spans="1:22" x14ac:dyDescent="0.35">
      <c r="A2" t="s">
        <v>0</v>
      </c>
      <c r="B2" s="7" t="s">
        <v>829</v>
      </c>
    </row>
    <row r="3" spans="1:22" x14ac:dyDescent="0.35">
      <c r="A3" t="s">
        <v>1</v>
      </c>
      <c r="B3" s="7" t="s">
        <v>830</v>
      </c>
    </row>
    <row r="4" spans="1:22" x14ac:dyDescent="0.35">
      <c r="A4" t="s">
        <v>633</v>
      </c>
      <c r="B4" s="7" t="s">
        <v>1457</v>
      </c>
      <c r="C4">
        <v>57</v>
      </c>
      <c r="D4" t="s">
        <v>3272</v>
      </c>
      <c r="E4" t="s">
        <v>3480</v>
      </c>
      <c r="F4">
        <v>9.4</v>
      </c>
      <c r="G4" t="s">
        <v>3272</v>
      </c>
      <c r="H4" t="s">
        <v>3480</v>
      </c>
      <c r="I4">
        <v>440</v>
      </c>
      <c r="J4" t="s">
        <v>3284</v>
      </c>
      <c r="K4" t="s">
        <v>3481</v>
      </c>
      <c r="L4">
        <v>115</v>
      </c>
      <c r="M4" t="s">
        <v>3284</v>
      </c>
      <c r="N4" t="s">
        <v>3481</v>
      </c>
      <c r="U4" s="57">
        <v>44573</v>
      </c>
      <c r="V4" t="s">
        <v>4110</v>
      </c>
    </row>
    <row r="5" spans="1:22" x14ac:dyDescent="0.35">
      <c r="A5" t="s">
        <v>3</v>
      </c>
      <c r="B5" s="7" t="s">
        <v>832</v>
      </c>
    </row>
    <row r="6" spans="1:22" x14ac:dyDescent="0.35">
      <c r="A6" t="s">
        <v>4</v>
      </c>
      <c r="B6" s="7" t="s">
        <v>833</v>
      </c>
    </row>
    <row r="7" spans="1:22" x14ac:dyDescent="0.35">
      <c r="A7" t="s">
        <v>5</v>
      </c>
      <c r="B7" s="7" t="s">
        <v>834</v>
      </c>
    </row>
    <row r="8" spans="1:22" x14ac:dyDescent="0.35">
      <c r="A8" t="s">
        <v>6</v>
      </c>
      <c r="B8" s="7" t="s">
        <v>835</v>
      </c>
    </row>
    <row r="9" spans="1:22" x14ac:dyDescent="0.35">
      <c r="A9" s="1" t="s">
        <v>7</v>
      </c>
      <c r="B9" s="7" t="s">
        <v>836</v>
      </c>
    </row>
    <row r="10" spans="1:22" x14ac:dyDescent="0.35">
      <c r="A10" t="s">
        <v>8</v>
      </c>
      <c r="B10" s="7" t="s">
        <v>837</v>
      </c>
    </row>
    <row r="11" spans="1:22" x14ac:dyDescent="0.35">
      <c r="A11" t="s">
        <v>9</v>
      </c>
      <c r="B11" s="7" t="s">
        <v>838</v>
      </c>
    </row>
    <row r="12" spans="1:22" x14ac:dyDescent="0.35">
      <c r="A12" t="s">
        <v>10</v>
      </c>
      <c r="B12" s="7" t="s">
        <v>839</v>
      </c>
    </row>
    <row r="13" spans="1:22" x14ac:dyDescent="0.35">
      <c r="A13" t="s">
        <v>11</v>
      </c>
      <c r="B13" s="7" t="s">
        <v>840</v>
      </c>
    </row>
    <row r="14" spans="1:22" x14ac:dyDescent="0.35">
      <c r="A14" t="s">
        <v>12</v>
      </c>
      <c r="B14" s="7" t="s">
        <v>841</v>
      </c>
    </row>
    <row r="15" spans="1:22" x14ac:dyDescent="0.35">
      <c r="A15" t="s">
        <v>13</v>
      </c>
      <c r="B15" s="7" t="s">
        <v>842</v>
      </c>
    </row>
    <row r="16" spans="1:22" x14ac:dyDescent="0.35">
      <c r="A16" t="s">
        <v>14</v>
      </c>
      <c r="B16" s="7" t="s">
        <v>843</v>
      </c>
    </row>
    <row r="17" spans="1:22" x14ac:dyDescent="0.35">
      <c r="A17" t="s">
        <v>15</v>
      </c>
      <c r="B17" s="7" t="s">
        <v>844</v>
      </c>
    </row>
    <row r="18" spans="1:22" x14ac:dyDescent="0.35">
      <c r="A18" t="s">
        <v>16</v>
      </c>
      <c r="B18" s="7" t="s">
        <v>845</v>
      </c>
    </row>
    <row r="19" spans="1:22" x14ac:dyDescent="0.35">
      <c r="A19" t="s">
        <v>17</v>
      </c>
      <c r="B19" s="7" t="s">
        <v>846</v>
      </c>
    </row>
    <row r="20" spans="1:22" x14ac:dyDescent="0.35">
      <c r="A20" t="s">
        <v>18</v>
      </c>
      <c r="B20" s="7" t="s">
        <v>847</v>
      </c>
    </row>
    <row r="21" spans="1:22" x14ac:dyDescent="0.35">
      <c r="A21" t="s">
        <v>37</v>
      </c>
      <c r="B21" s="7" t="s">
        <v>866</v>
      </c>
      <c r="C21">
        <v>109</v>
      </c>
      <c r="D21" t="s">
        <v>3272</v>
      </c>
      <c r="E21" t="s">
        <v>3480</v>
      </c>
      <c r="F21">
        <v>6.1</v>
      </c>
      <c r="G21" t="s">
        <v>3272</v>
      </c>
      <c r="H21" t="s">
        <v>3480</v>
      </c>
      <c r="O21">
        <v>157</v>
      </c>
      <c r="P21" t="s">
        <v>3287</v>
      </c>
      <c r="Q21" t="s">
        <v>3481</v>
      </c>
      <c r="R21">
        <v>75</v>
      </c>
      <c r="S21" t="s">
        <v>3287</v>
      </c>
      <c r="T21" t="s">
        <v>3481</v>
      </c>
      <c r="U21" s="57">
        <v>44573</v>
      </c>
      <c r="V21" t="s">
        <v>4112</v>
      </c>
    </row>
    <row r="22" spans="1:22" x14ac:dyDescent="0.35">
      <c r="A22" t="s">
        <v>19</v>
      </c>
      <c r="B22" s="7" t="s">
        <v>848</v>
      </c>
      <c r="C22">
        <v>130</v>
      </c>
      <c r="D22" t="s">
        <v>3279</v>
      </c>
      <c r="E22" t="s">
        <v>3480</v>
      </c>
      <c r="F22">
        <v>79.2</v>
      </c>
      <c r="G22" t="s">
        <v>3279</v>
      </c>
      <c r="H22" t="s">
        <v>3480</v>
      </c>
      <c r="U22" s="57">
        <v>44573</v>
      </c>
      <c r="V22" t="s">
        <v>4108</v>
      </c>
    </row>
    <row r="23" spans="1:22" x14ac:dyDescent="0.35">
      <c r="A23" t="s">
        <v>21</v>
      </c>
      <c r="B23" s="7" t="s">
        <v>850</v>
      </c>
    </row>
    <row r="24" spans="1:22" x14ac:dyDescent="0.35">
      <c r="A24" t="s">
        <v>22</v>
      </c>
      <c r="B24" s="7" t="s">
        <v>851</v>
      </c>
    </row>
    <row r="25" spans="1:22" x14ac:dyDescent="0.35">
      <c r="A25" t="s">
        <v>23</v>
      </c>
      <c r="B25" s="7" t="s">
        <v>852</v>
      </c>
    </row>
    <row r="26" spans="1:22" x14ac:dyDescent="0.35">
      <c r="A26" t="s">
        <v>24</v>
      </c>
      <c r="B26" s="7" t="s">
        <v>853</v>
      </c>
    </row>
    <row r="27" spans="1:22" x14ac:dyDescent="0.35">
      <c r="A27" t="s">
        <v>25</v>
      </c>
      <c r="B27" s="7" t="s">
        <v>854</v>
      </c>
    </row>
    <row r="28" spans="1:22" x14ac:dyDescent="0.35">
      <c r="A28" t="s">
        <v>26</v>
      </c>
      <c r="B28" s="7" t="s">
        <v>855</v>
      </c>
    </row>
    <row r="29" spans="1:22" x14ac:dyDescent="0.35">
      <c r="A29" t="s">
        <v>27</v>
      </c>
      <c r="B29" s="7" t="s">
        <v>856</v>
      </c>
    </row>
    <row r="30" spans="1:22" x14ac:dyDescent="0.35">
      <c r="A30" t="s">
        <v>28</v>
      </c>
      <c r="B30" s="7" t="s">
        <v>857</v>
      </c>
    </row>
    <row r="31" spans="1:22" x14ac:dyDescent="0.35">
      <c r="A31" t="s">
        <v>29</v>
      </c>
      <c r="B31" s="7" t="s">
        <v>858</v>
      </c>
    </row>
    <row r="32" spans="1:22" x14ac:dyDescent="0.35">
      <c r="A32" t="s">
        <v>30</v>
      </c>
      <c r="B32" s="7" t="s">
        <v>859</v>
      </c>
    </row>
    <row r="33" spans="1:22" x14ac:dyDescent="0.35">
      <c r="A33" t="s">
        <v>31</v>
      </c>
      <c r="B33" s="7" t="s">
        <v>860</v>
      </c>
    </row>
    <row r="34" spans="1:22" x14ac:dyDescent="0.35">
      <c r="A34" t="s">
        <v>33</v>
      </c>
      <c r="B34" s="7" t="s">
        <v>862</v>
      </c>
      <c r="C34">
        <v>42</v>
      </c>
      <c r="D34" t="s">
        <v>3272</v>
      </c>
      <c r="E34" t="s">
        <v>3480</v>
      </c>
      <c r="F34">
        <v>4.7</v>
      </c>
      <c r="G34" t="s">
        <v>3272</v>
      </c>
      <c r="H34" t="s">
        <v>3480</v>
      </c>
      <c r="O34">
        <v>150</v>
      </c>
      <c r="P34" t="s">
        <v>3287</v>
      </c>
      <c r="Q34" t="s">
        <v>3481</v>
      </c>
      <c r="R34">
        <v>72</v>
      </c>
      <c r="S34" t="s">
        <v>3287</v>
      </c>
      <c r="T34" t="s">
        <v>3481</v>
      </c>
      <c r="U34" s="57">
        <v>44573</v>
      </c>
      <c r="V34" t="s">
        <v>4112</v>
      </c>
    </row>
    <row r="35" spans="1:22" x14ac:dyDescent="0.35">
      <c r="A35" s="26" t="s">
        <v>3326</v>
      </c>
      <c r="B35" s="26" t="s">
        <v>3327</v>
      </c>
      <c r="C35" s="26">
        <v>6</v>
      </c>
      <c r="D35" s="51" t="s">
        <v>3441</v>
      </c>
      <c r="E35" s="51" t="s">
        <v>3481</v>
      </c>
      <c r="F35" s="26">
        <v>1</v>
      </c>
      <c r="G35" s="51" t="s">
        <v>3441</v>
      </c>
      <c r="H35" s="51" t="s">
        <v>3481</v>
      </c>
      <c r="I35" s="26">
        <v>4</v>
      </c>
      <c r="J35" s="26" t="s">
        <v>3442</v>
      </c>
      <c r="K35" s="51" t="s">
        <v>3481</v>
      </c>
      <c r="L35" s="26">
        <v>1.1000000000000001</v>
      </c>
      <c r="M35" s="26" t="s">
        <v>3442</v>
      </c>
      <c r="N35" s="51" t="s">
        <v>3481</v>
      </c>
      <c r="O35" s="26"/>
      <c r="P35" s="26"/>
      <c r="Q35" s="26"/>
      <c r="R35" s="26"/>
      <c r="S35" s="26"/>
      <c r="T35" s="26"/>
      <c r="U35" s="48">
        <v>44573</v>
      </c>
      <c r="V35" t="s">
        <v>4111</v>
      </c>
    </row>
    <row r="36" spans="1:22" x14ac:dyDescent="0.35">
      <c r="A36" t="s">
        <v>34</v>
      </c>
      <c r="B36" s="7" t="s">
        <v>863</v>
      </c>
    </row>
    <row r="37" spans="1:22" x14ac:dyDescent="0.35">
      <c r="A37" t="s">
        <v>75</v>
      </c>
      <c r="B37" s="7" t="s">
        <v>904</v>
      </c>
      <c r="C37">
        <v>19</v>
      </c>
      <c r="D37" t="s">
        <v>3272</v>
      </c>
      <c r="E37" t="s">
        <v>3480</v>
      </c>
      <c r="F37">
        <v>15</v>
      </c>
      <c r="G37" t="s">
        <v>3272</v>
      </c>
      <c r="H37" t="s">
        <v>3480</v>
      </c>
      <c r="O37">
        <v>116</v>
      </c>
      <c r="P37" t="s">
        <v>3287</v>
      </c>
      <c r="Q37" t="s">
        <v>3481</v>
      </c>
      <c r="R37">
        <v>56</v>
      </c>
      <c r="S37" t="s">
        <v>3287</v>
      </c>
      <c r="T37" t="s">
        <v>3481</v>
      </c>
      <c r="U37" s="57">
        <v>44573</v>
      </c>
      <c r="V37" t="s">
        <v>4112</v>
      </c>
    </row>
    <row r="38" spans="1:22" x14ac:dyDescent="0.35">
      <c r="A38" t="s">
        <v>36</v>
      </c>
      <c r="B38" s="7" t="s">
        <v>865</v>
      </c>
    </row>
    <row r="39" spans="1:22" x14ac:dyDescent="0.35">
      <c r="A39" t="s">
        <v>446</v>
      </c>
      <c r="B39" s="7" t="s">
        <v>1270</v>
      </c>
      <c r="C39">
        <v>120</v>
      </c>
      <c r="D39" t="s">
        <v>3272</v>
      </c>
      <c r="E39" t="s">
        <v>3480</v>
      </c>
      <c r="F39">
        <v>13</v>
      </c>
      <c r="G39" t="s">
        <v>3272</v>
      </c>
      <c r="H39" t="s">
        <v>3480</v>
      </c>
      <c r="O39">
        <v>640</v>
      </c>
      <c r="P39" t="s">
        <v>3287</v>
      </c>
      <c r="Q39" t="s">
        <v>3481</v>
      </c>
      <c r="R39">
        <v>307</v>
      </c>
      <c r="S39" t="s">
        <v>3287</v>
      </c>
      <c r="T39" t="s">
        <v>3481</v>
      </c>
      <c r="U39" s="57">
        <v>44573</v>
      </c>
      <c r="V39" t="s">
        <v>4112</v>
      </c>
    </row>
    <row r="40" spans="1:22" x14ac:dyDescent="0.35">
      <c r="A40" s="1" t="s">
        <v>38</v>
      </c>
      <c r="B40" s="7" t="s">
        <v>867</v>
      </c>
    </row>
    <row r="41" spans="1:22" x14ac:dyDescent="0.35">
      <c r="A41" t="s">
        <v>39</v>
      </c>
      <c r="B41" s="7" t="s">
        <v>868</v>
      </c>
    </row>
    <row r="42" spans="1:22" x14ac:dyDescent="0.35">
      <c r="A42" t="s">
        <v>40</v>
      </c>
      <c r="B42" s="7" t="s">
        <v>869</v>
      </c>
    </row>
    <row r="43" spans="1:22" x14ac:dyDescent="0.35">
      <c r="A43" t="s">
        <v>41</v>
      </c>
      <c r="B43" s="7" t="s">
        <v>870</v>
      </c>
    </row>
    <row r="44" spans="1:22" x14ac:dyDescent="0.35">
      <c r="A44" t="s">
        <v>42</v>
      </c>
      <c r="B44" s="7" t="s">
        <v>871</v>
      </c>
    </row>
    <row r="45" spans="1:22" x14ac:dyDescent="0.35">
      <c r="A45" t="s">
        <v>43</v>
      </c>
      <c r="B45" s="7" t="s">
        <v>872</v>
      </c>
    </row>
    <row r="46" spans="1:22" x14ac:dyDescent="0.35">
      <c r="A46" t="s">
        <v>44</v>
      </c>
      <c r="B46" s="7" t="s">
        <v>873</v>
      </c>
    </row>
    <row r="47" spans="1:22" x14ac:dyDescent="0.35">
      <c r="A47" t="s">
        <v>45</v>
      </c>
      <c r="B47" s="7" t="s">
        <v>874</v>
      </c>
    </row>
    <row r="48" spans="1:22" x14ac:dyDescent="0.35">
      <c r="A48" t="s">
        <v>46</v>
      </c>
      <c r="B48" s="7" t="s">
        <v>875</v>
      </c>
    </row>
    <row r="49" spans="1:22" x14ac:dyDescent="0.35">
      <c r="A49" t="s">
        <v>363</v>
      </c>
      <c r="B49" s="7" t="s">
        <v>1187</v>
      </c>
      <c r="C49">
        <v>550</v>
      </c>
      <c r="D49" t="s">
        <v>3279</v>
      </c>
      <c r="E49" t="s">
        <v>3480</v>
      </c>
      <c r="F49">
        <v>150</v>
      </c>
      <c r="G49" t="s">
        <v>3279</v>
      </c>
      <c r="H49" t="s">
        <v>3480</v>
      </c>
      <c r="U49" s="57">
        <v>44573</v>
      </c>
      <c r="V49" t="s">
        <v>4108</v>
      </c>
    </row>
    <row r="50" spans="1:22" x14ac:dyDescent="0.35">
      <c r="A50" t="s">
        <v>48</v>
      </c>
      <c r="B50" s="7" t="s">
        <v>877</v>
      </c>
    </row>
    <row r="51" spans="1:22" x14ac:dyDescent="0.35">
      <c r="A51" t="s">
        <v>49</v>
      </c>
      <c r="B51" s="7" t="s">
        <v>878</v>
      </c>
    </row>
    <row r="52" spans="1:22" x14ac:dyDescent="0.35">
      <c r="A52" t="s">
        <v>763</v>
      </c>
      <c r="B52" s="7" t="s">
        <v>1587</v>
      </c>
      <c r="C52">
        <v>3</v>
      </c>
      <c r="D52" t="s">
        <v>3273</v>
      </c>
      <c r="E52" t="s">
        <v>3480</v>
      </c>
      <c r="F52">
        <v>0.04</v>
      </c>
      <c r="G52" t="s">
        <v>3272</v>
      </c>
      <c r="H52" t="s">
        <v>3480</v>
      </c>
      <c r="U52" s="57">
        <v>44573</v>
      </c>
      <c r="V52" t="s">
        <v>4108</v>
      </c>
    </row>
    <row r="53" spans="1:22" x14ac:dyDescent="0.35">
      <c r="A53" t="s">
        <v>356</v>
      </c>
      <c r="B53" s="7" t="s">
        <v>1180</v>
      </c>
      <c r="F53">
        <v>0.01</v>
      </c>
      <c r="G53" t="s">
        <v>3280</v>
      </c>
      <c r="H53" t="s">
        <v>3480</v>
      </c>
      <c r="U53" s="57">
        <v>44573</v>
      </c>
      <c r="V53" t="s">
        <v>4108</v>
      </c>
    </row>
    <row r="54" spans="1:22" x14ac:dyDescent="0.35">
      <c r="A54" t="s">
        <v>598</v>
      </c>
      <c r="B54" s="7" t="s">
        <v>1422</v>
      </c>
      <c r="C54">
        <v>0.18</v>
      </c>
      <c r="D54" t="s">
        <v>3272</v>
      </c>
      <c r="E54" t="s">
        <v>3480</v>
      </c>
      <c r="F54">
        <v>0.02</v>
      </c>
      <c r="G54" t="s">
        <v>3272</v>
      </c>
      <c r="H54" t="s">
        <v>3480</v>
      </c>
      <c r="O54">
        <v>43</v>
      </c>
      <c r="P54" t="s">
        <v>3287</v>
      </c>
      <c r="Q54" t="s">
        <v>3481</v>
      </c>
      <c r="R54">
        <v>21</v>
      </c>
      <c r="S54" t="s">
        <v>3287</v>
      </c>
      <c r="T54" t="s">
        <v>3481</v>
      </c>
      <c r="U54" s="57">
        <v>44573</v>
      </c>
      <c r="V54" t="s">
        <v>4112</v>
      </c>
    </row>
    <row r="55" spans="1:22" x14ac:dyDescent="0.35">
      <c r="A55" t="s">
        <v>53</v>
      </c>
      <c r="B55" s="7" t="s">
        <v>882</v>
      </c>
    </row>
    <row r="56" spans="1:22" x14ac:dyDescent="0.35">
      <c r="A56" t="s">
        <v>54</v>
      </c>
      <c r="B56" s="7" t="s">
        <v>883</v>
      </c>
    </row>
    <row r="57" spans="1:22" x14ac:dyDescent="0.35">
      <c r="A57" t="s">
        <v>55</v>
      </c>
      <c r="B57" s="7" t="s">
        <v>884</v>
      </c>
    </row>
    <row r="58" spans="1:22" x14ac:dyDescent="0.35">
      <c r="A58" t="s">
        <v>56</v>
      </c>
      <c r="B58" s="7" t="s">
        <v>885</v>
      </c>
    </row>
    <row r="59" spans="1:22" x14ac:dyDescent="0.35">
      <c r="A59" t="s">
        <v>57</v>
      </c>
      <c r="B59" s="7" t="s">
        <v>886</v>
      </c>
    </row>
    <row r="60" spans="1:22" x14ac:dyDescent="0.35">
      <c r="A60" t="s">
        <v>58</v>
      </c>
      <c r="B60" s="7" t="s">
        <v>887</v>
      </c>
    </row>
    <row r="61" spans="1:22" x14ac:dyDescent="0.35">
      <c r="A61" t="s">
        <v>470</v>
      </c>
      <c r="B61" s="7" t="s">
        <v>1294</v>
      </c>
      <c r="C61">
        <v>0.05</v>
      </c>
      <c r="D61" t="s">
        <v>1688</v>
      </c>
      <c r="E61" t="s">
        <v>3480</v>
      </c>
      <c r="F61">
        <v>0.03</v>
      </c>
      <c r="G61" t="s">
        <v>1688</v>
      </c>
      <c r="H61" t="s">
        <v>3480</v>
      </c>
      <c r="U61" s="57">
        <v>44573</v>
      </c>
      <c r="V61" t="s">
        <v>4108</v>
      </c>
    </row>
    <row r="62" spans="1:22" x14ac:dyDescent="0.35">
      <c r="A62" t="s">
        <v>52</v>
      </c>
      <c r="B62" s="7" t="s">
        <v>881</v>
      </c>
      <c r="C62">
        <v>0.08</v>
      </c>
      <c r="D62" t="s">
        <v>3279</v>
      </c>
      <c r="E62" t="s">
        <v>3480</v>
      </c>
      <c r="F62">
        <v>0.01</v>
      </c>
      <c r="G62" t="s">
        <v>3273</v>
      </c>
      <c r="H62" t="s">
        <v>3480</v>
      </c>
      <c r="U62" s="57">
        <v>44573</v>
      </c>
      <c r="V62" t="s">
        <v>4108</v>
      </c>
    </row>
    <row r="63" spans="1:22" x14ac:dyDescent="0.35">
      <c r="A63" t="s">
        <v>61</v>
      </c>
      <c r="B63" s="7" t="s">
        <v>890</v>
      </c>
    </row>
    <row r="64" spans="1:22" x14ac:dyDescent="0.35">
      <c r="A64" t="s">
        <v>62</v>
      </c>
      <c r="B64" s="7" t="s">
        <v>891</v>
      </c>
    </row>
    <row r="65" spans="1:22" x14ac:dyDescent="0.35">
      <c r="A65" t="s">
        <v>63</v>
      </c>
      <c r="B65" s="7" t="s">
        <v>892</v>
      </c>
    </row>
    <row r="66" spans="1:22" x14ac:dyDescent="0.35">
      <c r="A66" t="s">
        <v>64</v>
      </c>
      <c r="B66" s="7" t="s">
        <v>893</v>
      </c>
    </row>
    <row r="67" spans="1:22" x14ac:dyDescent="0.35">
      <c r="A67" t="s">
        <v>65</v>
      </c>
      <c r="B67" s="7" t="s">
        <v>894</v>
      </c>
    </row>
    <row r="68" spans="1:22" x14ac:dyDescent="0.35">
      <c r="A68" t="s">
        <v>66</v>
      </c>
      <c r="B68" s="7" t="s">
        <v>895</v>
      </c>
    </row>
    <row r="69" spans="1:22" x14ac:dyDescent="0.35">
      <c r="A69" t="s">
        <v>67</v>
      </c>
      <c r="B69" s="7" t="s">
        <v>896</v>
      </c>
    </row>
    <row r="70" spans="1:22" x14ac:dyDescent="0.35">
      <c r="A70" t="s">
        <v>68</v>
      </c>
      <c r="B70" s="7" t="s">
        <v>897</v>
      </c>
    </row>
    <row r="71" spans="1:22" x14ac:dyDescent="0.35">
      <c r="A71" t="s">
        <v>69</v>
      </c>
      <c r="B71" s="7" t="s">
        <v>898</v>
      </c>
    </row>
    <row r="72" spans="1:22" x14ac:dyDescent="0.35">
      <c r="A72" t="s">
        <v>70</v>
      </c>
      <c r="B72" s="7" t="s">
        <v>899</v>
      </c>
    </row>
    <row r="73" spans="1:22" x14ac:dyDescent="0.35">
      <c r="A73" t="s">
        <v>71</v>
      </c>
      <c r="B73" s="7" t="s">
        <v>900</v>
      </c>
    </row>
    <row r="74" spans="1:22" x14ac:dyDescent="0.35">
      <c r="A74" t="s">
        <v>72</v>
      </c>
      <c r="B74" s="7" t="s">
        <v>901</v>
      </c>
    </row>
    <row r="75" spans="1:22" x14ac:dyDescent="0.35">
      <c r="A75" t="s">
        <v>73</v>
      </c>
      <c r="B75" s="7" t="s">
        <v>902</v>
      </c>
    </row>
    <row r="76" spans="1:22" x14ac:dyDescent="0.35">
      <c r="A76" t="s">
        <v>74</v>
      </c>
      <c r="B76" s="7" t="s">
        <v>903</v>
      </c>
    </row>
    <row r="77" spans="1:22" x14ac:dyDescent="0.35">
      <c r="A77" t="s">
        <v>233</v>
      </c>
      <c r="B77" s="7" t="s">
        <v>1060</v>
      </c>
      <c r="C77">
        <v>42</v>
      </c>
      <c r="D77" t="s">
        <v>3272</v>
      </c>
      <c r="E77" t="s">
        <v>3480</v>
      </c>
      <c r="F77">
        <v>4.7</v>
      </c>
      <c r="G77" t="s">
        <v>3272</v>
      </c>
      <c r="H77" t="s">
        <v>3480</v>
      </c>
      <c r="O77">
        <v>4.5999999999999996</v>
      </c>
      <c r="P77" t="s">
        <v>3287</v>
      </c>
      <c r="Q77" t="s">
        <v>3481</v>
      </c>
      <c r="R77">
        <v>2.2000000000000002</v>
      </c>
      <c r="S77" t="s">
        <v>3287</v>
      </c>
      <c r="T77" t="s">
        <v>3481</v>
      </c>
      <c r="U77" s="57">
        <v>44573</v>
      </c>
      <c r="V77" t="s">
        <v>4112</v>
      </c>
    </row>
    <row r="78" spans="1:22" x14ac:dyDescent="0.35">
      <c r="A78" t="s">
        <v>76</v>
      </c>
      <c r="B78" s="7" t="s">
        <v>905</v>
      </c>
    </row>
    <row r="79" spans="1:22" x14ac:dyDescent="0.35">
      <c r="A79" t="s">
        <v>77</v>
      </c>
      <c r="B79" s="7" t="s">
        <v>906</v>
      </c>
    </row>
    <row r="80" spans="1:22" x14ac:dyDescent="0.35">
      <c r="A80" t="s">
        <v>78</v>
      </c>
      <c r="B80" s="7" t="s">
        <v>907</v>
      </c>
    </row>
    <row r="81" spans="1:22" x14ac:dyDescent="0.35">
      <c r="A81" t="s">
        <v>79</v>
      </c>
      <c r="B81" s="7" t="s">
        <v>908</v>
      </c>
    </row>
    <row r="82" spans="1:22" x14ac:dyDescent="0.35">
      <c r="A82" t="s">
        <v>80</v>
      </c>
      <c r="B82" s="7" t="s">
        <v>909</v>
      </c>
    </row>
    <row r="83" spans="1:22" x14ac:dyDescent="0.35">
      <c r="A83" t="s">
        <v>81</v>
      </c>
      <c r="B83" s="7" t="s">
        <v>910</v>
      </c>
    </row>
    <row r="84" spans="1:22" x14ac:dyDescent="0.35">
      <c r="A84" t="s">
        <v>82</v>
      </c>
      <c r="B84" s="7" t="s">
        <v>911</v>
      </c>
    </row>
    <row r="85" spans="1:22" x14ac:dyDescent="0.35">
      <c r="A85" t="s">
        <v>83</v>
      </c>
      <c r="B85" s="7" t="s">
        <v>912</v>
      </c>
    </row>
    <row r="86" spans="1:22" x14ac:dyDescent="0.35">
      <c r="A86" t="s">
        <v>84</v>
      </c>
      <c r="B86" s="7" t="s">
        <v>913</v>
      </c>
    </row>
    <row r="87" spans="1:22" x14ac:dyDescent="0.35">
      <c r="A87" t="s">
        <v>85</v>
      </c>
      <c r="B87" s="7" t="s">
        <v>914</v>
      </c>
    </row>
    <row r="88" spans="1:22" x14ac:dyDescent="0.35">
      <c r="A88" t="s">
        <v>86</v>
      </c>
      <c r="B88" s="7" t="s">
        <v>915</v>
      </c>
    </row>
    <row r="89" spans="1:22" x14ac:dyDescent="0.35">
      <c r="A89" t="s">
        <v>87</v>
      </c>
      <c r="B89" s="7" t="s">
        <v>916</v>
      </c>
    </row>
    <row r="90" spans="1:22" x14ac:dyDescent="0.35">
      <c r="A90" t="s">
        <v>88</v>
      </c>
      <c r="B90" s="7" t="s">
        <v>917</v>
      </c>
    </row>
    <row r="91" spans="1:22" x14ac:dyDescent="0.35">
      <c r="A91" t="s">
        <v>89</v>
      </c>
      <c r="B91" s="7" t="s">
        <v>918</v>
      </c>
    </row>
    <row r="92" spans="1:22" x14ac:dyDescent="0.35">
      <c r="A92" t="s">
        <v>90</v>
      </c>
      <c r="B92" s="7" t="s">
        <v>919</v>
      </c>
    </row>
    <row r="93" spans="1:22" x14ac:dyDescent="0.35">
      <c r="A93" t="s">
        <v>91</v>
      </c>
      <c r="B93" s="7" t="s">
        <v>920</v>
      </c>
    </row>
    <row r="94" spans="1:22" x14ac:dyDescent="0.35">
      <c r="A94" t="s">
        <v>92</v>
      </c>
      <c r="B94" s="7" t="s">
        <v>921</v>
      </c>
    </row>
    <row r="95" spans="1:22" x14ac:dyDescent="0.35">
      <c r="A95" t="s">
        <v>93</v>
      </c>
      <c r="B95" s="7" t="s">
        <v>922</v>
      </c>
    </row>
    <row r="96" spans="1:22" x14ac:dyDescent="0.35">
      <c r="A96" t="s">
        <v>286</v>
      </c>
      <c r="B96" s="7" t="s">
        <v>1111</v>
      </c>
      <c r="C96">
        <v>0.54</v>
      </c>
      <c r="D96" t="s">
        <v>3272</v>
      </c>
      <c r="E96" t="s">
        <v>3480</v>
      </c>
      <c r="F96">
        <v>0.06</v>
      </c>
      <c r="G96" t="s">
        <v>3272</v>
      </c>
      <c r="H96" t="s">
        <v>3480</v>
      </c>
      <c r="O96">
        <v>2</v>
      </c>
      <c r="P96" t="s">
        <v>3287</v>
      </c>
      <c r="Q96" t="s">
        <v>3481</v>
      </c>
      <c r="R96">
        <v>0.96</v>
      </c>
      <c r="S96" t="s">
        <v>3287</v>
      </c>
      <c r="T96" t="s">
        <v>3481</v>
      </c>
      <c r="U96" s="57">
        <v>44573</v>
      </c>
      <c r="V96" t="s">
        <v>4112</v>
      </c>
    </row>
    <row r="97" spans="1:2" x14ac:dyDescent="0.35">
      <c r="A97" t="s">
        <v>95</v>
      </c>
      <c r="B97" s="7" t="s">
        <v>924</v>
      </c>
    </row>
    <row r="98" spans="1:2" x14ac:dyDescent="0.35">
      <c r="A98" t="s">
        <v>96</v>
      </c>
      <c r="B98" s="7" t="s">
        <v>925</v>
      </c>
    </row>
    <row r="99" spans="1:2" x14ac:dyDescent="0.35">
      <c r="A99" t="s">
        <v>97</v>
      </c>
      <c r="B99" s="7" t="s">
        <v>926</v>
      </c>
    </row>
    <row r="100" spans="1:2" x14ac:dyDescent="0.35">
      <c r="A100" t="s">
        <v>98</v>
      </c>
      <c r="B100" s="7" t="s">
        <v>927</v>
      </c>
    </row>
    <row r="101" spans="1:2" x14ac:dyDescent="0.35">
      <c r="A101" t="s">
        <v>99</v>
      </c>
      <c r="B101" s="7" t="s">
        <v>928</v>
      </c>
    </row>
    <row r="102" spans="1:2" x14ac:dyDescent="0.35">
      <c r="A102" t="s">
        <v>100</v>
      </c>
      <c r="B102" s="7" t="s">
        <v>929</v>
      </c>
    </row>
    <row r="103" spans="1:2" x14ac:dyDescent="0.35">
      <c r="A103" t="s">
        <v>101</v>
      </c>
      <c r="B103" s="7" t="s">
        <v>930</v>
      </c>
    </row>
    <row r="104" spans="1:2" x14ac:dyDescent="0.35">
      <c r="A104" t="s">
        <v>102</v>
      </c>
      <c r="B104" s="7" t="s">
        <v>931</v>
      </c>
    </row>
    <row r="105" spans="1:2" x14ac:dyDescent="0.35">
      <c r="A105" t="s">
        <v>103</v>
      </c>
      <c r="B105" s="7" t="s">
        <v>932</v>
      </c>
    </row>
    <row r="106" spans="1:2" x14ac:dyDescent="0.35">
      <c r="A106" t="s">
        <v>104</v>
      </c>
      <c r="B106" s="7" t="s">
        <v>933</v>
      </c>
    </row>
    <row r="107" spans="1:2" x14ac:dyDescent="0.35">
      <c r="A107" t="s">
        <v>105</v>
      </c>
      <c r="B107" s="7" t="s">
        <v>934</v>
      </c>
    </row>
    <row r="108" spans="1:2" x14ac:dyDescent="0.35">
      <c r="A108" t="s">
        <v>106</v>
      </c>
      <c r="B108" s="7" t="s">
        <v>935</v>
      </c>
    </row>
    <row r="109" spans="1:2" x14ac:dyDescent="0.35">
      <c r="A109" t="s">
        <v>107</v>
      </c>
      <c r="B109" s="7" t="s">
        <v>936</v>
      </c>
    </row>
    <row r="110" spans="1:2" x14ac:dyDescent="0.35">
      <c r="A110" t="s">
        <v>108</v>
      </c>
      <c r="B110" s="7" t="s">
        <v>937</v>
      </c>
    </row>
    <row r="111" spans="1:2" x14ac:dyDescent="0.35">
      <c r="A111" t="s">
        <v>109</v>
      </c>
      <c r="B111" s="7" t="s">
        <v>938</v>
      </c>
    </row>
    <row r="112" spans="1:2" x14ac:dyDescent="0.35">
      <c r="A112" t="s">
        <v>110</v>
      </c>
      <c r="B112" s="7" t="s">
        <v>939</v>
      </c>
    </row>
    <row r="113" spans="1:22" x14ac:dyDescent="0.35">
      <c r="A113" t="s">
        <v>111</v>
      </c>
      <c r="B113" s="7" t="s">
        <v>940</v>
      </c>
    </row>
    <row r="114" spans="1:22" x14ac:dyDescent="0.35">
      <c r="A114" t="s">
        <v>112</v>
      </c>
      <c r="B114" s="7" t="s">
        <v>941</v>
      </c>
    </row>
    <row r="115" spans="1:22" x14ac:dyDescent="0.35">
      <c r="A115" t="s">
        <v>113</v>
      </c>
      <c r="B115" s="7" t="s">
        <v>942</v>
      </c>
    </row>
    <row r="116" spans="1:22" x14ac:dyDescent="0.35">
      <c r="A116" t="s">
        <v>114</v>
      </c>
      <c r="B116" s="7" t="s">
        <v>943</v>
      </c>
    </row>
    <row r="117" spans="1:22" x14ac:dyDescent="0.35">
      <c r="A117" t="s">
        <v>451</v>
      </c>
      <c r="B117" s="7" t="s">
        <v>1275</v>
      </c>
      <c r="C117">
        <v>23</v>
      </c>
      <c r="D117" t="s">
        <v>3272</v>
      </c>
      <c r="E117" t="s">
        <v>3480</v>
      </c>
      <c r="F117">
        <v>2.6</v>
      </c>
      <c r="G117" t="s">
        <v>3272</v>
      </c>
      <c r="H117" t="s">
        <v>3480</v>
      </c>
      <c r="O117">
        <v>1.4</v>
      </c>
      <c r="P117" t="s">
        <v>3287</v>
      </c>
      <c r="Q117" t="s">
        <v>3481</v>
      </c>
      <c r="R117">
        <v>0.68</v>
      </c>
      <c r="S117" t="s">
        <v>3287</v>
      </c>
      <c r="T117" t="s">
        <v>3481</v>
      </c>
      <c r="U117" s="57">
        <v>44573</v>
      </c>
      <c r="V117" t="s">
        <v>4112</v>
      </c>
    </row>
    <row r="118" spans="1:22" x14ac:dyDescent="0.35">
      <c r="A118" t="s">
        <v>116</v>
      </c>
      <c r="B118" s="7" t="s">
        <v>945</v>
      </c>
    </row>
    <row r="119" spans="1:22" x14ac:dyDescent="0.35">
      <c r="A119" t="s">
        <v>117</v>
      </c>
      <c r="B119" s="7" t="s">
        <v>946</v>
      </c>
    </row>
    <row r="120" spans="1:22" x14ac:dyDescent="0.35">
      <c r="A120" t="s">
        <v>118</v>
      </c>
      <c r="B120" s="7" t="s">
        <v>947</v>
      </c>
    </row>
    <row r="121" spans="1:22" x14ac:dyDescent="0.35">
      <c r="A121" t="s">
        <v>119</v>
      </c>
      <c r="B121" s="7" t="s">
        <v>948</v>
      </c>
    </row>
    <row r="122" spans="1:22" x14ac:dyDescent="0.35">
      <c r="A122" t="s">
        <v>120</v>
      </c>
      <c r="B122" s="7" t="s">
        <v>949</v>
      </c>
    </row>
    <row r="123" spans="1:22" x14ac:dyDescent="0.35">
      <c r="A123" t="s">
        <v>121</v>
      </c>
      <c r="B123" s="7" t="s">
        <v>950</v>
      </c>
    </row>
    <row r="124" spans="1:22" x14ac:dyDescent="0.35">
      <c r="A124" t="s">
        <v>469</v>
      </c>
      <c r="B124" s="7" t="s">
        <v>1293</v>
      </c>
      <c r="C124">
        <v>0.19</v>
      </c>
      <c r="D124" t="s">
        <v>1688</v>
      </c>
      <c r="E124" t="s">
        <v>3480</v>
      </c>
      <c r="F124">
        <v>1.2E-2</v>
      </c>
      <c r="G124" t="s">
        <v>3277</v>
      </c>
      <c r="H124" t="s">
        <v>3481</v>
      </c>
      <c r="O124">
        <v>0.91</v>
      </c>
      <c r="P124" t="s">
        <v>3287</v>
      </c>
      <c r="Q124" t="s">
        <v>3481</v>
      </c>
      <c r="R124">
        <v>0.44</v>
      </c>
      <c r="S124" t="s">
        <v>3287</v>
      </c>
      <c r="T124" t="s">
        <v>3481</v>
      </c>
      <c r="U124" s="57">
        <v>44573</v>
      </c>
      <c r="V124" t="s">
        <v>4112</v>
      </c>
    </row>
    <row r="125" spans="1:22" x14ac:dyDescent="0.35">
      <c r="A125" t="s">
        <v>123</v>
      </c>
      <c r="B125" s="7" t="s">
        <v>952</v>
      </c>
    </row>
    <row r="126" spans="1:22" x14ac:dyDescent="0.35">
      <c r="A126" t="s">
        <v>124</v>
      </c>
      <c r="B126" s="7" t="s">
        <v>953</v>
      </c>
    </row>
    <row r="127" spans="1:22" x14ac:dyDescent="0.35">
      <c r="A127" t="s">
        <v>125</v>
      </c>
      <c r="B127" s="7" t="s">
        <v>954</v>
      </c>
    </row>
    <row r="128" spans="1:22" x14ac:dyDescent="0.35">
      <c r="A128" t="s">
        <v>126</v>
      </c>
      <c r="B128" s="7" t="s">
        <v>955</v>
      </c>
    </row>
    <row r="129" spans="1:22" x14ac:dyDescent="0.35">
      <c r="A129" t="s">
        <v>127</v>
      </c>
      <c r="B129" s="7" t="s">
        <v>956</v>
      </c>
    </row>
    <row r="130" spans="1:22" x14ac:dyDescent="0.35">
      <c r="A130" t="s">
        <v>128</v>
      </c>
      <c r="B130" s="7" t="s">
        <v>957</v>
      </c>
    </row>
    <row r="131" spans="1:22" x14ac:dyDescent="0.35">
      <c r="A131" t="s">
        <v>129</v>
      </c>
      <c r="B131" s="7" t="s">
        <v>958</v>
      </c>
    </row>
    <row r="132" spans="1:22" x14ac:dyDescent="0.35">
      <c r="A132" t="s">
        <v>130</v>
      </c>
      <c r="B132" s="7" t="s">
        <v>959</v>
      </c>
    </row>
    <row r="133" spans="1:22" x14ac:dyDescent="0.35">
      <c r="A133" t="s">
        <v>131</v>
      </c>
      <c r="B133" s="7" t="s">
        <v>960</v>
      </c>
    </row>
    <row r="134" spans="1:22" x14ac:dyDescent="0.35">
      <c r="A134" t="s">
        <v>132</v>
      </c>
      <c r="B134" s="7" t="s">
        <v>961</v>
      </c>
    </row>
    <row r="135" spans="1:22" x14ac:dyDescent="0.35">
      <c r="A135" t="s">
        <v>133</v>
      </c>
      <c r="B135" s="7" t="s">
        <v>962</v>
      </c>
    </row>
    <row r="136" spans="1:22" x14ac:dyDescent="0.35">
      <c r="A136" t="s">
        <v>134</v>
      </c>
      <c r="B136" s="7" t="s">
        <v>963</v>
      </c>
    </row>
    <row r="137" spans="1:22" x14ac:dyDescent="0.35">
      <c r="A137" t="s">
        <v>135</v>
      </c>
      <c r="B137" s="7" t="s">
        <v>964</v>
      </c>
    </row>
    <row r="138" spans="1:22" x14ac:dyDescent="0.35">
      <c r="A138" t="s">
        <v>136</v>
      </c>
      <c r="B138" s="7" t="s">
        <v>965</v>
      </c>
    </row>
    <row r="139" spans="1:22" x14ac:dyDescent="0.35">
      <c r="A139" t="s">
        <v>137</v>
      </c>
      <c r="B139" s="7" t="s">
        <v>966</v>
      </c>
    </row>
    <row r="140" spans="1:22" x14ac:dyDescent="0.35">
      <c r="A140" t="s">
        <v>449</v>
      </c>
      <c r="B140" s="7" t="s">
        <v>1273</v>
      </c>
      <c r="C140">
        <v>1.3</v>
      </c>
      <c r="D140" t="s">
        <v>3276</v>
      </c>
      <c r="E140" t="s">
        <v>3481</v>
      </c>
      <c r="F140">
        <v>0.06</v>
      </c>
      <c r="G140" t="s">
        <v>3277</v>
      </c>
      <c r="H140" t="s">
        <v>3481</v>
      </c>
      <c r="O140">
        <v>1.3</v>
      </c>
      <c r="P140" t="s">
        <v>3287</v>
      </c>
      <c r="Q140" t="s">
        <v>3481</v>
      </c>
      <c r="R140">
        <v>0.64</v>
      </c>
      <c r="S140" t="s">
        <v>3287</v>
      </c>
      <c r="T140" t="s">
        <v>3481</v>
      </c>
      <c r="U140" s="57">
        <v>44573</v>
      </c>
      <c r="V140" t="s">
        <v>4112</v>
      </c>
    </row>
    <row r="141" spans="1:22" x14ac:dyDescent="0.35">
      <c r="A141" s="4" t="s">
        <v>451</v>
      </c>
      <c r="B141" t="s">
        <v>1603</v>
      </c>
      <c r="C141">
        <v>23</v>
      </c>
      <c r="D141" t="s">
        <v>3272</v>
      </c>
      <c r="E141" t="s">
        <v>3480</v>
      </c>
      <c r="F141">
        <v>2.6</v>
      </c>
      <c r="G141" t="s">
        <v>3272</v>
      </c>
      <c r="H141" t="s">
        <v>3480</v>
      </c>
      <c r="O141">
        <v>1.4</v>
      </c>
      <c r="P141" t="s">
        <v>3287</v>
      </c>
      <c r="Q141" t="s">
        <v>3481</v>
      </c>
      <c r="R141">
        <v>0.68</v>
      </c>
      <c r="S141" t="s">
        <v>3287</v>
      </c>
      <c r="T141" t="s">
        <v>3481</v>
      </c>
      <c r="U141" s="57">
        <v>44573</v>
      </c>
      <c r="V141" t="s">
        <v>4112</v>
      </c>
    </row>
    <row r="142" spans="1:22" x14ac:dyDescent="0.35">
      <c r="A142" t="s">
        <v>32</v>
      </c>
      <c r="B142" s="7" t="s">
        <v>861</v>
      </c>
      <c r="C142">
        <v>26</v>
      </c>
      <c r="D142" t="s">
        <v>3272</v>
      </c>
      <c r="E142" t="s">
        <v>3480</v>
      </c>
      <c r="F142">
        <v>6.5</v>
      </c>
      <c r="G142" t="s">
        <v>3272</v>
      </c>
      <c r="H142" t="s">
        <v>3480</v>
      </c>
      <c r="I142">
        <v>202</v>
      </c>
      <c r="J142" t="s">
        <v>3284</v>
      </c>
      <c r="K142" t="s">
        <v>3481</v>
      </c>
      <c r="L142">
        <v>49</v>
      </c>
      <c r="M142" t="s">
        <v>3285</v>
      </c>
      <c r="N142" t="s">
        <v>3481</v>
      </c>
      <c r="U142" s="57">
        <v>44573</v>
      </c>
      <c r="V142" t="s">
        <v>4111</v>
      </c>
    </row>
    <row r="143" spans="1:22" x14ac:dyDescent="0.35">
      <c r="A143" t="s">
        <v>141</v>
      </c>
      <c r="B143" s="7" t="s">
        <v>970</v>
      </c>
    </row>
    <row r="144" spans="1:22" x14ac:dyDescent="0.35">
      <c r="A144" t="s">
        <v>122</v>
      </c>
      <c r="B144" s="7" t="s">
        <v>951</v>
      </c>
      <c r="C144">
        <v>1100</v>
      </c>
      <c r="D144" t="s">
        <v>3272</v>
      </c>
      <c r="E144" t="s">
        <v>3480</v>
      </c>
      <c r="F144">
        <v>230</v>
      </c>
      <c r="G144" t="s">
        <v>3272</v>
      </c>
      <c r="H144" t="s">
        <v>3480</v>
      </c>
      <c r="U144" s="57">
        <v>44573</v>
      </c>
      <c r="V144" t="s">
        <v>4108</v>
      </c>
    </row>
    <row r="145" spans="1:2" x14ac:dyDescent="0.35">
      <c r="A145" t="s">
        <v>143</v>
      </c>
      <c r="B145" s="7" t="s">
        <v>972</v>
      </c>
    </row>
    <row r="146" spans="1:2" x14ac:dyDescent="0.35">
      <c r="A146" t="s">
        <v>144</v>
      </c>
      <c r="B146" s="7" t="s">
        <v>973</v>
      </c>
    </row>
    <row r="147" spans="1:2" x14ac:dyDescent="0.35">
      <c r="A147" t="s">
        <v>145</v>
      </c>
      <c r="B147" s="7" t="s">
        <v>974</v>
      </c>
    </row>
    <row r="148" spans="1:2" x14ac:dyDescent="0.35">
      <c r="A148" t="s">
        <v>146</v>
      </c>
      <c r="B148" s="7" t="s">
        <v>975</v>
      </c>
    </row>
    <row r="149" spans="1:2" x14ac:dyDescent="0.35">
      <c r="A149" t="s">
        <v>147</v>
      </c>
      <c r="B149" s="7" t="s">
        <v>976</v>
      </c>
    </row>
    <row r="150" spans="1:2" x14ac:dyDescent="0.35">
      <c r="A150" t="s">
        <v>148</v>
      </c>
      <c r="B150" s="7" t="s">
        <v>977</v>
      </c>
    </row>
    <row r="151" spans="1:2" x14ac:dyDescent="0.35">
      <c r="A151" t="s">
        <v>149</v>
      </c>
      <c r="B151" s="7" t="s">
        <v>978</v>
      </c>
    </row>
    <row r="152" spans="1:2" x14ac:dyDescent="0.35">
      <c r="A152" t="s">
        <v>150</v>
      </c>
      <c r="B152" s="7" t="s">
        <v>979</v>
      </c>
    </row>
    <row r="153" spans="1:2" x14ac:dyDescent="0.35">
      <c r="A153" t="s">
        <v>151</v>
      </c>
      <c r="B153" s="7" t="s">
        <v>980</v>
      </c>
    </row>
    <row r="154" spans="1:2" x14ac:dyDescent="0.35">
      <c r="A154" t="s">
        <v>152</v>
      </c>
      <c r="B154" s="7" t="s">
        <v>981</v>
      </c>
    </row>
    <row r="155" spans="1:2" x14ac:dyDescent="0.35">
      <c r="A155" t="s">
        <v>153</v>
      </c>
      <c r="B155" s="7" t="s">
        <v>982</v>
      </c>
    </row>
    <row r="156" spans="1:2" x14ac:dyDescent="0.35">
      <c r="A156" t="s">
        <v>154</v>
      </c>
      <c r="B156" s="7" t="s">
        <v>983</v>
      </c>
    </row>
    <row r="157" spans="1:2" x14ac:dyDescent="0.35">
      <c r="A157" t="s">
        <v>155</v>
      </c>
      <c r="B157" s="7" t="s">
        <v>984</v>
      </c>
    </row>
    <row r="158" spans="1:2" x14ac:dyDescent="0.35">
      <c r="A158" t="s">
        <v>156</v>
      </c>
      <c r="B158" s="7" t="s">
        <v>985</v>
      </c>
    </row>
    <row r="159" spans="1:2" x14ac:dyDescent="0.35">
      <c r="A159" t="s">
        <v>157</v>
      </c>
      <c r="B159" s="7" t="s">
        <v>986</v>
      </c>
    </row>
    <row r="160" spans="1:2" x14ac:dyDescent="0.35">
      <c r="A160" t="s">
        <v>158</v>
      </c>
      <c r="B160" s="7" t="s">
        <v>987</v>
      </c>
    </row>
    <row r="161" spans="1:2" x14ac:dyDescent="0.35">
      <c r="A161" t="s">
        <v>159</v>
      </c>
      <c r="B161" s="7" t="s">
        <v>988</v>
      </c>
    </row>
    <row r="162" spans="1:2" x14ac:dyDescent="0.35">
      <c r="A162" t="s">
        <v>160</v>
      </c>
      <c r="B162" s="7" t="s">
        <v>989</v>
      </c>
    </row>
    <row r="163" spans="1:2" x14ac:dyDescent="0.35">
      <c r="A163" t="s">
        <v>161</v>
      </c>
      <c r="B163" s="7" t="s">
        <v>990</v>
      </c>
    </row>
    <row r="164" spans="1:2" x14ac:dyDescent="0.35">
      <c r="A164" t="s">
        <v>162</v>
      </c>
      <c r="B164" s="7" t="s">
        <v>991</v>
      </c>
    </row>
    <row r="165" spans="1:2" x14ac:dyDescent="0.35">
      <c r="A165" t="s">
        <v>163</v>
      </c>
      <c r="B165" s="7" t="s">
        <v>992</v>
      </c>
    </row>
    <row r="166" spans="1:2" x14ac:dyDescent="0.35">
      <c r="A166" t="s">
        <v>164</v>
      </c>
      <c r="B166" s="7" t="s">
        <v>993</v>
      </c>
    </row>
    <row r="167" spans="1:2" x14ac:dyDescent="0.35">
      <c r="A167" t="s">
        <v>165</v>
      </c>
      <c r="B167" s="7" t="s">
        <v>994</v>
      </c>
    </row>
    <row r="168" spans="1:2" x14ac:dyDescent="0.35">
      <c r="A168" t="s">
        <v>166</v>
      </c>
      <c r="B168" s="7" t="s">
        <v>995</v>
      </c>
    </row>
    <row r="169" spans="1:2" x14ac:dyDescent="0.35">
      <c r="A169" t="s">
        <v>167</v>
      </c>
      <c r="B169" s="7" t="s">
        <v>996</v>
      </c>
    </row>
    <row r="170" spans="1:2" x14ac:dyDescent="0.35">
      <c r="A170" t="s">
        <v>168</v>
      </c>
      <c r="B170" s="7" t="s">
        <v>997</v>
      </c>
    </row>
    <row r="171" spans="1:2" x14ac:dyDescent="0.35">
      <c r="A171" t="s">
        <v>169</v>
      </c>
      <c r="B171" s="7" t="s">
        <v>998</v>
      </c>
    </row>
    <row r="172" spans="1:2" x14ac:dyDescent="0.35">
      <c r="A172" t="s">
        <v>170</v>
      </c>
      <c r="B172" s="7" t="s">
        <v>999</v>
      </c>
    </row>
    <row r="173" spans="1:2" x14ac:dyDescent="0.35">
      <c r="A173" t="s">
        <v>171</v>
      </c>
      <c r="B173" s="7" t="s">
        <v>1000</v>
      </c>
    </row>
    <row r="174" spans="1:2" x14ac:dyDescent="0.35">
      <c r="A174" t="s">
        <v>172</v>
      </c>
      <c r="B174" s="7" t="s">
        <v>1001</v>
      </c>
    </row>
    <row r="175" spans="1:2" x14ac:dyDescent="0.35">
      <c r="A175" t="s">
        <v>173</v>
      </c>
      <c r="B175" s="7" t="s">
        <v>1002</v>
      </c>
    </row>
    <row r="176" spans="1:2" x14ac:dyDescent="0.35">
      <c r="A176" t="s">
        <v>174</v>
      </c>
      <c r="B176" s="7" t="s">
        <v>1003</v>
      </c>
    </row>
    <row r="177" spans="1:22" x14ac:dyDescent="0.35">
      <c r="A177" t="s">
        <v>764</v>
      </c>
      <c r="B177" s="7" t="s">
        <v>1588</v>
      </c>
      <c r="C177">
        <v>13</v>
      </c>
      <c r="D177" t="s">
        <v>3279</v>
      </c>
      <c r="E177" t="s">
        <v>3480</v>
      </c>
      <c r="F177">
        <v>16.5</v>
      </c>
      <c r="G177" t="s">
        <v>3279</v>
      </c>
      <c r="H177" t="s">
        <v>3480</v>
      </c>
      <c r="U177" s="57">
        <v>44573</v>
      </c>
      <c r="V177" t="s">
        <v>4108</v>
      </c>
    </row>
    <row r="178" spans="1:22" x14ac:dyDescent="0.35">
      <c r="A178" t="s">
        <v>176</v>
      </c>
      <c r="B178" s="7" t="s">
        <v>1005</v>
      </c>
    </row>
    <row r="179" spans="1:22" x14ac:dyDescent="0.35">
      <c r="A179" t="s">
        <v>177</v>
      </c>
      <c r="B179" s="7" t="s">
        <v>1006</v>
      </c>
    </row>
    <row r="180" spans="1:22" x14ac:dyDescent="0.35">
      <c r="A180" t="s">
        <v>178</v>
      </c>
      <c r="B180" s="7" t="s">
        <v>1007</v>
      </c>
    </row>
    <row r="181" spans="1:22" x14ac:dyDescent="0.35">
      <c r="A181" t="s">
        <v>179</v>
      </c>
      <c r="B181" s="7" t="s">
        <v>1008</v>
      </c>
    </row>
    <row r="182" spans="1:22" x14ac:dyDescent="0.35">
      <c r="A182" t="s">
        <v>180</v>
      </c>
      <c r="B182" s="7" t="s">
        <v>1009</v>
      </c>
    </row>
    <row r="183" spans="1:22" x14ac:dyDescent="0.35">
      <c r="A183" t="s">
        <v>181</v>
      </c>
      <c r="B183" s="7" t="s">
        <v>1010</v>
      </c>
    </row>
    <row r="184" spans="1:22" x14ac:dyDescent="0.35">
      <c r="A184" t="s">
        <v>182</v>
      </c>
      <c r="B184" s="7" t="s">
        <v>1011</v>
      </c>
    </row>
    <row r="185" spans="1:22" x14ac:dyDescent="0.35">
      <c r="A185" t="s">
        <v>183</v>
      </c>
      <c r="B185" s="7" t="s">
        <v>1012</v>
      </c>
    </row>
    <row r="186" spans="1:22" x14ac:dyDescent="0.35">
      <c r="A186" s="2" t="s">
        <v>184</v>
      </c>
    </row>
    <row r="187" spans="1:22" x14ac:dyDescent="0.35">
      <c r="A187" t="s">
        <v>185</v>
      </c>
      <c r="B187" s="7" t="s">
        <v>1013</v>
      </c>
    </row>
    <row r="188" spans="1:22" x14ac:dyDescent="0.35">
      <c r="A188" t="s">
        <v>186</v>
      </c>
      <c r="B188" s="7" t="s">
        <v>1014</v>
      </c>
    </row>
    <row r="189" spans="1:22" x14ac:dyDescent="0.35">
      <c r="A189" t="s">
        <v>187</v>
      </c>
      <c r="B189" s="7" t="s">
        <v>1015</v>
      </c>
    </row>
    <row r="190" spans="1:22" x14ac:dyDescent="0.35">
      <c r="A190" t="s">
        <v>188</v>
      </c>
      <c r="B190" s="7" t="s">
        <v>1016</v>
      </c>
    </row>
    <row r="191" spans="1:22" x14ac:dyDescent="0.35">
      <c r="A191" t="s">
        <v>189</v>
      </c>
      <c r="B191" s="7" t="s">
        <v>1017</v>
      </c>
    </row>
    <row r="192" spans="1:22" x14ac:dyDescent="0.35">
      <c r="A192" t="s">
        <v>175</v>
      </c>
      <c r="B192" s="7" t="s">
        <v>1004</v>
      </c>
      <c r="C192">
        <v>0.85</v>
      </c>
      <c r="D192" t="s">
        <v>3279</v>
      </c>
      <c r="E192" t="s">
        <v>3480</v>
      </c>
      <c r="F192">
        <v>0.2</v>
      </c>
      <c r="G192" t="s">
        <v>3280</v>
      </c>
      <c r="H192" t="s">
        <v>3480</v>
      </c>
      <c r="U192" s="57">
        <v>44573</v>
      </c>
      <c r="V192" t="s">
        <v>4108</v>
      </c>
    </row>
    <row r="193" spans="1:22" x14ac:dyDescent="0.35">
      <c r="A193" t="s">
        <v>50</v>
      </c>
      <c r="B193" s="7" t="s">
        <v>879</v>
      </c>
      <c r="C193">
        <v>36</v>
      </c>
      <c r="D193" t="s">
        <v>3278</v>
      </c>
      <c r="E193" t="s">
        <v>3480</v>
      </c>
      <c r="F193">
        <v>4</v>
      </c>
      <c r="G193" t="s">
        <v>3278</v>
      </c>
      <c r="H193" t="s">
        <v>3480</v>
      </c>
      <c r="U193" s="57">
        <v>44573</v>
      </c>
      <c r="V193" t="s">
        <v>4108</v>
      </c>
    </row>
    <row r="194" spans="1:22" x14ac:dyDescent="0.35">
      <c r="A194" t="s">
        <v>192</v>
      </c>
      <c r="B194" s="7" t="s">
        <v>1020</v>
      </c>
    </row>
    <row r="195" spans="1:22" x14ac:dyDescent="0.35">
      <c r="A195" t="s">
        <v>193</v>
      </c>
      <c r="B195" s="7" t="s">
        <v>1021</v>
      </c>
    </row>
    <row r="196" spans="1:22" x14ac:dyDescent="0.35">
      <c r="A196" t="s">
        <v>194</v>
      </c>
      <c r="B196" s="7" t="s">
        <v>1022</v>
      </c>
    </row>
    <row r="197" spans="1:22" x14ac:dyDescent="0.35">
      <c r="A197" t="s">
        <v>195</v>
      </c>
      <c r="B197" s="7" t="s">
        <v>1023</v>
      </c>
    </row>
    <row r="198" spans="1:22" x14ac:dyDescent="0.35">
      <c r="A198" t="s">
        <v>196</v>
      </c>
      <c r="B198" s="7" t="s">
        <v>1024</v>
      </c>
    </row>
    <row r="199" spans="1:22" x14ac:dyDescent="0.35">
      <c r="A199" t="s">
        <v>197</v>
      </c>
      <c r="B199" s="7" t="s">
        <v>1025</v>
      </c>
    </row>
    <row r="200" spans="1:22" x14ac:dyDescent="0.35">
      <c r="A200" t="s">
        <v>198</v>
      </c>
      <c r="B200" s="7" t="s">
        <v>1026</v>
      </c>
    </row>
    <row r="201" spans="1:22" x14ac:dyDescent="0.35">
      <c r="A201" t="s">
        <v>199</v>
      </c>
      <c r="B201" s="7" t="s">
        <v>1027</v>
      </c>
    </row>
    <row r="202" spans="1:22" x14ac:dyDescent="0.35">
      <c r="A202" t="s">
        <v>200</v>
      </c>
      <c r="B202" s="7" t="s">
        <v>1028</v>
      </c>
    </row>
    <row r="203" spans="1:22" x14ac:dyDescent="0.35">
      <c r="A203" t="s">
        <v>201</v>
      </c>
      <c r="B203" s="7" t="s">
        <v>1029</v>
      </c>
    </row>
    <row r="204" spans="1:22" x14ac:dyDescent="0.35">
      <c r="A204" t="s">
        <v>202</v>
      </c>
      <c r="B204" s="7" t="s">
        <v>1030</v>
      </c>
    </row>
    <row r="205" spans="1:22" x14ac:dyDescent="0.35">
      <c r="A205" s="2" t="s">
        <v>203</v>
      </c>
    </row>
    <row r="206" spans="1:22" x14ac:dyDescent="0.35">
      <c r="A206" t="s">
        <v>204</v>
      </c>
      <c r="B206" s="7" t="s">
        <v>1031</v>
      </c>
    </row>
    <row r="207" spans="1:22" x14ac:dyDescent="0.35">
      <c r="A207" t="s">
        <v>205</v>
      </c>
      <c r="B207" s="7" t="s">
        <v>1032</v>
      </c>
    </row>
    <row r="208" spans="1:22" x14ac:dyDescent="0.35">
      <c r="A208" t="s">
        <v>206</v>
      </c>
      <c r="B208" s="7" t="s">
        <v>1033</v>
      </c>
    </row>
    <row r="209" spans="1:22" x14ac:dyDescent="0.35">
      <c r="A209" t="s">
        <v>207</v>
      </c>
      <c r="B209" s="7" t="s">
        <v>1034</v>
      </c>
    </row>
    <row r="210" spans="1:22" x14ac:dyDescent="0.35">
      <c r="A210" t="s">
        <v>208</v>
      </c>
      <c r="B210" s="7" t="s">
        <v>1035</v>
      </c>
    </row>
    <row r="211" spans="1:22" x14ac:dyDescent="0.35">
      <c r="A211" t="s">
        <v>209</v>
      </c>
      <c r="B211" s="7" t="s">
        <v>1036</v>
      </c>
    </row>
    <row r="212" spans="1:22" x14ac:dyDescent="0.35">
      <c r="A212" t="s">
        <v>210</v>
      </c>
      <c r="B212" s="7" t="s">
        <v>1037</v>
      </c>
    </row>
    <row r="213" spans="1:22" x14ac:dyDescent="0.35">
      <c r="A213" t="s">
        <v>211</v>
      </c>
      <c r="B213" s="7" t="s">
        <v>1038</v>
      </c>
    </row>
    <row r="214" spans="1:22" x14ac:dyDescent="0.35">
      <c r="A214" t="s">
        <v>510</v>
      </c>
      <c r="B214" s="7" t="s">
        <v>1334</v>
      </c>
      <c r="C214">
        <v>1.1000000000000001</v>
      </c>
      <c r="D214" t="s">
        <v>3279</v>
      </c>
      <c r="E214" t="s">
        <v>3480</v>
      </c>
      <c r="F214">
        <v>0.75</v>
      </c>
      <c r="G214" t="s">
        <v>3279</v>
      </c>
      <c r="H214" t="s">
        <v>3480</v>
      </c>
      <c r="U214" s="57">
        <v>44573</v>
      </c>
      <c r="V214" t="s">
        <v>4108</v>
      </c>
    </row>
    <row r="215" spans="1:22" x14ac:dyDescent="0.35">
      <c r="A215" t="s">
        <v>213</v>
      </c>
      <c r="B215" s="7" t="s">
        <v>1040</v>
      </c>
    </row>
    <row r="216" spans="1:22" x14ac:dyDescent="0.35">
      <c r="A216" t="s">
        <v>214</v>
      </c>
      <c r="B216" s="7" t="s">
        <v>1041</v>
      </c>
    </row>
    <row r="217" spans="1:22" x14ac:dyDescent="0.35">
      <c r="A217" t="s">
        <v>215</v>
      </c>
      <c r="B217" s="7" t="s">
        <v>1042</v>
      </c>
    </row>
    <row r="218" spans="1:22" x14ac:dyDescent="0.35">
      <c r="A218" t="s">
        <v>216</v>
      </c>
      <c r="B218" s="7" t="s">
        <v>1043</v>
      </c>
      <c r="R218">
        <v>26</v>
      </c>
      <c r="S218" t="s">
        <v>2097</v>
      </c>
      <c r="T218" t="s">
        <v>3481</v>
      </c>
      <c r="U218" s="57">
        <v>44573</v>
      </c>
      <c r="V218" t="s">
        <v>4113</v>
      </c>
    </row>
    <row r="219" spans="1:22" x14ac:dyDescent="0.35">
      <c r="A219" t="s">
        <v>217</v>
      </c>
      <c r="B219" s="7" t="s">
        <v>1044</v>
      </c>
    </row>
    <row r="220" spans="1:22" x14ac:dyDescent="0.35">
      <c r="A220" t="s">
        <v>218</v>
      </c>
      <c r="B220" s="7" t="s">
        <v>1045</v>
      </c>
    </row>
    <row r="221" spans="1:22" x14ac:dyDescent="0.35">
      <c r="A221" t="s">
        <v>219</v>
      </c>
      <c r="B221" s="7" t="s">
        <v>1046</v>
      </c>
    </row>
    <row r="222" spans="1:22" x14ac:dyDescent="0.35">
      <c r="A222" t="s">
        <v>220</v>
      </c>
      <c r="B222" s="7" t="s">
        <v>1047</v>
      </c>
    </row>
    <row r="223" spans="1:22" x14ac:dyDescent="0.35">
      <c r="A223" t="s">
        <v>221</v>
      </c>
      <c r="B223" s="7" t="s">
        <v>1048</v>
      </c>
    </row>
    <row r="224" spans="1:22" x14ac:dyDescent="0.35">
      <c r="A224" t="s">
        <v>222</v>
      </c>
      <c r="B224" s="7" t="s">
        <v>1049</v>
      </c>
    </row>
    <row r="225" spans="1:22" x14ac:dyDescent="0.35">
      <c r="A225" t="s">
        <v>223</v>
      </c>
      <c r="B225" s="7" t="s">
        <v>1050</v>
      </c>
    </row>
    <row r="226" spans="1:22" x14ac:dyDescent="0.35">
      <c r="A226" t="s">
        <v>224</v>
      </c>
      <c r="B226" s="7" t="s">
        <v>1051</v>
      </c>
    </row>
    <row r="227" spans="1:22" x14ac:dyDescent="0.35">
      <c r="A227" t="s">
        <v>225</v>
      </c>
      <c r="B227" s="7" t="s">
        <v>1052</v>
      </c>
    </row>
    <row r="228" spans="1:22" x14ac:dyDescent="0.35">
      <c r="A228" t="s">
        <v>226</v>
      </c>
      <c r="B228" s="7" t="s">
        <v>1053</v>
      </c>
    </row>
    <row r="229" spans="1:22" x14ac:dyDescent="0.35">
      <c r="A229" t="s">
        <v>227</v>
      </c>
      <c r="B229" s="7" t="s">
        <v>1054</v>
      </c>
    </row>
    <row r="230" spans="1:22" x14ac:dyDescent="0.35">
      <c r="A230" t="s">
        <v>228</v>
      </c>
      <c r="B230" s="7" t="s">
        <v>1055</v>
      </c>
    </row>
    <row r="231" spans="1:22" x14ac:dyDescent="0.35">
      <c r="A231" t="s">
        <v>229</v>
      </c>
      <c r="B231" s="7" t="s">
        <v>1056</v>
      </c>
    </row>
    <row r="232" spans="1:22" x14ac:dyDescent="0.35">
      <c r="A232" t="s">
        <v>230</v>
      </c>
      <c r="B232" s="7" t="s">
        <v>1057</v>
      </c>
    </row>
    <row r="233" spans="1:22" x14ac:dyDescent="0.35">
      <c r="A233" t="s">
        <v>231</v>
      </c>
      <c r="B233" s="7" t="s">
        <v>1058</v>
      </c>
    </row>
    <row r="234" spans="1:22" x14ac:dyDescent="0.35">
      <c r="A234" t="s">
        <v>232</v>
      </c>
      <c r="B234" s="7" t="s">
        <v>1059</v>
      </c>
    </row>
    <row r="235" spans="1:22" x14ac:dyDescent="0.35">
      <c r="A235" t="s">
        <v>775</v>
      </c>
      <c r="B235" s="7" t="s">
        <v>1599</v>
      </c>
      <c r="C235">
        <v>1.8</v>
      </c>
      <c r="D235" t="s">
        <v>3279</v>
      </c>
      <c r="E235" t="s">
        <v>3480</v>
      </c>
      <c r="F235">
        <v>0.6</v>
      </c>
      <c r="G235" t="s">
        <v>3279</v>
      </c>
      <c r="H235" t="s">
        <v>3480</v>
      </c>
      <c r="U235" s="57">
        <v>44573</v>
      </c>
      <c r="V235" t="s">
        <v>4108</v>
      </c>
    </row>
    <row r="236" spans="1:22" x14ac:dyDescent="0.35">
      <c r="A236" t="s">
        <v>234</v>
      </c>
      <c r="B236" s="7" t="s">
        <v>1061</v>
      </c>
    </row>
    <row r="237" spans="1:22" x14ac:dyDescent="0.35">
      <c r="A237" t="s">
        <v>235</v>
      </c>
      <c r="B237" s="7" t="s">
        <v>1062</v>
      </c>
    </row>
    <row r="238" spans="1:22" x14ac:dyDescent="0.35">
      <c r="A238" t="s">
        <v>236</v>
      </c>
      <c r="B238" s="7" t="s">
        <v>1063</v>
      </c>
    </row>
    <row r="239" spans="1:22" x14ac:dyDescent="0.35">
      <c r="A239" t="s">
        <v>237</v>
      </c>
      <c r="B239" s="7" t="s">
        <v>897</v>
      </c>
    </row>
    <row r="240" spans="1:22" x14ac:dyDescent="0.35">
      <c r="A240" t="s">
        <v>238</v>
      </c>
      <c r="B240" s="7" t="s">
        <v>1064</v>
      </c>
    </row>
    <row r="241" spans="1:2" x14ac:dyDescent="0.35">
      <c r="A241" t="s">
        <v>239</v>
      </c>
      <c r="B241" s="7" t="s">
        <v>1065</v>
      </c>
    </row>
    <row r="242" spans="1:2" x14ac:dyDescent="0.35">
      <c r="A242" t="s">
        <v>240</v>
      </c>
      <c r="B242" s="7" t="s">
        <v>1066</v>
      </c>
    </row>
    <row r="243" spans="1:2" x14ac:dyDescent="0.35">
      <c r="A243" t="s">
        <v>241</v>
      </c>
      <c r="B243" s="7" t="s">
        <v>1067</v>
      </c>
    </row>
    <row r="244" spans="1:2" x14ac:dyDescent="0.35">
      <c r="A244" t="s">
        <v>242</v>
      </c>
      <c r="B244" s="7" t="s">
        <v>1068</v>
      </c>
    </row>
    <row r="245" spans="1:2" x14ac:dyDescent="0.35">
      <c r="A245" t="s">
        <v>243</v>
      </c>
      <c r="B245" s="7" t="s">
        <v>1069</v>
      </c>
    </row>
    <row r="246" spans="1:2" x14ac:dyDescent="0.35">
      <c r="A246" t="s">
        <v>244</v>
      </c>
      <c r="B246" s="7" t="s">
        <v>1070</v>
      </c>
    </row>
    <row r="247" spans="1:2" x14ac:dyDescent="0.35">
      <c r="A247" t="s">
        <v>245</v>
      </c>
      <c r="B247" s="7" t="s">
        <v>1071</v>
      </c>
    </row>
    <row r="248" spans="1:2" x14ac:dyDescent="0.35">
      <c r="A248" t="s">
        <v>246</v>
      </c>
      <c r="B248" s="7" t="s">
        <v>1072</v>
      </c>
    </row>
    <row r="249" spans="1:2" x14ac:dyDescent="0.35">
      <c r="A249" t="s">
        <v>247</v>
      </c>
      <c r="B249" s="7" t="s">
        <v>1073</v>
      </c>
    </row>
    <row r="250" spans="1:2" x14ac:dyDescent="0.35">
      <c r="A250" t="s">
        <v>248</v>
      </c>
      <c r="B250" s="7" t="s">
        <v>1074</v>
      </c>
    </row>
    <row r="251" spans="1:2" x14ac:dyDescent="0.35">
      <c r="A251" t="s">
        <v>249</v>
      </c>
      <c r="B251" s="7" t="s">
        <v>1075</v>
      </c>
    </row>
    <row r="252" spans="1:2" x14ac:dyDescent="0.35">
      <c r="A252" t="s">
        <v>250</v>
      </c>
      <c r="B252" s="7" t="s">
        <v>1076</v>
      </c>
    </row>
    <row r="253" spans="1:2" x14ac:dyDescent="0.35">
      <c r="A253" t="s">
        <v>251</v>
      </c>
      <c r="B253" s="7" t="s">
        <v>1077</v>
      </c>
    </row>
    <row r="254" spans="1:2" x14ac:dyDescent="0.35">
      <c r="A254" t="s">
        <v>252</v>
      </c>
      <c r="B254" s="7" t="s">
        <v>1078</v>
      </c>
    </row>
    <row r="255" spans="1:2" x14ac:dyDescent="0.35">
      <c r="A255" t="s">
        <v>253</v>
      </c>
      <c r="B255" s="7" t="s">
        <v>1079</v>
      </c>
    </row>
    <row r="256" spans="1:2" x14ac:dyDescent="0.35">
      <c r="A256" t="s">
        <v>254</v>
      </c>
      <c r="B256" s="7" t="s">
        <v>1080</v>
      </c>
    </row>
    <row r="257" spans="1:22" x14ac:dyDescent="0.35">
      <c r="A257" t="s">
        <v>379</v>
      </c>
      <c r="B257" s="7" t="s">
        <v>1203</v>
      </c>
      <c r="C257">
        <v>0.08</v>
      </c>
      <c r="D257" t="s">
        <v>3273</v>
      </c>
      <c r="E257" t="s">
        <v>3480</v>
      </c>
      <c r="F257">
        <v>0.04</v>
      </c>
      <c r="G257" t="s">
        <v>3273</v>
      </c>
      <c r="H257" t="s">
        <v>3480</v>
      </c>
      <c r="U257" s="57">
        <v>44573</v>
      </c>
      <c r="V257" t="s">
        <v>4108</v>
      </c>
    </row>
    <row r="258" spans="1:22" x14ac:dyDescent="0.35">
      <c r="A258" t="s">
        <v>256</v>
      </c>
      <c r="B258" s="7" t="s">
        <v>1082</v>
      </c>
    </row>
    <row r="259" spans="1:22" x14ac:dyDescent="0.35">
      <c r="A259" t="s">
        <v>257</v>
      </c>
      <c r="B259" s="7" t="s">
        <v>1083</v>
      </c>
    </row>
    <row r="260" spans="1:22" x14ac:dyDescent="0.35">
      <c r="A260" t="s">
        <v>258</v>
      </c>
      <c r="B260" s="7" t="s">
        <v>1084</v>
      </c>
    </row>
    <row r="261" spans="1:22" x14ac:dyDescent="0.35">
      <c r="A261" t="s">
        <v>259</v>
      </c>
      <c r="B261" s="7" t="s">
        <v>1085</v>
      </c>
    </row>
    <row r="262" spans="1:22" x14ac:dyDescent="0.35">
      <c r="A262" t="s">
        <v>260</v>
      </c>
      <c r="B262" s="7" t="s">
        <v>1086</v>
      </c>
    </row>
    <row r="263" spans="1:22" x14ac:dyDescent="0.35">
      <c r="A263" t="s">
        <v>261</v>
      </c>
      <c r="B263" s="7" t="s">
        <v>1087</v>
      </c>
    </row>
    <row r="264" spans="1:22" x14ac:dyDescent="0.35">
      <c r="A264" t="s">
        <v>435</v>
      </c>
      <c r="B264" s="7" t="s">
        <v>1259</v>
      </c>
      <c r="C264">
        <v>42</v>
      </c>
      <c r="D264" t="s">
        <v>3272</v>
      </c>
      <c r="E264" t="s">
        <v>3480</v>
      </c>
      <c r="F264">
        <v>4.7</v>
      </c>
      <c r="G264" t="s">
        <v>3272</v>
      </c>
      <c r="H264" t="s">
        <v>3480</v>
      </c>
      <c r="O264">
        <v>4.2</v>
      </c>
      <c r="P264" t="s">
        <v>3287</v>
      </c>
      <c r="Q264" t="s">
        <v>3481</v>
      </c>
      <c r="R264">
        <v>2</v>
      </c>
      <c r="S264" t="s">
        <v>3287</v>
      </c>
      <c r="T264" t="s">
        <v>3481</v>
      </c>
      <c r="U264" s="57">
        <v>44573</v>
      </c>
      <c r="V264" t="s">
        <v>4112</v>
      </c>
    </row>
    <row r="265" spans="1:22" x14ac:dyDescent="0.35">
      <c r="A265" t="s">
        <v>263</v>
      </c>
      <c r="B265" s="7" t="s">
        <v>1089</v>
      </c>
    </row>
    <row r="266" spans="1:22" x14ac:dyDescent="0.35">
      <c r="A266" t="s">
        <v>264</v>
      </c>
      <c r="B266" s="7" t="s">
        <v>1090</v>
      </c>
    </row>
    <row r="267" spans="1:22" x14ac:dyDescent="0.35">
      <c r="A267" t="s">
        <v>265</v>
      </c>
      <c r="B267" s="7" t="s">
        <v>1091</v>
      </c>
    </row>
    <row r="268" spans="1:22" x14ac:dyDescent="0.35">
      <c r="A268" t="s">
        <v>266</v>
      </c>
      <c r="B268" s="7" t="s">
        <v>1092</v>
      </c>
    </row>
    <row r="269" spans="1:22" x14ac:dyDescent="0.35">
      <c r="A269" t="s">
        <v>267</v>
      </c>
      <c r="B269" s="7" t="s">
        <v>1093</v>
      </c>
    </row>
    <row r="270" spans="1:22" x14ac:dyDescent="0.35">
      <c r="A270" t="s">
        <v>268</v>
      </c>
      <c r="B270" s="7" t="s">
        <v>1094</v>
      </c>
    </row>
    <row r="271" spans="1:22" x14ac:dyDescent="0.35">
      <c r="A271" t="s">
        <v>269</v>
      </c>
      <c r="B271" s="7" t="s">
        <v>1095</v>
      </c>
    </row>
    <row r="272" spans="1:22" x14ac:dyDescent="0.35">
      <c r="A272" t="s">
        <v>270</v>
      </c>
      <c r="B272" s="7" t="s">
        <v>1096</v>
      </c>
    </row>
    <row r="273" spans="1:22" x14ac:dyDescent="0.35">
      <c r="A273" t="s">
        <v>271</v>
      </c>
      <c r="B273" s="7" t="s">
        <v>1097</v>
      </c>
    </row>
    <row r="274" spans="1:22" x14ac:dyDescent="0.35">
      <c r="A274" t="s">
        <v>2</v>
      </c>
      <c r="B274" s="7" t="s">
        <v>831</v>
      </c>
      <c r="C274">
        <v>43</v>
      </c>
      <c r="D274" t="s">
        <v>3272</v>
      </c>
      <c r="E274" t="s">
        <v>3480</v>
      </c>
      <c r="F274">
        <v>4.8</v>
      </c>
      <c r="G274" t="s">
        <v>3272</v>
      </c>
      <c r="H274" t="s">
        <v>3480</v>
      </c>
      <c r="I274">
        <v>547</v>
      </c>
      <c r="J274" t="s">
        <v>3284</v>
      </c>
      <c r="K274" t="s">
        <v>3481</v>
      </c>
      <c r="L274">
        <v>98</v>
      </c>
      <c r="M274" t="s">
        <v>3285</v>
      </c>
      <c r="N274" t="s">
        <v>3481</v>
      </c>
      <c r="U274" s="57">
        <v>44573</v>
      </c>
      <c r="V274" t="s">
        <v>4110</v>
      </c>
    </row>
    <row r="275" spans="1:22" x14ac:dyDescent="0.35">
      <c r="A275" t="s">
        <v>273</v>
      </c>
      <c r="B275" s="7" t="s">
        <v>1099</v>
      </c>
    </row>
    <row r="276" spans="1:22" x14ac:dyDescent="0.35">
      <c r="A276" t="s">
        <v>274</v>
      </c>
      <c r="B276" s="7" t="s">
        <v>1100</v>
      </c>
    </row>
    <row r="277" spans="1:22" x14ac:dyDescent="0.35">
      <c r="A277" t="s">
        <v>275</v>
      </c>
      <c r="B277" s="7" t="s">
        <v>1101</v>
      </c>
    </row>
    <row r="278" spans="1:22" x14ac:dyDescent="0.35">
      <c r="A278" t="s">
        <v>276</v>
      </c>
      <c r="B278" s="7" t="s">
        <v>1102</v>
      </c>
    </row>
    <row r="279" spans="1:22" x14ac:dyDescent="0.35">
      <c r="A279" t="s">
        <v>277</v>
      </c>
      <c r="B279" s="7" t="s">
        <v>1103</v>
      </c>
    </row>
    <row r="280" spans="1:22" x14ac:dyDescent="0.35">
      <c r="A280" t="s">
        <v>278</v>
      </c>
      <c r="B280" s="7" t="s">
        <v>1104</v>
      </c>
    </row>
    <row r="281" spans="1:22" x14ac:dyDescent="0.35">
      <c r="A281" t="s">
        <v>279</v>
      </c>
      <c r="B281" s="7" t="s">
        <v>1105</v>
      </c>
    </row>
    <row r="282" spans="1:22" x14ac:dyDescent="0.35">
      <c r="A282" t="s">
        <v>280</v>
      </c>
      <c r="B282" s="7" t="s">
        <v>1106</v>
      </c>
    </row>
    <row r="283" spans="1:22" x14ac:dyDescent="0.35">
      <c r="A283" t="s">
        <v>281</v>
      </c>
      <c r="B283" s="7" t="s">
        <v>1107</v>
      </c>
    </row>
    <row r="284" spans="1:22" x14ac:dyDescent="0.35">
      <c r="A284" t="s">
        <v>282</v>
      </c>
      <c r="B284" s="7" t="s">
        <v>1108</v>
      </c>
    </row>
    <row r="285" spans="1:22" x14ac:dyDescent="0.35">
      <c r="A285" t="s">
        <v>283</v>
      </c>
      <c r="B285" s="7" t="s">
        <v>1109</v>
      </c>
    </row>
    <row r="286" spans="1:22" x14ac:dyDescent="0.35">
      <c r="A286" s="2" t="s">
        <v>284</v>
      </c>
    </row>
    <row r="287" spans="1:22" x14ac:dyDescent="0.35">
      <c r="A287" t="s">
        <v>285</v>
      </c>
      <c r="B287" s="7" t="s">
        <v>1110</v>
      </c>
    </row>
    <row r="288" spans="1:22" x14ac:dyDescent="0.35">
      <c r="A288" t="s">
        <v>436</v>
      </c>
      <c r="B288" s="7" t="s">
        <v>1260</v>
      </c>
      <c r="C288">
        <v>328</v>
      </c>
      <c r="D288" t="s">
        <v>3272</v>
      </c>
      <c r="E288" t="s">
        <v>3480</v>
      </c>
      <c r="F288">
        <v>18.2</v>
      </c>
      <c r="G288" t="s">
        <v>3272</v>
      </c>
      <c r="H288" t="s">
        <v>3480</v>
      </c>
      <c r="U288" s="57">
        <v>44573</v>
      </c>
      <c r="V288" t="s">
        <v>4108</v>
      </c>
    </row>
    <row r="289" spans="1:22" x14ac:dyDescent="0.35">
      <c r="A289" t="s">
        <v>579</v>
      </c>
      <c r="B289" s="7" t="s">
        <v>1403</v>
      </c>
      <c r="C289">
        <v>5.2</v>
      </c>
      <c r="D289" t="s">
        <v>3277</v>
      </c>
      <c r="E289" t="s">
        <v>3481</v>
      </c>
      <c r="F289">
        <v>0.1</v>
      </c>
      <c r="G289" t="s">
        <v>3273</v>
      </c>
      <c r="H289" t="s">
        <v>3480</v>
      </c>
      <c r="U289" s="57">
        <v>44573</v>
      </c>
      <c r="V289" t="s">
        <v>4108</v>
      </c>
    </row>
    <row r="290" spans="1:22" x14ac:dyDescent="0.35">
      <c r="A290" t="s">
        <v>288</v>
      </c>
      <c r="B290" s="7" t="s">
        <v>1113</v>
      </c>
    </row>
    <row r="291" spans="1:22" x14ac:dyDescent="0.35">
      <c r="A291" t="s">
        <v>289</v>
      </c>
      <c r="B291" s="7" t="s">
        <v>1114</v>
      </c>
    </row>
    <row r="292" spans="1:22" x14ac:dyDescent="0.35">
      <c r="A292" t="s">
        <v>290</v>
      </c>
      <c r="B292" s="7" t="s">
        <v>1115</v>
      </c>
    </row>
    <row r="293" spans="1:22" x14ac:dyDescent="0.35">
      <c r="A293" t="s">
        <v>291</v>
      </c>
      <c r="B293" s="7" t="s">
        <v>1116</v>
      </c>
    </row>
    <row r="294" spans="1:22" x14ac:dyDescent="0.35">
      <c r="A294" t="s">
        <v>292</v>
      </c>
      <c r="B294" s="7" t="s">
        <v>1117</v>
      </c>
    </row>
    <row r="295" spans="1:22" x14ac:dyDescent="0.35">
      <c r="A295" t="s">
        <v>293</v>
      </c>
      <c r="B295" s="7" t="s">
        <v>1118</v>
      </c>
    </row>
    <row r="296" spans="1:22" x14ac:dyDescent="0.35">
      <c r="A296" t="s">
        <v>294</v>
      </c>
      <c r="B296" s="7" t="s">
        <v>1119</v>
      </c>
    </row>
    <row r="297" spans="1:22" x14ac:dyDescent="0.35">
      <c r="A297" t="s">
        <v>295</v>
      </c>
      <c r="B297" s="7" t="s">
        <v>1120</v>
      </c>
    </row>
    <row r="298" spans="1:22" x14ac:dyDescent="0.35">
      <c r="A298" t="s">
        <v>296</v>
      </c>
      <c r="B298" s="7" t="s">
        <v>1121</v>
      </c>
    </row>
    <row r="299" spans="1:22" x14ac:dyDescent="0.35">
      <c r="A299" t="s">
        <v>297</v>
      </c>
      <c r="B299" s="7" t="s">
        <v>1122</v>
      </c>
    </row>
    <row r="300" spans="1:22" x14ac:dyDescent="0.35">
      <c r="A300" t="s">
        <v>298</v>
      </c>
      <c r="B300" s="7" t="s">
        <v>1123</v>
      </c>
    </row>
    <row r="301" spans="1:22" x14ac:dyDescent="0.35">
      <c r="A301" t="s">
        <v>299</v>
      </c>
      <c r="B301" s="7" t="s">
        <v>1124</v>
      </c>
    </row>
    <row r="302" spans="1:22" x14ac:dyDescent="0.35">
      <c r="A302" t="s">
        <v>300</v>
      </c>
      <c r="B302" s="7" t="s">
        <v>1125</v>
      </c>
    </row>
    <row r="303" spans="1:22" x14ac:dyDescent="0.35">
      <c r="A303" t="s">
        <v>301</v>
      </c>
      <c r="B303" s="7" t="s">
        <v>1126</v>
      </c>
    </row>
    <row r="304" spans="1:22" x14ac:dyDescent="0.35">
      <c r="A304" t="s">
        <v>302</v>
      </c>
      <c r="B304" s="7" t="s">
        <v>1127</v>
      </c>
    </row>
    <row r="305" spans="1:2" x14ac:dyDescent="0.35">
      <c r="A305" t="s">
        <v>303</v>
      </c>
      <c r="B305" s="7" t="s">
        <v>1128</v>
      </c>
    </row>
    <row r="306" spans="1:2" x14ac:dyDescent="0.35">
      <c r="A306" t="s">
        <v>304</v>
      </c>
      <c r="B306" s="7" t="s">
        <v>1129</v>
      </c>
    </row>
    <row r="307" spans="1:2" x14ac:dyDescent="0.35">
      <c r="A307" t="s">
        <v>305</v>
      </c>
      <c r="B307" s="7" t="s">
        <v>1130</v>
      </c>
    </row>
    <row r="308" spans="1:2" x14ac:dyDescent="0.35">
      <c r="A308" t="s">
        <v>306</v>
      </c>
      <c r="B308" s="7" t="s">
        <v>1131</v>
      </c>
    </row>
    <row r="309" spans="1:2" x14ac:dyDescent="0.35">
      <c r="A309" t="s">
        <v>307</v>
      </c>
      <c r="B309" s="7" t="s">
        <v>1132</v>
      </c>
    </row>
    <row r="310" spans="1:2" x14ac:dyDescent="0.35">
      <c r="A310" t="s">
        <v>308</v>
      </c>
      <c r="B310" s="7" t="s">
        <v>1133</v>
      </c>
    </row>
    <row r="311" spans="1:2" x14ac:dyDescent="0.35">
      <c r="A311" t="s">
        <v>309</v>
      </c>
      <c r="B311" s="7" t="s">
        <v>1134</v>
      </c>
    </row>
    <row r="312" spans="1:2" x14ac:dyDescent="0.35">
      <c r="A312" t="s">
        <v>310</v>
      </c>
      <c r="B312" s="7" t="s">
        <v>1135</v>
      </c>
    </row>
    <row r="313" spans="1:2" x14ac:dyDescent="0.35">
      <c r="A313" t="s">
        <v>311</v>
      </c>
      <c r="B313" s="7" t="s">
        <v>1136</v>
      </c>
    </row>
    <row r="314" spans="1:2" x14ac:dyDescent="0.35">
      <c r="A314" t="s">
        <v>312</v>
      </c>
      <c r="B314" s="7" t="s">
        <v>1137</v>
      </c>
    </row>
    <row r="315" spans="1:2" x14ac:dyDescent="0.35">
      <c r="A315" t="s">
        <v>313</v>
      </c>
      <c r="B315" s="7" t="s">
        <v>1138</v>
      </c>
    </row>
    <row r="316" spans="1:2" x14ac:dyDescent="0.35">
      <c r="A316" t="s">
        <v>314</v>
      </c>
      <c r="B316" s="7" t="s">
        <v>1139</v>
      </c>
    </row>
    <row r="317" spans="1:2" x14ac:dyDescent="0.35">
      <c r="A317" t="s">
        <v>315</v>
      </c>
      <c r="B317" s="7" t="s">
        <v>1140</v>
      </c>
    </row>
    <row r="318" spans="1:2" x14ac:dyDescent="0.35">
      <c r="A318" t="s">
        <v>316</v>
      </c>
      <c r="B318" s="7" t="s">
        <v>1141</v>
      </c>
    </row>
    <row r="319" spans="1:2" x14ac:dyDescent="0.35">
      <c r="A319" t="s">
        <v>317</v>
      </c>
      <c r="B319" s="7" t="s">
        <v>1142</v>
      </c>
    </row>
    <row r="320" spans="1:2" x14ac:dyDescent="0.35">
      <c r="A320" t="s">
        <v>318</v>
      </c>
      <c r="B320" s="7" t="s">
        <v>1143</v>
      </c>
    </row>
    <row r="321" spans="1:2" x14ac:dyDescent="0.35">
      <c r="A321" t="s">
        <v>319</v>
      </c>
      <c r="B321" s="7" t="s">
        <v>1144</v>
      </c>
    </row>
    <row r="322" spans="1:2" x14ac:dyDescent="0.35">
      <c r="A322" t="s">
        <v>320</v>
      </c>
      <c r="B322" s="7" t="s">
        <v>1145</v>
      </c>
    </row>
    <row r="323" spans="1:2" x14ac:dyDescent="0.35">
      <c r="A323" t="s">
        <v>321</v>
      </c>
      <c r="B323" s="7" t="s">
        <v>1146</v>
      </c>
    </row>
    <row r="324" spans="1:2" x14ac:dyDescent="0.35">
      <c r="A324" t="s">
        <v>322</v>
      </c>
      <c r="B324" s="7" t="s">
        <v>1147</v>
      </c>
    </row>
    <row r="325" spans="1:2" x14ac:dyDescent="0.35">
      <c r="A325" t="s">
        <v>323</v>
      </c>
      <c r="B325" s="7" t="s">
        <v>1148</v>
      </c>
    </row>
    <row r="326" spans="1:2" x14ac:dyDescent="0.35">
      <c r="A326" t="s">
        <v>324</v>
      </c>
      <c r="B326" s="7" t="s">
        <v>1149</v>
      </c>
    </row>
    <row r="327" spans="1:2" x14ac:dyDescent="0.35">
      <c r="A327" t="s">
        <v>325</v>
      </c>
      <c r="B327" s="7" t="s">
        <v>1150</v>
      </c>
    </row>
    <row r="328" spans="1:2" x14ac:dyDescent="0.35">
      <c r="A328" t="s">
        <v>326</v>
      </c>
      <c r="B328" s="7" t="s">
        <v>1151</v>
      </c>
    </row>
    <row r="329" spans="1:2" x14ac:dyDescent="0.35">
      <c r="A329" t="s">
        <v>327</v>
      </c>
      <c r="B329" s="7" t="s">
        <v>1152</v>
      </c>
    </row>
    <row r="330" spans="1:2" x14ac:dyDescent="0.35">
      <c r="A330" t="s">
        <v>328</v>
      </c>
      <c r="B330" s="7" t="s">
        <v>1153</v>
      </c>
    </row>
    <row r="331" spans="1:2" x14ac:dyDescent="0.35">
      <c r="A331" t="s">
        <v>329</v>
      </c>
      <c r="B331" s="7" t="s">
        <v>1154</v>
      </c>
    </row>
    <row r="332" spans="1:2" x14ac:dyDescent="0.35">
      <c r="A332" t="s">
        <v>330</v>
      </c>
      <c r="B332" s="7" t="s">
        <v>1155</v>
      </c>
    </row>
    <row r="333" spans="1:2" x14ac:dyDescent="0.35">
      <c r="A333" t="s">
        <v>331</v>
      </c>
      <c r="B333" s="7" t="s">
        <v>1156</v>
      </c>
    </row>
    <row r="334" spans="1:2" x14ac:dyDescent="0.35">
      <c r="A334" t="s">
        <v>332</v>
      </c>
      <c r="B334" s="7" t="s">
        <v>1157</v>
      </c>
    </row>
    <row r="335" spans="1:2" x14ac:dyDescent="0.35">
      <c r="A335" t="s">
        <v>333</v>
      </c>
      <c r="B335" s="7" t="s">
        <v>1158</v>
      </c>
    </row>
    <row r="336" spans="1:2" x14ac:dyDescent="0.35">
      <c r="A336" t="s">
        <v>334</v>
      </c>
      <c r="B336" s="7" t="s">
        <v>1159</v>
      </c>
    </row>
    <row r="337" spans="1:22" x14ac:dyDescent="0.35">
      <c r="A337" t="s">
        <v>335</v>
      </c>
      <c r="B337" s="7" t="s">
        <v>1160</v>
      </c>
    </row>
    <row r="338" spans="1:22" x14ac:dyDescent="0.35">
      <c r="A338" t="s">
        <v>336</v>
      </c>
      <c r="B338" s="7" t="s">
        <v>1161</v>
      </c>
    </row>
    <row r="339" spans="1:22" x14ac:dyDescent="0.35">
      <c r="A339" t="s">
        <v>337</v>
      </c>
      <c r="B339" s="7" t="s">
        <v>1161</v>
      </c>
    </row>
    <row r="340" spans="1:22" x14ac:dyDescent="0.35">
      <c r="A340" t="s">
        <v>338</v>
      </c>
      <c r="B340" s="7" t="s">
        <v>1162</v>
      </c>
    </row>
    <row r="341" spans="1:22" x14ac:dyDescent="0.35">
      <c r="A341" t="s">
        <v>339</v>
      </c>
      <c r="B341" s="7" t="s">
        <v>1163</v>
      </c>
    </row>
    <row r="342" spans="1:22" x14ac:dyDescent="0.35">
      <c r="A342" t="s">
        <v>340</v>
      </c>
      <c r="B342" s="7" t="s">
        <v>1164</v>
      </c>
    </row>
    <row r="343" spans="1:22" x14ac:dyDescent="0.35">
      <c r="A343" t="s">
        <v>341</v>
      </c>
      <c r="B343" s="7" t="s">
        <v>1165</v>
      </c>
    </row>
    <row r="344" spans="1:22" x14ac:dyDescent="0.35">
      <c r="A344" t="s">
        <v>342</v>
      </c>
      <c r="B344" s="7" t="s">
        <v>1166</v>
      </c>
    </row>
    <row r="345" spans="1:22" x14ac:dyDescent="0.35">
      <c r="A345" t="s">
        <v>343</v>
      </c>
      <c r="B345" s="7" t="s">
        <v>1167</v>
      </c>
    </row>
    <row r="346" spans="1:22" x14ac:dyDescent="0.35">
      <c r="A346" t="s">
        <v>344</v>
      </c>
      <c r="B346" s="7" t="s">
        <v>1168</v>
      </c>
    </row>
    <row r="347" spans="1:22" x14ac:dyDescent="0.35">
      <c r="A347" t="s">
        <v>345</v>
      </c>
      <c r="B347" s="7" t="s">
        <v>1169</v>
      </c>
    </row>
    <row r="348" spans="1:22" x14ac:dyDescent="0.35">
      <c r="A348" t="s">
        <v>346</v>
      </c>
      <c r="B348" s="7" t="s">
        <v>1170</v>
      </c>
    </row>
    <row r="349" spans="1:22" x14ac:dyDescent="0.35">
      <c r="A349" t="s">
        <v>347</v>
      </c>
      <c r="B349" s="7" t="s">
        <v>1171</v>
      </c>
    </row>
    <row r="350" spans="1:22" x14ac:dyDescent="0.35">
      <c r="A350" t="s">
        <v>348</v>
      </c>
      <c r="B350" s="7" t="s">
        <v>1172</v>
      </c>
    </row>
    <row r="351" spans="1:22" x14ac:dyDescent="0.35">
      <c r="A351" t="s">
        <v>606</v>
      </c>
      <c r="B351" s="7" t="s">
        <v>1430</v>
      </c>
      <c r="C351">
        <v>1100</v>
      </c>
      <c r="D351" t="s">
        <v>3272</v>
      </c>
      <c r="E351" t="s">
        <v>3480</v>
      </c>
      <c r="F351">
        <v>8</v>
      </c>
      <c r="G351" t="s">
        <v>3272</v>
      </c>
      <c r="H351" t="s">
        <v>3480</v>
      </c>
      <c r="U351" s="57">
        <v>44573</v>
      </c>
      <c r="V351" t="s">
        <v>4108</v>
      </c>
    </row>
    <row r="352" spans="1:22" x14ac:dyDescent="0.35">
      <c r="A352" t="s">
        <v>350</v>
      </c>
      <c r="B352" s="7" t="s">
        <v>1174</v>
      </c>
    </row>
    <row r="353" spans="1:22" x14ac:dyDescent="0.35">
      <c r="A353" t="s">
        <v>351</v>
      </c>
      <c r="B353" s="7" t="s">
        <v>1175</v>
      </c>
    </row>
    <row r="354" spans="1:22" x14ac:dyDescent="0.35">
      <c r="A354" t="s">
        <v>352</v>
      </c>
      <c r="B354" s="7" t="s">
        <v>1176</v>
      </c>
    </row>
    <row r="355" spans="1:22" x14ac:dyDescent="0.35">
      <c r="A355" t="s">
        <v>353</v>
      </c>
      <c r="B355" s="7" t="s">
        <v>1177</v>
      </c>
    </row>
    <row r="356" spans="1:22" x14ac:dyDescent="0.35">
      <c r="A356" t="s">
        <v>354</v>
      </c>
      <c r="B356" s="7" t="s">
        <v>1178</v>
      </c>
    </row>
    <row r="357" spans="1:22" x14ac:dyDescent="0.35">
      <c r="A357" t="s">
        <v>355</v>
      </c>
      <c r="B357" s="7" t="s">
        <v>1179</v>
      </c>
    </row>
    <row r="358" spans="1:22" x14ac:dyDescent="0.35">
      <c r="A358" t="s">
        <v>349</v>
      </c>
      <c r="B358" s="7" t="s">
        <v>1173</v>
      </c>
      <c r="C358">
        <v>0.17</v>
      </c>
      <c r="D358" t="s">
        <v>3273</v>
      </c>
      <c r="E358" t="s">
        <v>3480</v>
      </c>
      <c r="F358">
        <v>0.17</v>
      </c>
      <c r="G358" t="s">
        <v>3273</v>
      </c>
      <c r="H358" t="s">
        <v>3480</v>
      </c>
      <c r="U358" s="57">
        <v>44573</v>
      </c>
      <c r="V358" t="s">
        <v>4108</v>
      </c>
    </row>
    <row r="359" spans="1:22" x14ac:dyDescent="0.35">
      <c r="A359" t="s">
        <v>357</v>
      </c>
      <c r="B359" s="7" t="s">
        <v>1181</v>
      </c>
    </row>
    <row r="360" spans="1:22" x14ac:dyDescent="0.35">
      <c r="A360" t="s">
        <v>358</v>
      </c>
      <c r="B360" s="7" t="s">
        <v>1182</v>
      </c>
    </row>
    <row r="361" spans="1:22" x14ac:dyDescent="0.35">
      <c r="A361" t="s">
        <v>359</v>
      </c>
      <c r="B361" s="7" t="s">
        <v>1183</v>
      </c>
    </row>
    <row r="362" spans="1:22" x14ac:dyDescent="0.35">
      <c r="A362" t="s">
        <v>360</v>
      </c>
      <c r="B362" s="7" t="s">
        <v>1184</v>
      </c>
    </row>
    <row r="363" spans="1:22" x14ac:dyDescent="0.35">
      <c r="A363" t="s">
        <v>361</v>
      </c>
      <c r="B363" s="7" t="s">
        <v>1185</v>
      </c>
    </row>
    <row r="364" spans="1:22" x14ac:dyDescent="0.35">
      <c r="A364" t="s">
        <v>362</v>
      </c>
      <c r="B364" s="7" t="s">
        <v>1186</v>
      </c>
    </row>
    <row r="365" spans="1:22" x14ac:dyDescent="0.35">
      <c r="A365" t="s">
        <v>255</v>
      </c>
      <c r="B365" s="7" t="s">
        <v>1081</v>
      </c>
      <c r="C365">
        <v>0.28000000000000003</v>
      </c>
      <c r="D365" t="s">
        <v>3277</v>
      </c>
      <c r="E365" t="s">
        <v>3481</v>
      </c>
      <c r="F365">
        <v>1.2E-2</v>
      </c>
      <c r="G365" t="s">
        <v>3277</v>
      </c>
      <c r="H365" t="s">
        <v>3481</v>
      </c>
      <c r="O365">
        <v>0.59</v>
      </c>
      <c r="P365" t="s">
        <v>3287</v>
      </c>
      <c r="Q365" t="s">
        <v>3481</v>
      </c>
      <c r="R365">
        <v>0.28000000000000003</v>
      </c>
      <c r="S365" t="s">
        <v>3287</v>
      </c>
      <c r="T365" t="s">
        <v>3481</v>
      </c>
      <c r="U365" s="57">
        <v>44573</v>
      </c>
      <c r="V365" t="s">
        <v>4112</v>
      </c>
    </row>
    <row r="366" spans="1:22" x14ac:dyDescent="0.35">
      <c r="A366" t="s">
        <v>364</v>
      </c>
      <c r="B366" s="7" t="s">
        <v>1188</v>
      </c>
    </row>
    <row r="367" spans="1:22" x14ac:dyDescent="0.35">
      <c r="A367" t="s">
        <v>365</v>
      </c>
      <c r="B367" s="7" t="s">
        <v>1189</v>
      </c>
    </row>
    <row r="368" spans="1:22" x14ac:dyDescent="0.35">
      <c r="A368" t="s">
        <v>366</v>
      </c>
      <c r="B368" s="7" t="s">
        <v>1190</v>
      </c>
    </row>
    <row r="369" spans="1:22" x14ac:dyDescent="0.35">
      <c r="A369" t="s">
        <v>367</v>
      </c>
      <c r="B369" s="7" t="s">
        <v>1191</v>
      </c>
    </row>
    <row r="370" spans="1:22" x14ac:dyDescent="0.35">
      <c r="A370" t="s">
        <v>368</v>
      </c>
      <c r="B370" s="7" t="s">
        <v>1192</v>
      </c>
    </row>
    <row r="371" spans="1:22" x14ac:dyDescent="0.35">
      <c r="A371" t="s">
        <v>369</v>
      </c>
      <c r="B371" s="7" t="s">
        <v>1193</v>
      </c>
    </row>
    <row r="372" spans="1:22" x14ac:dyDescent="0.35">
      <c r="A372" t="s">
        <v>370</v>
      </c>
      <c r="B372" s="7" t="s">
        <v>1194</v>
      </c>
    </row>
    <row r="373" spans="1:22" x14ac:dyDescent="0.35">
      <c r="A373" t="s">
        <v>371</v>
      </c>
      <c r="B373" s="7" t="s">
        <v>1195</v>
      </c>
    </row>
    <row r="374" spans="1:22" x14ac:dyDescent="0.35">
      <c r="A374" t="s">
        <v>372</v>
      </c>
      <c r="B374" s="7" t="s">
        <v>1196</v>
      </c>
    </row>
    <row r="375" spans="1:22" x14ac:dyDescent="0.35">
      <c r="A375" t="s">
        <v>373</v>
      </c>
      <c r="B375" s="7" t="s">
        <v>1197</v>
      </c>
    </row>
    <row r="376" spans="1:22" x14ac:dyDescent="0.35">
      <c r="A376" t="s">
        <v>374</v>
      </c>
      <c r="B376" s="7" t="s">
        <v>1198</v>
      </c>
    </row>
    <row r="377" spans="1:22" x14ac:dyDescent="0.35">
      <c r="A377" t="s">
        <v>375</v>
      </c>
      <c r="B377" s="7" t="s">
        <v>1199</v>
      </c>
    </row>
    <row r="378" spans="1:22" x14ac:dyDescent="0.35">
      <c r="A378" t="s">
        <v>376</v>
      </c>
      <c r="B378" s="7" t="s">
        <v>1200</v>
      </c>
    </row>
    <row r="379" spans="1:22" x14ac:dyDescent="0.35">
      <c r="A379" t="s">
        <v>377</v>
      </c>
      <c r="B379" s="7" t="s">
        <v>1201</v>
      </c>
    </row>
    <row r="380" spans="1:22" x14ac:dyDescent="0.35">
      <c r="A380" t="s">
        <v>378</v>
      </c>
      <c r="B380" s="7" t="s">
        <v>1202</v>
      </c>
    </row>
    <row r="381" spans="1:22" x14ac:dyDescent="0.35">
      <c r="A381" s="4" t="s">
        <v>826</v>
      </c>
      <c r="B381" s="7" t="s">
        <v>1648</v>
      </c>
      <c r="C381">
        <v>36</v>
      </c>
      <c r="D381" t="s">
        <v>3272</v>
      </c>
      <c r="E381" t="s">
        <v>3480</v>
      </c>
      <c r="F381">
        <v>4</v>
      </c>
      <c r="G381" t="s">
        <v>3272</v>
      </c>
      <c r="H381" t="s">
        <v>3480</v>
      </c>
      <c r="I381">
        <v>242</v>
      </c>
      <c r="J381" t="s">
        <v>3284</v>
      </c>
      <c r="K381" t="s">
        <v>3481</v>
      </c>
      <c r="L381">
        <v>61</v>
      </c>
      <c r="M381" t="s">
        <v>3285</v>
      </c>
      <c r="N381" t="s">
        <v>3481</v>
      </c>
      <c r="U381" s="57">
        <v>44573</v>
      </c>
      <c r="V381" t="s">
        <v>4111</v>
      </c>
    </row>
    <row r="382" spans="1:22" x14ac:dyDescent="0.35">
      <c r="A382" t="s">
        <v>380</v>
      </c>
      <c r="B382" s="7" t="s">
        <v>1204</v>
      </c>
    </row>
    <row r="383" spans="1:22" x14ac:dyDescent="0.35">
      <c r="A383" t="s">
        <v>381</v>
      </c>
      <c r="B383" s="7" t="s">
        <v>1205</v>
      </c>
    </row>
    <row r="384" spans="1:22" x14ac:dyDescent="0.35">
      <c r="A384" t="s">
        <v>382</v>
      </c>
      <c r="B384" s="7" t="s">
        <v>1206</v>
      </c>
    </row>
    <row r="385" spans="1:2" x14ac:dyDescent="0.35">
      <c r="A385" t="s">
        <v>383</v>
      </c>
      <c r="B385" s="7" t="s">
        <v>1207</v>
      </c>
    </row>
    <row r="386" spans="1:2" x14ac:dyDescent="0.35">
      <c r="A386" t="s">
        <v>384</v>
      </c>
      <c r="B386" s="7" t="s">
        <v>1208</v>
      </c>
    </row>
    <row r="387" spans="1:2" x14ac:dyDescent="0.35">
      <c r="A387" t="s">
        <v>385</v>
      </c>
      <c r="B387" s="7" t="s">
        <v>1209</v>
      </c>
    </row>
    <row r="388" spans="1:2" x14ac:dyDescent="0.35">
      <c r="A388" t="s">
        <v>386</v>
      </c>
      <c r="B388" s="7" t="s">
        <v>1210</v>
      </c>
    </row>
    <row r="389" spans="1:2" x14ac:dyDescent="0.35">
      <c r="A389" t="s">
        <v>387</v>
      </c>
      <c r="B389" s="7" t="s">
        <v>1211</v>
      </c>
    </row>
    <row r="390" spans="1:2" x14ac:dyDescent="0.35">
      <c r="A390" t="s">
        <v>388</v>
      </c>
      <c r="B390" s="7" t="s">
        <v>1212</v>
      </c>
    </row>
    <row r="391" spans="1:2" x14ac:dyDescent="0.35">
      <c r="A391" t="s">
        <v>389</v>
      </c>
      <c r="B391" s="7" t="s">
        <v>1213</v>
      </c>
    </row>
    <row r="392" spans="1:2" x14ac:dyDescent="0.35">
      <c r="A392" t="s">
        <v>390</v>
      </c>
      <c r="B392" s="7" t="s">
        <v>1214</v>
      </c>
    </row>
    <row r="393" spans="1:2" x14ac:dyDescent="0.35">
      <c r="A393" t="s">
        <v>391</v>
      </c>
      <c r="B393" s="7" t="s">
        <v>1215</v>
      </c>
    </row>
    <row r="394" spans="1:2" x14ac:dyDescent="0.35">
      <c r="A394" t="s">
        <v>392</v>
      </c>
      <c r="B394" s="7" t="s">
        <v>1216</v>
      </c>
    </row>
    <row r="395" spans="1:2" x14ac:dyDescent="0.35">
      <c r="A395" t="s">
        <v>393</v>
      </c>
      <c r="B395" s="7" t="s">
        <v>1217</v>
      </c>
    </row>
    <row r="396" spans="1:2" x14ac:dyDescent="0.35">
      <c r="A396" t="s">
        <v>394</v>
      </c>
      <c r="B396" s="7" t="s">
        <v>1218</v>
      </c>
    </row>
    <row r="397" spans="1:2" x14ac:dyDescent="0.35">
      <c r="A397" t="s">
        <v>395</v>
      </c>
      <c r="B397" s="7" t="s">
        <v>1219</v>
      </c>
    </row>
    <row r="398" spans="1:2" x14ac:dyDescent="0.35">
      <c r="A398" t="s">
        <v>396</v>
      </c>
      <c r="B398" s="7" t="s">
        <v>1220</v>
      </c>
    </row>
    <row r="399" spans="1:2" x14ac:dyDescent="0.35">
      <c r="A399" t="s">
        <v>397</v>
      </c>
      <c r="B399" s="7" t="s">
        <v>1221</v>
      </c>
    </row>
    <row r="400" spans="1:2" x14ac:dyDescent="0.35">
      <c r="A400" t="s">
        <v>398</v>
      </c>
      <c r="B400" s="7" t="s">
        <v>1222</v>
      </c>
    </row>
    <row r="401" spans="1:2" x14ac:dyDescent="0.35">
      <c r="A401" t="s">
        <v>399</v>
      </c>
      <c r="B401" s="7" t="s">
        <v>1223</v>
      </c>
    </row>
    <row r="402" spans="1:2" x14ac:dyDescent="0.35">
      <c r="A402" t="s">
        <v>400</v>
      </c>
      <c r="B402" s="7" t="s">
        <v>1224</v>
      </c>
    </row>
    <row r="403" spans="1:2" x14ac:dyDescent="0.35">
      <c r="A403" t="s">
        <v>401</v>
      </c>
      <c r="B403" s="7" t="s">
        <v>1225</v>
      </c>
    </row>
    <row r="404" spans="1:2" x14ac:dyDescent="0.35">
      <c r="A404" t="s">
        <v>402</v>
      </c>
      <c r="B404" s="7" t="s">
        <v>1226</v>
      </c>
    </row>
    <row r="405" spans="1:2" x14ac:dyDescent="0.35">
      <c r="A405" t="s">
        <v>403</v>
      </c>
      <c r="B405" s="7" t="s">
        <v>1227</v>
      </c>
    </row>
    <row r="406" spans="1:2" x14ac:dyDescent="0.35">
      <c r="A406" t="s">
        <v>404</v>
      </c>
      <c r="B406" s="7" t="s">
        <v>1228</v>
      </c>
    </row>
    <row r="407" spans="1:2" x14ac:dyDescent="0.35">
      <c r="A407" t="s">
        <v>405</v>
      </c>
      <c r="B407" s="7" t="s">
        <v>1229</v>
      </c>
    </row>
    <row r="408" spans="1:2" x14ac:dyDescent="0.35">
      <c r="A408" t="s">
        <v>406</v>
      </c>
      <c r="B408" s="7" t="s">
        <v>1230</v>
      </c>
    </row>
    <row r="409" spans="1:2" x14ac:dyDescent="0.35">
      <c r="A409" t="s">
        <v>407</v>
      </c>
      <c r="B409" s="7" t="s">
        <v>1231</v>
      </c>
    </row>
    <row r="410" spans="1:2" x14ac:dyDescent="0.35">
      <c r="A410" s="3" t="s">
        <v>408</v>
      </c>
      <c r="B410" s="7" t="s">
        <v>1232</v>
      </c>
    </row>
    <row r="411" spans="1:2" x14ac:dyDescent="0.35">
      <c r="A411" t="s">
        <v>409</v>
      </c>
      <c r="B411" s="7" t="s">
        <v>1233</v>
      </c>
    </row>
    <row r="412" spans="1:2" x14ac:dyDescent="0.35">
      <c r="A412" t="s">
        <v>410</v>
      </c>
      <c r="B412" s="7" t="s">
        <v>1234</v>
      </c>
    </row>
    <row r="413" spans="1:2" x14ac:dyDescent="0.35">
      <c r="A413" t="s">
        <v>411</v>
      </c>
      <c r="B413" s="7" t="s">
        <v>1235</v>
      </c>
    </row>
    <row r="414" spans="1:2" x14ac:dyDescent="0.35">
      <c r="A414" t="s">
        <v>412</v>
      </c>
      <c r="B414" s="7" t="s">
        <v>1236</v>
      </c>
    </row>
    <row r="415" spans="1:2" x14ac:dyDescent="0.35">
      <c r="A415" t="s">
        <v>413</v>
      </c>
      <c r="B415" s="7" t="s">
        <v>1237</v>
      </c>
    </row>
    <row r="416" spans="1:2" x14ac:dyDescent="0.35">
      <c r="A416" t="s">
        <v>414</v>
      </c>
      <c r="B416" s="7" t="s">
        <v>1238</v>
      </c>
    </row>
    <row r="417" spans="1:22" x14ac:dyDescent="0.35">
      <c r="A417" t="s">
        <v>468</v>
      </c>
      <c r="B417" s="7" t="s">
        <v>1292</v>
      </c>
      <c r="C417">
        <v>61</v>
      </c>
      <c r="D417" t="s">
        <v>3279</v>
      </c>
      <c r="E417" t="s">
        <v>3480</v>
      </c>
      <c r="F417">
        <v>14.7</v>
      </c>
      <c r="G417" t="s">
        <v>3272</v>
      </c>
      <c r="H417" t="s">
        <v>3480</v>
      </c>
      <c r="U417" s="57">
        <v>44573</v>
      </c>
      <c r="V417" t="s">
        <v>4108</v>
      </c>
    </row>
    <row r="418" spans="1:22" x14ac:dyDescent="0.35">
      <c r="A418" t="s">
        <v>416</v>
      </c>
      <c r="B418" s="7" t="s">
        <v>1240</v>
      </c>
    </row>
    <row r="419" spans="1:22" x14ac:dyDescent="0.35">
      <c r="A419" t="s">
        <v>417</v>
      </c>
      <c r="B419" s="7" t="s">
        <v>1241</v>
      </c>
    </row>
    <row r="420" spans="1:22" x14ac:dyDescent="0.35">
      <c r="A420" t="s">
        <v>418</v>
      </c>
      <c r="B420" s="7" t="s">
        <v>1242</v>
      </c>
    </row>
    <row r="421" spans="1:22" x14ac:dyDescent="0.35">
      <c r="A421" t="s">
        <v>419</v>
      </c>
      <c r="B421" s="7" t="s">
        <v>1243</v>
      </c>
    </row>
    <row r="422" spans="1:22" x14ac:dyDescent="0.35">
      <c r="A422" t="s">
        <v>420</v>
      </c>
      <c r="B422" s="7" t="s">
        <v>1244</v>
      </c>
    </row>
    <row r="423" spans="1:22" x14ac:dyDescent="0.35">
      <c r="A423" t="s">
        <v>421</v>
      </c>
      <c r="B423" s="7" t="s">
        <v>1245</v>
      </c>
    </row>
    <row r="424" spans="1:22" x14ac:dyDescent="0.35">
      <c r="A424" t="s">
        <v>422</v>
      </c>
      <c r="B424" s="7" t="s">
        <v>1246</v>
      </c>
    </row>
    <row r="425" spans="1:22" x14ac:dyDescent="0.35">
      <c r="A425" t="s">
        <v>423</v>
      </c>
      <c r="B425" s="7" t="s">
        <v>1247</v>
      </c>
    </row>
    <row r="426" spans="1:22" x14ac:dyDescent="0.35">
      <c r="A426" t="s">
        <v>424</v>
      </c>
      <c r="B426" s="7" t="s">
        <v>1248</v>
      </c>
    </row>
    <row r="427" spans="1:22" x14ac:dyDescent="0.35">
      <c r="A427" t="s">
        <v>425</v>
      </c>
      <c r="B427" s="7" t="s">
        <v>1249</v>
      </c>
    </row>
    <row r="428" spans="1:22" x14ac:dyDescent="0.35">
      <c r="A428" t="s">
        <v>426</v>
      </c>
      <c r="B428" s="7" t="s">
        <v>1250</v>
      </c>
    </row>
    <row r="429" spans="1:22" x14ac:dyDescent="0.35">
      <c r="A429" t="s">
        <v>427</v>
      </c>
      <c r="B429" s="7" t="s">
        <v>1251</v>
      </c>
    </row>
    <row r="430" spans="1:22" x14ac:dyDescent="0.35">
      <c r="A430" t="s">
        <v>428</v>
      </c>
      <c r="B430" s="7" t="s">
        <v>1252</v>
      </c>
      <c r="R430">
        <v>10</v>
      </c>
      <c r="S430" t="s">
        <v>2097</v>
      </c>
      <c r="T430" t="s">
        <v>3481</v>
      </c>
      <c r="U430" s="57">
        <v>44573</v>
      </c>
      <c r="V430" t="s">
        <v>4114</v>
      </c>
    </row>
    <row r="431" spans="1:22" x14ac:dyDescent="0.35">
      <c r="A431" t="s">
        <v>429</v>
      </c>
      <c r="B431" s="7" t="s">
        <v>1253</v>
      </c>
    </row>
    <row r="432" spans="1:22" x14ac:dyDescent="0.35">
      <c r="A432" t="s">
        <v>430</v>
      </c>
      <c r="B432" s="7" t="s">
        <v>1254</v>
      </c>
    </row>
    <row r="433" spans="1:22" x14ac:dyDescent="0.35">
      <c r="A433" t="s">
        <v>431</v>
      </c>
      <c r="B433" s="7" t="s">
        <v>1255</v>
      </c>
    </row>
    <row r="434" spans="1:22" x14ac:dyDescent="0.35">
      <c r="A434" t="s">
        <v>432</v>
      </c>
      <c r="B434" s="7" t="s">
        <v>1256</v>
      </c>
    </row>
    <row r="435" spans="1:22" x14ac:dyDescent="0.35">
      <c r="A435" t="s">
        <v>433</v>
      </c>
      <c r="B435" s="7" t="s">
        <v>1257</v>
      </c>
    </row>
    <row r="436" spans="1:22" x14ac:dyDescent="0.35">
      <c r="A436" t="s">
        <v>434</v>
      </c>
      <c r="B436" s="7" t="s">
        <v>1258</v>
      </c>
    </row>
    <row r="437" spans="1:22" x14ac:dyDescent="0.35">
      <c r="A437" t="s">
        <v>287</v>
      </c>
      <c r="B437" s="7" t="s">
        <v>1112</v>
      </c>
      <c r="C437">
        <v>1.1000000000000001</v>
      </c>
      <c r="D437" t="s">
        <v>3273</v>
      </c>
      <c r="E437" t="s">
        <v>3480</v>
      </c>
      <c r="F437">
        <v>1E-3</v>
      </c>
      <c r="G437" t="s">
        <v>3273</v>
      </c>
      <c r="H437" t="s">
        <v>3480</v>
      </c>
      <c r="U437" s="57">
        <v>44573</v>
      </c>
      <c r="V437" t="s">
        <v>4108</v>
      </c>
    </row>
    <row r="438" spans="1:22" x14ac:dyDescent="0.35">
      <c r="A438" t="s">
        <v>190</v>
      </c>
      <c r="B438" s="7" t="s">
        <v>1018</v>
      </c>
      <c r="C438">
        <v>0.24</v>
      </c>
      <c r="D438" t="s">
        <v>3273</v>
      </c>
      <c r="E438" t="s">
        <v>3480</v>
      </c>
      <c r="F438">
        <v>0.06</v>
      </c>
      <c r="G438" t="s">
        <v>3273</v>
      </c>
      <c r="H438" t="s">
        <v>3480</v>
      </c>
      <c r="U438" s="57">
        <v>44573</v>
      </c>
      <c r="V438" t="s">
        <v>4108</v>
      </c>
    </row>
    <row r="439" spans="1:22" x14ac:dyDescent="0.35">
      <c r="A439" t="s">
        <v>437</v>
      </c>
      <c r="B439" s="7" t="s">
        <v>1261</v>
      </c>
    </row>
    <row r="440" spans="1:22" x14ac:dyDescent="0.35">
      <c r="A440" t="s">
        <v>438</v>
      </c>
      <c r="B440" s="7" t="s">
        <v>1262</v>
      </c>
    </row>
    <row r="441" spans="1:22" x14ac:dyDescent="0.35">
      <c r="A441" t="s">
        <v>439</v>
      </c>
      <c r="B441" s="7" t="s">
        <v>1263</v>
      </c>
    </row>
    <row r="442" spans="1:22" x14ac:dyDescent="0.35">
      <c r="A442" t="s">
        <v>440</v>
      </c>
      <c r="B442" s="7" t="s">
        <v>1264</v>
      </c>
    </row>
    <row r="443" spans="1:22" x14ac:dyDescent="0.35">
      <c r="A443" t="s">
        <v>441</v>
      </c>
      <c r="B443" s="7" t="s">
        <v>1265</v>
      </c>
    </row>
    <row r="444" spans="1:22" x14ac:dyDescent="0.35">
      <c r="A444" t="s">
        <v>442</v>
      </c>
      <c r="B444" s="7" t="s">
        <v>1266</v>
      </c>
    </row>
    <row r="445" spans="1:22" x14ac:dyDescent="0.35">
      <c r="A445" t="s">
        <v>443</v>
      </c>
      <c r="B445" s="7" t="s">
        <v>1267</v>
      </c>
    </row>
    <row r="446" spans="1:22" x14ac:dyDescent="0.35">
      <c r="A446" t="s">
        <v>444</v>
      </c>
      <c r="B446" s="7" t="s">
        <v>1268</v>
      </c>
    </row>
    <row r="447" spans="1:22" x14ac:dyDescent="0.35">
      <c r="A447" t="s">
        <v>445</v>
      </c>
      <c r="B447" s="7" t="s">
        <v>1269</v>
      </c>
    </row>
    <row r="448" spans="1:22" x14ac:dyDescent="0.35">
      <c r="A448" t="s">
        <v>60</v>
      </c>
      <c r="B448" s="7" t="s">
        <v>889</v>
      </c>
      <c r="C448">
        <v>980</v>
      </c>
      <c r="D448" t="s">
        <v>3272</v>
      </c>
      <c r="E448" t="s">
        <v>3480</v>
      </c>
      <c r="F448">
        <v>220</v>
      </c>
      <c r="G448" t="s">
        <v>3272</v>
      </c>
      <c r="H448" t="s">
        <v>3480</v>
      </c>
      <c r="I448">
        <v>4648</v>
      </c>
      <c r="J448" t="s">
        <v>3286</v>
      </c>
      <c r="K448" t="s">
        <v>3481</v>
      </c>
      <c r="L448">
        <v>819</v>
      </c>
      <c r="M448" t="s">
        <v>3285</v>
      </c>
      <c r="N448" t="s">
        <v>3481</v>
      </c>
      <c r="U448" s="57">
        <v>44573</v>
      </c>
      <c r="V448" t="s">
        <v>4111</v>
      </c>
    </row>
    <row r="449" spans="1:22" x14ac:dyDescent="0.35">
      <c r="A449" t="s">
        <v>447</v>
      </c>
      <c r="B449" s="7" t="s">
        <v>1271</v>
      </c>
    </row>
    <row r="450" spans="1:22" x14ac:dyDescent="0.35">
      <c r="A450" t="s">
        <v>448</v>
      </c>
      <c r="B450" s="7" t="s">
        <v>1272</v>
      </c>
    </row>
    <row r="451" spans="1:22" x14ac:dyDescent="0.35">
      <c r="A451" t="s">
        <v>191</v>
      </c>
      <c r="B451" s="7" t="s">
        <v>1019</v>
      </c>
      <c r="C451">
        <v>22</v>
      </c>
      <c r="D451" t="s">
        <v>3279</v>
      </c>
      <c r="E451" t="s">
        <v>3480</v>
      </c>
      <c r="F451">
        <v>0.5</v>
      </c>
      <c r="G451" t="s">
        <v>3279</v>
      </c>
      <c r="H451" t="s">
        <v>3480</v>
      </c>
      <c r="U451" s="57">
        <v>44573</v>
      </c>
      <c r="V451" t="s">
        <v>4108</v>
      </c>
    </row>
    <row r="452" spans="1:22" x14ac:dyDescent="0.35">
      <c r="A452" s="26" t="s">
        <v>3414</v>
      </c>
      <c r="B452" s="26" t="s">
        <v>3419</v>
      </c>
      <c r="C452" s="26">
        <v>4.8</v>
      </c>
      <c r="D452" s="26" t="s">
        <v>3443</v>
      </c>
      <c r="E452" s="26" t="s">
        <v>3480</v>
      </c>
      <c r="F452" s="26">
        <v>0.48</v>
      </c>
      <c r="G452" s="26" t="s">
        <v>3443</v>
      </c>
      <c r="H452" s="26" t="s">
        <v>3480</v>
      </c>
      <c r="I452" s="26"/>
      <c r="J452" s="26"/>
      <c r="K452" s="26"/>
      <c r="L452" s="26"/>
      <c r="M452" s="26"/>
      <c r="N452" s="26"/>
      <c r="O452" s="26"/>
      <c r="P452" s="26"/>
      <c r="Q452" s="26"/>
      <c r="R452" s="26"/>
      <c r="S452" s="26"/>
      <c r="T452" s="26"/>
      <c r="U452" s="48">
        <v>44573</v>
      </c>
      <c r="V452" t="s">
        <v>4108</v>
      </c>
    </row>
    <row r="453" spans="1:22" x14ac:dyDescent="0.35">
      <c r="A453" t="s">
        <v>643</v>
      </c>
      <c r="B453" s="7" t="s">
        <v>1467</v>
      </c>
      <c r="C453">
        <v>1.9</v>
      </c>
      <c r="D453" t="s">
        <v>3279</v>
      </c>
      <c r="E453" t="s">
        <v>3480</v>
      </c>
      <c r="F453">
        <v>0.06</v>
      </c>
      <c r="G453" t="s">
        <v>3283</v>
      </c>
      <c r="H453" t="s">
        <v>3480</v>
      </c>
      <c r="U453" s="57">
        <v>44573</v>
      </c>
      <c r="V453" t="s">
        <v>4108</v>
      </c>
    </row>
    <row r="454" spans="1:22" x14ac:dyDescent="0.35">
      <c r="A454" t="s">
        <v>452</v>
      </c>
      <c r="B454" s="7" t="s">
        <v>1276</v>
      </c>
    </row>
    <row r="455" spans="1:22" x14ac:dyDescent="0.35">
      <c r="A455" t="s">
        <v>453</v>
      </c>
      <c r="B455" s="7" t="s">
        <v>1277</v>
      </c>
    </row>
    <row r="456" spans="1:22" x14ac:dyDescent="0.35">
      <c r="A456" t="s">
        <v>454</v>
      </c>
      <c r="B456" s="7" t="s">
        <v>1278</v>
      </c>
    </row>
    <row r="457" spans="1:22" x14ac:dyDescent="0.35">
      <c r="A457" t="s">
        <v>455</v>
      </c>
      <c r="B457" s="7" t="s">
        <v>1279</v>
      </c>
    </row>
    <row r="458" spans="1:22" x14ac:dyDescent="0.35">
      <c r="A458" t="s">
        <v>456</v>
      </c>
      <c r="B458" s="7" t="s">
        <v>1280</v>
      </c>
    </row>
    <row r="459" spans="1:22" x14ac:dyDescent="0.35">
      <c r="A459" t="s">
        <v>457</v>
      </c>
      <c r="B459" s="7" t="s">
        <v>1281</v>
      </c>
    </row>
    <row r="460" spans="1:22" x14ac:dyDescent="0.35">
      <c r="A460" t="s">
        <v>458</v>
      </c>
      <c r="B460" s="7" t="s">
        <v>1282</v>
      </c>
    </row>
    <row r="461" spans="1:22" x14ac:dyDescent="0.35">
      <c r="A461" t="s">
        <v>459</v>
      </c>
      <c r="B461" s="7" t="s">
        <v>1283</v>
      </c>
      <c r="O461">
        <v>1.9</v>
      </c>
      <c r="P461" t="s">
        <v>3287</v>
      </c>
      <c r="Q461" t="s">
        <v>3481</v>
      </c>
      <c r="R461">
        <v>0.9</v>
      </c>
      <c r="S461" t="s">
        <v>3287</v>
      </c>
      <c r="T461" t="s">
        <v>3481</v>
      </c>
      <c r="U461" s="57">
        <v>44573</v>
      </c>
      <c r="V461" t="s">
        <v>4115</v>
      </c>
    </row>
    <row r="462" spans="1:22" x14ac:dyDescent="0.35">
      <c r="A462" t="s">
        <v>460</v>
      </c>
      <c r="B462" s="7" t="s">
        <v>1284</v>
      </c>
    </row>
    <row r="463" spans="1:22" x14ac:dyDescent="0.35">
      <c r="A463" t="s">
        <v>461</v>
      </c>
      <c r="B463" s="7" t="s">
        <v>1285</v>
      </c>
    </row>
    <row r="464" spans="1:22" x14ac:dyDescent="0.35">
      <c r="A464" t="s">
        <v>462</v>
      </c>
      <c r="B464" s="7" t="s">
        <v>1286</v>
      </c>
    </row>
    <row r="465" spans="1:22" x14ac:dyDescent="0.35">
      <c r="A465" t="s">
        <v>463</v>
      </c>
      <c r="B465" s="7" t="s">
        <v>1287</v>
      </c>
    </row>
    <row r="466" spans="1:22" x14ac:dyDescent="0.35">
      <c r="A466" t="s">
        <v>464</v>
      </c>
      <c r="B466" s="7" t="s">
        <v>1288</v>
      </c>
    </row>
    <row r="467" spans="1:22" x14ac:dyDescent="0.35">
      <c r="A467" t="s">
        <v>465</v>
      </c>
      <c r="B467" s="7" t="s">
        <v>1289</v>
      </c>
    </row>
    <row r="468" spans="1:22" x14ac:dyDescent="0.35">
      <c r="A468" t="s">
        <v>142</v>
      </c>
      <c r="B468" s="7" t="s">
        <v>971</v>
      </c>
      <c r="C468">
        <v>0.09</v>
      </c>
      <c r="D468" t="s">
        <v>3273</v>
      </c>
      <c r="E468" t="s">
        <v>3480</v>
      </c>
      <c r="F468">
        <v>0.04</v>
      </c>
      <c r="G468" t="s">
        <v>3273</v>
      </c>
      <c r="H468" t="s">
        <v>3480</v>
      </c>
      <c r="U468" s="57">
        <v>44573</v>
      </c>
      <c r="V468" t="s">
        <v>4108</v>
      </c>
    </row>
    <row r="469" spans="1:22" x14ac:dyDescent="0.35">
      <c r="A469" t="s">
        <v>467</v>
      </c>
      <c r="B469" s="7" t="s">
        <v>1291</v>
      </c>
      <c r="O469">
        <v>1.9</v>
      </c>
      <c r="P469" t="s">
        <v>3287</v>
      </c>
      <c r="Q469" t="s">
        <v>3481</v>
      </c>
      <c r="R469">
        <v>0.9</v>
      </c>
      <c r="S469" t="s">
        <v>3287</v>
      </c>
      <c r="T469" t="s">
        <v>3481</v>
      </c>
      <c r="U469" s="57">
        <v>44573</v>
      </c>
      <c r="V469" t="s">
        <v>4115</v>
      </c>
    </row>
    <row r="470" spans="1:22" x14ac:dyDescent="0.35">
      <c r="A470" t="s">
        <v>450</v>
      </c>
      <c r="B470" s="7" t="s">
        <v>1274</v>
      </c>
      <c r="C470">
        <v>3.7</v>
      </c>
      <c r="D470" t="s">
        <v>3272</v>
      </c>
      <c r="E470" t="s">
        <v>3480</v>
      </c>
      <c r="F470">
        <v>0.8</v>
      </c>
      <c r="G470" t="s">
        <v>3272</v>
      </c>
      <c r="H470" t="s">
        <v>3480</v>
      </c>
      <c r="O470">
        <v>15</v>
      </c>
      <c r="P470" t="s">
        <v>3287</v>
      </c>
      <c r="Q470" t="s">
        <v>3481</v>
      </c>
      <c r="R470">
        <v>7.1</v>
      </c>
      <c r="S470" t="s">
        <v>3287</v>
      </c>
      <c r="T470" t="s">
        <v>3481</v>
      </c>
      <c r="U470" s="57">
        <v>44573</v>
      </c>
      <c r="V470" t="s">
        <v>4112</v>
      </c>
    </row>
    <row r="471" spans="1:22" x14ac:dyDescent="0.35">
      <c r="A471" t="s">
        <v>51</v>
      </c>
      <c r="B471" s="7" t="s">
        <v>880</v>
      </c>
      <c r="C471">
        <v>110</v>
      </c>
      <c r="D471" t="s">
        <v>3272</v>
      </c>
      <c r="E471" t="s">
        <v>3480</v>
      </c>
      <c r="F471">
        <v>19</v>
      </c>
      <c r="G471" t="s">
        <v>3272</v>
      </c>
      <c r="H471" t="s">
        <v>3480</v>
      </c>
      <c r="O471">
        <v>82</v>
      </c>
      <c r="P471" t="s">
        <v>3287</v>
      </c>
      <c r="Q471" t="s">
        <v>3481</v>
      </c>
      <c r="R471">
        <v>39</v>
      </c>
      <c r="S471" t="s">
        <v>3287</v>
      </c>
      <c r="T471" t="s">
        <v>3481</v>
      </c>
      <c r="U471" s="57">
        <v>44573</v>
      </c>
      <c r="V471" t="s">
        <v>4112</v>
      </c>
    </row>
    <row r="472" spans="1:22" x14ac:dyDescent="0.35">
      <c r="A472" t="s">
        <v>115</v>
      </c>
      <c r="B472" s="7" t="s">
        <v>944</v>
      </c>
      <c r="C472">
        <v>0.5</v>
      </c>
      <c r="D472" t="s">
        <v>3273</v>
      </c>
      <c r="E472" t="s">
        <v>3480</v>
      </c>
      <c r="F472">
        <v>4.0000000000000001E-3</v>
      </c>
      <c r="G472" t="s">
        <v>3273</v>
      </c>
      <c r="H472" t="s">
        <v>3480</v>
      </c>
      <c r="U472" s="57">
        <v>44573</v>
      </c>
      <c r="V472" t="s">
        <v>4108</v>
      </c>
    </row>
    <row r="473" spans="1:22" x14ac:dyDescent="0.35">
      <c r="A473" t="s">
        <v>471</v>
      </c>
      <c r="B473" s="7" t="s">
        <v>1295</v>
      </c>
    </row>
    <row r="474" spans="1:22" x14ac:dyDescent="0.35">
      <c r="A474" t="s">
        <v>472</v>
      </c>
      <c r="B474" s="7" t="s">
        <v>1296</v>
      </c>
    </row>
    <row r="475" spans="1:22" x14ac:dyDescent="0.35">
      <c r="A475" t="s">
        <v>473</v>
      </c>
      <c r="B475" s="7" t="s">
        <v>1297</v>
      </c>
    </row>
    <row r="476" spans="1:22" x14ac:dyDescent="0.35">
      <c r="A476" t="s">
        <v>474</v>
      </c>
      <c r="B476" s="7" t="s">
        <v>1298</v>
      </c>
    </row>
    <row r="477" spans="1:22" x14ac:dyDescent="0.35">
      <c r="A477" t="s">
        <v>475</v>
      </c>
      <c r="B477" s="7" t="s">
        <v>1299</v>
      </c>
    </row>
    <row r="478" spans="1:22" x14ac:dyDescent="0.35">
      <c r="A478" t="s">
        <v>476</v>
      </c>
      <c r="B478" s="7" t="s">
        <v>1300</v>
      </c>
    </row>
    <row r="479" spans="1:22" x14ac:dyDescent="0.35">
      <c r="A479" t="s">
        <v>477</v>
      </c>
      <c r="B479" s="7" t="s">
        <v>1301</v>
      </c>
    </row>
    <row r="480" spans="1:22" x14ac:dyDescent="0.35">
      <c r="A480" t="s">
        <v>478</v>
      </c>
      <c r="B480" s="7" t="s">
        <v>1302</v>
      </c>
    </row>
    <row r="481" spans="1:2" x14ac:dyDescent="0.35">
      <c r="A481" t="s">
        <v>479</v>
      </c>
      <c r="B481" s="7" t="s">
        <v>1303</v>
      </c>
    </row>
    <row r="482" spans="1:2" x14ac:dyDescent="0.35">
      <c r="A482" t="s">
        <v>480</v>
      </c>
      <c r="B482" s="7" t="s">
        <v>1304</v>
      </c>
    </row>
    <row r="483" spans="1:2" x14ac:dyDescent="0.35">
      <c r="A483" t="s">
        <v>481</v>
      </c>
      <c r="B483" s="7" t="s">
        <v>1305</v>
      </c>
    </row>
    <row r="484" spans="1:2" x14ac:dyDescent="0.35">
      <c r="A484" t="s">
        <v>482</v>
      </c>
      <c r="B484" s="7" t="s">
        <v>1306</v>
      </c>
    </row>
    <row r="485" spans="1:2" x14ac:dyDescent="0.35">
      <c r="A485" s="2" t="s">
        <v>483</v>
      </c>
      <c r="B485" t="s">
        <v>1307</v>
      </c>
    </row>
    <row r="486" spans="1:2" x14ac:dyDescent="0.35">
      <c r="A486" t="s">
        <v>484</v>
      </c>
      <c r="B486" s="7" t="s">
        <v>1308</v>
      </c>
    </row>
    <row r="487" spans="1:2" x14ac:dyDescent="0.35">
      <c r="A487" t="s">
        <v>485</v>
      </c>
      <c r="B487" s="7" t="s">
        <v>1309</v>
      </c>
    </row>
    <row r="488" spans="1:2" x14ac:dyDescent="0.35">
      <c r="A488" t="s">
        <v>486</v>
      </c>
      <c r="B488" s="7" t="s">
        <v>1310</v>
      </c>
    </row>
    <row r="489" spans="1:2" x14ac:dyDescent="0.35">
      <c r="A489" t="s">
        <v>487</v>
      </c>
      <c r="B489" s="7" t="s">
        <v>1311</v>
      </c>
    </row>
    <row r="490" spans="1:2" x14ac:dyDescent="0.35">
      <c r="A490" t="s">
        <v>488</v>
      </c>
      <c r="B490" s="7" t="s">
        <v>1312</v>
      </c>
    </row>
    <row r="491" spans="1:2" x14ac:dyDescent="0.35">
      <c r="A491" t="s">
        <v>489</v>
      </c>
      <c r="B491" s="7" t="s">
        <v>1313</v>
      </c>
    </row>
    <row r="492" spans="1:2" x14ac:dyDescent="0.35">
      <c r="A492" t="s">
        <v>490</v>
      </c>
      <c r="B492" s="7" t="s">
        <v>1314</v>
      </c>
    </row>
    <row r="493" spans="1:2" x14ac:dyDescent="0.35">
      <c r="A493" t="s">
        <v>491</v>
      </c>
      <c r="B493" s="7" t="s">
        <v>1315</v>
      </c>
    </row>
    <row r="494" spans="1:2" x14ac:dyDescent="0.35">
      <c r="A494" t="s">
        <v>492</v>
      </c>
      <c r="B494" s="7" t="s">
        <v>1316</v>
      </c>
    </row>
    <row r="495" spans="1:2" x14ac:dyDescent="0.35">
      <c r="A495" t="s">
        <v>493</v>
      </c>
      <c r="B495" s="7" t="s">
        <v>1317</v>
      </c>
    </row>
    <row r="496" spans="1:2" x14ac:dyDescent="0.35">
      <c r="A496" t="s">
        <v>494</v>
      </c>
      <c r="B496" s="7" t="s">
        <v>1318</v>
      </c>
    </row>
    <row r="497" spans="1:22" x14ac:dyDescent="0.35">
      <c r="A497" t="s">
        <v>495</v>
      </c>
      <c r="B497" s="7" t="s">
        <v>1319</v>
      </c>
    </row>
    <row r="498" spans="1:22" x14ac:dyDescent="0.35">
      <c r="A498" t="s">
        <v>496</v>
      </c>
      <c r="B498" s="7" t="s">
        <v>1320</v>
      </c>
    </row>
    <row r="499" spans="1:22" x14ac:dyDescent="0.35">
      <c r="A499" t="s">
        <v>497</v>
      </c>
      <c r="B499" s="7" t="s">
        <v>1321</v>
      </c>
    </row>
    <row r="500" spans="1:22" x14ac:dyDescent="0.35">
      <c r="A500" t="s">
        <v>498</v>
      </c>
      <c r="B500" s="7" t="s">
        <v>1322</v>
      </c>
    </row>
    <row r="501" spans="1:22" x14ac:dyDescent="0.35">
      <c r="A501" s="2" t="s">
        <v>499</v>
      </c>
      <c r="B501" s="7" t="s">
        <v>1323</v>
      </c>
    </row>
    <row r="502" spans="1:22" x14ac:dyDescent="0.35">
      <c r="A502" t="s">
        <v>500</v>
      </c>
      <c r="B502" s="7" t="s">
        <v>1324</v>
      </c>
    </row>
    <row r="503" spans="1:22" x14ac:dyDescent="0.35">
      <c r="A503" t="s">
        <v>501</v>
      </c>
      <c r="B503" s="7" t="s">
        <v>1325</v>
      </c>
    </row>
    <row r="504" spans="1:22" x14ac:dyDescent="0.35">
      <c r="A504" t="s">
        <v>502</v>
      </c>
      <c r="B504" s="7" t="s">
        <v>1326</v>
      </c>
    </row>
    <row r="505" spans="1:22" x14ac:dyDescent="0.35">
      <c r="A505" t="s">
        <v>503</v>
      </c>
      <c r="B505" s="7" t="s">
        <v>1327</v>
      </c>
    </row>
    <row r="506" spans="1:22" x14ac:dyDescent="0.35">
      <c r="A506" t="s">
        <v>504</v>
      </c>
      <c r="B506" s="7" t="s">
        <v>1328</v>
      </c>
    </row>
    <row r="507" spans="1:22" x14ac:dyDescent="0.35">
      <c r="A507" t="s">
        <v>505</v>
      </c>
      <c r="B507" s="7" t="s">
        <v>1329</v>
      </c>
    </row>
    <row r="508" spans="1:22" x14ac:dyDescent="0.35">
      <c r="A508" t="s">
        <v>506</v>
      </c>
      <c r="B508" s="7" t="s">
        <v>1330</v>
      </c>
    </row>
    <row r="509" spans="1:22" x14ac:dyDescent="0.35">
      <c r="A509" t="s">
        <v>647</v>
      </c>
      <c r="B509" s="7" t="s">
        <v>1471</v>
      </c>
      <c r="C509">
        <v>0.5</v>
      </c>
      <c r="D509" t="s">
        <v>3273</v>
      </c>
      <c r="E509" t="s">
        <v>3480</v>
      </c>
      <c r="F509">
        <v>4.0000000000000001E-3</v>
      </c>
      <c r="G509" t="s">
        <v>3273</v>
      </c>
      <c r="H509" t="s">
        <v>3480</v>
      </c>
      <c r="U509" s="57">
        <v>44573</v>
      </c>
      <c r="V509" t="s">
        <v>4108</v>
      </c>
    </row>
    <row r="510" spans="1:22" x14ac:dyDescent="0.35">
      <c r="A510" t="s">
        <v>508</v>
      </c>
      <c r="B510" s="7" t="s">
        <v>1332</v>
      </c>
    </row>
    <row r="511" spans="1:22" x14ac:dyDescent="0.35">
      <c r="A511" t="s">
        <v>509</v>
      </c>
      <c r="B511" s="7" t="s">
        <v>1333</v>
      </c>
    </row>
    <row r="512" spans="1:22" x14ac:dyDescent="0.35">
      <c r="A512" t="s">
        <v>605</v>
      </c>
      <c r="B512" s="7" t="s">
        <v>1429</v>
      </c>
      <c r="C512">
        <v>2.8</v>
      </c>
      <c r="D512" t="s">
        <v>1688</v>
      </c>
      <c r="E512" t="s">
        <v>3480</v>
      </c>
      <c r="F512">
        <v>0.15</v>
      </c>
      <c r="G512" t="s">
        <v>3277</v>
      </c>
      <c r="H512" t="s">
        <v>3481</v>
      </c>
      <c r="U512" s="57">
        <v>44573</v>
      </c>
      <c r="V512" t="s">
        <v>4108</v>
      </c>
    </row>
    <row r="513" spans="1:2" x14ac:dyDescent="0.35">
      <c r="A513" t="s">
        <v>511</v>
      </c>
      <c r="B513" s="7" t="s">
        <v>1335</v>
      </c>
    </row>
    <row r="514" spans="1:2" x14ac:dyDescent="0.35">
      <c r="A514" t="s">
        <v>512</v>
      </c>
      <c r="B514" s="7" t="s">
        <v>1336</v>
      </c>
    </row>
    <row r="515" spans="1:2" x14ac:dyDescent="0.35">
      <c r="A515" t="s">
        <v>513</v>
      </c>
      <c r="B515" s="7" t="s">
        <v>1337</v>
      </c>
    </row>
    <row r="516" spans="1:2" x14ac:dyDescent="0.35">
      <c r="A516" t="s">
        <v>514</v>
      </c>
      <c r="B516" s="7" t="s">
        <v>1338</v>
      </c>
    </row>
    <row r="517" spans="1:2" x14ac:dyDescent="0.35">
      <c r="A517" t="s">
        <v>515</v>
      </c>
      <c r="B517" s="7" t="s">
        <v>1339</v>
      </c>
    </row>
    <row r="518" spans="1:2" x14ac:dyDescent="0.35">
      <c r="A518" t="s">
        <v>516</v>
      </c>
      <c r="B518" s="7" t="s">
        <v>1340</v>
      </c>
    </row>
    <row r="519" spans="1:2" x14ac:dyDescent="0.35">
      <c r="A519" t="s">
        <v>517</v>
      </c>
      <c r="B519" s="7" t="s">
        <v>1341</v>
      </c>
    </row>
    <row r="520" spans="1:2" x14ac:dyDescent="0.35">
      <c r="A520" t="s">
        <v>518</v>
      </c>
      <c r="B520" s="7" t="s">
        <v>1342</v>
      </c>
    </row>
    <row r="521" spans="1:2" x14ac:dyDescent="0.35">
      <c r="A521" t="s">
        <v>519</v>
      </c>
      <c r="B521" s="7" t="s">
        <v>1343</v>
      </c>
    </row>
    <row r="522" spans="1:2" x14ac:dyDescent="0.35">
      <c r="A522" t="s">
        <v>520</v>
      </c>
      <c r="B522" s="7" t="s">
        <v>1344</v>
      </c>
    </row>
    <row r="523" spans="1:2" x14ac:dyDescent="0.35">
      <c r="A523" t="s">
        <v>521</v>
      </c>
      <c r="B523" s="7" t="s">
        <v>1345</v>
      </c>
    </row>
    <row r="524" spans="1:2" x14ac:dyDescent="0.35">
      <c r="A524" t="s">
        <v>522</v>
      </c>
      <c r="B524" s="7" t="s">
        <v>1346</v>
      </c>
    </row>
    <row r="525" spans="1:2" x14ac:dyDescent="0.35">
      <c r="A525" t="s">
        <v>523</v>
      </c>
      <c r="B525" s="7" t="s">
        <v>1347</v>
      </c>
    </row>
    <row r="526" spans="1:2" x14ac:dyDescent="0.35">
      <c r="A526" t="s">
        <v>524</v>
      </c>
      <c r="B526" s="7" t="s">
        <v>1348</v>
      </c>
    </row>
    <row r="527" spans="1:2" x14ac:dyDescent="0.35">
      <c r="A527" t="s">
        <v>525</v>
      </c>
      <c r="B527" s="7" t="s">
        <v>1349</v>
      </c>
    </row>
    <row r="528" spans="1:2" x14ac:dyDescent="0.35">
      <c r="A528" t="s">
        <v>526</v>
      </c>
      <c r="B528" s="7" t="s">
        <v>1350</v>
      </c>
    </row>
    <row r="529" spans="1:2" x14ac:dyDescent="0.35">
      <c r="A529" t="s">
        <v>527</v>
      </c>
      <c r="B529" s="7" t="s">
        <v>1351</v>
      </c>
    </row>
    <row r="530" spans="1:2" x14ac:dyDescent="0.35">
      <c r="A530" t="s">
        <v>528</v>
      </c>
      <c r="B530" s="7" t="s">
        <v>1352</v>
      </c>
    </row>
    <row r="531" spans="1:2" x14ac:dyDescent="0.35">
      <c r="A531" t="s">
        <v>529</v>
      </c>
      <c r="B531" s="7" t="s">
        <v>1353</v>
      </c>
    </row>
    <row r="532" spans="1:2" x14ac:dyDescent="0.35">
      <c r="A532" t="s">
        <v>530</v>
      </c>
      <c r="B532" s="7" t="s">
        <v>1354</v>
      </c>
    </row>
    <row r="533" spans="1:2" x14ac:dyDescent="0.35">
      <c r="A533" t="s">
        <v>531</v>
      </c>
      <c r="B533" s="7" t="s">
        <v>1355</v>
      </c>
    </row>
    <row r="534" spans="1:2" x14ac:dyDescent="0.35">
      <c r="A534" t="s">
        <v>532</v>
      </c>
      <c r="B534" s="7" t="s">
        <v>1356</v>
      </c>
    </row>
    <row r="535" spans="1:2" x14ac:dyDescent="0.35">
      <c r="A535" t="s">
        <v>533</v>
      </c>
      <c r="B535" s="7" t="s">
        <v>1357</v>
      </c>
    </row>
    <row r="536" spans="1:2" x14ac:dyDescent="0.35">
      <c r="A536" t="s">
        <v>534</v>
      </c>
      <c r="B536" s="7" t="s">
        <v>1358</v>
      </c>
    </row>
    <row r="537" spans="1:2" x14ac:dyDescent="0.35">
      <c r="A537" t="s">
        <v>535</v>
      </c>
      <c r="B537" s="7" t="s">
        <v>1359</v>
      </c>
    </row>
    <row r="538" spans="1:2" x14ac:dyDescent="0.35">
      <c r="A538" t="s">
        <v>536</v>
      </c>
      <c r="B538" s="7" t="s">
        <v>1360</v>
      </c>
    </row>
    <row r="539" spans="1:2" x14ac:dyDescent="0.35">
      <c r="A539" t="s">
        <v>537</v>
      </c>
      <c r="B539" s="7" t="s">
        <v>1361</v>
      </c>
    </row>
    <row r="540" spans="1:2" x14ac:dyDescent="0.35">
      <c r="A540" t="s">
        <v>538</v>
      </c>
      <c r="B540" s="7" t="s">
        <v>1362</v>
      </c>
    </row>
    <row r="541" spans="1:2" x14ac:dyDescent="0.35">
      <c r="A541" t="s">
        <v>539</v>
      </c>
      <c r="B541" s="7" t="s">
        <v>1363</v>
      </c>
    </row>
    <row r="542" spans="1:2" x14ac:dyDescent="0.35">
      <c r="A542" t="s">
        <v>540</v>
      </c>
      <c r="B542" s="7" t="s">
        <v>1364</v>
      </c>
    </row>
    <row r="543" spans="1:2" x14ac:dyDescent="0.35">
      <c r="A543" t="s">
        <v>541</v>
      </c>
      <c r="B543" s="7" t="s">
        <v>1365</v>
      </c>
    </row>
    <row r="544" spans="1:2" x14ac:dyDescent="0.35">
      <c r="A544" t="s">
        <v>542</v>
      </c>
      <c r="B544" s="7" t="s">
        <v>1366</v>
      </c>
    </row>
    <row r="545" spans="1:2" x14ac:dyDescent="0.35">
      <c r="A545" t="s">
        <v>543</v>
      </c>
      <c r="B545" s="7" t="s">
        <v>1367</v>
      </c>
    </row>
    <row r="546" spans="1:2" x14ac:dyDescent="0.35">
      <c r="A546" t="s">
        <v>544</v>
      </c>
      <c r="B546" s="7" t="s">
        <v>1368</v>
      </c>
    </row>
    <row r="547" spans="1:2" x14ac:dyDescent="0.35">
      <c r="A547" t="s">
        <v>545</v>
      </c>
      <c r="B547" s="7" t="s">
        <v>1369</v>
      </c>
    </row>
    <row r="548" spans="1:2" x14ac:dyDescent="0.35">
      <c r="A548" t="s">
        <v>546</v>
      </c>
      <c r="B548" s="7" t="s">
        <v>1370</v>
      </c>
    </row>
    <row r="549" spans="1:2" x14ac:dyDescent="0.35">
      <c r="A549" t="s">
        <v>547</v>
      </c>
      <c r="B549" s="7" t="s">
        <v>1371</v>
      </c>
    </row>
    <row r="550" spans="1:2" x14ac:dyDescent="0.35">
      <c r="A550" t="s">
        <v>548</v>
      </c>
      <c r="B550" s="7" t="s">
        <v>1372</v>
      </c>
    </row>
    <row r="551" spans="1:2" x14ac:dyDescent="0.35">
      <c r="A551" t="s">
        <v>549</v>
      </c>
      <c r="B551" s="7" t="s">
        <v>1373</v>
      </c>
    </row>
    <row r="552" spans="1:2" x14ac:dyDescent="0.35">
      <c r="A552" t="s">
        <v>550</v>
      </c>
      <c r="B552" s="7" t="s">
        <v>1374</v>
      </c>
    </row>
    <row r="553" spans="1:2" x14ac:dyDescent="0.35">
      <c r="A553" t="s">
        <v>551</v>
      </c>
      <c r="B553" s="7" t="s">
        <v>1375</v>
      </c>
    </row>
    <row r="554" spans="1:2" x14ac:dyDescent="0.35">
      <c r="A554" t="s">
        <v>552</v>
      </c>
      <c r="B554" s="7" t="s">
        <v>1376</v>
      </c>
    </row>
    <row r="555" spans="1:2" x14ac:dyDescent="0.35">
      <c r="A555" t="s">
        <v>553</v>
      </c>
      <c r="B555" s="7" t="s">
        <v>1377</v>
      </c>
    </row>
    <row r="556" spans="1:2" x14ac:dyDescent="0.35">
      <c r="A556" t="s">
        <v>554</v>
      </c>
      <c r="B556" s="7" t="s">
        <v>1378</v>
      </c>
    </row>
    <row r="557" spans="1:2" x14ac:dyDescent="0.35">
      <c r="A557" t="s">
        <v>555</v>
      </c>
      <c r="B557" s="7" t="s">
        <v>1379</v>
      </c>
    </row>
    <row r="558" spans="1:2" x14ac:dyDescent="0.35">
      <c r="A558" t="s">
        <v>556</v>
      </c>
      <c r="B558" s="7" t="s">
        <v>1380</v>
      </c>
    </row>
    <row r="559" spans="1:2" x14ac:dyDescent="0.35">
      <c r="A559" t="s">
        <v>557</v>
      </c>
      <c r="B559" s="7" t="s">
        <v>1381</v>
      </c>
    </row>
    <row r="560" spans="1:2" x14ac:dyDescent="0.35">
      <c r="A560" t="s">
        <v>558</v>
      </c>
      <c r="B560" s="7" t="s">
        <v>1382</v>
      </c>
    </row>
    <row r="561" spans="1:22" x14ac:dyDescent="0.35">
      <c r="A561" t="s">
        <v>559</v>
      </c>
      <c r="B561" s="7" t="s">
        <v>1383</v>
      </c>
    </row>
    <row r="562" spans="1:22" x14ac:dyDescent="0.35">
      <c r="A562" t="s">
        <v>560</v>
      </c>
      <c r="B562" s="7" t="s">
        <v>1384</v>
      </c>
    </row>
    <row r="563" spans="1:22" x14ac:dyDescent="0.35">
      <c r="A563" t="s">
        <v>466</v>
      </c>
      <c r="B563" s="7" t="s">
        <v>1290</v>
      </c>
      <c r="C563">
        <v>0.27</v>
      </c>
      <c r="D563" t="s">
        <v>3277</v>
      </c>
      <c r="E563" t="s">
        <v>3481</v>
      </c>
      <c r="F563">
        <v>1.2E-2</v>
      </c>
      <c r="G563" t="s">
        <v>3277</v>
      </c>
      <c r="H563" t="s">
        <v>3481</v>
      </c>
      <c r="O563">
        <v>0.56999999999999995</v>
      </c>
      <c r="P563" t="s">
        <v>3287</v>
      </c>
      <c r="Q563" t="s">
        <v>3481</v>
      </c>
      <c r="R563">
        <v>0.28000000000000003</v>
      </c>
      <c r="S563" t="s">
        <v>3287</v>
      </c>
      <c r="T563" t="s">
        <v>3481</v>
      </c>
      <c r="U563" s="57">
        <v>44573</v>
      </c>
      <c r="V563" t="s">
        <v>4112</v>
      </c>
    </row>
    <row r="564" spans="1:22" x14ac:dyDescent="0.35">
      <c r="A564" t="s">
        <v>562</v>
      </c>
      <c r="B564" s="7" t="s">
        <v>1386</v>
      </c>
    </row>
    <row r="565" spans="1:22" x14ac:dyDescent="0.35">
      <c r="A565" t="s">
        <v>563</v>
      </c>
      <c r="B565" s="7" t="s">
        <v>1387</v>
      </c>
    </row>
    <row r="566" spans="1:22" x14ac:dyDescent="0.35">
      <c r="A566" t="s">
        <v>564</v>
      </c>
      <c r="B566" s="7" t="s">
        <v>1388</v>
      </c>
    </row>
    <row r="567" spans="1:22" x14ac:dyDescent="0.35">
      <c r="A567" t="s">
        <v>565</v>
      </c>
      <c r="B567" s="7" t="s">
        <v>1389</v>
      </c>
      <c r="O567">
        <v>100</v>
      </c>
      <c r="P567" t="s">
        <v>3288</v>
      </c>
      <c r="Q567" t="s">
        <v>3481</v>
      </c>
      <c r="R567">
        <v>48</v>
      </c>
      <c r="S567" t="s">
        <v>3288</v>
      </c>
      <c r="T567" t="s">
        <v>3481</v>
      </c>
      <c r="U567" s="57">
        <v>44573</v>
      </c>
      <c r="V567" t="s">
        <v>4115</v>
      </c>
    </row>
    <row r="568" spans="1:22" x14ac:dyDescent="0.35">
      <c r="A568" t="s">
        <v>566</v>
      </c>
      <c r="B568" s="7" t="s">
        <v>1390</v>
      </c>
    </row>
    <row r="569" spans="1:22" x14ac:dyDescent="0.35">
      <c r="A569" t="s">
        <v>567</v>
      </c>
      <c r="B569" s="7" t="s">
        <v>1391</v>
      </c>
    </row>
    <row r="570" spans="1:22" x14ac:dyDescent="0.35">
      <c r="A570" t="s">
        <v>568</v>
      </c>
      <c r="B570" s="7" t="s">
        <v>1392</v>
      </c>
    </row>
    <row r="571" spans="1:22" x14ac:dyDescent="0.35">
      <c r="A571" t="s">
        <v>569</v>
      </c>
      <c r="B571" s="7" t="s">
        <v>1393</v>
      </c>
    </row>
    <row r="572" spans="1:22" x14ac:dyDescent="0.35">
      <c r="A572" t="s">
        <v>570</v>
      </c>
      <c r="B572" s="7" t="s">
        <v>1394</v>
      </c>
    </row>
    <row r="573" spans="1:22" x14ac:dyDescent="0.35">
      <c r="A573" t="s">
        <v>571</v>
      </c>
      <c r="B573" s="7" t="s">
        <v>1395</v>
      </c>
    </row>
    <row r="574" spans="1:22" x14ac:dyDescent="0.35">
      <c r="A574" t="s">
        <v>572</v>
      </c>
      <c r="B574" s="7" t="s">
        <v>1396</v>
      </c>
    </row>
    <row r="575" spans="1:22" x14ac:dyDescent="0.35">
      <c r="A575" t="s">
        <v>573</v>
      </c>
      <c r="B575" t="s">
        <v>1397</v>
      </c>
    </row>
    <row r="576" spans="1:22" x14ac:dyDescent="0.35">
      <c r="A576" t="s">
        <v>574</v>
      </c>
      <c r="B576" s="7" t="s">
        <v>1398</v>
      </c>
    </row>
    <row r="577" spans="1:22" x14ac:dyDescent="0.35">
      <c r="A577" t="s">
        <v>575</v>
      </c>
      <c r="B577" s="7" t="s">
        <v>1399</v>
      </c>
    </row>
    <row r="578" spans="1:22" x14ac:dyDescent="0.35">
      <c r="A578" t="s">
        <v>576</v>
      </c>
      <c r="B578" s="7" t="s">
        <v>1400</v>
      </c>
    </row>
    <row r="579" spans="1:22" x14ac:dyDescent="0.35">
      <c r="A579" t="s">
        <v>94</v>
      </c>
      <c r="B579" s="7" t="s">
        <v>923</v>
      </c>
      <c r="C579">
        <v>7500</v>
      </c>
      <c r="D579" t="s">
        <v>3272</v>
      </c>
      <c r="E579" t="s">
        <v>3480</v>
      </c>
      <c r="F579">
        <v>920</v>
      </c>
      <c r="G579" t="s">
        <v>3272</v>
      </c>
      <c r="H579" t="s">
        <v>3480</v>
      </c>
      <c r="I579">
        <v>3807</v>
      </c>
      <c r="J579" t="s">
        <v>3284</v>
      </c>
      <c r="K579" t="s">
        <v>3481</v>
      </c>
      <c r="L579">
        <v>996</v>
      </c>
      <c r="M579" t="s">
        <v>3284</v>
      </c>
      <c r="N579" t="s">
        <v>3481</v>
      </c>
      <c r="U579" s="57">
        <v>44573</v>
      </c>
      <c r="V579" t="s">
        <v>4111</v>
      </c>
    </row>
    <row r="580" spans="1:22" x14ac:dyDescent="0.35">
      <c r="A580" t="s">
        <v>212</v>
      </c>
      <c r="B580" s="7" t="s">
        <v>1039</v>
      </c>
      <c r="C580">
        <v>0.95</v>
      </c>
      <c r="D580" t="s">
        <v>3273</v>
      </c>
      <c r="E580" t="s">
        <v>3480</v>
      </c>
      <c r="F580">
        <v>0.11</v>
      </c>
      <c r="G580" t="s">
        <v>3272</v>
      </c>
      <c r="H580" t="s">
        <v>3480</v>
      </c>
      <c r="U580" s="57">
        <v>44573</v>
      </c>
      <c r="V580" t="s">
        <v>4108</v>
      </c>
    </row>
    <row r="581" spans="1:22" x14ac:dyDescent="0.35">
      <c r="A581" t="s">
        <v>593</v>
      </c>
      <c r="B581" s="7" t="s">
        <v>1417</v>
      </c>
      <c r="C581">
        <v>0.3</v>
      </c>
      <c r="D581" t="s">
        <v>3279</v>
      </c>
      <c r="E581" t="s">
        <v>3480</v>
      </c>
      <c r="F581">
        <v>0.1</v>
      </c>
      <c r="G581" t="s">
        <v>3273</v>
      </c>
      <c r="H581" t="s">
        <v>3480</v>
      </c>
      <c r="U581" s="57">
        <v>44573</v>
      </c>
      <c r="V581" t="s">
        <v>4108</v>
      </c>
    </row>
    <row r="582" spans="1:22" x14ac:dyDescent="0.35">
      <c r="A582" t="s">
        <v>580</v>
      </c>
      <c r="B582" s="7" t="s">
        <v>1404</v>
      </c>
    </row>
    <row r="583" spans="1:22" x14ac:dyDescent="0.35">
      <c r="A583" t="s">
        <v>581</v>
      </c>
      <c r="B583" s="7" t="s">
        <v>1405</v>
      </c>
    </row>
    <row r="584" spans="1:22" x14ac:dyDescent="0.35">
      <c r="A584" t="s">
        <v>582</v>
      </c>
      <c r="B584" s="7" t="s">
        <v>1406</v>
      </c>
    </row>
    <row r="585" spans="1:22" x14ac:dyDescent="0.35">
      <c r="A585" t="s">
        <v>583</v>
      </c>
      <c r="B585" s="7" t="s">
        <v>1407</v>
      </c>
    </row>
    <row r="586" spans="1:22" x14ac:dyDescent="0.35">
      <c r="A586" t="s">
        <v>584</v>
      </c>
      <c r="B586" s="7" t="s">
        <v>1408</v>
      </c>
    </row>
    <row r="587" spans="1:22" x14ac:dyDescent="0.35">
      <c r="A587" t="s">
        <v>585</v>
      </c>
      <c r="B587" s="7" t="s">
        <v>1409</v>
      </c>
    </row>
    <row r="588" spans="1:22" x14ac:dyDescent="0.35">
      <c r="A588" t="s">
        <v>586</v>
      </c>
      <c r="B588" s="7" t="s">
        <v>1410</v>
      </c>
    </row>
    <row r="589" spans="1:22" x14ac:dyDescent="0.35">
      <c r="A589" t="s">
        <v>587</v>
      </c>
      <c r="B589" s="7" t="s">
        <v>1411</v>
      </c>
    </row>
    <row r="590" spans="1:22" x14ac:dyDescent="0.35">
      <c r="A590" t="s">
        <v>588</v>
      </c>
      <c r="B590" s="7" t="s">
        <v>1412</v>
      </c>
    </row>
    <row r="591" spans="1:22" x14ac:dyDescent="0.35">
      <c r="A591" t="s">
        <v>589</v>
      </c>
      <c r="B591" s="7" t="s">
        <v>1413</v>
      </c>
    </row>
    <row r="592" spans="1:22" x14ac:dyDescent="0.35">
      <c r="A592" t="s">
        <v>20</v>
      </c>
      <c r="B592" s="7" t="s">
        <v>849</v>
      </c>
      <c r="C592">
        <v>90</v>
      </c>
      <c r="D592" t="s">
        <v>3279</v>
      </c>
      <c r="E592" t="s">
        <v>3480</v>
      </c>
      <c r="F592">
        <v>2.6</v>
      </c>
      <c r="G592" t="s">
        <v>3280</v>
      </c>
      <c r="H592" t="s">
        <v>3480</v>
      </c>
      <c r="U592" s="57">
        <v>44573</v>
      </c>
      <c r="V592" t="s">
        <v>4108</v>
      </c>
    </row>
    <row r="593" spans="1:22" x14ac:dyDescent="0.35">
      <c r="A593" t="s">
        <v>591</v>
      </c>
      <c r="B593" s="7" t="s">
        <v>1415</v>
      </c>
    </row>
    <row r="594" spans="1:22" x14ac:dyDescent="0.35">
      <c r="A594" t="s">
        <v>592</v>
      </c>
      <c r="B594" s="7" t="s">
        <v>1416</v>
      </c>
    </row>
    <row r="595" spans="1:22" x14ac:dyDescent="0.35">
      <c r="A595" t="s">
        <v>140</v>
      </c>
      <c r="B595" s="7" t="s">
        <v>969</v>
      </c>
      <c r="C595">
        <v>0.7</v>
      </c>
      <c r="D595" t="s">
        <v>3279</v>
      </c>
      <c r="E595" t="s">
        <v>3480</v>
      </c>
      <c r="F595">
        <v>0.03</v>
      </c>
      <c r="G595" t="s">
        <v>3273</v>
      </c>
      <c r="H595" t="s">
        <v>3480</v>
      </c>
      <c r="U595" s="57">
        <v>44573</v>
      </c>
      <c r="V595" t="s">
        <v>4108</v>
      </c>
    </row>
    <row r="596" spans="1:22" x14ac:dyDescent="0.35">
      <c r="A596" t="s">
        <v>594</v>
      </c>
      <c r="B596" s="7" t="s">
        <v>1418</v>
      </c>
    </row>
    <row r="597" spans="1:22" x14ac:dyDescent="0.35">
      <c r="A597" t="s">
        <v>595</v>
      </c>
      <c r="B597" s="7" t="s">
        <v>1419</v>
      </c>
    </row>
    <row r="598" spans="1:22" x14ac:dyDescent="0.35">
      <c r="A598" t="s">
        <v>596</v>
      </c>
      <c r="B598" s="7" t="s">
        <v>1420</v>
      </c>
    </row>
    <row r="599" spans="1:22" x14ac:dyDescent="0.35">
      <c r="A599" t="s">
        <v>597</v>
      </c>
      <c r="B599" s="7" t="s">
        <v>1421</v>
      </c>
    </row>
    <row r="600" spans="1:22" x14ac:dyDescent="0.35">
      <c r="A600" t="s">
        <v>272</v>
      </c>
      <c r="B600" s="7" t="s">
        <v>1098</v>
      </c>
      <c r="C600">
        <v>110</v>
      </c>
      <c r="D600" t="s">
        <v>3278</v>
      </c>
      <c r="E600" t="s">
        <v>3480</v>
      </c>
      <c r="F600">
        <v>7.8</v>
      </c>
      <c r="G600" t="s">
        <v>3282</v>
      </c>
      <c r="H600" t="s">
        <v>3480</v>
      </c>
      <c r="U600" s="57">
        <v>44573</v>
      </c>
      <c r="V600" t="s">
        <v>4108</v>
      </c>
    </row>
    <row r="601" spans="1:22" x14ac:dyDescent="0.35">
      <c r="A601" t="s">
        <v>599</v>
      </c>
      <c r="B601" s="7" t="s">
        <v>1423</v>
      </c>
    </row>
    <row r="602" spans="1:22" x14ac:dyDescent="0.35">
      <c r="A602" t="s">
        <v>600</v>
      </c>
      <c r="B602" s="7" t="s">
        <v>1424</v>
      </c>
    </row>
    <row r="603" spans="1:22" x14ac:dyDescent="0.35">
      <c r="A603" t="s">
        <v>601</v>
      </c>
      <c r="B603" s="7" t="s">
        <v>1425</v>
      </c>
    </row>
    <row r="604" spans="1:22" x14ac:dyDescent="0.35">
      <c r="A604" t="s">
        <v>602</v>
      </c>
      <c r="B604" s="7" t="s">
        <v>1426</v>
      </c>
    </row>
    <row r="605" spans="1:22" x14ac:dyDescent="0.35">
      <c r="A605" t="s">
        <v>603</v>
      </c>
      <c r="B605" s="7" t="s">
        <v>1427</v>
      </c>
    </row>
    <row r="606" spans="1:22" x14ac:dyDescent="0.35">
      <c r="A606" t="s">
        <v>604</v>
      </c>
      <c r="B606" s="7" t="s">
        <v>1428</v>
      </c>
    </row>
    <row r="607" spans="1:22" x14ac:dyDescent="0.35">
      <c r="A607" t="s">
        <v>415</v>
      </c>
      <c r="B607" s="7" t="s">
        <v>1239</v>
      </c>
      <c r="C607">
        <v>1E-3</v>
      </c>
      <c r="D607" t="s">
        <v>3272</v>
      </c>
      <c r="E607" t="s">
        <v>3480</v>
      </c>
      <c r="F607">
        <v>1E-3</v>
      </c>
      <c r="G607" t="s">
        <v>3272</v>
      </c>
      <c r="H607" t="s">
        <v>3480</v>
      </c>
      <c r="U607" s="57">
        <v>44573</v>
      </c>
      <c r="V607" t="s">
        <v>4108</v>
      </c>
    </row>
    <row r="608" spans="1:22" x14ac:dyDescent="0.35">
      <c r="A608" t="s">
        <v>35</v>
      </c>
      <c r="B608" s="7" t="s">
        <v>864</v>
      </c>
      <c r="C608">
        <v>170</v>
      </c>
      <c r="D608" t="s">
        <v>3272</v>
      </c>
      <c r="E608" t="s">
        <v>3480</v>
      </c>
      <c r="F608">
        <v>21</v>
      </c>
      <c r="G608" t="s">
        <v>3272</v>
      </c>
      <c r="H608" t="s">
        <v>3480</v>
      </c>
      <c r="O608">
        <v>402</v>
      </c>
      <c r="P608" t="s">
        <v>3287</v>
      </c>
      <c r="Q608" t="s">
        <v>3481</v>
      </c>
      <c r="R608">
        <v>194</v>
      </c>
      <c r="S608" t="s">
        <v>3287</v>
      </c>
      <c r="T608" t="s">
        <v>3481</v>
      </c>
      <c r="U608" s="57">
        <v>44573</v>
      </c>
      <c r="V608" t="s">
        <v>4112</v>
      </c>
    </row>
    <row r="609" spans="1:2" x14ac:dyDescent="0.35">
      <c r="A609" t="s">
        <v>607</v>
      </c>
      <c r="B609" s="7" t="s">
        <v>1431</v>
      </c>
    </row>
    <row r="610" spans="1:2" x14ac:dyDescent="0.35">
      <c r="A610" t="s">
        <v>608</v>
      </c>
      <c r="B610" s="7" t="s">
        <v>1432</v>
      </c>
    </row>
    <row r="611" spans="1:2" x14ac:dyDescent="0.35">
      <c r="A611" t="s">
        <v>609</v>
      </c>
      <c r="B611" s="7" t="s">
        <v>1433</v>
      </c>
    </row>
    <row r="612" spans="1:2" x14ac:dyDescent="0.35">
      <c r="A612" t="s">
        <v>610</v>
      </c>
      <c r="B612" s="7" t="s">
        <v>1434</v>
      </c>
    </row>
    <row r="613" spans="1:2" x14ac:dyDescent="0.35">
      <c r="A613" t="s">
        <v>611</v>
      </c>
      <c r="B613" s="7" t="s">
        <v>1435</v>
      </c>
    </row>
    <row r="614" spans="1:2" x14ac:dyDescent="0.35">
      <c r="A614" t="s">
        <v>613</v>
      </c>
      <c r="B614" s="7" t="s">
        <v>1437</v>
      </c>
    </row>
    <row r="615" spans="1:2" x14ac:dyDescent="0.35">
      <c r="A615" t="s">
        <v>614</v>
      </c>
      <c r="B615" s="7" t="s">
        <v>1438</v>
      </c>
    </row>
    <row r="616" spans="1:2" x14ac:dyDescent="0.35">
      <c r="A616" t="s">
        <v>615</v>
      </c>
      <c r="B616" s="7" t="s">
        <v>1439</v>
      </c>
    </row>
    <row r="617" spans="1:2" x14ac:dyDescent="0.35">
      <c r="A617" t="s">
        <v>616</v>
      </c>
      <c r="B617" s="7" t="s">
        <v>1440</v>
      </c>
    </row>
    <row r="618" spans="1:2" x14ac:dyDescent="0.35">
      <c r="A618" t="s">
        <v>617</v>
      </c>
      <c r="B618" s="7" t="s">
        <v>1441</v>
      </c>
    </row>
    <row r="619" spans="1:2" x14ac:dyDescent="0.35">
      <c r="A619" t="s">
        <v>618</v>
      </c>
      <c r="B619" s="7" t="s">
        <v>1442</v>
      </c>
    </row>
    <row r="620" spans="1:2" x14ac:dyDescent="0.35">
      <c r="A620" t="s">
        <v>619</v>
      </c>
      <c r="B620" s="7" t="s">
        <v>1443</v>
      </c>
    </row>
    <row r="621" spans="1:2" x14ac:dyDescent="0.35">
      <c r="A621" t="s">
        <v>620</v>
      </c>
      <c r="B621" s="7" t="s">
        <v>1444</v>
      </c>
    </row>
    <row r="622" spans="1:2" x14ac:dyDescent="0.35">
      <c r="A622" t="s">
        <v>621</v>
      </c>
      <c r="B622" s="7" t="s">
        <v>1445</v>
      </c>
    </row>
    <row r="623" spans="1:2" x14ac:dyDescent="0.35">
      <c r="A623" t="s">
        <v>622</v>
      </c>
      <c r="B623" s="7" t="s">
        <v>1446</v>
      </c>
    </row>
    <row r="624" spans="1:2" x14ac:dyDescent="0.35">
      <c r="A624" t="s">
        <v>623</v>
      </c>
      <c r="B624" s="7" t="s">
        <v>1447</v>
      </c>
    </row>
    <row r="625" spans="1:22" x14ac:dyDescent="0.35">
      <c r="A625" t="s">
        <v>624</v>
      </c>
      <c r="B625" s="7" t="s">
        <v>1448</v>
      </c>
    </row>
    <row r="626" spans="1:22" x14ac:dyDescent="0.35">
      <c r="A626" t="s">
        <v>625</v>
      </c>
      <c r="B626" s="7" t="s">
        <v>1449</v>
      </c>
    </row>
    <row r="627" spans="1:22" x14ac:dyDescent="0.35">
      <c r="A627" t="s">
        <v>626</v>
      </c>
      <c r="B627" s="7" t="s">
        <v>1450</v>
      </c>
    </row>
    <row r="628" spans="1:22" x14ac:dyDescent="0.35">
      <c r="A628" t="s">
        <v>627</v>
      </c>
      <c r="B628" s="7" t="s">
        <v>1451</v>
      </c>
    </row>
    <row r="629" spans="1:22" x14ac:dyDescent="0.35">
      <c r="A629" t="s">
        <v>628</v>
      </c>
      <c r="B629" s="7" t="s">
        <v>1452</v>
      </c>
    </row>
    <row r="630" spans="1:22" x14ac:dyDescent="0.35">
      <c r="A630" t="s">
        <v>139</v>
      </c>
      <c r="B630" s="7" t="s">
        <v>968</v>
      </c>
      <c r="C630">
        <v>0.19</v>
      </c>
      <c r="D630" t="s">
        <v>3274</v>
      </c>
      <c r="E630" t="s">
        <v>3480</v>
      </c>
      <c r="F630">
        <v>0.01</v>
      </c>
      <c r="G630" t="s">
        <v>3274</v>
      </c>
      <c r="H630" t="s">
        <v>3480</v>
      </c>
      <c r="U630" s="57">
        <v>44573</v>
      </c>
      <c r="V630" t="s">
        <v>4108</v>
      </c>
    </row>
    <row r="631" spans="1:22" x14ac:dyDescent="0.35">
      <c r="A631" t="s">
        <v>630</v>
      </c>
      <c r="B631" s="7" t="s">
        <v>1454</v>
      </c>
    </row>
    <row r="632" spans="1:22" x14ac:dyDescent="0.35">
      <c r="A632" t="s">
        <v>631</v>
      </c>
      <c r="B632" s="7" t="s">
        <v>1455</v>
      </c>
    </row>
    <row r="633" spans="1:22" x14ac:dyDescent="0.35">
      <c r="A633" t="s">
        <v>632</v>
      </c>
      <c r="B633" s="7" t="s">
        <v>1456</v>
      </c>
    </row>
    <row r="634" spans="1:22" x14ac:dyDescent="0.35">
      <c r="A634" t="s">
        <v>138</v>
      </c>
      <c r="B634" s="7" t="s">
        <v>967</v>
      </c>
      <c r="C634">
        <v>1.3</v>
      </c>
      <c r="D634" t="s">
        <v>1688</v>
      </c>
      <c r="E634" t="s">
        <v>3480</v>
      </c>
      <c r="F634">
        <v>0.3</v>
      </c>
      <c r="G634" t="s">
        <v>1688</v>
      </c>
      <c r="H634" t="s">
        <v>3480</v>
      </c>
      <c r="U634" s="57">
        <v>44573</v>
      </c>
      <c r="V634" t="s">
        <v>4108</v>
      </c>
    </row>
    <row r="635" spans="1:22" x14ac:dyDescent="0.35">
      <c r="A635" s="26" t="s">
        <v>3375</v>
      </c>
      <c r="B635" s="26" t="s">
        <v>3376</v>
      </c>
      <c r="C635" s="26">
        <v>6.5000000000000002E-2</v>
      </c>
      <c r="D635" s="26" t="s">
        <v>3273</v>
      </c>
      <c r="E635" s="26" t="s">
        <v>3480</v>
      </c>
      <c r="F635" s="26">
        <v>0.01</v>
      </c>
      <c r="G635" s="26" t="s">
        <v>3273</v>
      </c>
      <c r="H635" s="26" t="s">
        <v>3480</v>
      </c>
      <c r="I635" s="26"/>
      <c r="J635" s="26"/>
      <c r="K635" s="26"/>
      <c r="L635" s="26"/>
      <c r="M635" s="26"/>
      <c r="N635" s="26"/>
      <c r="O635" s="26"/>
      <c r="P635" s="26"/>
      <c r="Q635" s="26"/>
      <c r="R635" s="26"/>
      <c r="S635" s="26"/>
      <c r="T635" s="26"/>
      <c r="U635" s="48">
        <v>44573</v>
      </c>
      <c r="V635" t="s">
        <v>4108</v>
      </c>
    </row>
    <row r="636" spans="1:22" x14ac:dyDescent="0.35">
      <c r="A636" t="s">
        <v>635</v>
      </c>
      <c r="B636" s="7" t="s">
        <v>1459</v>
      </c>
    </row>
    <row r="637" spans="1:22" x14ac:dyDescent="0.35">
      <c r="A637" t="s">
        <v>636</v>
      </c>
      <c r="B637" s="7" t="s">
        <v>1460</v>
      </c>
    </row>
    <row r="638" spans="1:22" x14ac:dyDescent="0.35">
      <c r="A638" t="s">
        <v>637</v>
      </c>
      <c r="B638" s="7" t="s">
        <v>1461</v>
      </c>
    </row>
    <row r="639" spans="1:22" x14ac:dyDescent="0.35">
      <c r="A639" t="s">
        <v>638</v>
      </c>
      <c r="B639" s="7" t="s">
        <v>1462</v>
      </c>
    </row>
    <row r="640" spans="1:22" x14ac:dyDescent="0.35">
      <c r="A640" t="s">
        <v>639</v>
      </c>
      <c r="B640" s="7" t="s">
        <v>1463</v>
      </c>
    </row>
    <row r="641" spans="1:22" x14ac:dyDescent="0.35">
      <c r="A641" t="s">
        <v>640</v>
      </c>
      <c r="B641" s="7" t="s">
        <v>1464</v>
      </c>
    </row>
    <row r="642" spans="1:22" x14ac:dyDescent="0.35">
      <c r="A642" t="s">
        <v>641</v>
      </c>
      <c r="B642" s="7" t="s">
        <v>1465</v>
      </c>
    </row>
    <row r="643" spans="1:22" x14ac:dyDescent="0.35">
      <c r="A643" t="s">
        <v>642</v>
      </c>
      <c r="B643" s="7" t="s">
        <v>1466</v>
      </c>
    </row>
    <row r="644" spans="1:22" x14ac:dyDescent="0.35">
      <c r="A644" t="s">
        <v>634</v>
      </c>
      <c r="B644" s="7" t="s">
        <v>1458</v>
      </c>
      <c r="C644">
        <v>480</v>
      </c>
      <c r="D644" t="s">
        <v>3272</v>
      </c>
      <c r="E644" t="s">
        <v>3480</v>
      </c>
      <c r="F644">
        <v>53</v>
      </c>
      <c r="G644" t="s">
        <v>3272</v>
      </c>
      <c r="H644" t="s">
        <v>3480</v>
      </c>
      <c r="U644" s="57">
        <v>44573</v>
      </c>
      <c r="V644" t="s">
        <v>4108</v>
      </c>
    </row>
    <row r="645" spans="1:22" x14ac:dyDescent="0.35">
      <c r="A645" t="s">
        <v>644</v>
      </c>
      <c r="B645" s="7" t="s">
        <v>1468</v>
      </c>
    </row>
    <row r="646" spans="1:22" x14ac:dyDescent="0.35">
      <c r="A646" t="s">
        <v>645</v>
      </c>
      <c r="B646" s="7" t="s">
        <v>1469</v>
      </c>
    </row>
    <row r="647" spans="1:22" x14ac:dyDescent="0.35">
      <c r="A647" t="s">
        <v>646</v>
      </c>
      <c r="B647" s="7" t="s">
        <v>1470</v>
      </c>
    </row>
    <row r="648" spans="1:22" x14ac:dyDescent="0.35">
      <c r="A648" t="s">
        <v>262</v>
      </c>
      <c r="B648" s="7" t="s">
        <v>1088</v>
      </c>
      <c r="C648">
        <v>88</v>
      </c>
      <c r="D648" t="s">
        <v>3276</v>
      </c>
      <c r="E648" t="s">
        <v>3481</v>
      </c>
      <c r="F648">
        <v>5</v>
      </c>
      <c r="G648" t="s">
        <v>3281</v>
      </c>
      <c r="H648" t="s">
        <v>3481</v>
      </c>
      <c r="U648" s="57">
        <v>44573</v>
      </c>
      <c r="V648" t="s">
        <v>4108</v>
      </c>
    </row>
    <row r="649" spans="1:22" x14ac:dyDescent="0.35">
      <c r="A649" t="s">
        <v>648</v>
      </c>
      <c r="B649" s="7" t="s">
        <v>1472</v>
      </c>
    </row>
    <row r="650" spans="1:22" x14ac:dyDescent="0.35">
      <c r="A650" t="s">
        <v>649</v>
      </c>
      <c r="B650" s="7" t="s">
        <v>1473</v>
      </c>
    </row>
    <row r="651" spans="1:22" x14ac:dyDescent="0.35">
      <c r="A651" t="s">
        <v>650</v>
      </c>
      <c r="B651" s="7" t="s">
        <v>1474</v>
      </c>
    </row>
    <row r="652" spans="1:22" x14ac:dyDescent="0.35">
      <c r="A652" t="s">
        <v>651</v>
      </c>
      <c r="B652" s="7" t="s">
        <v>1475</v>
      </c>
    </row>
    <row r="653" spans="1:22" x14ac:dyDescent="0.35">
      <c r="A653" t="s">
        <v>652</v>
      </c>
      <c r="B653" s="7" t="s">
        <v>1476</v>
      </c>
    </row>
    <row r="654" spans="1:22" x14ac:dyDescent="0.35">
      <c r="A654" t="s">
        <v>653</v>
      </c>
      <c r="B654" s="7" t="s">
        <v>1477</v>
      </c>
    </row>
    <row r="655" spans="1:22" x14ac:dyDescent="0.35">
      <c r="A655" t="s">
        <v>654</v>
      </c>
      <c r="B655" s="7" t="s">
        <v>1478</v>
      </c>
    </row>
    <row r="656" spans="1:22" x14ac:dyDescent="0.35">
      <c r="A656" t="s">
        <v>655</v>
      </c>
      <c r="B656" s="7" t="s">
        <v>1479</v>
      </c>
    </row>
    <row r="657" spans="1:2" x14ac:dyDescent="0.35">
      <c r="A657" t="s">
        <v>656</v>
      </c>
      <c r="B657" s="7" t="s">
        <v>1480</v>
      </c>
    </row>
    <row r="658" spans="1:2" x14ac:dyDescent="0.35">
      <c r="A658" t="s">
        <v>657</v>
      </c>
      <c r="B658" s="7" t="s">
        <v>1481</v>
      </c>
    </row>
    <row r="659" spans="1:2" x14ac:dyDescent="0.35">
      <c r="A659" t="s">
        <v>658</v>
      </c>
      <c r="B659" s="7" t="s">
        <v>1482</v>
      </c>
    </row>
    <row r="660" spans="1:2" x14ac:dyDescent="0.35">
      <c r="A660" t="s">
        <v>659</v>
      </c>
      <c r="B660" s="7" t="s">
        <v>1483</v>
      </c>
    </row>
    <row r="661" spans="1:2" x14ac:dyDescent="0.35">
      <c r="A661" t="s">
        <v>660</v>
      </c>
      <c r="B661" s="7" t="s">
        <v>1484</v>
      </c>
    </row>
    <row r="662" spans="1:2" x14ac:dyDescent="0.35">
      <c r="A662" t="s">
        <v>661</v>
      </c>
      <c r="B662" s="7" t="s">
        <v>1485</v>
      </c>
    </row>
    <row r="663" spans="1:2" x14ac:dyDescent="0.35">
      <c r="A663" t="s">
        <v>662</v>
      </c>
      <c r="B663" s="7" t="s">
        <v>1486</v>
      </c>
    </row>
    <row r="664" spans="1:2" x14ac:dyDescent="0.35">
      <c r="A664" t="s">
        <v>663</v>
      </c>
      <c r="B664" s="7" t="s">
        <v>1487</v>
      </c>
    </row>
    <row r="665" spans="1:2" x14ac:dyDescent="0.35">
      <c r="A665" t="s">
        <v>664</v>
      </c>
      <c r="B665" s="7" t="s">
        <v>1488</v>
      </c>
    </row>
    <row r="666" spans="1:2" x14ac:dyDescent="0.35">
      <c r="A666" t="s">
        <v>665</v>
      </c>
      <c r="B666" s="7" t="s">
        <v>1489</v>
      </c>
    </row>
    <row r="667" spans="1:2" x14ac:dyDescent="0.35">
      <c r="A667" t="s">
        <v>666</v>
      </c>
      <c r="B667" s="7" t="s">
        <v>1490</v>
      </c>
    </row>
    <row r="668" spans="1:2" x14ac:dyDescent="0.35">
      <c r="A668" t="s">
        <v>667</v>
      </c>
      <c r="B668" s="7" t="s">
        <v>1491</v>
      </c>
    </row>
    <row r="669" spans="1:2" x14ac:dyDescent="0.35">
      <c r="A669" t="s">
        <v>668</v>
      </c>
      <c r="B669" s="7" t="s">
        <v>1492</v>
      </c>
    </row>
    <row r="670" spans="1:2" x14ac:dyDescent="0.35">
      <c r="A670" t="s">
        <v>669</v>
      </c>
      <c r="B670" s="7" t="s">
        <v>1493</v>
      </c>
    </row>
    <row r="671" spans="1:2" x14ac:dyDescent="0.35">
      <c r="A671" t="s">
        <v>670</v>
      </c>
      <c r="B671" s="7" t="s">
        <v>1494</v>
      </c>
    </row>
    <row r="672" spans="1:2" x14ac:dyDescent="0.35">
      <c r="A672" t="s">
        <v>671</v>
      </c>
      <c r="B672" s="7" t="s">
        <v>1495</v>
      </c>
    </row>
    <row r="673" spans="1:2" x14ac:dyDescent="0.35">
      <c r="A673" t="s">
        <v>672</v>
      </c>
      <c r="B673" s="7" t="s">
        <v>1496</v>
      </c>
    </row>
    <row r="674" spans="1:2" x14ac:dyDescent="0.35">
      <c r="A674" t="s">
        <v>673</v>
      </c>
      <c r="B674" s="7" t="s">
        <v>1497</v>
      </c>
    </row>
    <row r="675" spans="1:2" x14ac:dyDescent="0.35">
      <c r="A675" t="s">
        <v>674</v>
      </c>
      <c r="B675" s="7" t="s">
        <v>1498</v>
      </c>
    </row>
    <row r="676" spans="1:2" x14ac:dyDescent="0.35">
      <c r="A676" t="s">
        <v>675</v>
      </c>
      <c r="B676" s="7" t="s">
        <v>1499</v>
      </c>
    </row>
    <row r="677" spans="1:2" x14ac:dyDescent="0.35">
      <c r="A677" t="s">
        <v>676</v>
      </c>
      <c r="B677" s="7" t="s">
        <v>1500</v>
      </c>
    </row>
    <row r="678" spans="1:2" x14ac:dyDescent="0.35">
      <c r="A678" t="s">
        <v>677</v>
      </c>
      <c r="B678" s="7" t="s">
        <v>1501</v>
      </c>
    </row>
    <row r="679" spans="1:2" x14ac:dyDescent="0.35">
      <c r="A679" t="s">
        <v>678</v>
      </c>
      <c r="B679" s="7" t="s">
        <v>1502</v>
      </c>
    </row>
    <row r="680" spans="1:2" x14ac:dyDescent="0.35">
      <c r="A680" t="s">
        <v>679</v>
      </c>
      <c r="B680" s="7" t="s">
        <v>1503</v>
      </c>
    </row>
    <row r="681" spans="1:2" x14ac:dyDescent="0.35">
      <c r="A681" t="s">
        <v>680</v>
      </c>
      <c r="B681" s="7" t="s">
        <v>1504</v>
      </c>
    </row>
    <row r="682" spans="1:2" x14ac:dyDescent="0.35">
      <c r="A682" t="s">
        <v>681</v>
      </c>
      <c r="B682" s="7" t="s">
        <v>1505</v>
      </c>
    </row>
    <row r="683" spans="1:2" x14ac:dyDescent="0.35">
      <c r="A683" t="s">
        <v>682</v>
      </c>
      <c r="B683" s="7" t="s">
        <v>1506</v>
      </c>
    </row>
    <row r="684" spans="1:2" x14ac:dyDescent="0.35">
      <c r="A684" t="s">
        <v>683</v>
      </c>
      <c r="B684" s="7" t="s">
        <v>1507</v>
      </c>
    </row>
    <row r="685" spans="1:2" x14ac:dyDescent="0.35">
      <c r="A685" t="s">
        <v>684</v>
      </c>
      <c r="B685" s="7" t="s">
        <v>1508</v>
      </c>
    </row>
    <row r="686" spans="1:2" x14ac:dyDescent="0.35">
      <c r="A686" t="s">
        <v>685</v>
      </c>
      <c r="B686" s="7" t="s">
        <v>1509</v>
      </c>
    </row>
    <row r="687" spans="1:2" x14ac:dyDescent="0.35">
      <c r="A687" t="s">
        <v>686</v>
      </c>
      <c r="B687" s="7" t="s">
        <v>1510</v>
      </c>
    </row>
    <row r="688" spans="1:2" x14ac:dyDescent="0.35">
      <c r="A688" t="s">
        <v>687</v>
      </c>
      <c r="B688" s="7" t="s">
        <v>1511</v>
      </c>
    </row>
    <row r="689" spans="1:2" x14ac:dyDescent="0.35">
      <c r="A689" t="s">
        <v>688</v>
      </c>
      <c r="B689" s="7" t="s">
        <v>1512</v>
      </c>
    </row>
    <row r="690" spans="1:2" x14ac:dyDescent="0.35">
      <c r="A690" t="s">
        <v>689</v>
      </c>
      <c r="B690" s="7" t="s">
        <v>1513</v>
      </c>
    </row>
    <row r="691" spans="1:2" x14ac:dyDescent="0.35">
      <c r="A691" t="s">
        <v>690</v>
      </c>
      <c r="B691" s="7" t="s">
        <v>1514</v>
      </c>
    </row>
    <row r="692" spans="1:2" x14ac:dyDescent="0.35">
      <c r="A692" t="s">
        <v>691</v>
      </c>
      <c r="B692" s="7" t="s">
        <v>1515</v>
      </c>
    </row>
    <row r="693" spans="1:2" x14ac:dyDescent="0.35">
      <c r="A693" t="s">
        <v>692</v>
      </c>
      <c r="B693" s="7" t="s">
        <v>1516</v>
      </c>
    </row>
    <row r="694" spans="1:2" x14ac:dyDescent="0.35">
      <c r="A694" t="s">
        <v>693</v>
      </c>
      <c r="B694" s="7" t="s">
        <v>1517</v>
      </c>
    </row>
    <row r="695" spans="1:2" x14ac:dyDescent="0.35">
      <c r="A695" t="s">
        <v>694</v>
      </c>
      <c r="B695" s="7" t="s">
        <v>1518</v>
      </c>
    </row>
    <row r="696" spans="1:2" x14ac:dyDescent="0.35">
      <c r="A696" t="s">
        <v>695</v>
      </c>
      <c r="B696" s="7" t="s">
        <v>1519</v>
      </c>
    </row>
    <row r="697" spans="1:2" x14ac:dyDescent="0.35">
      <c r="A697" t="s">
        <v>696</v>
      </c>
      <c r="B697" s="7" t="s">
        <v>1520</v>
      </c>
    </row>
    <row r="698" spans="1:2" x14ac:dyDescent="0.35">
      <c r="A698" t="s">
        <v>697</v>
      </c>
      <c r="B698" s="7" t="s">
        <v>1521</v>
      </c>
    </row>
    <row r="699" spans="1:2" x14ac:dyDescent="0.35">
      <c r="A699" t="s">
        <v>698</v>
      </c>
      <c r="B699" s="7" t="s">
        <v>1522</v>
      </c>
    </row>
    <row r="700" spans="1:2" x14ac:dyDescent="0.35">
      <c r="A700" t="s">
        <v>699</v>
      </c>
      <c r="B700" s="7" t="s">
        <v>1523</v>
      </c>
    </row>
    <row r="701" spans="1:2" x14ac:dyDescent="0.35">
      <c r="A701" t="s">
        <v>700</v>
      </c>
      <c r="B701" s="7" t="s">
        <v>1524</v>
      </c>
    </row>
    <row r="702" spans="1:2" x14ac:dyDescent="0.35">
      <c r="A702" t="s">
        <v>701</v>
      </c>
      <c r="B702" s="7" t="s">
        <v>1525</v>
      </c>
    </row>
    <row r="703" spans="1:2" x14ac:dyDescent="0.35">
      <c r="A703" t="s">
        <v>702</v>
      </c>
      <c r="B703" s="7" t="s">
        <v>1526</v>
      </c>
    </row>
    <row r="704" spans="1:2" x14ac:dyDescent="0.35">
      <c r="A704" t="s">
        <v>703</v>
      </c>
      <c r="B704" s="7" t="s">
        <v>1527</v>
      </c>
    </row>
    <row r="705" spans="1:2" x14ac:dyDescent="0.35">
      <c r="A705" t="s">
        <v>704</v>
      </c>
      <c r="B705" s="7" t="s">
        <v>1528</v>
      </c>
    </row>
    <row r="706" spans="1:2" x14ac:dyDescent="0.35">
      <c r="A706" t="s">
        <v>705</v>
      </c>
      <c r="B706" s="7" t="s">
        <v>1529</v>
      </c>
    </row>
    <row r="707" spans="1:2" x14ac:dyDescent="0.35">
      <c r="A707" t="s">
        <v>706</v>
      </c>
      <c r="B707" s="7" t="s">
        <v>1530</v>
      </c>
    </row>
    <row r="708" spans="1:2" x14ac:dyDescent="0.35">
      <c r="A708" t="s">
        <v>707</v>
      </c>
      <c r="B708" s="7" t="s">
        <v>1531</v>
      </c>
    </row>
    <row r="709" spans="1:2" x14ac:dyDescent="0.35">
      <c r="A709" t="s">
        <v>708</v>
      </c>
      <c r="B709" s="7" t="s">
        <v>1532</v>
      </c>
    </row>
    <row r="710" spans="1:2" x14ac:dyDescent="0.35">
      <c r="A710" t="s">
        <v>709</v>
      </c>
      <c r="B710" s="7" t="s">
        <v>1533</v>
      </c>
    </row>
    <row r="711" spans="1:2" x14ac:dyDescent="0.35">
      <c r="A711" t="s">
        <v>710</v>
      </c>
      <c r="B711" s="7" t="s">
        <v>1534</v>
      </c>
    </row>
    <row r="712" spans="1:2" x14ac:dyDescent="0.35">
      <c r="A712" t="s">
        <v>711</v>
      </c>
      <c r="B712" s="7" t="s">
        <v>1535</v>
      </c>
    </row>
    <row r="713" spans="1:2" x14ac:dyDescent="0.35">
      <c r="A713" t="s">
        <v>712</v>
      </c>
      <c r="B713" s="7" t="s">
        <v>1536</v>
      </c>
    </row>
    <row r="714" spans="1:2" x14ac:dyDescent="0.35">
      <c r="A714" t="s">
        <v>713</v>
      </c>
      <c r="B714" s="7" t="s">
        <v>1537</v>
      </c>
    </row>
    <row r="715" spans="1:2" x14ac:dyDescent="0.35">
      <c r="A715" t="s">
        <v>714</v>
      </c>
      <c r="B715" s="7" t="s">
        <v>1538</v>
      </c>
    </row>
    <row r="716" spans="1:2" x14ac:dyDescent="0.35">
      <c r="A716" t="s">
        <v>715</v>
      </c>
      <c r="B716" s="7" t="s">
        <v>1539</v>
      </c>
    </row>
    <row r="717" spans="1:2" x14ac:dyDescent="0.35">
      <c r="A717" t="s">
        <v>716</v>
      </c>
      <c r="B717" s="7" t="s">
        <v>1540</v>
      </c>
    </row>
    <row r="718" spans="1:2" x14ac:dyDescent="0.35">
      <c r="A718" t="s">
        <v>717</v>
      </c>
      <c r="B718" s="7" t="s">
        <v>1541</v>
      </c>
    </row>
    <row r="719" spans="1:2" x14ac:dyDescent="0.35">
      <c r="A719" t="s">
        <v>718</v>
      </c>
      <c r="B719" s="7" t="s">
        <v>1542</v>
      </c>
    </row>
    <row r="720" spans="1:2" x14ac:dyDescent="0.35">
      <c r="A720" t="s">
        <v>719</v>
      </c>
      <c r="B720" s="7" t="s">
        <v>1543</v>
      </c>
    </row>
    <row r="721" spans="1:2" x14ac:dyDescent="0.35">
      <c r="A721" t="s">
        <v>720</v>
      </c>
      <c r="B721" s="7" t="s">
        <v>1544</v>
      </c>
    </row>
    <row r="722" spans="1:2" x14ac:dyDescent="0.35">
      <c r="A722" t="s">
        <v>721</v>
      </c>
      <c r="B722" s="7" t="s">
        <v>1545</v>
      </c>
    </row>
    <row r="723" spans="1:2" x14ac:dyDescent="0.35">
      <c r="A723" t="s">
        <v>722</v>
      </c>
      <c r="B723" s="7" t="s">
        <v>1546</v>
      </c>
    </row>
    <row r="724" spans="1:2" x14ac:dyDescent="0.35">
      <c r="A724" t="s">
        <v>723</v>
      </c>
      <c r="B724" s="7" t="s">
        <v>1547</v>
      </c>
    </row>
    <row r="725" spans="1:2" x14ac:dyDescent="0.35">
      <c r="A725" t="s">
        <v>724</v>
      </c>
      <c r="B725" s="7" t="s">
        <v>1548</v>
      </c>
    </row>
    <row r="726" spans="1:2" x14ac:dyDescent="0.35">
      <c r="A726" t="s">
        <v>725</v>
      </c>
      <c r="B726" s="7" t="s">
        <v>1549</v>
      </c>
    </row>
    <row r="727" spans="1:2" x14ac:dyDescent="0.35">
      <c r="A727" t="s">
        <v>726</v>
      </c>
      <c r="B727" s="7" t="s">
        <v>1550</v>
      </c>
    </row>
    <row r="728" spans="1:2" x14ac:dyDescent="0.35">
      <c r="A728" t="s">
        <v>727</v>
      </c>
      <c r="B728" s="7" t="s">
        <v>1551</v>
      </c>
    </row>
    <row r="729" spans="1:2" x14ac:dyDescent="0.35">
      <c r="A729" t="s">
        <v>728</v>
      </c>
      <c r="B729" s="7" t="s">
        <v>1552</v>
      </c>
    </row>
    <row r="730" spans="1:2" x14ac:dyDescent="0.35">
      <c r="A730" t="s">
        <v>729</v>
      </c>
      <c r="B730" s="7" t="s">
        <v>1553</v>
      </c>
    </row>
    <row r="731" spans="1:2" x14ac:dyDescent="0.35">
      <c r="A731" t="s">
        <v>730</v>
      </c>
      <c r="B731" s="7" t="s">
        <v>1554</v>
      </c>
    </row>
    <row r="732" spans="1:2" x14ac:dyDescent="0.35">
      <c r="A732" t="s">
        <v>731</v>
      </c>
      <c r="B732" s="7" t="s">
        <v>1555</v>
      </c>
    </row>
    <row r="733" spans="1:2" x14ac:dyDescent="0.35">
      <c r="A733" t="s">
        <v>732</v>
      </c>
      <c r="B733" s="7" t="s">
        <v>1556</v>
      </c>
    </row>
    <row r="734" spans="1:2" x14ac:dyDescent="0.35">
      <c r="A734" t="s">
        <v>733</v>
      </c>
      <c r="B734" s="7" t="s">
        <v>1557</v>
      </c>
    </row>
    <row r="735" spans="1:2" x14ac:dyDescent="0.35">
      <c r="A735" t="s">
        <v>734</v>
      </c>
      <c r="B735" s="7" t="s">
        <v>1558</v>
      </c>
    </row>
    <row r="736" spans="1:2" x14ac:dyDescent="0.35">
      <c r="A736" t="s">
        <v>735</v>
      </c>
      <c r="B736" s="7" t="s">
        <v>1559</v>
      </c>
    </row>
    <row r="737" spans="1:2" x14ac:dyDescent="0.35">
      <c r="A737" t="s">
        <v>736</v>
      </c>
      <c r="B737" s="7" t="s">
        <v>1560</v>
      </c>
    </row>
    <row r="738" spans="1:2" x14ac:dyDescent="0.35">
      <c r="A738" t="s">
        <v>737</v>
      </c>
      <c r="B738" s="7" t="s">
        <v>1561</v>
      </c>
    </row>
    <row r="739" spans="1:2" x14ac:dyDescent="0.35">
      <c r="A739" t="s">
        <v>738</v>
      </c>
      <c r="B739" s="7" t="s">
        <v>1562</v>
      </c>
    </row>
    <row r="740" spans="1:2" x14ac:dyDescent="0.35">
      <c r="A740" t="s">
        <v>739</v>
      </c>
      <c r="B740" s="7" t="s">
        <v>1563</v>
      </c>
    </row>
    <row r="741" spans="1:2" x14ac:dyDescent="0.35">
      <c r="A741" t="s">
        <v>740</v>
      </c>
      <c r="B741" s="7" t="s">
        <v>1564</v>
      </c>
    </row>
    <row r="742" spans="1:2" x14ac:dyDescent="0.35">
      <c r="A742" t="s">
        <v>741</v>
      </c>
      <c r="B742" s="7" t="s">
        <v>1565</v>
      </c>
    </row>
    <row r="743" spans="1:2" x14ac:dyDescent="0.35">
      <c r="A743" t="s">
        <v>742</v>
      </c>
      <c r="B743" s="7" t="s">
        <v>1566</v>
      </c>
    </row>
    <row r="744" spans="1:2" x14ac:dyDescent="0.35">
      <c r="A744" t="s">
        <v>743</v>
      </c>
      <c r="B744" s="7" t="s">
        <v>1567</v>
      </c>
    </row>
    <row r="745" spans="1:2" x14ac:dyDescent="0.35">
      <c r="A745" t="s">
        <v>744</v>
      </c>
      <c r="B745" s="7" t="s">
        <v>1568</v>
      </c>
    </row>
    <row r="746" spans="1:2" x14ac:dyDescent="0.35">
      <c r="A746" t="s">
        <v>745</v>
      </c>
      <c r="B746" s="7" t="s">
        <v>1569</v>
      </c>
    </row>
    <row r="747" spans="1:2" x14ac:dyDescent="0.35">
      <c r="A747" t="s">
        <v>746</v>
      </c>
      <c r="B747" s="7" t="s">
        <v>1570</v>
      </c>
    </row>
    <row r="748" spans="1:2" x14ac:dyDescent="0.35">
      <c r="A748" t="s">
        <v>747</v>
      </c>
      <c r="B748" s="7" t="s">
        <v>1571</v>
      </c>
    </row>
    <row r="749" spans="1:2" x14ac:dyDescent="0.35">
      <c r="A749" t="s">
        <v>748</v>
      </c>
      <c r="B749" s="7" t="s">
        <v>1572</v>
      </c>
    </row>
    <row r="750" spans="1:2" x14ac:dyDescent="0.35">
      <c r="A750" t="s">
        <v>749</v>
      </c>
      <c r="B750" s="7" t="s">
        <v>1573</v>
      </c>
    </row>
    <row r="751" spans="1:2" x14ac:dyDescent="0.35">
      <c r="A751" t="s">
        <v>750</v>
      </c>
      <c r="B751" s="7" t="s">
        <v>1574</v>
      </c>
    </row>
    <row r="752" spans="1:2" x14ac:dyDescent="0.35">
      <c r="A752" t="s">
        <v>751</v>
      </c>
      <c r="B752" s="7" t="s">
        <v>1575</v>
      </c>
    </row>
    <row r="753" spans="1:22" x14ac:dyDescent="0.35">
      <c r="A753" t="s">
        <v>752</v>
      </c>
      <c r="B753" s="7" t="s">
        <v>1576</v>
      </c>
    </row>
    <row r="754" spans="1:22" x14ac:dyDescent="0.35">
      <c r="A754" t="s">
        <v>753</v>
      </c>
      <c r="B754" s="7" t="s">
        <v>1577</v>
      </c>
    </row>
    <row r="755" spans="1:22" x14ac:dyDescent="0.35">
      <c r="A755" t="s">
        <v>754</v>
      </c>
      <c r="B755" s="7" t="s">
        <v>1578</v>
      </c>
    </row>
    <row r="756" spans="1:22" x14ac:dyDescent="0.35">
      <c r="A756" t="s">
        <v>755</v>
      </c>
      <c r="B756" s="7" t="s">
        <v>1579</v>
      </c>
    </row>
    <row r="757" spans="1:22" x14ac:dyDescent="0.35">
      <c r="A757" t="s">
        <v>756</v>
      </c>
      <c r="B757" s="7" t="s">
        <v>1580</v>
      </c>
    </row>
    <row r="758" spans="1:22" x14ac:dyDescent="0.35">
      <c r="A758" t="s">
        <v>757</v>
      </c>
      <c r="B758" s="7" t="s">
        <v>1581</v>
      </c>
    </row>
    <row r="759" spans="1:22" x14ac:dyDescent="0.35">
      <c r="A759" t="s">
        <v>758</v>
      </c>
      <c r="B759" s="7" t="s">
        <v>1582</v>
      </c>
    </row>
    <row r="760" spans="1:22" x14ac:dyDescent="0.35">
      <c r="A760" t="s">
        <v>759</v>
      </c>
      <c r="B760" s="7" t="s">
        <v>1583</v>
      </c>
    </row>
    <row r="761" spans="1:22" x14ac:dyDescent="0.35">
      <c r="A761" t="s">
        <v>760</v>
      </c>
      <c r="B761" s="7" t="s">
        <v>1584</v>
      </c>
    </row>
    <row r="762" spans="1:22" x14ac:dyDescent="0.35">
      <c r="A762" t="s">
        <v>761</v>
      </c>
      <c r="B762" s="7" t="s">
        <v>1585</v>
      </c>
    </row>
    <row r="763" spans="1:22" x14ac:dyDescent="0.35">
      <c r="A763" t="s">
        <v>762</v>
      </c>
      <c r="B763" s="7" t="s">
        <v>1586</v>
      </c>
    </row>
    <row r="764" spans="1:22" x14ac:dyDescent="0.35">
      <c r="A764" t="s">
        <v>47</v>
      </c>
      <c r="B764" s="7" t="s">
        <v>876</v>
      </c>
      <c r="C764">
        <v>19</v>
      </c>
      <c r="D764" t="s">
        <v>3273</v>
      </c>
      <c r="E764" t="s">
        <v>3480</v>
      </c>
      <c r="F764">
        <v>15</v>
      </c>
      <c r="G764" t="s">
        <v>3273</v>
      </c>
      <c r="H764" t="s">
        <v>3480</v>
      </c>
      <c r="U764" s="57">
        <v>44573</v>
      </c>
      <c r="V764" t="s">
        <v>4108</v>
      </c>
    </row>
    <row r="765" spans="1:22" x14ac:dyDescent="0.35">
      <c r="A765" t="s">
        <v>59</v>
      </c>
      <c r="B765" s="7" t="s">
        <v>888</v>
      </c>
      <c r="C765">
        <v>31</v>
      </c>
      <c r="D765" t="s">
        <v>3272</v>
      </c>
      <c r="E765" t="s">
        <v>3480</v>
      </c>
      <c r="F765">
        <v>2.2999999999999998</v>
      </c>
      <c r="G765" t="s">
        <v>3272</v>
      </c>
      <c r="H765" t="s">
        <v>3480</v>
      </c>
      <c r="O765">
        <v>40</v>
      </c>
      <c r="P765" t="s">
        <v>3287</v>
      </c>
      <c r="Q765" t="s">
        <v>3481</v>
      </c>
      <c r="R765">
        <v>19</v>
      </c>
      <c r="S765" t="s">
        <v>3287</v>
      </c>
      <c r="T765" t="s">
        <v>3481</v>
      </c>
      <c r="U765" s="57">
        <v>44573</v>
      </c>
      <c r="V765" t="s">
        <v>4112</v>
      </c>
    </row>
    <row r="766" spans="1:22" x14ac:dyDescent="0.35">
      <c r="A766" t="s">
        <v>765</v>
      </c>
      <c r="B766" s="7" t="s">
        <v>1589</v>
      </c>
    </row>
    <row r="767" spans="1:22" x14ac:dyDescent="0.35">
      <c r="A767" t="s">
        <v>766</v>
      </c>
      <c r="B767" s="7" t="s">
        <v>1590</v>
      </c>
    </row>
    <row r="768" spans="1:22" x14ac:dyDescent="0.35">
      <c r="A768" t="s">
        <v>767</v>
      </c>
      <c r="B768" s="7" t="s">
        <v>1591</v>
      </c>
    </row>
    <row r="769" spans="1:22" x14ac:dyDescent="0.35">
      <c r="A769" t="s">
        <v>768</v>
      </c>
      <c r="B769" s="7" t="s">
        <v>1592</v>
      </c>
    </row>
    <row r="770" spans="1:22" x14ac:dyDescent="0.35">
      <c r="A770" t="s">
        <v>769</v>
      </c>
      <c r="B770" s="7" t="s">
        <v>1593</v>
      </c>
    </row>
    <row r="771" spans="1:22" x14ac:dyDescent="0.35">
      <c r="A771" t="s">
        <v>770</v>
      </c>
      <c r="B771" s="7" t="s">
        <v>1594</v>
      </c>
    </row>
    <row r="772" spans="1:22" x14ac:dyDescent="0.35">
      <c r="A772" t="s">
        <v>771</v>
      </c>
      <c r="B772" s="7" t="s">
        <v>1595</v>
      </c>
    </row>
    <row r="773" spans="1:22" x14ac:dyDescent="0.35">
      <c r="A773" t="s">
        <v>772</v>
      </c>
      <c r="B773" s="7" t="s">
        <v>1596</v>
      </c>
    </row>
    <row r="774" spans="1:22" x14ac:dyDescent="0.35">
      <c r="A774" t="s">
        <v>773</v>
      </c>
      <c r="B774" s="7" t="s">
        <v>1597</v>
      </c>
    </row>
    <row r="775" spans="1:22" x14ac:dyDescent="0.35">
      <c r="A775" t="s">
        <v>774</v>
      </c>
      <c r="B775" s="7" t="s">
        <v>1598</v>
      </c>
    </row>
    <row r="776" spans="1:22" x14ac:dyDescent="0.35">
      <c r="A776" t="s">
        <v>629</v>
      </c>
      <c r="B776" s="7" t="s">
        <v>1453</v>
      </c>
      <c r="C776">
        <v>4700</v>
      </c>
      <c r="D776" t="s">
        <v>3272</v>
      </c>
      <c r="E776" t="s">
        <v>3480</v>
      </c>
      <c r="F776">
        <v>160</v>
      </c>
      <c r="G776" t="s">
        <v>3272</v>
      </c>
      <c r="H776" t="s">
        <v>3480</v>
      </c>
      <c r="U776" s="57">
        <v>44573</v>
      </c>
      <c r="V776" t="s">
        <v>4108</v>
      </c>
    </row>
    <row r="777" spans="1:22" x14ac:dyDescent="0.35">
      <c r="A777" t="s">
        <v>776</v>
      </c>
      <c r="B777" s="7" t="s">
        <v>1600</v>
      </c>
    </row>
    <row r="778" spans="1:22" x14ac:dyDescent="0.35">
      <c r="A778" t="s">
        <v>777</v>
      </c>
      <c r="B778" s="7" t="s">
        <v>1601</v>
      </c>
    </row>
    <row r="779" spans="1:22" x14ac:dyDescent="0.35">
      <c r="A779" t="s">
        <v>778</v>
      </c>
      <c r="B779" s="7" t="s">
        <v>854</v>
      </c>
    </row>
    <row r="780" spans="1:22" x14ac:dyDescent="0.35">
      <c r="A780" s="4" t="s">
        <v>779</v>
      </c>
      <c r="B780" s="7" t="s">
        <v>1602</v>
      </c>
    </row>
    <row r="781" spans="1:22" x14ac:dyDescent="0.35">
      <c r="A781" t="s">
        <v>561</v>
      </c>
      <c r="B781" s="7" t="s">
        <v>1385</v>
      </c>
      <c r="C781">
        <v>1.4E-2</v>
      </c>
      <c r="D781" t="s">
        <v>3275</v>
      </c>
      <c r="E781" t="s">
        <v>3480</v>
      </c>
      <c r="F781">
        <v>1.4E-2</v>
      </c>
      <c r="G781" t="s">
        <v>3273</v>
      </c>
      <c r="H781" t="s">
        <v>3480</v>
      </c>
      <c r="U781" s="57">
        <v>44573</v>
      </c>
      <c r="V781" t="s">
        <v>4108</v>
      </c>
    </row>
    <row r="782" spans="1:22" x14ac:dyDescent="0.35">
      <c r="A782" s="4" t="s">
        <v>780</v>
      </c>
      <c r="B782" s="7" t="s">
        <v>843</v>
      </c>
      <c r="O782">
        <v>937</v>
      </c>
      <c r="P782" t="s">
        <v>3288</v>
      </c>
      <c r="Q782" t="s">
        <v>3481</v>
      </c>
      <c r="R782">
        <v>450</v>
      </c>
      <c r="S782" t="s">
        <v>3288</v>
      </c>
      <c r="T782" t="s">
        <v>3481</v>
      </c>
      <c r="U782" s="57">
        <v>44573</v>
      </c>
      <c r="V782" t="s">
        <v>4115</v>
      </c>
    </row>
    <row r="783" spans="1:22" x14ac:dyDescent="0.35">
      <c r="A783" t="s">
        <v>781</v>
      </c>
      <c r="B783" s="7" t="s">
        <v>1604</v>
      </c>
    </row>
    <row r="784" spans="1:22" x14ac:dyDescent="0.35">
      <c r="A784" s="5" t="s">
        <v>782</v>
      </c>
      <c r="B784" s="7" t="s">
        <v>1605</v>
      </c>
    </row>
    <row r="785" spans="1:21" x14ac:dyDescent="0.35">
      <c r="A785" t="s">
        <v>783</v>
      </c>
      <c r="B785" s="7" t="s">
        <v>1606</v>
      </c>
    </row>
    <row r="786" spans="1:21" x14ac:dyDescent="0.35">
      <c r="A786" t="s">
        <v>784</v>
      </c>
      <c r="B786" s="7" t="s">
        <v>1607</v>
      </c>
    </row>
    <row r="787" spans="1:21" x14ac:dyDescent="0.35">
      <c r="A787" t="s">
        <v>785</v>
      </c>
      <c r="B787" s="7" t="s">
        <v>1608</v>
      </c>
    </row>
    <row r="788" spans="1:21" x14ac:dyDescent="0.35">
      <c r="A788" t="s">
        <v>786</v>
      </c>
      <c r="B788" s="7" t="s">
        <v>1609</v>
      </c>
    </row>
    <row r="789" spans="1:21" x14ac:dyDescent="0.35">
      <c r="A789" s="6" t="s">
        <v>787</v>
      </c>
      <c r="B789" s="7" t="s">
        <v>1610</v>
      </c>
    </row>
    <row r="790" spans="1:21" x14ac:dyDescent="0.35">
      <c r="A790" s="6" t="s">
        <v>788</v>
      </c>
      <c r="B790" t="s">
        <v>1611</v>
      </c>
    </row>
    <row r="791" spans="1:21" x14ac:dyDescent="0.35">
      <c r="A791" t="s">
        <v>789</v>
      </c>
      <c r="B791" s="7" t="s">
        <v>1612</v>
      </c>
    </row>
    <row r="792" spans="1:21" x14ac:dyDescent="0.35">
      <c r="A792" t="s">
        <v>790</v>
      </c>
      <c r="B792" s="7" t="s">
        <v>1613</v>
      </c>
    </row>
    <row r="793" spans="1:21" x14ac:dyDescent="0.35">
      <c r="A793" t="s">
        <v>791</v>
      </c>
      <c r="B793" s="7" t="s">
        <v>1614</v>
      </c>
      <c r="R793">
        <v>7.49</v>
      </c>
      <c r="S793" t="s">
        <v>3287</v>
      </c>
      <c r="T793" t="s">
        <v>3481</v>
      </c>
      <c r="U793" s="57">
        <v>44573</v>
      </c>
    </row>
    <row r="794" spans="1:21" x14ac:dyDescent="0.35">
      <c r="A794" s="6" t="s">
        <v>792</v>
      </c>
      <c r="B794" s="7" t="s">
        <v>1615</v>
      </c>
    </row>
    <row r="795" spans="1:21" x14ac:dyDescent="0.35">
      <c r="A795" s="4" t="s">
        <v>793</v>
      </c>
      <c r="B795" s="4" t="s">
        <v>1616</v>
      </c>
    </row>
    <row r="796" spans="1:21" x14ac:dyDescent="0.35">
      <c r="A796" t="s">
        <v>794</v>
      </c>
      <c r="B796" s="7" t="s">
        <v>1617</v>
      </c>
    </row>
    <row r="797" spans="1:21" x14ac:dyDescent="0.35">
      <c r="A797" t="s">
        <v>795</v>
      </c>
      <c r="B797" s="7" t="s">
        <v>1618</v>
      </c>
    </row>
    <row r="798" spans="1:21" x14ac:dyDescent="0.35">
      <c r="A798" t="s">
        <v>796</v>
      </c>
      <c r="B798" s="7" t="s">
        <v>1619</v>
      </c>
    </row>
    <row r="799" spans="1:21" x14ac:dyDescent="0.35">
      <c r="A799" s="6" t="s">
        <v>797</v>
      </c>
      <c r="B799" s="7" t="s">
        <v>1620</v>
      </c>
    </row>
    <row r="800" spans="1:21" x14ac:dyDescent="0.35">
      <c r="A800" t="s">
        <v>798</v>
      </c>
      <c r="B800" s="7" t="s">
        <v>1621</v>
      </c>
    </row>
    <row r="801" spans="1:2" x14ac:dyDescent="0.35">
      <c r="A801" t="s">
        <v>799</v>
      </c>
      <c r="B801" s="7" t="s">
        <v>1622</v>
      </c>
    </row>
    <row r="802" spans="1:2" x14ac:dyDescent="0.35">
      <c r="A802" t="s">
        <v>800</v>
      </c>
      <c r="B802" s="7" t="s">
        <v>1623</v>
      </c>
    </row>
    <row r="803" spans="1:2" x14ac:dyDescent="0.35">
      <c r="A803" t="s">
        <v>801</v>
      </c>
      <c r="B803" s="7" t="s">
        <v>1624</v>
      </c>
    </row>
    <row r="804" spans="1:2" x14ac:dyDescent="0.35">
      <c r="A804" t="s">
        <v>802</v>
      </c>
      <c r="B804" s="7" t="s">
        <v>1625</v>
      </c>
    </row>
    <row r="805" spans="1:2" x14ac:dyDescent="0.35">
      <c r="A805" t="s">
        <v>803</v>
      </c>
      <c r="B805" s="7" t="s">
        <v>1626</v>
      </c>
    </row>
    <row r="806" spans="1:2" x14ac:dyDescent="0.35">
      <c r="A806" t="s">
        <v>804</v>
      </c>
      <c r="B806" s="7" t="s">
        <v>1627</v>
      </c>
    </row>
    <row r="807" spans="1:2" x14ac:dyDescent="0.35">
      <c r="A807" t="s">
        <v>805</v>
      </c>
      <c r="B807" s="7" t="s">
        <v>1628</v>
      </c>
    </row>
    <row r="808" spans="1:2" x14ac:dyDescent="0.35">
      <c r="A808" t="s">
        <v>806</v>
      </c>
      <c r="B808" s="7" t="s">
        <v>1629</v>
      </c>
    </row>
    <row r="809" spans="1:2" x14ac:dyDescent="0.35">
      <c r="A809" t="s">
        <v>807</v>
      </c>
      <c r="B809" s="7" t="s">
        <v>1630</v>
      </c>
    </row>
    <row r="810" spans="1:2" x14ac:dyDescent="0.35">
      <c r="A810" s="4" t="s">
        <v>808</v>
      </c>
      <c r="B810" t="s">
        <v>1631</v>
      </c>
    </row>
    <row r="811" spans="1:2" x14ac:dyDescent="0.35">
      <c r="A811" t="s">
        <v>809</v>
      </c>
      <c r="B811" s="7" t="s">
        <v>1632</v>
      </c>
    </row>
    <row r="812" spans="1:2" x14ac:dyDescent="0.35">
      <c r="A812" t="s">
        <v>810</v>
      </c>
      <c r="B812" s="7" t="s">
        <v>1633</v>
      </c>
    </row>
    <row r="813" spans="1:2" x14ac:dyDescent="0.35">
      <c r="A813" t="s">
        <v>811</v>
      </c>
      <c r="B813" s="7" t="s">
        <v>1634</v>
      </c>
    </row>
    <row r="814" spans="1:2" x14ac:dyDescent="0.35">
      <c r="A814" s="6" t="s">
        <v>812</v>
      </c>
      <c r="B814" s="7" t="s">
        <v>1635</v>
      </c>
    </row>
    <row r="815" spans="1:2" x14ac:dyDescent="0.35">
      <c r="A815" t="s">
        <v>813</v>
      </c>
      <c r="B815" s="7" t="s">
        <v>1636</v>
      </c>
    </row>
    <row r="816" spans="1:2" x14ac:dyDescent="0.35">
      <c r="A816" t="s">
        <v>814</v>
      </c>
      <c r="B816" s="7" t="s">
        <v>1637</v>
      </c>
    </row>
    <row r="817" spans="1:22" x14ac:dyDescent="0.35">
      <c r="A817" t="s">
        <v>815</v>
      </c>
      <c r="B817" t="s">
        <v>1638</v>
      </c>
    </row>
    <row r="818" spans="1:22" x14ac:dyDescent="0.35">
      <c r="A818" s="6" t="s">
        <v>816</v>
      </c>
      <c r="B818" s="7" t="s">
        <v>1639</v>
      </c>
    </row>
    <row r="819" spans="1:22" x14ac:dyDescent="0.35">
      <c r="A819" s="6" t="s">
        <v>817</v>
      </c>
      <c r="B819" t="s">
        <v>1640</v>
      </c>
    </row>
    <row r="820" spans="1:22" x14ac:dyDescent="0.35">
      <c r="A820" t="s">
        <v>818</v>
      </c>
      <c r="B820" t="s">
        <v>1641</v>
      </c>
    </row>
    <row r="821" spans="1:22" x14ac:dyDescent="0.35">
      <c r="A821" t="s">
        <v>819</v>
      </c>
    </row>
    <row r="822" spans="1:22" x14ac:dyDescent="0.35">
      <c r="A822" t="s">
        <v>820</v>
      </c>
      <c r="B822" s="7" t="s">
        <v>1642</v>
      </c>
    </row>
    <row r="823" spans="1:22" x14ac:dyDescent="0.35">
      <c r="A823" s="6" t="s">
        <v>821</v>
      </c>
      <c r="B823" s="7" t="s">
        <v>1643</v>
      </c>
    </row>
    <row r="824" spans="1:22" x14ac:dyDescent="0.35">
      <c r="A824" t="s">
        <v>822</v>
      </c>
      <c r="B824" s="7" t="s">
        <v>1644</v>
      </c>
    </row>
    <row r="825" spans="1:22" x14ac:dyDescent="0.35">
      <c r="A825" t="s">
        <v>823</v>
      </c>
      <c r="B825" s="7" t="s">
        <v>1645</v>
      </c>
    </row>
    <row r="826" spans="1:22" x14ac:dyDescent="0.35">
      <c r="A826" t="s">
        <v>824</v>
      </c>
      <c r="B826" s="7" t="s">
        <v>1646</v>
      </c>
    </row>
    <row r="827" spans="1:22" x14ac:dyDescent="0.35">
      <c r="A827" s="4" t="s">
        <v>825</v>
      </c>
      <c r="B827" s="7" t="s">
        <v>1647</v>
      </c>
    </row>
    <row r="828" spans="1:22" x14ac:dyDescent="0.35">
      <c r="A828" t="s">
        <v>577</v>
      </c>
      <c r="B828" s="7" t="s">
        <v>1401</v>
      </c>
      <c r="C828">
        <v>42</v>
      </c>
      <c r="D828" t="s">
        <v>3272</v>
      </c>
      <c r="E828" t="s">
        <v>3480</v>
      </c>
      <c r="F828">
        <v>4.5999999999999996</v>
      </c>
      <c r="G828" t="s">
        <v>3272</v>
      </c>
      <c r="H828" t="s">
        <v>3480</v>
      </c>
      <c r="O828">
        <v>21</v>
      </c>
      <c r="P828" t="s">
        <v>3287</v>
      </c>
      <c r="Q828" t="s">
        <v>3481</v>
      </c>
      <c r="R828">
        <v>10</v>
      </c>
      <c r="S828" t="s">
        <v>3287</v>
      </c>
      <c r="T828" t="s">
        <v>3481</v>
      </c>
      <c r="U828" s="57">
        <v>44573</v>
      </c>
      <c r="V828" t="s">
        <v>4112</v>
      </c>
    </row>
    <row r="829" spans="1:22" x14ac:dyDescent="0.35">
      <c r="A829" t="s">
        <v>590</v>
      </c>
      <c r="B829" s="7" t="s">
        <v>1414</v>
      </c>
      <c r="D829" t="s">
        <v>2096</v>
      </c>
      <c r="F829">
        <v>9</v>
      </c>
      <c r="G829" t="s">
        <v>2095</v>
      </c>
      <c r="H829" t="s">
        <v>3480</v>
      </c>
      <c r="U829" s="57">
        <v>44573</v>
      </c>
      <c r="V829" t="s">
        <v>4108</v>
      </c>
    </row>
    <row r="830" spans="1:22" x14ac:dyDescent="0.35">
      <c r="A830" t="s">
        <v>827</v>
      </c>
      <c r="B830" s="7" t="s">
        <v>1649</v>
      </c>
    </row>
    <row r="831" spans="1:22" s="26" customFormat="1" x14ac:dyDescent="0.35">
      <c r="A831" s="26" t="s">
        <v>3325</v>
      </c>
    </row>
    <row r="832" spans="1:22" s="26" customFormat="1" x14ac:dyDescent="0.35">
      <c r="A832" t="s">
        <v>578</v>
      </c>
      <c r="B832" s="7" t="s">
        <v>1402</v>
      </c>
      <c r="C832">
        <v>430</v>
      </c>
      <c r="D832" t="s">
        <v>3272</v>
      </c>
      <c r="E832" t="s">
        <v>3480</v>
      </c>
      <c r="F832">
        <v>53</v>
      </c>
      <c r="G832" t="s">
        <v>3272</v>
      </c>
      <c r="H832" t="s">
        <v>3480</v>
      </c>
      <c r="I832">
        <v>1269</v>
      </c>
      <c r="J832" t="s">
        <v>3284</v>
      </c>
      <c r="K832" t="s">
        <v>3481</v>
      </c>
      <c r="L832">
        <v>332</v>
      </c>
      <c r="M832" t="s">
        <v>3284</v>
      </c>
      <c r="N832" t="s">
        <v>3481</v>
      </c>
      <c r="O832"/>
      <c r="P832"/>
      <c r="Q832"/>
      <c r="R832"/>
      <c r="S832"/>
      <c r="T832"/>
      <c r="U832" s="57">
        <v>44573</v>
      </c>
      <c r="V832" t="s">
        <v>4109</v>
      </c>
    </row>
    <row r="833" spans="1:2" s="26" customFormat="1" x14ac:dyDescent="0.35">
      <c r="A833" s="26" t="s">
        <v>3328</v>
      </c>
      <c r="B833" s="26" t="s">
        <v>3329</v>
      </c>
    </row>
    <row r="834" spans="1:2" s="26" customFormat="1" x14ac:dyDescent="0.35">
      <c r="A834" s="26" t="s">
        <v>3330</v>
      </c>
      <c r="B834" s="26" t="s">
        <v>3331</v>
      </c>
    </row>
    <row r="835" spans="1:2" s="26" customFormat="1" x14ac:dyDescent="0.35">
      <c r="A835" s="26" t="s">
        <v>3332</v>
      </c>
      <c r="B835" s="26" t="s">
        <v>3333</v>
      </c>
    </row>
    <row r="836" spans="1:2" s="26" customFormat="1" x14ac:dyDescent="0.35">
      <c r="A836" s="26" t="s">
        <v>3334</v>
      </c>
      <c r="B836" s="26" t="s">
        <v>867</v>
      </c>
    </row>
    <row r="837" spans="1:2" s="26" customFormat="1" x14ac:dyDescent="0.35">
      <c r="A837" s="26" t="s">
        <v>3335</v>
      </c>
      <c r="B837" s="26" t="s">
        <v>3336</v>
      </c>
    </row>
    <row r="838" spans="1:2" s="26" customFormat="1" x14ac:dyDescent="0.35">
      <c r="A838" s="26" t="s">
        <v>3337</v>
      </c>
      <c r="B838" s="26" t="s">
        <v>1397</v>
      </c>
    </row>
    <row r="839" spans="1:2" s="26" customFormat="1" x14ac:dyDescent="0.35">
      <c r="A839" s="26" t="s">
        <v>3338</v>
      </c>
      <c r="B839" s="26" t="s">
        <v>3339</v>
      </c>
    </row>
    <row r="840" spans="1:2" s="26" customFormat="1" x14ac:dyDescent="0.35">
      <c r="A840" s="26" t="s">
        <v>3340</v>
      </c>
      <c r="B840" s="26" t="s">
        <v>3341</v>
      </c>
    </row>
    <row r="841" spans="1:2" s="26" customFormat="1" x14ac:dyDescent="0.35">
      <c r="A841" s="26" t="s">
        <v>3342</v>
      </c>
      <c r="B841" s="26" t="s">
        <v>3343</v>
      </c>
    </row>
    <row r="842" spans="1:2" s="26" customFormat="1" x14ac:dyDescent="0.35">
      <c r="A842" s="26" t="s">
        <v>1879</v>
      </c>
      <c r="B842" s="26" t="s">
        <v>3344</v>
      </c>
    </row>
    <row r="843" spans="1:2" s="26" customFormat="1" x14ac:dyDescent="0.35">
      <c r="A843" s="26" t="s">
        <v>3345</v>
      </c>
      <c r="B843" s="26" t="s">
        <v>3346</v>
      </c>
    </row>
    <row r="844" spans="1:2" s="26" customFormat="1" x14ac:dyDescent="0.35">
      <c r="A844" s="26" t="s">
        <v>3347</v>
      </c>
      <c r="B844" s="26" t="s">
        <v>3348</v>
      </c>
    </row>
    <row r="845" spans="1:2" s="26" customFormat="1" x14ac:dyDescent="0.35">
      <c r="A845" s="26" t="s">
        <v>3349</v>
      </c>
      <c r="B845" s="26" t="s">
        <v>3350</v>
      </c>
    </row>
    <row r="846" spans="1:2" s="26" customFormat="1" x14ac:dyDescent="0.35">
      <c r="A846" s="26" t="s">
        <v>3351</v>
      </c>
      <c r="B846" s="26" t="s">
        <v>3352</v>
      </c>
    </row>
    <row r="847" spans="1:2" s="26" customFormat="1" x14ac:dyDescent="0.35">
      <c r="A847" s="26" t="s">
        <v>3353</v>
      </c>
      <c r="B847" s="26" t="s">
        <v>3354</v>
      </c>
    </row>
    <row r="848" spans="1:2" s="26" customFormat="1" x14ac:dyDescent="0.35">
      <c r="A848" s="26" t="s">
        <v>3355</v>
      </c>
      <c r="B848" s="26" t="s">
        <v>3356</v>
      </c>
    </row>
    <row r="849" spans="1:22" s="26" customFormat="1" x14ac:dyDescent="0.35">
      <c r="A849" s="26" t="s">
        <v>3357</v>
      </c>
      <c r="B849" s="26" t="s">
        <v>3358</v>
      </c>
    </row>
    <row r="850" spans="1:22" s="26" customFormat="1" x14ac:dyDescent="0.35">
      <c r="A850" s="26" t="s">
        <v>3359</v>
      </c>
      <c r="B850" s="26" t="s">
        <v>3360</v>
      </c>
    </row>
    <row r="851" spans="1:22" s="26" customFormat="1" x14ac:dyDescent="0.35">
      <c r="A851" s="26" t="s">
        <v>3361</v>
      </c>
      <c r="B851" s="26" t="s">
        <v>3362</v>
      </c>
    </row>
    <row r="852" spans="1:22" s="26" customFormat="1" x14ac:dyDescent="0.35">
      <c r="A852" s="26" t="s">
        <v>3363</v>
      </c>
      <c r="B852" s="26" t="s">
        <v>3364</v>
      </c>
    </row>
    <row r="853" spans="1:22" s="26" customFormat="1" x14ac:dyDescent="0.35">
      <c r="A853" s="26" t="s">
        <v>3365</v>
      </c>
      <c r="B853" s="26" t="s">
        <v>3366</v>
      </c>
    </row>
    <row r="854" spans="1:22" s="26" customFormat="1" x14ac:dyDescent="0.35">
      <c r="A854" s="26" t="s">
        <v>3367</v>
      </c>
      <c r="B854" s="26" t="s">
        <v>3368</v>
      </c>
    </row>
    <row r="855" spans="1:22" s="26" customFormat="1" x14ac:dyDescent="0.35">
      <c r="A855" s="26" t="s">
        <v>3369</v>
      </c>
      <c r="B855" s="26" t="s">
        <v>3370</v>
      </c>
    </row>
    <row r="856" spans="1:22" s="26" customFormat="1" x14ac:dyDescent="0.35">
      <c r="A856" s="26" t="s">
        <v>3371</v>
      </c>
      <c r="B856" s="26" t="s">
        <v>3372</v>
      </c>
    </row>
    <row r="857" spans="1:22" s="26" customFormat="1" x14ac:dyDescent="0.35">
      <c r="A857" s="26" t="s">
        <v>3373</v>
      </c>
      <c r="B857" s="26" t="s">
        <v>3374</v>
      </c>
    </row>
    <row r="858" spans="1:22" s="26" customFormat="1" x14ac:dyDescent="0.35">
      <c r="A858" t="s">
        <v>507</v>
      </c>
      <c r="B858" s="7" t="s">
        <v>1331</v>
      </c>
      <c r="C858">
        <v>8.6</v>
      </c>
      <c r="D858" t="s">
        <v>3272</v>
      </c>
      <c r="E858" t="s">
        <v>3480</v>
      </c>
      <c r="F858">
        <v>0.48</v>
      </c>
      <c r="G858" t="s">
        <v>3272</v>
      </c>
      <c r="H858" t="s">
        <v>3480</v>
      </c>
      <c r="I858"/>
      <c r="J858"/>
      <c r="K858"/>
      <c r="L858"/>
      <c r="M858"/>
      <c r="N858"/>
      <c r="O858"/>
      <c r="P858"/>
      <c r="Q858"/>
      <c r="R858"/>
      <c r="S858"/>
      <c r="T858"/>
      <c r="U858" s="57">
        <v>44573</v>
      </c>
      <c r="V858" t="s">
        <v>4108</v>
      </c>
    </row>
    <row r="859" spans="1:22" s="26" customFormat="1" ht="15.5" customHeight="1" x14ac:dyDescent="0.35">
      <c r="A859" s="26" t="s">
        <v>3377</v>
      </c>
      <c r="B859" s="26" t="s">
        <v>3339</v>
      </c>
    </row>
    <row r="860" spans="1:22" s="26" customFormat="1" x14ac:dyDescent="0.35">
      <c r="A860" s="26" t="s">
        <v>3378</v>
      </c>
      <c r="B860" s="26" t="s">
        <v>3341</v>
      </c>
    </row>
    <row r="861" spans="1:22" s="26" customFormat="1" x14ac:dyDescent="0.35">
      <c r="A861" s="26" t="s">
        <v>3379</v>
      </c>
      <c r="B861" s="26" t="s">
        <v>3380</v>
      </c>
    </row>
    <row r="862" spans="1:22" s="26" customFormat="1" x14ac:dyDescent="0.35">
      <c r="A862" s="26" t="s">
        <v>3381</v>
      </c>
      <c r="B862" s="26" t="s">
        <v>3382</v>
      </c>
    </row>
    <row r="863" spans="1:22" s="26" customFormat="1" x14ac:dyDescent="0.35">
      <c r="A863" s="26" t="s">
        <v>3383</v>
      </c>
      <c r="B863" s="26" t="s">
        <v>3384</v>
      </c>
    </row>
    <row r="864" spans="1:22" s="26" customFormat="1" x14ac:dyDescent="0.35">
      <c r="A864" s="26" t="s">
        <v>3385</v>
      </c>
      <c r="B864" s="26" t="s">
        <v>3386</v>
      </c>
    </row>
    <row r="865" spans="1:2" s="26" customFormat="1" x14ac:dyDescent="0.35">
      <c r="A865" s="26" t="s">
        <v>3387</v>
      </c>
      <c r="B865" s="26" t="s">
        <v>3388</v>
      </c>
    </row>
    <row r="866" spans="1:2" s="26" customFormat="1" x14ac:dyDescent="0.35">
      <c r="A866" s="26" t="s">
        <v>3389</v>
      </c>
      <c r="B866" s="26" t="s">
        <v>3390</v>
      </c>
    </row>
    <row r="867" spans="1:2" s="26" customFormat="1" x14ac:dyDescent="0.35">
      <c r="A867" s="26" t="s">
        <v>3391</v>
      </c>
      <c r="B867" s="26" t="s">
        <v>3392</v>
      </c>
    </row>
    <row r="868" spans="1:2" s="26" customFormat="1" x14ac:dyDescent="0.35">
      <c r="A868" s="26" t="s">
        <v>3393</v>
      </c>
      <c r="B868" s="26" t="s">
        <v>3348</v>
      </c>
    </row>
    <row r="869" spans="1:2" s="26" customFormat="1" x14ac:dyDescent="0.35">
      <c r="A869" s="26" t="s">
        <v>3394</v>
      </c>
      <c r="B869" s="26" t="s">
        <v>3395</v>
      </c>
    </row>
    <row r="870" spans="1:2" s="26" customFormat="1" x14ac:dyDescent="0.35">
      <c r="A870" s="26" t="s">
        <v>3396</v>
      </c>
      <c r="B870" s="26" t="s">
        <v>3397</v>
      </c>
    </row>
    <row r="871" spans="1:2" s="26" customFormat="1" x14ac:dyDescent="0.35">
      <c r="A871" s="26" t="s">
        <v>3398</v>
      </c>
      <c r="B871" s="26" t="s">
        <v>3352</v>
      </c>
    </row>
    <row r="872" spans="1:2" s="26" customFormat="1" x14ac:dyDescent="0.35">
      <c r="A872" s="26" t="s">
        <v>3399</v>
      </c>
      <c r="B872" s="26" t="s">
        <v>3400</v>
      </c>
    </row>
    <row r="873" spans="1:2" s="26" customFormat="1" x14ac:dyDescent="0.35">
      <c r="A873" s="26" t="s">
        <v>3401</v>
      </c>
      <c r="B873" s="26" t="s">
        <v>3402</v>
      </c>
    </row>
    <row r="874" spans="1:2" s="26" customFormat="1" x14ac:dyDescent="0.35">
      <c r="A874" s="26" t="s">
        <v>3403</v>
      </c>
      <c r="B874" s="26" t="s">
        <v>3404</v>
      </c>
    </row>
    <row r="875" spans="1:2" s="26" customFormat="1" x14ac:dyDescent="0.35">
      <c r="A875" s="26" t="s">
        <v>3405</v>
      </c>
      <c r="B875" s="26" t="s">
        <v>3406</v>
      </c>
    </row>
    <row r="876" spans="1:2" s="26" customFormat="1" x14ac:dyDescent="0.35">
      <c r="A876" s="26" t="s">
        <v>3407</v>
      </c>
      <c r="B876" s="26" t="s">
        <v>3415</v>
      </c>
    </row>
    <row r="877" spans="1:2" s="26" customFormat="1" x14ac:dyDescent="0.35">
      <c r="A877" s="26" t="s">
        <v>3408</v>
      </c>
      <c r="B877" s="26" t="s">
        <v>3416</v>
      </c>
    </row>
    <row r="878" spans="1:2" s="26" customFormat="1" x14ac:dyDescent="0.35">
      <c r="A878" s="26" t="s">
        <v>3409</v>
      </c>
    </row>
    <row r="879" spans="1:2" s="26" customFormat="1" x14ac:dyDescent="0.35">
      <c r="A879" s="26" t="s">
        <v>3410</v>
      </c>
    </row>
    <row r="880" spans="1:2" s="26" customFormat="1" x14ac:dyDescent="0.35">
      <c r="A880" s="26" t="s">
        <v>3411</v>
      </c>
    </row>
    <row r="881" spans="1:22" s="26" customFormat="1" x14ac:dyDescent="0.35">
      <c r="A881" s="26" t="s">
        <v>3412</v>
      </c>
      <c r="B881" s="26" t="s">
        <v>3417</v>
      </c>
    </row>
    <row r="882" spans="1:22" s="26" customFormat="1" x14ac:dyDescent="0.35">
      <c r="A882" s="26" t="s">
        <v>3413</v>
      </c>
      <c r="B882" s="26" t="s">
        <v>3418</v>
      </c>
    </row>
    <row r="883" spans="1:22" s="26" customFormat="1" x14ac:dyDescent="0.35">
      <c r="A883" t="s">
        <v>612</v>
      </c>
      <c r="B883" s="7" t="s">
        <v>1436</v>
      </c>
      <c r="C883">
        <v>40</v>
      </c>
      <c r="D883" t="s">
        <v>3272</v>
      </c>
      <c r="E883" t="s">
        <v>3480</v>
      </c>
      <c r="F883">
        <v>4</v>
      </c>
      <c r="G883" t="s">
        <v>3272</v>
      </c>
      <c r="H883" t="s">
        <v>3480</v>
      </c>
      <c r="I883"/>
      <c r="J883"/>
      <c r="K883"/>
      <c r="L883"/>
      <c r="M883"/>
      <c r="N883"/>
      <c r="O883"/>
      <c r="P883"/>
      <c r="Q883"/>
      <c r="R883"/>
      <c r="S883"/>
      <c r="T883"/>
      <c r="U883" s="57">
        <v>44573</v>
      </c>
      <c r="V883" t="s">
        <v>4108</v>
      </c>
    </row>
  </sheetData>
  <autoFilter ref="A1:V883" xr:uid="{42F8772D-C6C0-4679-AF6B-1986BF1A7235}">
    <sortState xmlns:xlrd2="http://schemas.microsoft.com/office/spreadsheetml/2017/richdata2" ref="A4:V883">
      <sortCondition ref="B1:B883"/>
    </sortState>
  </autoFilter>
  <hyperlinks>
    <hyperlink ref="A41" r:id="rId1" display="DTXSID5037523" xr:uid="{E6FEC98E-C9D7-4E92-B708-7AD283800847}"/>
    <hyperlink ref="A42" r:id="rId2" display="DTXSID1032482" xr:uid="{05ADD0B6-BB05-45CE-AE93-9DB8384B1A6F}"/>
    <hyperlink ref="A43" r:id="rId3" display="DTXSID4058499" xr:uid="{E45070AB-E6EB-4D70-A7D4-50653D2B822D}"/>
    <hyperlink ref="A44" r:id="rId4" display="DTXSID9037539" xr:uid="{C54E68BE-7448-45E7-A7B5-ADB65653AD3C}"/>
    <hyperlink ref="A45" r:id="rId5" display="DTXSID1032640" xr:uid="{E8F6668D-7C21-4D4B-88EC-2F8206E5EFCC}"/>
    <hyperlink ref="A46" r:id="rId6" display="DTXSID2052736" xr:uid="{84E64FD7-222E-4B9F-94C3-0A19FD90C602}"/>
    <hyperlink ref="A47" r:id="rId7" display="DTXSID6020147" xr:uid="{D7B60F3F-1EB3-4B5C-B422-B405509AD800}"/>
    <hyperlink ref="A48" r:id="rId8" display="DTXSID5020819" xr:uid="{CB7BD40D-AF9B-49CE-8B7B-63A6DC9D4F4D}"/>
    <hyperlink ref="A764" r:id="rId9" display="DTXSID5037571" xr:uid="{B9482E3F-31E4-4C56-AA43-3197E803FC37}"/>
    <hyperlink ref="A50" r:id="rId10" display="DTXSID1023445" xr:uid="{83658CA7-7C4A-4122-9F5F-48847213F35F}"/>
    <hyperlink ref="A51" r:id="rId11" display="DTXSID0020442" xr:uid="{BDC8F1A0-EDDB-427D-A165-FE9DF683989A}"/>
    <hyperlink ref="A193" r:id="rId12" display="DTXSID4024195" xr:uid="{C596629B-2B8D-473B-8918-CF0E007EB5BB}"/>
    <hyperlink ref="A471" r:id="rId13" display="DTXSID2024113" xr:uid="{B442DE7D-6D5C-4F26-8F5A-7F10AD96C447}"/>
    <hyperlink ref="A62" r:id="rId14" display="DTXSID9020322" xr:uid="{2C722130-E4E7-48FD-8AFD-3A38C3E9F6CB}"/>
    <hyperlink ref="A55" r:id="rId15" display="DTXSID9034868" xr:uid="{68766696-968B-43C8-ADB3-0610FA0BCE65}"/>
    <hyperlink ref="A56" r:id="rId16" display="DTXSID2020636" xr:uid="{C68DDAF4-4197-42FA-9DF4-2FEE59821897}"/>
    <hyperlink ref="A57" r:id="rId17" display="DTXSID9024194" xr:uid="{BC42CCFB-6FF7-40F3-A686-F7B93B4566CD}"/>
    <hyperlink ref="A58" r:id="rId18" display="DTXSID5040675" xr:uid="{799B1754-725E-46C2-A7B3-7A41549C396F}"/>
    <hyperlink ref="A59" r:id="rId19" display="DTXSID8023975" xr:uid="{BCD99952-4AE3-46D0-8A9B-6043D4708C7E}"/>
    <hyperlink ref="A60" r:id="rId20" display="DTXSID1024465" xr:uid="{6E05A4F6-3060-4014-BE3C-8330F1483A51}"/>
    <hyperlink ref="A765" r:id="rId21" display="DTXSID6023737" xr:uid="{C889D04F-2DAD-44C1-925D-64FA9FA1BB92}"/>
    <hyperlink ref="A448" r:id="rId22" display="DTXSID40869118" xr:uid="{F42BEB10-6D4A-4334-8F18-8EB38D3104BC}"/>
    <hyperlink ref="A63" r:id="rId23" display="DTXSID5023114" xr:uid="{3C0093FF-6698-43F0-A7A2-D30E027A7E18}"/>
    <hyperlink ref="A64" r:id="rId24" display="DTXSID4020161" xr:uid="{4566B376-5375-4F27-8F7E-4CBDFF0A94F8}"/>
    <hyperlink ref="A65" r:id="rId25" display="DTXSID4020878" xr:uid="{AC6D8B40-ACA5-44AD-B2BC-0CE178730AD6}"/>
    <hyperlink ref="A66" r:id="rId26" display="DTXSID4022658" xr:uid="{D8E28852-B39E-4D1E-85C4-2D921CAB8ACA}"/>
    <hyperlink ref="A67" r:id="rId27" display="DTXSID8020913" xr:uid="{B6C653F8-FC5C-4052-96DA-8836577F1033}"/>
    <hyperlink ref="A68" r:id="rId28" display="DTXSID0023955" xr:uid="{F3B216A2-CC6E-4CD2-BD3C-AEAC44CD1703}"/>
    <hyperlink ref="A69" r:id="rId29" display="DTXSID9020877" xr:uid="{A57C0EE9-F116-4236-83B5-7781767C1841}"/>
  </hyperlinks>
  <pageMargins left="0.7" right="0.7" top="0.75" bottom="0.75" header="0.3" footer="0.3"/>
  <pageSetup orientation="portrait" horizontalDpi="300" verticalDpi="300" r:id="rId3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8AC88C-E0D1-4E2A-BB22-62348F77DEAD}">
  <dimension ref="A1:I902"/>
  <sheetViews>
    <sheetView workbookViewId="0">
      <pane ySplit="1" topLeftCell="A56" activePane="bottomLeft" state="frozen"/>
      <selection pane="bottomLeft" activeCell="H601" sqref="H601"/>
    </sheetView>
  </sheetViews>
  <sheetFormatPr defaultRowHeight="14.5" x14ac:dyDescent="0.35"/>
  <cols>
    <col min="1" max="1" width="12.54296875" customWidth="1"/>
    <col min="2" max="2" width="21.7265625" customWidth="1"/>
    <col min="3" max="3" width="28.1796875" customWidth="1"/>
    <col min="5" max="8" width="29.7265625" customWidth="1"/>
  </cols>
  <sheetData>
    <row r="1" spans="1:9" s="17" customFormat="1" x14ac:dyDescent="0.35">
      <c r="A1" s="17" t="s">
        <v>828</v>
      </c>
      <c r="B1" s="17" t="s">
        <v>1650</v>
      </c>
      <c r="C1" s="17" t="s">
        <v>1694</v>
      </c>
      <c r="D1" s="17" t="s">
        <v>3289</v>
      </c>
      <c r="E1" s="17" t="s">
        <v>1695</v>
      </c>
      <c r="F1" s="17" t="s">
        <v>3290</v>
      </c>
      <c r="G1" s="17" t="s">
        <v>3479</v>
      </c>
      <c r="H1" s="17" t="s">
        <v>4107</v>
      </c>
      <c r="I1" s="17" t="s">
        <v>1696</v>
      </c>
    </row>
    <row r="2" spans="1:9" x14ac:dyDescent="0.35">
      <c r="A2" t="s">
        <v>0</v>
      </c>
      <c r="B2" s="7" t="s">
        <v>829</v>
      </c>
    </row>
    <row r="3" spans="1:9" x14ac:dyDescent="0.35">
      <c r="A3" t="s">
        <v>1</v>
      </c>
      <c r="B3" s="7" t="s">
        <v>830</v>
      </c>
    </row>
    <row r="4" spans="1:9" x14ac:dyDescent="0.35">
      <c r="A4" t="s">
        <v>2</v>
      </c>
      <c r="B4" s="7" t="s">
        <v>831</v>
      </c>
    </row>
    <row r="5" spans="1:9" x14ac:dyDescent="0.35">
      <c r="A5" t="s">
        <v>3</v>
      </c>
      <c r="B5" s="7" t="s">
        <v>832</v>
      </c>
    </row>
    <row r="6" spans="1:9" x14ac:dyDescent="0.35">
      <c r="A6" t="s">
        <v>4</v>
      </c>
      <c r="B6" s="7" t="s">
        <v>833</v>
      </c>
    </row>
    <row r="7" spans="1:9" x14ac:dyDescent="0.35">
      <c r="A7" t="s">
        <v>5</v>
      </c>
      <c r="B7" s="7" t="s">
        <v>834</v>
      </c>
    </row>
    <row r="8" spans="1:9" x14ac:dyDescent="0.35">
      <c r="A8" t="s">
        <v>6</v>
      </c>
      <c r="B8" s="7" t="s">
        <v>835</v>
      </c>
    </row>
    <row r="9" spans="1:9" x14ac:dyDescent="0.35">
      <c r="A9" s="1" t="s">
        <v>7</v>
      </c>
      <c r="B9" s="7" t="s">
        <v>836</v>
      </c>
    </row>
    <row r="10" spans="1:9" x14ac:dyDescent="0.35">
      <c r="A10" t="s">
        <v>8</v>
      </c>
      <c r="B10" s="7" t="s">
        <v>837</v>
      </c>
    </row>
    <row r="11" spans="1:9" x14ac:dyDescent="0.35">
      <c r="A11" t="s">
        <v>9</v>
      </c>
      <c r="B11" s="7" t="s">
        <v>838</v>
      </c>
    </row>
    <row r="12" spans="1:9" x14ac:dyDescent="0.35">
      <c r="A12" t="s">
        <v>10</v>
      </c>
      <c r="B12" s="7" t="s">
        <v>839</v>
      </c>
    </row>
    <row r="13" spans="1:9" x14ac:dyDescent="0.35">
      <c r="A13" t="s">
        <v>11</v>
      </c>
      <c r="B13" s="7" t="s">
        <v>840</v>
      </c>
    </row>
    <row r="14" spans="1:9" x14ac:dyDescent="0.35">
      <c r="A14" t="s">
        <v>12</v>
      </c>
      <c r="B14" s="7" t="s">
        <v>841</v>
      </c>
    </row>
    <row r="15" spans="1:9" x14ac:dyDescent="0.35">
      <c r="A15" t="s">
        <v>13</v>
      </c>
      <c r="B15" s="7" t="s">
        <v>842</v>
      </c>
    </row>
    <row r="16" spans="1:9" x14ac:dyDescent="0.35">
      <c r="A16" t="s">
        <v>14</v>
      </c>
      <c r="B16" s="7" t="s">
        <v>843</v>
      </c>
    </row>
    <row r="17" spans="1:9" x14ac:dyDescent="0.35">
      <c r="A17" t="s">
        <v>15</v>
      </c>
      <c r="B17" s="7" t="s">
        <v>844</v>
      </c>
    </row>
    <row r="18" spans="1:9" x14ac:dyDescent="0.35">
      <c r="A18" t="s">
        <v>16</v>
      </c>
      <c r="B18" s="7" t="s">
        <v>845</v>
      </c>
    </row>
    <row r="19" spans="1:9" x14ac:dyDescent="0.35">
      <c r="A19" t="s">
        <v>17</v>
      </c>
      <c r="B19" s="7" t="s">
        <v>846</v>
      </c>
    </row>
    <row r="20" spans="1:9" x14ac:dyDescent="0.35">
      <c r="A20" t="s">
        <v>18</v>
      </c>
      <c r="B20" s="7" t="s">
        <v>847</v>
      </c>
    </row>
    <row r="21" spans="1:9" x14ac:dyDescent="0.35">
      <c r="A21" t="s">
        <v>19</v>
      </c>
      <c r="B21" s="7" t="s">
        <v>848</v>
      </c>
      <c r="E21">
        <v>4</v>
      </c>
      <c r="F21" t="s">
        <v>3293</v>
      </c>
      <c r="G21" t="s">
        <v>3480</v>
      </c>
      <c r="H21" s="57">
        <v>44574</v>
      </c>
      <c r="I21" t="s">
        <v>1720</v>
      </c>
    </row>
    <row r="22" spans="1:9" x14ac:dyDescent="0.35">
      <c r="A22" t="s">
        <v>20</v>
      </c>
      <c r="B22" s="7" t="s">
        <v>849</v>
      </c>
      <c r="E22">
        <v>2.6</v>
      </c>
      <c r="F22" t="s">
        <v>3293</v>
      </c>
      <c r="G22" t="s">
        <v>3480</v>
      </c>
      <c r="H22" s="57">
        <v>44579</v>
      </c>
      <c r="I22" t="s">
        <v>1720</v>
      </c>
    </row>
    <row r="23" spans="1:9" x14ac:dyDescent="0.35">
      <c r="A23" t="s">
        <v>21</v>
      </c>
      <c r="B23" s="7" t="s">
        <v>850</v>
      </c>
    </row>
    <row r="24" spans="1:9" x14ac:dyDescent="0.35">
      <c r="A24" t="s">
        <v>22</v>
      </c>
      <c r="B24" s="7" t="s">
        <v>851</v>
      </c>
    </row>
    <row r="25" spans="1:9" x14ac:dyDescent="0.35">
      <c r="A25" t="s">
        <v>23</v>
      </c>
      <c r="B25" s="7" t="s">
        <v>852</v>
      </c>
    </row>
    <row r="26" spans="1:9" x14ac:dyDescent="0.35">
      <c r="A26" t="s">
        <v>24</v>
      </c>
      <c r="B26" s="7" t="s">
        <v>853</v>
      </c>
    </row>
    <row r="27" spans="1:9" x14ac:dyDescent="0.35">
      <c r="A27" t="s">
        <v>25</v>
      </c>
      <c r="B27" s="7" t="s">
        <v>854</v>
      </c>
    </row>
    <row r="28" spans="1:9" x14ac:dyDescent="0.35">
      <c r="A28" t="s">
        <v>26</v>
      </c>
      <c r="B28" s="7" t="s">
        <v>855</v>
      </c>
    </row>
    <row r="29" spans="1:9" x14ac:dyDescent="0.35">
      <c r="A29" t="s">
        <v>27</v>
      </c>
      <c r="B29" s="7" t="s">
        <v>856</v>
      </c>
    </row>
    <row r="30" spans="1:9" x14ac:dyDescent="0.35">
      <c r="A30" t="s">
        <v>28</v>
      </c>
      <c r="B30" s="7" t="s">
        <v>857</v>
      </c>
    </row>
    <row r="31" spans="1:9" x14ac:dyDescent="0.35">
      <c r="A31" t="s">
        <v>29</v>
      </c>
      <c r="B31" s="7" t="s">
        <v>858</v>
      </c>
    </row>
    <row r="32" spans="1:9" x14ac:dyDescent="0.35">
      <c r="A32" t="s">
        <v>30</v>
      </c>
      <c r="B32" s="7" t="s">
        <v>859</v>
      </c>
    </row>
    <row r="33" spans="1:9" x14ac:dyDescent="0.35">
      <c r="A33" t="s">
        <v>31</v>
      </c>
      <c r="B33" s="7" t="s">
        <v>860</v>
      </c>
    </row>
    <row r="34" spans="1:9" x14ac:dyDescent="0.35">
      <c r="A34" t="s">
        <v>32</v>
      </c>
      <c r="B34" s="7" t="s">
        <v>861</v>
      </c>
      <c r="E34">
        <v>14</v>
      </c>
      <c r="F34" t="s">
        <v>3310</v>
      </c>
      <c r="G34" t="s">
        <v>3480</v>
      </c>
      <c r="H34" s="57">
        <v>44579</v>
      </c>
      <c r="I34" t="s">
        <v>1720</v>
      </c>
    </row>
    <row r="35" spans="1:9" x14ac:dyDescent="0.35">
      <c r="A35" t="s">
        <v>33</v>
      </c>
      <c r="B35" s="7" t="s">
        <v>862</v>
      </c>
      <c r="E35">
        <v>330</v>
      </c>
      <c r="F35" t="s">
        <v>3298</v>
      </c>
      <c r="G35" t="s">
        <v>3480</v>
      </c>
      <c r="H35" s="57">
        <v>44580</v>
      </c>
      <c r="I35" t="s">
        <v>1720</v>
      </c>
    </row>
    <row r="36" spans="1:9" x14ac:dyDescent="0.35">
      <c r="A36" t="s">
        <v>34</v>
      </c>
      <c r="B36" s="7" t="s">
        <v>863</v>
      </c>
    </row>
    <row r="37" spans="1:9" x14ac:dyDescent="0.35">
      <c r="A37" t="s">
        <v>561</v>
      </c>
      <c r="B37" s="7" t="s">
        <v>1385</v>
      </c>
      <c r="C37">
        <v>0.03</v>
      </c>
      <c r="D37" s="13" t="s">
        <v>3306</v>
      </c>
      <c r="E37">
        <v>1.4E-2</v>
      </c>
      <c r="G37" t="s">
        <v>3480</v>
      </c>
      <c r="H37" s="57">
        <v>44580</v>
      </c>
      <c r="I37" t="s">
        <v>1720</v>
      </c>
    </row>
    <row r="38" spans="1:9" x14ac:dyDescent="0.35">
      <c r="A38" t="s">
        <v>36</v>
      </c>
      <c r="B38" s="7" t="s">
        <v>865</v>
      </c>
    </row>
    <row r="39" spans="1:9" x14ac:dyDescent="0.35">
      <c r="A39" t="s">
        <v>379</v>
      </c>
      <c r="B39" s="7" t="s">
        <v>1203</v>
      </c>
      <c r="C39">
        <v>8.3000000000000004E-2</v>
      </c>
      <c r="D39" t="s">
        <v>3303</v>
      </c>
      <c r="E39">
        <v>4.1000000000000002E-2</v>
      </c>
      <c r="G39" t="s">
        <v>3480</v>
      </c>
      <c r="H39" s="57">
        <v>44579</v>
      </c>
      <c r="I39" t="s">
        <v>1720</v>
      </c>
    </row>
    <row r="40" spans="1:9" x14ac:dyDescent="0.35">
      <c r="A40" s="1" t="s">
        <v>38</v>
      </c>
      <c r="B40" s="7" t="s">
        <v>867</v>
      </c>
    </row>
    <row r="41" spans="1:9" x14ac:dyDescent="0.35">
      <c r="A41" t="s">
        <v>39</v>
      </c>
      <c r="B41" s="7" t="s">
        <v>868</v>
      </c>
    </row>
    <row r="42" spans="1:9" x14ac:dyDescent="0.35">
      <c r="A42" t="s">
        <v>40</v>
      </c>
      <c r="B42" s="7" t="s">
        <v>869</v>
      </c>
    </row>
    <row r="43" spans="1:9" x14ac:dyDescent="0.35">
      <c r="A43" t="s">
        <v>41</v>
      </c>
      <c r="B43" s="7" t="s">
        <v>870</v>
      </c>
    </row>
    <row r="44" spans="1:9" x14ac:dyDescent="0.35">
      <c r="A44" t="s">
        <v>42</v>
      </c>
      <c r="B44" s="7" t="s">
        <v>871</v>
      </c>
    </row>
    <row r="45" spans="1:9" x14ac:dyDescent="0.35">
      <c r="A45" t="s">
        <v>43</v>
      </c>
      <c r="B45" s="7" t="s">
        <v>872</v>
      </c>
    </row>
    <row r="46" spans="1:9" x14ac:dyDescent="0.35">
      <c r="A46" t="s">
        <v>44</v>
      </c>
      <c r="B46" s="7" t="s">
        <v>873</v>
      </c>
    </row>
    <row r="47" spans="1:9" x14ac:dyDescent="0.35">
      <c r="A47" t="s">
        <v>45</v>
      </c>
      <c r="B47" s="7" t="s">
        <v>874</v>
      </c>
    </row>
    <row r="48" spans="1:9" x14ac:dyDescent="0.35">
      <c r="A48" t="s">
        <v>46</v>
      </c>
      <c r="B48" s="7" t="s">
        <v>875</v>
      </c>
    </row>
    <row r="49" spans="1:9" x14ac:dyDescent="0.35">
      <c r="A49" t="s">
        <v>142</v>
      </c>
      <c r="B49" s="7" t="s">
        <v>971</v>
      </c>
      <c r="C49">
        <v>8.5999999999999993E-2</v>
      </c>
      <c r="E49">
        <v>3.5999999999999997E-2</v>
      </c>
      <c r="G49" t="s">
        <v>3480</v>
      </c>
      <c r="H49" s="57">
        <v>44580</v>
      </c>
      <c r="I49" t="s">
        <v>1720</v>
      </c>
    </row>
    <row r="50" spans="1:9" x14ac:dyDescent="0.35">
      <c r="A50" t="s">
        <v>48</v>
      </c>
      <c r="B50" s="7" t="s">
        <v>877</v>
      </c>
    </row>
    <row r="51" spans="1:9" x14ac:dyDescent="0.35">
      <c r="A51" t="s">
        <v>49</v>
      </c>
      <c r="B51" s="7" t="s">
        <v>878</v>
      </c>
    </row>
    <row r="52" spans="1:9" x14ac:dyDescent="0.35">
      <c r="A52" t="s">
        <v>50</v>
      </c>
      <c r="B52" s="7" t="s">
        <v>879</v>
      </c>
    </row>
    <row r="53" spans="1:9" x14ac:dyDescent="0.35">
      <c r="A53" t="s">
        <v>349</v>
      </c>
      <c r="B53" s="7" t="s">
        <v>1173</v>
      </c>
      <c r="C53">
        <v>0.17</v>
      </c>
      <c r="E53">
        <v>0.17</v>
      </c>
      <c r="G53" t="s">
        <v>3480</v>
      </c>
      <c r="H53" s="57">
        <v>44579</v>
      </c>
      <c r="I53" t="s">
        <v>1720</v>
      </c>
    </row>
    <row r="54" spans="1:9" x14ac:dyDescent="0.35">
      <c r="A54" t="s">
        <v>52</v>
      </c>
      <c r="B54" s="7" t="s">
        <v>881</v>
      </c>
      <c r="E54">
        <v>0.01</v>
      </c>
      <c r="G54" t="s">
        <v>3480</v>
      </c>
      <c r="H54" s="57">
        <v>44611</v>
      </c>
      <c r="I54" t="s">
        <v>1720</v>
      </c>
    </row>
    <row r="55" spans="1:9" x14ac:dyDescent="0.35">
      <c r="A55" t="s">
        <v>53</v>
      </c>
      <c r="B55" s="7" t="s">
        <v>882</v>
      </c>
    </row>
    <row r="56" spans="1:9" x14ac:dyDescent="0.35">
      <c r="A56" t="s">
        <v>54</v>
      </c>
      <c r="B56" s="7" t="s">
        <v>883</v>
      </c>
    </row>
    <row r="57" spans="1:9" x14ac:dyDescent="0.35">
      <c r="A57" t="s">
        <v>55</v>
      </c>
      <c r="B57" s="7" t="s">
        <v>884</v>
      </c>
    </row>
    <row r="58" spans="1:9" x14ac:dyDescent="0.35">
      <c r="A58" t="s">
        <v>56</v>
      </c>
      <c r="B58" s="7" t="s">
        <v>885</v>
      </c>
    </row>
    <row r="59" spans="1:9" x14ac:dyDescent="0.35">
      <c r="A59" t="s">
        <v>57</v>
      </c>
      <c r="B59" s="7" t="s">
        <v>886</v>
      </c>
    </row>
    <row r="60" spans="1:9" x14ac:dyDescent="0.35">
      <c r="A60" t="s">
        <v>58</v>
      </c>
      <c r="B60" s="7" t="s">
        <v>887</v>
      </c>
    </row>
    <row r="61" spans="1:9" x14ac:dyDescent="0.35">
      <c r="A61" t="s">
        <v>52</v>
      </c>
      <c r="B61" s="7" t="s">
        <v>881</v>
      </c>
      <c r="E61">
        <v>0.02</v>
      </c>
      <c r="F61" t="s">
        <v>3306</v>
      </c>
      <c r="G61" t="s">
        <v>3480</v>
      </c>
      <c r="H61" s="57">
        <v>44611</v>
      </c>
      <c r="I61" t="s">
        <v>1720</v>
      </c>
    </row>
    <row r="62" spans="1:9" x14ac:dyDescent="0.35">
      <c r="A62" t="s">
        <v>139</v>
      </c>
      <c r="B62" s="7" t="s">
        <v>968</v>
      </c>
      <c r="C62">
        <v>0.19</v>
      </c>
      <c r="D62" t="s">
        <v>3292</v>
      </c>
      <c r="E62">
        <v>1.0999999999999999E-2</v>
      </c>
      <c r="F62" t="s">
        <v>3292</v>
      </c>
      <c r="G62" t="s">
        <v>3480</v>
      </c>
      <c r="H62" s="57">
        <v>44579</v>
      </c>
      <c r="I62" t="s">
        <v>1720</v>
      </c>
    </row>
    <row r="63" spans="1:9" x14ac:dyDescent="0.35">
      <c r="A63" t="s">
        <v>286</v>
      </c>
      <c r="B63" s="7" t="s">
        <v>1111</v>
      </c>
      <c r="C63">
        <v>0.24</v>
      </c>
      <c r="D63" t="s">
        <v>3292</v>
      </c>
      <c r="E63">
        <v>1.4E-2</v>
      </c>
      <c r="F63" t="s">
        <v>3297</v>
      </c>
      <c r="G63" t="s">
        <v>3480</v>
      </c>
      <c r="H63" s="57">
        <v>44579</v>
      </c>
      <c r="I63" t="s">
        <v>1720</v>
      </c>
    </row>
    <row r="64" spans="1:9" x14ac:dyDescent="0.35">
      <c r="A64" t="s">
        <v>190</v>
      </c>
      <c r="B64" s="7" t="s">
        <v>1018</v>
      </c>
      <c r="C64">
        <v>0.24</v>
      </c>
      <c r="E64">
        <v>5.6000000000000001E-2</v>
      </c>
      <c r="G64" t="s">
        <v>3480</v>
      </c>
      <c r="H64" s="57">
        <v>44579</v>
      </c>
      <c r="I64" t="s">
        <v>1720</v>
      </c>
    </row>
    <row r="65" spans="1:9" x14ac:dyDescent="0.35">
      <c r="A65" t="s">
        <v>61</v>
      </c>
      <c r="B65" s="7" t="s">
        <v>890</v>
      </c>
    </row>
    <row r="66" spans="1:9" x14ac:dyDescent="0.35">
      <c r="A66" t="s">
        <v>62</v>
      </c>
      <c r="B66" s="7" t="s">
        <v>891</v>
      </c>
    </row>
    <row r="67" spans="1:9" x14ac:dyDescent="0.35">
      <c r="A67" t="s">
        <v>63</v>
      </c>
      <c r="B67" s="7" t="s">
        <v>892</v>
      </c>
    </row>
    <row r="68" spans="1:9" x14ac:dyDescent="0.35">
      <c r="A68" t="s">
        <v>64</v>
      </c>
      <c r="B68" s="7" t="s">
        <v>893</v>
      </c>
    </row>
    <row r="69" spans="1:9" x14ac:dyDescent="0.35">
      <c r="A69" t="s">
        <v>65</v>
      </c>
      <c r="B69" s="7" t="s">
        <v>894</v>
      </c>
    </row>
    <row r="70" spans="1:9" x14ac:dyDescent="0.35">
      <c r="A70" t="s">
        <v>66</v>
      </c>
      <c r="B70" s="7" t="s">
        <v>895</v>
      </c>
    </row>
    <row r="71" spans="1:9" x14ac:dyDescent="0.35">
      <c r="A71" t="s">
        <v>67</v>
      </c>
      <c r="B71" s="7" t="s">
        <v>896</v>
      </c>
    </row>
    <row r="72" spans="1:9" x14ac:dyDescent="0.35">
      <c r="A72" t="s">
        <v>68</v>
      </c>
      <c r="B72" s="7" t="s">
        <v>897</v>
      </c>
    </row>
    <row r="73" spans="1:9" x14ac:dyDescent="0.35">
      <c r="A73" t="s">
        <v>69</v>
      </c>
      <c r="B73" s="7" t="s">
        <v>898</v>
      </c>
    </row>
    <row r="74" spans="1:9" x14ac:dyDescent="0.35">
      <c r="A74" t="s">
        <v>70</v>
      </c>
      <c r="B74" s="7" t="s">
        <v>899</v>
      </c>
    </row>
    <row r="75" spans="1:9" x14ac:dyDescent="0.35">
      <c r="A75" t="s">
        <v>71</v>
      </c>
      <c r="B75" s="7" t="s">
        <v>900</v>
      </c>
    </row>
    <row r="76" spans="1:9" x14ac:dyDescent="0.35">
      <c r="A76" t="s">
        <v>72</v>
      </c>
      <c r="B76" s="7" t="s">
        <v>901</v>
      </c>
    </row>
    <row r="77" spans="1:9" x14ac:dyDescent="0.35">
      <c r="A77" t="s">
        <v>73</v>
      </c>
      <c r="B77" s="7" t="s">
        <v>902</v>
      </c>
    </row>
    <row r="78" spans="1:9" x14ac:dyDescent="0.35">
      <c r="A78" t="s">
        <v>74</v>
      </c>
      <c r="B78" s="7" t="s">
        <v>903</v>
      </c>
    </row>
    <row r="79" spans="1:9" x14ac:dyDescent="0.35">
      <c r="A79" t="s">
        <v>115</v>
      </c>
      <c r="B79" s="7" t="s">
        <v>944</v>
      </c>
      <c r="C79">
        <v>0.26</v>
      </c>
      <c r="D79" t="s">
        <v>3301</v>
      </c>
      <c r="E79">
        <v>1.9E-3</v>
      </c>
      <c r="F79" t="s">
        <v>3301</v>
      </c>
      <c r="G79" t="s">
        <v>3480</v>
      </c>
      <c r="H79" s="57">
        <v>44611</v>
      </c>
      <c r="I79" t="s">
        <v>1720</v>
      </c>
    </row>
    <row r="80" spans="1:9" x14ac:dyDescent="0.35">
      <c r="A80" t="s">
        <v>647</v>
      </c>
      <c r="B80" s="7" t="s">
        <v>1471</v>
      </c>
      <c r="C80">
        <v>0.26</v>
      </c>
      <c r="D80" t="s">
        <v>3309</v>
      </c>
      <c r="E80">
        <v>1.9E-3</v>
      </c>
      <c r="F80" t="s">
        <v>3309</v>
      </c>
      <c r="G80" t="s">
        <v>3480</v>
      </c>
      <c r="H80" s="57">
        <v>44580</v>
      </c>
      <c r="I80" t="s">
        <v>1720</v>
      </c>
    </row>
    <row r="81" spans="1:2" x14ac:dyDescent="0.35">
      <c r="A81" t="s">
        <v>76</v>
      </c>
      <c r="B81" s="7" t="s">
        <v>905</v>
      </c>
    </row>
    <row r="82" spans="1:2" x14ac:dyDescent="0.35">
      <c r="A82" t="s">
        <v>77</v>
      </c>
      <c r="B82" s="7" t="s">
        <v>906</v>
      </c>
    </row>
    <row r="83" spans="1:2" x14ac:dyDescent="0.35">
      <c r="A83" t="s">
        <v>78</v>
      </c>
      <c r="B83" s="7" t="s">
        <v>907</v>
      </c>
    </row>
    <row r="84" spans="1:2" x14ac:dyDescent="0.35">
      <c r="A84" t="s">
        <v>79</v>
      </c>
      <c r="B84" s="7" t="s">
        <v>908</v>
      </c>
    </row>
    <row r="85" spans="1:2" x14ac:dyDescent="0.35">
      <c r="A85" t="s">
        <v>80</v>
      </c>
      <c r="B85" s="7" t="s">
        <v>909</v>
      </c>
    </row>
    <row r="86" spans="1:2" x14ac:dyDescent="0.35">
      <c r="A86" t="s">
        <v>81</v>
      </c>
      <c r="B86" s="7" t="s">
        <v>910</v>
      </c>
    </row>
    <row r="87" spans="1:2" x14ac:dyDescent="0.35">
      <c r="A87" t="s">
        <v>82</v>
      </c>
      <c r="B87" s="7" t="s">
        <v>911</v>
      </c>
    </row>
    <row r="88" spans="1:2" x14ac:dyDescent="0.35">
      <c r="A88" t="s">
        <v>83</v>
      </c>
      <c r="B88" s="7" t="s">
        <v>912</v>
      </c>
    </row>
    <row r="89" spans="1:2" x14ac:dyDescent="0.35">
      <c r="A89" t="s">
        <v>84</v>
      </c>
      <c r="B89" s="7" t="s">
        <v>913</v>
      </c>
    </row>
    <row r="90" spans="1:2" x14ac:dyDescent="0.35">
      <c r="A90" t="s">
        <v>85</v>
      </c>
      <c r="B90" s="7" t="s">
        <v>914</v>
      </c>
    </row>
    <row r="91" spans="1:2" x14ac:dyDescent="0.35">
      <c r="A91" t="s">
        <v>86</v>
      </c>
      <c r="B91" s="7" t="s">
        <v>915</v>
      </c>
    </row>
    <row r="92" spans="1:2" x14ac:dyDescent="0.35">
      <c r="A92" t="s">
        <v>87</v>
      </c>
      <c r="B92" s="7" t="s">
        <v>916</v>
      </c>
    </row>
    <row r="93" spans="1:2" x14ac:dyDescent="0.35">
      <c r="A93" t="s">
        <v>88</v>
      </c>
      <c r="B93" s="7" t="s">
        <v>917</v>
      </c>
    </row>
    <row r="94" spans="1:2" x14ac:dyDescent="0.35">
      <c r="A94" t="s">
        <v>89</v>
      </c>
      <c r="B94" s="7" t="s">
        <v>918</v>
      </c>
    </row>
    <row r="95" spans="1:2" x14ac:dyDescent="0.35">
      <c r="A95" t="s">
        <v>90</v>
      </c>
      <c r="B95" s="7" t="s">
        <v>919</v>
      </c>
    </row>
    <row r="96" spans="1:2" x14ac:dyDescent="0.35">
      <c r="A96" t="s">
        <v>91</v>
      </c>
      <c r="B96" s="7" t="s">
        <v>920</v>
      </c>
    </row>
    <row r="97" spans="1:9" x14ac:dyDescent="0.35">
      <c r="A97" t="s">
        <v>92</v>
      </c>
      <c r="B97" s="7" t="s">
        <v>921</v>
      </c>
    </row>
    <row r="98" spans="1:9" x14ac:dyDescent="0.35">
      <c r="A98" t="s">
        <v>93</v>
      </c>
      <c r="B98" s="7" t="s">
        <v>922</v>
      </c>
    </row>
    <row r="99" spans="1:9" x14ac:dyDescent="0.35">
      <c r="A99" t="s">
        <v>233</v>
      </c>
      <c r="B99" s="7" t="s">
        <v>1060</v>
      </c>
      <c r="C99">
        <v>0.49</v>
      </c>
      <c r="D99" t="s">
        <v>3292</v>
      </c>
      <c r="E99">
        <v>2.7E-2</v>
      </c>
      <c r="F99" t="s">
        <v>3292</v>
      </c>
      <c r="G99" t="s">
        <v>3480</v>
      </c>
      <c r="H99" s="57">
        <v>44579</v>
      </c>
      <c r="I99" t="s">
        <v>1720</v>
      </c>
    </row>
    <row r="100" spans="1:9" x14ac:dyDescent="0.35">
      <c r="A100" t="s">
        <v>95</v>
      </c>
      <c r="B100" s="7" t="s">
        <v>924</v>
      </c>
    </row>
    <row r="101" spans="1:9" x14ac:dyDescent="0.35">
      <c r="A101" t="s">
        <v>96</v>
      </c>
      <c r="B101" s="7" t="s">
        <v>925</v>
      </c>
    </row>
    <row r="102" spans="1:9" x14ac:dyDescent="0.35">
      <c r="A102" t="s">
        <v>97</v>
      </c>
      <c r="B102" s="7" t="s">
        <v>926</v>
      </c>
    </row>
    <row r="103" spans="1:9" x14ac:dyDescent="0.35">
      <c r="A103" t="s">
        <v>98</v>
      </c>
      <c r="B103" s="7" t="s">
        <v>927</v>
      </c>
    </row>
    <row r="104" spans="1:9" x14ac:dyDescent="0.35">
      <c r="A104" t="s">
        <v>99</v>
      </c>
      <c r="B104" s="7" t="s">
        <v>928</v>
      </c>
    </row>
    <row r="105" spans="1:9" x14ac:dyDescent="0.35">
      <c r="A105" t="s">
        <v>100</v>
      </c>
      <c r="B105" s="7" t="s">
        <v>929</v>
      </c>
    </row>
    <row r="106" spans="1:9" x14ac:dyDescent="0.35">
      <c r="A106" t="s">
        <v>101</v>
      </c>
      <c r="B106" s="7" t="s">
        <v>930</v>
      </c>
    </row>
    <row r="107" spans="1:9" x14ac:dyDescent="0.35">
      <c r="A107" t="s">
        <v>102</v>
      </c>
      <c r="B107" s="7" t="s">
        <v>931</v>
      </c>
    </row>
    <row r="108" spans="1:9" x14ac:dyDescent="0.35">
      <c r="A108" t="s">
        <v>103</v>
      </c>
      <c r="B108" s="7" t="s">
        <v>932</v>
      </c>
    </row>
    <row r="109" spans="1:9" x14ac:dyDescent="0.35">
      <c r="A109" t="s">
        <v>104</v>
      </c>
      <c r="B109" s="7" t="s">
        <v>933</v>
      </c>
    </row>
    <row r="110" spans="1:9" x14ac:dyDescent="0.35">
      <c r="A110" t="s">
        <v>105</v>
      </c>
      <c r="B110" s="7" t="s">
        <v>934</v>
      </c>
    </row>
    <row r="111" spans="1:9" x14ac:dyDescent="0.35">
      <c r="A111" t="s">
        <v>106</v>
      </c>
      <c r="B111" s="7" t="s">
        <v>935</v>
      </c>
    </row>
    <row r="112" spans="1:9" x14ac:dyDescent="0.35">
      <c r="A112" t="s">
        <v>107</v>
      </c>
      <c r="B112" s="7" t="s">
        <v>936</v>
      </c>
    </row>
    <row r="113" spans="1:9" x14ac:dyDescent="0.35">
      <c r="A113" t="s">
        <v>108</v>
      </c>
      <c r="B113" s="7" t="s">
        <v>937</v>
      </c>
    </row>
    <row r="114" spans="1:9" x14ac:dyDescent="0.35">
      <c r="A114" t="s">
        <v>109</v>
      </c>
      <c r="B114" s="7" t="s">
        <v>938</v>
      </c>
    </row>
    <row r="115" spans="1:9" x14ac:dyDescent="0.35">
      <c r="A115" t="s">
        <v>110</v>
      </c>
      <c r="B115" s="7" t="s">
        <v>939</v>
      </c>
    </row>
    <row r="116" spans="1:9" x14ac:dyDescent="0.35">
      <c r="A116" t="s">
        <v>111</v>
      </c>
      <c r="B116" s="7" t="s">
        <v>940</v>
      </c>
    </row>
    <row r="117" spans="1:9" x14ac:dyDescent="0.35">
      <c r="A117" t="s">
        <v>112</v>
      </c>
      <c r="B117" s="7" t="s">
        <v>941</v>
      </c>
    </row>
    <row r="118" spans="1:9" x14ac:dyDescent="0.35">
      <c r="A118" t="s">
        <v>113</v>
      </c>
      <c r="B118" s="7" t="s">
        <v>942</v>
      </c>
    </row>
    <row r="119" spans="1:9" x14ac:dyDescent="0.35">
      <c r="A119" t="s">
        <v>114</v>
      </c>
      <c r="B119" s="7" t="s">
        <v>943</v>
      </c>
    </row>
    <row r="120" spans="1:9" x14ac:dyDescent="0.35">
      <c r="A120" t="s">
        <v>287</v>
      </c>
      <c r="B120" s="7" t="s">
        <v>1112</v>
      </c>
      <c r="C120">
        <v>0.55000000000000004</v>
      </c>
      <c r="D120" t="s">
        <v>3301</v>
      </c>
      <c r="E120">
        <v>5.0000000000000001E-4</v>
      </c>
      <c r="F120" t="s">
        <v>3301</v>
      </c>
      <c r="G120" t="s">
        <v>3480</v>
      </c>
      <c r="H120" s="57">
        <v>44579</v>
      </c>
      <c r="I120" t="s">
        <v>1720</v>
      </c>
    </row>
    <row r="121" spans="1:9" x14ac:dyDescent="0.35">
      <c r="A121" t="s">
        <v>561</v>
      </c>
      <c r="B121" s="7" t="s">
        <v>1385</v>
      </c>
      <c r="C121">
        <v>0.6</v>
      </c>
      <c r="D121" t="s">
        <v>3303</v>
      </c>
      <c r="E121">
        <v>1.4E-2</v>
      </c>
      <c r="G121" t="s">
        <v>3480</v>
      </c>
      <c r="H121" s="57">
        <v>44580</v>
      </c>
      <c r="I121" t="s">
        <v>1720</v>
      </c>
    </row>
    <row r="122" spans="1:9" x14ac:dyDescent="0.35">
      <c r="A122" t="s">
        <v>116</v>
      </c>
      <c r="B122" s="7" t="s">
        <v>945</v>
      </c>
    </row>
    <row r="123" spans="1:9" x14ac:dyDescent="0.35">
      <c r="A123" t="s">
        <v>117</v>
      </c>
      <c r="B123" s="7" t="s">
        <v>946</v>
      </c>
    </row>
    <row r="124" spans="1:9" x14ac:dyDescent="0.35">
      <c r="A124" t="s">
        <v>118</v>
      </c>
      <c r="B124" s="7" t="s">
        <v>947</v>
      </c>
    </row>
    <row r="125" spans="1:9" x14ac:dyDescent="0.35">
      <c r="A125" t="s">
        <v>119</v>
      </c>
      <c r="B125" s="7" t="s">
        <v>948</v>
      </c>
    </row>
    <row r="126" spans="1:9" x14ac:dyDescent="0.35">
      <c r="A126" t="s">
        <v>120</v>
      </c>
      <c r="B126" s="7" t="s">
        <v>949</v>
      </c>
    </row>
    <row r="127" spans="1:9" x14ac:dyDescent="0.35">
      <c r="A127" t="s">
        <v>121</v>
      </c>
      <c r="B127" s="7" t="s">
        <v>950</v>
      </c>
    </row>
    <row r="128" spans="1:9" x14ac:dyDescent="0.35">
      <c r="A128" t="s">
        <v>212</v>
      </c>
      <c r="B128" s="7" t="s">
        <v>1039</v>
      </c>
      <c r="C128">
        <v>0.95</v>
      </c>
      <c r="E128">
        <v>0.08</v>
      </c>
      <c r="G128" t="s">
        <v>3480</v>
      </c>
      <c r="H128" s="57">
        <v>44579</v>
      </c>
      <c r="I128" t="s">
        <v>1720</v>
      </c>
    </row>
    <row r="129" spans="1:9" x14ac:dyDescent="0.35">
      <c r="A129" t="s">
        <v>123</v>
      </c>
      <c r="B129" s="7" t="s">
        <v>952</v>
      </c>
    </row>
    <row r="130" spans="1:9" x14ac:dyDescent="0.35">
      <c r="A130" t="s">
        <v>124</v>
      </c>
      <c r="B130" s="7" t="s">
        <v>953</v>
      </c>
    </row>
    <row r="131" spans="1:9" x14ac:dyDescent="0.35">
      <c r="A131" t="s">
        <v>125</v>
      </c>
      <c r="B131" s="7" t="s">
        <v>954</v>
      </c>
    </row>
    <row r="132" spans="1:9" x14ac:dyDescent="0.35">
      <c r="A132" t="s">
        <v>126</v>
      </c>
      <c r="B132" s="7" t="s">
        <v>955</v>
      </c>
    </row>
    <row r="133" spans="1:9" x14ac:dyDescent="0.35">
      <c r="A133" t="s">
        <v>127</v>
      </c>
      <c r="B133" s="7" t="s">
        <v>956</v>
      </c>
    </row>
    <row r="134" spans="1:9" x14ac:dyDescent="0.35">
      <c r="A134" t="s">
        <v>128</v>
      </c>
      <c r="B134" s="7" t="s">
        <v>957</v>
      </c>
    </row>
    <row r="135" spans="1:9" x14ac:dyDescent="0.35">
      <c r="A135" t="s">
        <v>129</v>
      </c>
      <c r="B135" s="7" t="s">
        <v>958</v>
      </c>
    </row>
    <row r="136" spans="1:9" x14ac:dyDescent="0.35">
      <c r="A136" t="s">
        <v>130</v>
      </c>
      <c r="B136" s="7" t="s">
        <v>959</v>
      </c>
    </row>
    <row r="137" spans="1:9" x14ac:dyDescent="0.35">
      <c r="A137" t="s">
        <v>131</v>
      </c>
      <c r="B137" s="7" t="s">
        <v>960</v>
      </c>
    </row>
    <row r="138" spans="1:9" x14ac:dyDescent="0.35">
      <c r="A138" t="s">
        <v>132</v>
      </c>
      <c r="B138" s="7" t="s">
        <v>961</v>
      </c>
    </row>
    <row r="139" spans="1:9" x14ac:dyDescent="0.35">
      <c r="A139" t="s">
        <v>133</v>
      </c>
      <c r="B139" s="7" t="s">
        <v>962</v>
      </c>
    </row>
    <row r="140" spans="1:9" x14ac:dyDescent="0.35">
      <c r="A140" t="s">
        <v>134</v>
      </c>
      <c r="B140" s="7" t="s">
        <v>963</v>
      </c>
    </row>
    <row r="141" spans="1:9" x14ac:dyDescent="0.35">
      <c r="A141" t="s">
        <v>135</v>
      </c>
      <c r="B141" s="7" t="s">
        <v>964</v>
      </c>
    </row>
    <row r="142" spans="1:9" x14ac:dyDescent="0.35">
      <c r="A142" t="s">
        <v>136</v>
      </c>
      <c r="B142" s="7" t="s">
        <v>965</v>
      </c>
    </row>
    <row r="143" spans="1:9" x14ac:dyDescent="0.35">
      <c r="A143" t="s">
        <v>137</v>
      </c>
      <c r="B143" s="7" t="s">
        <v>966</v>
      </c>
    </row>
    <row r="144" spans="1:9" x14ac:dyDescent="0.35">
      <c r="A144" t="s">
        <v>763</v>
      </c>
      <c r="B144" s="7" t="s">
        <v>1587</v>
      </c>
      <c r="C144">
        <v>1.5</v>
      </c>
      <c r="D144" t="s">
        <v>3309</v>
      </c>
      <c r="E144">
        <v>1.7000000000000001E-2</v>
      </c>
      <c r="F144" t="s">
        <v>3298</v>
      </c>
      <c r="G144" t="s">
        <v>3480</v>
      </c>
      <c r="H144" s="57">
        <v>44579</v>
      </c>
      <c r="I144" t="s">
        <v>1720</v>
      </c>
    </row>
    <row r="145" spans="1:9" x14ac:dyDescent="0.35">
      <c r="A145" t="s">
        <v>605</v>
      </c>
      <c r="B145" s="7" t="s">
        <v>1429</v>
      </c>
      <c r="C145" s="27">
        <v>6</v>
      </c>
      <c r="D145" t="s">
        <v>3307</v>
      </c>
      <c r="E145">
        <v>2.9999999999999997E-4</v>
      </c>
      <c r="F145" t="s">
        <v>3298</v>
      </c>
      <c r="G145" t="s">
        <v>3480</v>
      </c>
      <c r="H145" s="57">
        <v>44580</v>
      </c>
      <c r="I145" t="s">
        <v>1720</v>
      </c>
    </row>
    <row r="146" spans="1:9" x14ac:dyDescent="0.35">
      <c r="A146" t="s">
        <v>605</v>
      </c>
      <c r="B146" s="7" t="s">
        <v>1429</v>
      </c>
      <c r="C146" s="27">
        <v>6</v>
      </c>
      <c r="D146" t="s">
        <v>3307</v>
      </c>
      <c r="E146">
        <v>3.68</v>
      </c>
      <c r="F146" t="s">
        <v>3307</v>
      </c>
      <c r="G146" t="s">
        <v>3480</v>
      </c>
      <c r="H146" s="57">
        <v>44580</v>
      </c>
      <c r="I146" t="s">
        <v>1720</v>
      </c>
    </row>
    <row r="147" spans="1:9" x14ac:dyDescent="0.35">
      <c r="A147" t="s">
        <v>140</v>
      </c>
      <c r="B147" s="7" t="s">
        <v>969</v>
      </c>
      <c r="E147">
        <v>0.03</v>
      </c>
      <c r="F147">
        <v>3</v>
      </c>
      <c r="G147" t="s">
        <v>3480</v>
      </c>
      <c r="H147" s="57">
        <v>44580</v>
      </c>
      <c r="I147" t="s">
        <v>1720</v>
      </c>
    </row>
    <row r="148" spans="1:9" x14ac:dyDescent="0.35">
      <c r="A148" t="s">
        <v>141</v>
      </c>
      <c r="B148" s="7" t="s">
        <v>970</v>
      </c>
    </row>
    <row r="149" spans="1:9" x14ac:dyDescent="0.35">
      <c r="A149" t="s">
        <v>598</v>
      </c>
      <c r="B149" s="7" t="s">
        <v>1422</v>
      </c>
      <c r="C149">
        <v>13</v>
      </c>
      <c r="D149" t="s">
        <v>3291</v>
      </c>
      <c r="E149">
        <v>1.2E-2</v>
      </c>
      <c r="F149" t="s">
        <v>3293</v>
      </c>
      <c r="G149" t="s">
        <v>3480</v>
      </c>
      <c r="H149" s="57">
        <v>44579</v>
      </c>
      <c r="I149" t="s">
        <v>1720</v>
      </c>
    </row>
    <row r="150" spans="1:9" x14ac:dyDescent="0.35">
      <c r="A150" t="s">
        <v>143</v>
      </c>
      <c r="B150" s="7" t="s">
        <v>972</v>
      </c>
    </row>
    <row r="151" spans="1:9" x14ac:dyDescent="0.35">
      <c r="A151" t="s">
        <v>144</v>
      </c>
      <c r="B151" s="7" t="s">
        <v>973</v>
      </c>
    </row>
    <row r="152" spans="1:9" x14ac:dyDescent="0.35">
      <c r="A152" t="s">
        <v>145</v>
      </c>
      <c r="B152" s="7" t="s">
        <v>974</v>
      </c>
    </row>
    <row r="153" spans="1:9" x14ac:dyDescent="0.35">
      <c r="A153" t="s">
        <v>146</v>
      </c>
      <c r="B153" s="7" t="s">
        <v>975</v>
      </c>
    </row>
    <row r="154" spans="1:9" x14ac:dyDescent="0.35">
      <c r="A154" t="s">
        <v>147</v>
      </c>
      <c r="B154" s="7" t="s">
        <v>976</v>
      </c>
    </row>
    <row r="155" spans="1:9" x14ac:dyDescent="0.35">
      <c r="A155" t="s">
        <v>148</v>
      </c>
      <c r="B155" s="7" t="s">
        <v>977</v>
      </c>
    </row>
    <row r="156" spans="1:9" x14ac:dyDescent="0.35">
      <c r="A156" t="s">
        <v>149</v>
      </c>
      <c r="B156" s="7" t="s">
        <v>978</v>
      </c>
    </row>
    <row r="157" spans="1:9" x14ac:dyDescent="0.35">
      <c r="A157" t="s">
        <v>150</v>
      </c>
      <c r="B157" s="7" t="s">
        <v>979</v>
      </c>
    </row>
    <row r="158" spans="1:9" x14ac:dyDescent="0.35">
      <c r="A158" t="s">
        <v>151</v>
      </c>
      <c r="B158" s="7" t="s">
        <v>980</v>
      </c>
    </row>
    <row r="159" spans="1:9" x14ac:dyDescent="0.35">
      <c r="A159" t="s">
        <v>152</v>
      </c>
      <c r="B159" s="7" t="s">
        <v>981</v>
      </c>
    </row>
    <row r="160" spans="1:9" x14ac:dyDescent="0.35">
      <c r="A160" t="s">
        <v>153</v>
      </c>
      <c r="B160" s="7" t="s">
        <v>982</v>
      </c>
    </row>
    <row r="161" spans="1:2" x14ac:dyDescent="0.35">
      <c r="A161" t="s">
        <v>154</v>
      </c>
      <c r="B161" s="7" t="s">
        <v>983</v>
      </c>
    </row>
    <row r="162" spans="1:2" x14ac:dyDescent="0.35">
      <c r="A162" t="s">
        <v>155</v>
      </c>
      <c r="B162" s="7" t="s">
        <v>984</v>
      </c>
    </row>
    <row r="163" spans="1:2" x14ac:dyDescent="0.35">
      <c r="A163" t="s">
        <v>156</v>
      </c>
      <c r="B163" s="7" t="s">
        <v>985</v>
      </c>
    </row>
    <row r="164" spans="1:2" x14ac:dyDescent="0.35">
      <c r="A164" t="s">
        <v>157</v>
      </c>
      <c r="B164" s="7" t="s">
        <v>986</v>
      </c>
    </row>
    <row r="165" spans="1:2" x14ac:dyDescent="0.35">
      <c r="A165" t="s">
        <v>158</v>
      </c>
      <c r="B165" s="7" t="s">
        <v>987</v>
      </c>
    </row>
    <row r="166" spans="1:2" x14ac:dyDescent="0.35">
      <c r="A166" t="s">
        <v>159</v>
      </c>
      <c r="B166" s="7" t="s">
        <v>988</v>
      </c>
    </row>
    <row r="167" spans="1:2" x14ac:dyDescent="0.35">
      <c r="A167" t="s">
        <v>160</v>
      </c>
      <c r="B167" s="7" t="s">
        <v>989</v>
      </c>
    </row>
    <row r="168" spans="1:2" x14ac:dyDescent="0.35">
      <c r="A168" t="s">
        <v>161</v>
      </c>
      <c r="B168" s="7" t="s">
        <v>990</v>
      </c>
    </row>
    <row r="169" spans="1:2" x14ac:dyDescent="0.35">
      <c r="A169" t="s">
        <v>162</v>
      </c>
      <c r="B169" s="7" t="s">
        <v>991</v>
      </c>
    </row>
    <row r="170" spans="1:2" x14ac:dyDescent="0.35">
      <c r="A170" t="s">
        <v>163</v>
      </c>
      <c r="B170" s="7" t="s">
        <v>992</v>
      </c>
    </row>
    <row r="171" spans="1:2" x14ac:dyDescent="0.35">
      <c r="A171" t="s">
        <v>164</v>
      </c>
      <c r="B171" s="7" t="s">
        <v>993</v>
      </c>
    </row>
    <row r="172" spans="1:2" x14ac:dyDescent="0.35">
      <c r="A172" t="s">
        <v>165</v>
      </c>
      <c r="B172" s="7" t="s">
        <v>994</v>
      </c>
    </row>
    <row r="173" spans="1:2" x14ac:dyDescent="0.35">
      <c r="A173" t="s">
        <v>166</v>
      </c>
      <c r="B173" s="7" t="s">
        <v>995</v>
      </c>
    </row>
    <row r="174" spans="1:2" x14ac:dyDescent="0.35">
      <c r="A174" t="s">
        <v>167</v>
      </c>
      <c r="B174" s="7" t="s">
        <v>996</v>
      </c>
    </row>
    <row r="175" spans="1:2" x14ac:dyDescent="0.35">
      <c r="A175" t="s">
        <v>168</v>
      </c>
      <c r="B175" s="7" t="s">
        <v>997</v>
      </c>
    </row>
    <row r="176" spans="1:2" x14ac:dyDescent="0.35">
      <c r="A176" t="s">
        <v>169</v>
      </c>
      <c r="B176" s="7" t="s">
        <v>998</v>
      </c>
    </row>
    <row r="177" spans="1:9" x14ac:dyDescent="0.35">
      <c r="A177" t="s">
        <v>170</v>
      </c>
      <c r="B177" s="7" t="s">
        <v>999</v>
      </c>
    </row>
    <row r="178" spans="1:9" x14ac:dyDescent="0.35">
      <c r="A178" t="s">
        <v>171</v>
      </c>
      <c r="B178" s="7" t="s">
        <v>1000</v>
      </c>
    </row>
    <row r="179" spans="1:9" x14ac:dyDescent="0.35">
      <c r="A179" t="s">
        <v>172</v>
      </c>
      <c r="B179" s="7" t="s">
        <v>1001</v>
      </c>
    </row>
    <row r="180" spans="1:9" x14ac:dyDescent="0.35">
      <c r="A180" t="s">
        <v>173</v>
      </c>
      <c r="B180" s="7" t="s">
        <v>1002</v>
      </c>
    </row>
    <row r="181" spans="1:9" x14ac:dyDescent="0.35">
      <c r="A181" t="s">
        <v>174</v>
      </c>
      <c r="B181" s="7" t="s">
        <v>1003</v>
      </c>
    </row>
    <row r="182" spans="1:9" x14ac:dyDescent="0.35">
      <c r="A182" t="s">
        <v>175</v>
      </c>
      <c r="B182" s="7" t="s">
        <v>1004</v>
      </c>
      <c r="E182">
        <v>0.2</v>
      </c>
      <c r="F182" t="s">
        <v>3293</v>
      </c>
      <c r="G182" t="s">
        <v>3480</v>
      </c>
      <c r="H182" s="57">
        <v>44579</v>
      </c>
      <c r="I182" t="s">
        <v>1720</v>
      </c>
    </row>
    <row r="183" spans="1:9" x14ac:dyDescent="0.35">
      <c r="A183" t="s">
        <v>176</v>
      </c>
      <c r="B183" s="7" t="s">
        <v>1005</v>
      </c>
    </row>
    <row r="184" spans="1:9" x14ac:dyDescent="0.35">
      <c r="A184" t="s">
        <v>177</v>
      </c>
      <c r="B184" s="7" t="s">
        <v>1006</v>
      </c>
    </row>
    <row r="185" spans="1:9" x14ac:dyDescent="0.35">
      <c r="A185" t="s">
        <v>178</v>
      </c>
      <c r="B185" s="7" t="s">
        <v>1007</v>
      </c>
    </row>
    <row r="186" spans="1:9" x14ac:dyDescent="0.35">
      <c r="A186" t="s">
        <v>179</v>
      </c>
      <c r="B186" s="7" t="s">
        <v>1008</v>
      </c>
    </row>
    <row r="187" spans="1:9" x14ac:dyDescent="0.35">
      <c r="A187" t="s">
        <v>180</v>
      </c>
      <c r="B187" s="7" t="s">
        <v>1009</v>
      </c>
    </row>
    <row r="188" spans="1:9" x14ac:dyDescent="0.35">
      <c r="A188" t="s">
        <v>181</v>
      </c>
      <c r="B188" s="7" t="s">
        <v>1010</v>
      </c>
    </row>
    <row r="189" spans="1:9" x14ac:dyDescent="0.35">
      <c r="A189" t="s">
        <v>182</v>
      </c>
      <c r="B189" s="7" t="s">
        <v>1011</v>
      </c>
    </row>
    <row r="190" spans="1:9" x14ac:dyDescent="0.35">
      <c r="A190" t="s">
        <v>183</v>
      </c>
      <c r="B190" s="7" t="s">
        <v>1012</v>
      </c>
    </row>
    <row r="191" spans="1:9" x14ac:dyDescent="0.35">
      <c r="A191" s="2" t="s">
        <v>184</v>
      </c>
    </row>
    <row r="192" spans="1:9" x14ac:dyDescent="0.35">
      <c r="A192" t="s">
        <v>185</v>
      </c>
      <c r="B192" s="7" t="s">
        <v>1013</v>
      </c>
    </row>
    <row r="193" spans="1:9" x14ac:dyDescent="0.35">
      <c r="A193" t="s">
        <v>186</v>
      </c>
      <c r="B193" s="7" t="s">
        <v>1014</v>
      </c>
    </row>
    <row r="194" spans="1:9" x14ac:dyDescent="0.35">
      <c r="A194" t="s">
        <v>187</v>
      </c>
      <c r="B194" s="7" t="s">
        <v>1015</v>
      </c>
    </row>
    <row r="195" spans="1:9" x14ac:dyDescent="0.35">
      <c r="A195" t="s">
        <v>188</v>
      </c>
      <c r="B195" s="7" t="s">
        <v>1016</v>
      </c>
    </row>
    <row r="196" spans="1:9" x14ac:dyDescent="0.35">
      <c r="A196" t="s">
        <v>189</v>
      </c>
      <c r="B196" s="7" t="s">
        <v>1017</v>
      </c>
    </row>
    <row r="197" spans="1:9" x14ac:dyDescent="0.35">
      <c r="A197" t="s">
        <v>598</v>
      </c>
      <c r="B197" s="7" t="s">
        <v>1422</v>
      </c>
      <c r="C197">
        <v>13</v>
      </c>
      <c r="D197" t="s">
        <v>3291</v>
      </c>
      <c r="E197">
        <v>0.73</v>
      </c>
      <c r="F197" t="s">
        <v>3303</v>
      </c>
      <c r="G197" t="s">
        <v>3480</v>
      </c>
      <c r="H197" s="57">
        <v>44579</v>
      </c>
      <c r="I197" t="s">
        <v>1720</v>
      </c>
    </row>
    <row r="198" spans="1:9" x14ac:dyDescent="0.35">
      <c r="A198" t="s">
        <v>191</v>
      </c>
      <c r="B198" s="7" t="s">
        <v>1019</v>
      </c>
      <c r="E198">
        <v>6.2</v>
      </c>
      <c r="F198" t="s">
        <v>3293</v>
      </c>
      <c r="G198" t="s">
        <v>3480</v>
      </c>
      <c r="H198" s="60">
        <v>44579</v>
      </c>
      <c r="I198" t="s">
        <v>1720</v>
      </c>
    </row>
    <row r="199" spans="1:9" x14ac:dyDescent="0.35">
      <c r="A199" t="s">
        <v>192</v>
      </c>
      <c r="B199" s="7" t="s">
        <v>1020</v>
      </c>
    </row>
    <row r="200" spans="1:9" x14ac:dyDescent="0.35">
      <c r="A200" t="s">
        <v>193</v>
      </c>
      <c r="B200" s="7" t="s">
        <v>1021</v>
      </c>
    </row>
    <row r="201" spans="1:9" x14ac:dyDescent="0.35">
      <c r="A201" t="s">
        <v>194</v>
      </c>
      <c r="B201" s="7" t="s">
        <v>1022</v>
      </c>
    </row>
    <row r="202" spans="1:9" x14ac:dyDescent="0.35">
      <c r="A202" t="s">
        <v>195</v>
      </c>
      <c r="B202" s="7" t="s">
        <v>1023</v>
      </c>
    </row>
    <row r="203" spans="1:9" x14ac:dyDescent="0.35">
      <c r="A203" t="s">
        <v>196</v>
      </c>
      <c r="B203" s="7" t="s">
        <v>1024</v>
      </c>
    </row>
    <row r="204" spans="1:9" x14ac:dyDescent="0.35">
      <c r="A204" t="s">
        <v>197</v>
      </c>
      <c r="B204" s="7" t="s">
        <v>1025</v>
      </c>
    </row>
    <row r="205" spans="1:9" x14ac:dyDescent="0.35">
      <c r="A205" t="s">
        <v>198</v>
      </c>
      <c r="B205" s="7" t="s">
        <v>1026</v>
      </c>
    </row>
    <row r="206" spans="1:9" x14ac:dyDescent="0.35">
      <c r="A206" t="s">
        <v>199</v>
      </c>
      <c r="B206" s="7" t="s">
        <v>1027</v>
      </c>
    </row>
    <row r="207" spans="1:9" x14ac:dyDescent="0.35">
      <c r="A207" t="s">
        <v>200</v>
      </c>
      <c r="B207" s="7" t="s">
        <v>1028</v>
      </c>
    </row>
    <row r="208" spans="1:9" x14ac:dyDescent="0.35">
      <c r="A208" t="s">
        <v>201</v>
      </c>
      <c r="B208" s="7" t="s">
        <v>1029</v>
      </c>
    </row>
    <row r="209" spans="1:9" x14ac:dyDescent="0.35">
      <c r="A209" t="s">
        <v>202</v>
      </c>
      <c r="B209" s="7" t="s">
        <v>1030</v>
      </c>
    </row>
    <row r="210" spans="1:9" x14ac:dyDescent="0.35">
      <c r="A210" s="2" t="s">
        <v>203</v>
      </c>
    </row>
    <row r="211" spans="1:9" x14ac:dyDescent="0.35">
      <c r="A211" t="s">
        <v>204</v>
      </c>
      <c r="B211" s="7" t="s">
        <v>1031</v>
      </c>
    </row>
    <row r="212" spans="1:9" x14ac:dyDescent="0.35">
      <c r="A212" t="s">
        <v>205</v>
      </c>
      <c r="B212" s="7" t="s">
        <v>1032</v>
      </c>
    </row>
    <row r="213" spans="1:9" x14ac:dyDescent="0.35">
      <c r="A213" t="s">
        <v>206</v>
      </c>
      <c r="B213" s="7" t="s">
        <v>1033</v>
      </c>
    </row>
    <row r="214" spans="1:9" x14ac:dyDescent="0.35">
      <c r="A214" t="s">
        <v>207</v>
      </c>
      <c r="B214" s="7" t="s">
        <v>1034</v>
      </c>
    </row>
    <row r="215" spans="1:9" x14ac:dyDescent="0.35">
      <c r="A215" t="s">
        <v>208</v>
      </c>
      <c r="B215" s="7" t="s">
        <v>1035</v>
      </c>
    </row>
    <row r="216" spans="1:9" x14ac:dyDescent="0.35">
      <c r="A216" t="s">
        <v>209</v>
      </c>
      <c r="B216" s="7" t="s">
        <v>1036</v>
      </c>
    </row>
    <row r="217" spans="1:9" x14ac:dyDescent="0.35">
      <c r="A217" t="s">
        <v>210</v>
      </c>
      <c r="B217" s="7" t="s">
        <v>1037</v>
      </c>
    </row>
    <row r="218" spans="1:9" x14ac:dyDescent="0.35">
      <c r="A218" t="s">
        <v>211</v>
      </c>
      <c r="B218" s="7" t="s">
        <v>1038</v>
      </c>
    </row>
    <row r="219" spans="1:9" x14ac:dyDescent="0.35">
      <c r="A219" t="s">
        <v>47</v>
      </c>
      <c r="B219" s="7" t="s">
        <v>876</v>
      </c>
      <c r="C219">
        <v>19</v>
      </c>
      <c r="D219" t="s">
        <v>3294</v>
      </c>
      <c r="E219">
        <v>15</v>
      </c>
      <c r="F219" t="s">
        <v>3294</v>
      </c>
      <c r="G219" t="s">
        <v>3480</v>
      </c>
      <c r="H219" s="57">
        <v>44580</v>
      </c>
      <c r="I219" t="s">
        <v>1720</v>
      </c>
    </row>
    <row r="220" spans="1:9" x14ac:dyDescent="0.35">
      <c r="A220" t="s">
        <v>213</v>
      </c>
      <c r="B220" s="7" t="s">
        <v>1040</v>
      </c>
    </row>
    <row r="221" spans="1:9" x14ac:dyDescent="0.35">
      <c r="A221" t="s">
        <v>214</v>
      </c>
      <c r="B221" s="7" t="s">
        <v>1041</v>
      </c>
    </row>
    <row r="222" spans="1:9" x14ac:dyDescent="0.35">
      <c r="A222" t="s">
        <v>215</v>
      </c>
      <c r="B222" s="7" t="s">
        <v>1042</v>
      </c>
    </row>
    <row r="223" spans="1:9" x14ac:dyDescent="0.35">
      <c r="A223" t="s">
        <v>216</v>
      </c>
      <c r="B223" s="7" t="s">
        <v>1043</v>
      </c>
    </row>
    <row r="224" spans="1:9" x14ac:dyDescent="0.35">
      <c r="A224" t="s">
        <v>217</v>
      </c>
      <c r="B224" s="7" t="s">
        <v>1044</v>
      </c>
    </row>
    <row r="225" spans="1:9" x14ac:dyDescent="0.35">
      <c r="A225" t="s">
        <v>218</v>
      </c>
      <c r="B225" s="7" t="s">
        <v>1045</v>
      </c>
    </row>
    <row r="226" spans="1:9" x14ac:dyDescent="0.35">
      <c r="A226" t="s">
        <v>219</v>
      </c>
      <c r="B226" s="7" t="s">
        <v>1046</v>
      </c>
    </row>
    <row r="227" spans="1:9" x14ac:dyDescent="0.35">
      <c r="A227" t="s">
        <v>220</v>
      </c>
      <c r="B227" s="7" t="s">
        <v>1047</v>
      </c>
    </row>
    <row r="228" spans="1:9" x14ac:dyDescent="0.35">
      <c r="A228" t="s">
        <v>221</v>
      </c>
      <c r="B228" s="7" t="s">
        <v>1048</v>
      </c>
    </row>
    <row r="229" spans="1:9" x14ac:dyDescent="0.35">
      <c r="A229" t="s">
        <v>222</v>
      </c>
      <c r="B229" s="7" t="s">
        <v>1049</v>
      </c>
    </row>
    <row r="230" spans="1:9" x14ac:dyDescent="0.35">
      <c r="A230" t="s">
        <v>223</v>
      </c>
      <c r="B230" s="7" t="s">
        <v>1050</v>
      </c>
    </row>
    <row r="231" spans="1:9" x14ac:dyDescent="0.35">
      <c r="A231" t="s">
        <v>224</v>
      </c>
      <c r="B231" s="7" t="s">
        <v>1051</v>
      </c>
    </row>
    <row r="232" spans="1:9" x14ac:dyDescent="0.35">
      <c r="A232" t="s">
        <v>225</v>
      </c>
      <c r="B232" s="7" t="s">
        <v>1052</v>
      </c>
    </row>
    <row r="233" spans="1:9" x14ac:dyDescent="0.35">
      <c r="A233" t="s">
        <v>226</v>
      </c>
      <c r="B233" s="7" t="s">
        <v>1053</v>
      </c>
    </row>
    <row r="234" spans="1:9" x14ac:dyDescent="0.35">
      <c r="A234" t="s">
        <v>227</v>
      </c>
      <c r="B234" s="7" t="s">
        <v>1054</v>
      </c>
    </row>
    <row r="235" spans="1:9" x14ac:dyDescent="0.35">
      <c r="A235" t="s">
        <v>228</v>
      </c>
      <c r="B235" s="7" t="s">
        <v>1055</v>
      </c>
    </row>
    <row r="236" spans="1:9" x14ac:dyDescent="0.35">
      <c r="A236" t="s">
        <v>229</v>
      </c>
      <c r="B236" s="7" t="s">
        <v>1056</v>
      </c>
    </row>
    <row r="237" spans="1:9" x14ac:dyDescent="0.35">
      <c r="A237" t="s">
        <v>230</v>
      </c>
      <c r="B237" s="7" t="s">
        <v>1057</v>
      </c>
    </row>
    <row r="238" spans="1:9" x14ac:dyDescent="0.35">
      <c r="A238" t="s">
        <v>231</v>
      </c>
      <c r="B238" s="7" t="s">
        <v>1058</v>
      </c>
    </row>
    <row r="239" spans="1:9" x14ac:dyDescent="0.35">
      <c r="A239" t="s">
        <v>232</v>
      </c>
      <c r="B239" s="7" t="s">
        <v>1059</v>
      </c>
    </row>
    <row r="240" spans="1:9" x14ac:dyDescent="0.35">
      <c r="A240" t="s">
        <v>59</v>
      </c>
      <c r="B240" s="7" t="s">
        <v>888</v>
      </c>
      <c r="C240">
        <v>30</v>
      </c>
      <c r="D240" t="s">
        <v>3296</v>
      </c>
      <c r="E240">
        <v>3.6</v>
      </c>
      <c r="F240" t="s">
        <v>3298</v>
      </c>
      <c r="G240" t="s">
        <v>3480</v>
      </c>
      <c r="H240" s="57">
        <v>44580</v>
      </c>
      <c r="I240" t="s">
        <v>1720</v>
      </c>
    </row>
    <row r="241" spans="1:2" x14ac:dyDescent="0.35">
      <c r="A241" t="s">
        <v>234</v>
      </c>
      <c r="B241" s="7" t="s">
        <v>1061</v>
      </c>
    </row>
    <row r="242" spans="1:2" x14ac:dyDescent="0.35">
      <c r="A242" t="s">
        <v>235</v>
      </c>
      <c r="B242" s="7" t="s">
        <v>1062</v>
      </c>
    </row>
    <row r="243" spans="1:2" x14ac:dyDescent="0.35">
      <c r="A243" t="s">
        <v>236</v>
      </c>
      <c r="B243" s="7" t="s">
        <v>1063</v>
      </c>
    </row>
    <row r="244" spans="1:2" x14ac:dyDescent="0.35">
      <c r="A244" t="s">
        <v>237</v>
      </c>
      <c r="B244" s="7" t="s">
        <v>897</v>
      </c>
    </row>
    <row r="245" spans="1:2" x14ac:dyDescent="0.35">
      <c r="A245" t="s">
        <v>238</v>
      </c>
      <c r="B245" s="7" t="s">
        <v>1064</v>
      </c>
    </row>
    <row r="246" spans="1:2" x14ac:dyDescent="0.35">
      <c r="A246" t="s">
        <v>239</v>
      </c>
      <c r="B246" s="7" t="s">
        <v>1065</v>
      </c>
    </row>
    <row r="247" spans="1:2" x14ac:dyDescent="0.35">
      <c r="A247" t="s">
        <v>240</v>
      </c>
      <c r="B247" s="7" t="s">
        <v>1066</v>
      </c>
    </row>
    <row r="248" spans="1:2" x14ac:dyDescent="0.35">
      <c r="A248" t="s">
        <v>241</v>
      </c>
      <c r="B248" s="7" t="s">
        <v>1067</v>
      </c>
    </row>
    <row r="249" spans="1:2" x14ac:dyDescent="0.35">
      <c r="A249" t="s">
        <v>242</v>
      </c>
      <c r="B249" s="7" t="s">
        <v>1068</v>
      </c>
    </row>
    <row r="250" spans="1:2" x14ac:dyDescent="0.35">
      <c r="A250" t="s">
        <v>243</v>
      </c>
      <c r="B250" s="7" t="s">
        <v>1069</v>
      </c>
    </row>
    <row r="251" spans="1:2" x14ac:dyDescent="0.35">
      <c r="A251" t="s">
        <v>244</v>
      </c>
      <c r="B251" s="7" t="s">
        <v>1070</v>
      </c>
    </row>
    <row r="252" spans="1:2" x14ac:dyDescent="0.35">
      <c r="A252" t="s">
        <v>245</v>
      </c>
      <c r="B252" s="7" t="s">
        <v>1071</v>
      </c>
    </row>
    <row r="253" spans="1:2" x14ac:dyDescent="0.35">
      <c r="A253" t="s">
        <v>246</v>
      </c>
      <c r="B253" s="7" t="s">
        <v>1072</v>
      </c>
    </row>
    <row r="254" spans="1:2" x14ac:dyDescent="0.35">
      <c r="A254" t="s">
        <v>247</v>
      </c>
      <c r="B254" s="7" t="s">
        <v>1073</v>
      </c>
    </row>
    <row r="255" spans="1:2" x14ac:dyDescent="0.35">
      <c r="A255" t="s">
        <v>248</v>
      </c>
      <c r="B255" s="7" t="s">
        <v>1074</v>
      </c>
    </row>
    <row r="256" spans="1:2" x14ac:dyDescent="0.35">
      <c r="A256" t="s">
        <v>249</v>
      </c>
      <c r="B256" s="7" t="s">
        <v>1075</v>
      </c>
    </row>
    <row r="257" spans="1:2" x14ac:dyDescent="0.35">
      <c r="A257" t="s">
        <v>250</v>
      </c>
      <c r="B257" s="7" t="s">
        <v>1076</v>
      </c>
    </row>
    <row r="258" spans="1:2" x14ac:dyDescent="0.35">
      <c r="A258" t="s">
        <v>251</v>
      </c>
      <c r="B258" s="7" t="s">
        <v>1077</v>
      </c>
    </row>
    <row r="259" spans="1:2" x14ac:dyDescent="0.35">
      <c r="A259" t="s">
        <v>252</v>
      </c>
      <c r="B259" s="7" t="s">
        <v>1078</v>
      </c>
    </row>
    <row r="260" spans="1:2" x14ac:dyDescent="0.35">
      <c r="A260" t="s">
        <v>253</v>
      </c>
      <c r="B260" s="7" t="s">
        <v>1079</v>
      </c>
    </row>
    <row r="261" spans="1:2" x14ac:dyDescent="0.35">
      <c r="A261" t="s">
        <v>254</v>
      </c>
      <c r="B261" s="7" t="s">
        <v>1080</v>
      </c>
    </row>
    <row r="262" spans="1:2" x14ac:dyDescent="0.35">
      <c r="A262" t="s">
        <v>255</v>
      </c>
      <c r="B262" s="7" t="s">
        <v>1081</v>
      </c>
    </row>
    <row r="263" spans="1:2" x14ac:dyDescent="0.35">
      <c r="A263" t="s">
        <v>256</v>
      </c>
      <c r="B263" s="7" t="s">
        <v>1082</v>
      </c>
    </row>
    <row r="264" spans="1:2" x14ac:dyDescent="0.35">
      <c r="A264" t="s">
        <v>257</v>
      </c>
      <c r="B264" s="7" t="s">
        <v>1083</v>
      </c>
    </row>
    <row r="265" spans="1:2" x14ac:dyDescent="0.35">
      <c r="A265" t="s">
        <v>258</v>
      </c>
      <c r="B265" s="7" t="s">
        <v>1084</v>
      </c>
    </row>
    <row r="266" spans="1:2" x14ac:dyDescent="0.35">
      <c r="A266" t="s">
        <v>259</v>
      </c>
      <c r="B266" s="7" t="s">
        <v>1085</v>
      </c>
    </row>
    <row r="267" spans="1:2" x14ac:dyDescent="0.35">
      <c r="A267" t="s">
        <v>260</v>
      </c>
      <c r="B267" s="7" t="s">
        <v>1086</v>
      </c>
    </row>
    <row r="268" spans="1:2" x14ac:dyDescent="0.35">
      <c r="A268" t="s">
        <v>261</v>
      </c>
      <c r="B268" s="7" t="s">
        <v>1087</v>
      </c>
    </row>
    <row r="269" spans="1:2" x14ac:dyDescent="0.35">
      <c r="A269" t="s">
        <v>262</v>
      </c>
      <c r="B269" s="7" t="s">
        <v>1088</v>
      </c>
    </row>
    <row r="270" spans="1:2" x14ac:dyDescent="0.35">
      <c r="A270" t="s">
        <v>263</v>
      </c>
      <c r="B270" s="7" t="s">
        <v>1089</v>
      </c>
    </row>
    <row r="271" spans="1:2" x14ac:dyDescent="0.35">
      <c r="A271" t="s">
        <v>264</v>
      </c>
      <c r="B271" s="7" t="s">
        <v>1090</v>
      </c>
    </row>
    <row r="272" spans="1:2" x14ac:dyDescent="0.35">
      <c r="A272" t="s">
        <v>265</v>
      </c>
      <c r="B272" s="7" t="s">
        <v>1091</v>
      </c>
    </row>
    <row r="273" spans="1:9" x14ac:dyDescent="0.35">
      <c r="A273" t="s">
        <v>266</v>
      </c>
      <c r="B273" s="7" t="s">
        <v>1092</v>
      </c>
    </row>
    <row r="274" spans="1:9" x14ac:dyDescent="0.35">
      <c r="A274" t="s">
        <v>267</v>
      </c>
      <c r="B274" s="7" t="s">
        <v>1093</v>
      </c>
    </row>
    <row r="275" spans="1:9" x14ac:dyDescent="0.35">
      <c r="A275" t="s">
        <v>268</v>
      </c>
      <c r="B275" s="7" t="s">
        <v>1094</v>
      </c>
    </row>
    <row r="276" spans="1:9" x14ac:dyDescent="0.35">
      <c r="A276" t="s">
        <v>269</v>
      </c>
      <c r="B276" s="7" t="s">
        <v>1095</v>
      </c>
    </row>
    <row r="277" spans="1:9" x14ac:dyDescent="0.35">
      <c r="A277" t="s">
        <v>270</v>
      </c>
      <c r="B277" s="7" t="s">
        <v>1096</v>
      </c>
    </row>
    <row r="278" spans="1:9" x14ac:dyDescent="0.35">
      <c r="A278" t="s">
        <v>271</v>
      </c>
      <c r="B278" s="7" t="s">
        <v>1097</v>
      </c>
    </row>
    <row r="279" spans="1:9" x14ac:dyDescent="0.35">
      <c r="A279" t="s">
        <v>191</v>
      </c>
      <c r="B279" s="7" t="s">
        <v>1019</v>
      </c>
      <c r="E279">
        <v>0.15</v>
      </c>
      <c r="F279" t="s">
        <v>3306</v>
      </c>
      <c r="G279" t="s">
        <v>3480</v>
      </c>
      <c r="H279" s="60">
        <v>44579</v>
      </c>
      <c r="I279" t="s">
        <v>1720</v>
      </c>
    </row>
    <row r="280" spans="1:9" x14ac:dyDescent="0.35">
      <c r="A280" t="s">
        <v>272</v>
      </c>
      <c r="B280" s="7" t="s">
        <v>1098</v>
      </c>
      <c r="E280">
        <v>7.8</v>
      </c>
      <c r="F280" t="s">
        <v>3293</v>
      </c>
      <c r="G280" t="s">
        <v>3480</v>
      </c>
      <c r="H280" s="57">
        <v>44580</v>
      </c>
      <c r="I280" t="s">
        <v>1720</v>
      </c>
    </row>
    <row r="281" spans="1:9" x14ac:dyDescent="0.35">
      <c r="A281" t="s">
        <v>273</v>
      </c>
      <c r="B281" s="7" t="s">
        <v>1099</v>
      </c>
    </row>
    <row r="282" spans="1:9" x14ac:dyDescent="0.35">
      <c r="A282" t="s">
        <v>274</v>
      </c>
      <c r="B282" s="7" t="s">
        <v>1100</v>
      </c>
    </row>
    <row r="283" spans="1:9" x14ac:dyDescent="0.35">
      <c r="A283" t="s">
        <v>275</v>
      </c>
      <c r="B283" s="7" t="s">
        <v>1101</v>
      </c>
    </row>
    <row r="284" spans="1:9" x14ac:dyDescent="0.35">
      <c r="A284" t="s">
        <v>276</v>
      </c>
      <c r="B284" s="7" t="s">
        <v>1102</v>
      </c>
    </row>
    <row r="285" spans="1:9" x14ac:dyDescent="0.35">
      <c r="A285" t="s">
        <v>277</v>
      </c>
      <c r="B285" s="7" t="s">
        <v>1103</v>
      </c>
    </row>
    <row r="286" spans="1:9" x14ac:dyDescent="0.35">
      <c r="A286" t="s">
        <v>278</v>
      </c>
      <c r="B286" s="7" t="s">
        <v>1104</v>
      </c>
    </row>
    <row r="287" spans="1:9" x14ac:dyDescent="0.35">
      <c r="A287" t="s">
        <v>279</v>
      </c>
      <c r="B287" s="7" t="s">
        <v>1105</v>
      </c>
    </row>
    <row r="288" spans="1:9" x14ac:dyDescent="0.35">
      <c r="A288" t="s">
        <v>280</v>
      </c>
      <c r="B288" s="7" t="s">
        <v>1106</v>
      </c>
    </row>
    <row r="289" spans="1:9" x14ac:dyDescent="0.35">
      <c r="A289" t="s">
        <v>281</v>
      </c>
      <c r="B289" s="7" t="s">
        <v>1107</v>
      </c>
    </row>
    <row r="290" spans="1:9" x14ac:dyDescent="0.35">
      <c r="A290" t="s">
        <v>282</v>
      </c>
      <c r="B290" s="7" t="s">
        <v>1108</v>
      </c>
    </row>
    <row r="291" spans="1:9" x14ac:dyDescent="0.35">
      <c r="A291" t="s">
        <v>283</v>
      </c>
      <c r="B291" s="7" t="s">
        <v>1109</v>
      </c>
    </row>
    <row r="292" spans="1:9" x14ac:dyDescent="0.35">
      <c r="A292" s="2" t="s">
        <v>284</v>
      </c>
    </row>
    <row r="293" spans="1:9" x14ac:dyDescent="0.35">
      <c r="A293" t="s">
        <v>285</v>
      </c>
      <c r="B293" s="7" t="s">
        <v>1110</v>
      </c>
    </row>
    <row r="294" spans="1:9" x14ac:dyDescent="0.35">
      <c r="A294" t="s">
        <v>59</v>
      </c>
      <c r="B294" s="7" t="s">
        <v>888</v>
      </c>
      <c r="C294">
        <v>30</v>
      </c>
      <c r="D294" t="s">
        <v>3296</v>
      </c>
      <c r="E294">
        <v>6.3</v>
      </c>
      <c r="F294" t="s">
        <v>3297</v>
      </c>
      <c r="G294" t="s">
        <v>3480</v>
      </c>
      <c r="H294" s="57">
        <v>44580</v>
      </c>
      <c r="I294" t="s">
        <v>1720</v>
      </c>
    </row>
    <row r="295" spans="1:9" x14ac:dyDescent="0.35">
      <c r="A295" t="s">
        <v>37</v>
      </c>
      <c r="B295" s="7" t="s">
        <v>866</v>
      </c>
      <c r="C295">
        <v>37</v>
      </c>
      <c r="D295" t="s">
        <v>3292</v>
      </c>
      <c r="E295">
        <v>2.1</v>
      </c>
      <c r="F295" t="s">
        <v>3292</v>
      </c>
      <c r="G295" t="s">
        <v>3480</v>
      </c>
      <c r="H295" s="57">
        <v>44580</v>
      </c>
      <c r="I295" t="s">
        <v>1720</v>
      </c>
    </row>
    <row r="296" spans="1:9" x14ac:dyDescent="0.35">
      <c r="A296" t="s">
        <v>288</v>
      </c>
      <c r="B296" s="7" t="s">
        <v>1113</v>
      </c>
    </row>
    <row r="297" spans="1:9" x14ac:dyDescent="0.35">
      <c r="A297" t="s">
        <v>289</v>
      </c>
      <c r="B297" s="7" t="s">
        <v>1114</v>
      </c>
    </row>
    <row r="298" spans="1:9" x14ac:dyDescent="0.35">
      <c r="A298" t="s">
        <v>290</v>
      </c>
      <c r="B298" s="7" t="s">
        <v>1115</v>
      </c>
    </row>
    <row r="299" spans="1:9" x14ac:dyDescent="0.35">
      <c r="A299" t="s">
        <v>291</v>
      </c>
      <c r="B299" s="7" t="s">
        <v>1116</v>
      </c>
    </row>
    <row r="300" spans="1:9" x14ac:dyDescent="0.35">
      <c r="A300" t="s">
        <v>292</v>
      </c>
      <c r="B300" s="7" t="s">
        <v>1117</v>
      </c>
    </row>
    <row r="301" spans="1:9" x14ac:dyDescent="0.35">
      <c r="A301" t="s">
        <v>293</v>
      </c>
      <c r="B301" s="7" t="s">
        <v>1118</v>
      </c>
    </row>
    <row r="302" spans="1:9" x14ac:dyDescent="0.35">
      <c r="A302" t="s">
        <v>294</v>
      </c>
      <c r="B302" s="7" t="s">
        <v>1119</v>
      </c>
    </row>
    <row r="303" spans="1:9" x14ac:dyDescent="0.35">
      <c r="A303" t="s">
        <v>295</v>
      </c>
      <c r="B303" s="7" t="s">
        <v>1120</v>
      </c>
    </row>
    <row r="304" spans="1:9" x14ac:dyDescent="0.35">
      <c r="A304" t="s">
        <v>296</v>
      </c>
      <c r="B304" s="7" t="s">
        <v>1121</v>
      </c>
    </row>
    <row r="305" spans="1:2" x14ac:dyDescent="0.35">
      <c r="A305" t="s">
        <v>297</v>
      </c>
      <c r="B305" s="7" t="s">
        <v>1122</v>
      </c>
    </row>
    <row r="306" spans="1:2" x14ac:dyDescent="0.35">
      <c r="A306" t="s">
        <v>298</v>
      </c>
      <c r="B306" s="7" t="s">
        <v>1123</v>
      </c>
    </row>
    <row r="307" spans="1:2" x14ac:dyDescent="0.35">
      <c r="A307" t="s">
        <v>299</v>
      </c>
      <c r="B307" s="7" t="s">
        <v>1124</v>
      </c>
    </row>
    <row r="308" spans="1:2" x14ac:dyDescent="0.35">
      <c r="A308" t="s">
        <v>300</v>
      </c>
      <c r="B308" s="7" t="s">
        <v>1125</v>
      </c>
    </row>
    <row r="309" spans="1:2" x14ac:dyDescent="0.35">
      <c r="A309" t="s">
        <v>301</v>
      </c>
      <c r="B309" s="7" t="s">
        <v>1126</v>
      </c>
    </row>
    <row r="310" spans="1:2" x14ac:dyDescent="0.35">
      <c r="A310" t="s">
        <v>302</v>
      </c>
      <c r="B310" s="7" t="s">
        <v>1127</v>
      </c>
    </row>
    <row r="311" spans="1:2" x14ac:dyDescent="0.35">
      <c r="A311" t="s">
        <v>303</v>
      </c>
      <c r="B311" s="7" t="s">
        <v>1128</v>
      </c>
    </row>
    <row r="312" spans="1:2" x14ac:dyDescent="0.35">
      <c r="A312" t="s">
        <v>304</v>
      </c>
      <c r="B312" s="7" t="s">
        <v>1129</v>
      </c>
    </row>
    <row r="313" spans="1:2" x14ac:dyDescent="0.35">
      <c r="A313" t="s">
        <v>305</v>
      </c>
      <c r="B313" s="7" t="s">
        <v>1130</v>
      </c>
    </row>
    <row r="314" spans="1:2" x14ac:dyDescent="0.35">
      <c r="A314" t="s">
        <v>306</v>
      </c>
      <c r="B314" s="7" t="s">
        <v>1131</v>
      </c>
    </row>
    <row r="315" spans="1:2" x14ac:dyDescent="0.35">
      <c r="A315" t="s">
        <v>307</v>
      </c>
      <c r="B315" s="7" t="s">
        <v>1132</v>
      </c>
    </row>
    <row r="316" spans="1:2" x14ac:dyDescent="0.35">
      <c r="A316" t="s">
        <v>308</v>
      </c>
      <c r="B316" s="7" t="s">
        <v>1133</v>
      </c>
    </row>
    <row r="317" spans="1:2" x14ac:dyDescent="0.35">
      <c r="A317" t="s">
        <v>309</v>
      </c>
      <c r="B317" s="7" t="s">
        <v>1134</v>
      </c>
    </row>
    <row r="318" spans="1:2" x14ac:dyDescent="0.35">
      <c r="A318" t="s">
        <v>310</v>
      </c>
      <c r="B318" s="7" t="s">
        <v>1135</v>
      </c>
    </row>
    <row r="319" spans="1:2" x14ac:dyDescent="0.35">
      <c r="A319" t="s">
        <v>311</v>
      </c>
      <c r="B319" s="7" t="s">
        <v>1136</v>
      </c>
    </row>
    <row r="320" spans="1:2" x14ac:dyDescent="0.35">
      <c r="A320" t="s">
        <v>312</v>
      </c>
      <c r="B320" s="7" t="s">
        <v>1137</v>
      </c>
    </row>
    <row r="321" spans="1:2" x14ac:dyDescent="0.35">
      <c r="A321" t="s">
        <v>313</v>
      </c>
      <c r="B321" s="7" t="s">
        <v>1138</v>
      </c>
    </row>
    <row r="322" spans="1:2" x14ac:dyDescent="0.35">
      <c r="A322" t="s">
        <v>314</v>
      </c>
      <c r="B322" s="7" t="s">
        <v>1139</v>
      </c>
    </row>
    <row r="323" spans="1:2" x14ac:dyDescent="0.35">
      <c r="A323" t="s">
        <v>315</v>
      </c>
      <c r="B323" s="7" t="s">
        <v>1140</v>
      </c>
    </row>
    <row r="324" spans="1:2" x14ac:dyDescent="0.35">
      <c r="A324" t="s">
        <v>316</v>
      </c>
      <c r="B324" s="7" t="s">
        <v>1141</v>
      </c>
    </row>
    <row r="325" spans="1:2" x14ac:dyDescent="0.35">
      <c r="A325" t="s">
        <v>317</v>
      </c>
      <c r="B325" s="7" t="s">
        <v>1142</v>
      </c>
    </row>
    <row r="326" spans="1:2" x14ac:dyDescent="0.35">
      <c r="A326" t="s">
        <v>318</v>
      </c>
      <c r="B326" s="7" t="s">
        <v>1143</v>
      </c>
    </row>
    <row r="327" spans="1:2" x14ac:dyDescent="0.35">
      <c r="A327" t="s">
        <v>319</v>
      </c>
      <c r="B327" s="7" t="s">
        <v>1144</v>
      </c>
    </row>
    <row r="328" spans="1:2" x14ac:dyDescent="0.35">
      <c r="A328" t="s">
        <v>320</v>
      </c>
      <c r="B328" s="7" t="s">
        <v>1145</v>
      </c>
    </row>
    <row r="329" spans="1:2" x14ac:dyDescent="0.35">
      <c r="A329" t="s">
        <v>321</v>
      </c>
      <c r="B329" s="7" t="s">
        <v>1146</v>
      </c>
    </row>
    <row r="330" spans="1:2" x14ac:dyDescent="0.35">
      <c r="A330" t="s">
        <v>322</v>
      </c>
      <c r="B330" s="7" t="s">
        <v>1147</v>
      </c>
    </row>
    <row r="331" spans="1:2" x14ac:dyDescent="0.35">
      <c r="A331" t="s">
        <v>323</v>
      </c>
      <c r="B331" s="7" t="s">
        <v>1148</v>
      </c>
    </row>
    <row r="332" spans="1:2" x14ac:dyDescent="0.35">
      <c r="A332" t="s">
        <v>324</v>
      </c>
      <c r="B332" s="7" t="s">
        <v>1149</v>
      </c>
    </row>
    <row r="333" spans="1:2" x14ac:dyDescent="0.35">
      <c r="A333" t="s">
        <v>325</v>
      </c>
      <c r="B333" s="7" t="s">
        <v>1150</v>
      </c>
    </row>
    <row r="334" spans="1:2" x14ac:dyDescent="0.35">
      <c r="A334" t="s">
        <v>326</v>
      </c>
      <c r="B334" s="7" t="s">
        <v>1151</v>
      </c>
    </row>
    <row r="335" spans="1:2" x14ac:dyDescent="0.35">
      <c r="A335" t="s">
        <v>327</v>
      </c>
      <c r="B335" s="7" t="s">
        <v>1152</v>
      </c>
    </row>
    <row r="336" spans="1:2" x14ac:dyDescent="0.35">
      <c r="A336" t="s">
        <v>328</v>
      </c>
      <c r="B336" s="7" t="s">
        <v>1153</v>
      </c>
    </row>
    <row r="337" spans="1:9" x14ac:dyDescent="0.35">
      <c r="A337" t="s">
        <v>329</v>
      </c>
      <c r="B337" s="7" t="s">
        <v>1154</v>
      </c>
    </row>
    <row r="338" spans="1:9" x14ac:dyDescent="0.35">
      <c r="A338" t="s">
        <v>330</v>
      </c>
      <c r="B338" s="7" t="s">
        <v>1155</v>
      </c>
    </row>
    <row r="339" spans="1:9" x14ac:dyDescent="0.35">
      <c r="A339" t="s">
        <v>331</v>
      </c>
      <c r="B339" s="7" t="s">
        <v>1156</v>
      </c>
    </row>
    <row r="340" spans="1:9" x14ac:dyDescent="0.35">
      <c r="A340" t="s">
        <v>332</v>
      </c>
      <c r="B340" s="7" t="s">
        <v>1157</v>
      </c>
    </row>
    <row r="341" spans="1:9" x14ac:dyDescent="0.35">
      <c r="A341" t="s">
        <v>333</v>
      </c>
      <c r="B341" s="7" t="s">
        <v>1158</v>
      </c>
    </row>
    <row r="342" spans="1:9" x14ac:dyDescent="0.35">
      <c r="A342" t="s">
        <v>334</v>
      </c>
      <c r="B342" s="7" t="s">
        <v>1159</v>
      </c>
    </row>
    <row r="343" spans="1:9" x14ac:dyDescent="0.35">
      <c r="A343" t="s">
        <v>335</v>
      </c>
      <c r="B343" s="7" t="s">
        <v>1160</v>
      </c>
    </row>
    <row r="344" spans="1:9" x14ac:dyDescent="0.35">
      <c r="A344" t="s">
        <v>336</v>
      </c>
      <c r="B344" s="7" t="s">
        <v>1161</v>
      </c>
    </row>
    <row r="345" spans="1:9" x14ac:dyDescent="0.35">
      <c r="A345" t="s">
        <v>337</v>
      </c>
      <c r="B345" s="7" t="s">
        <v>1161</v>
      </c>
    </row>
    <row r="346" spans="1:9" x14ac:dyDescent="0.35">
      <c r="A346" t="s">
        <v>338</v>
      </c>
      <c r="B346" s="7" t="s">
        <v>1162</v>
      </c>
    </row>
    <row r="347" spans="1:9" x14ac:dyDescent="0.35">
      <c r="A347" t="s">
        <v>339</v>
      </c>
      <c r="B347" s="7" t="s">
        <v>1163</v>
      </c>
    </row>
    <row r="348" spans="1:9" x14ac:dyDescent="0.35">
      <c r="A348" t="s">
        <v>340</v>
      </c>
      <c r="B348" s="7" t="s">
        <v>1164</v>
      </c>
    </row>
    <row r="349" spans="1:9" x14ac:dyDescent="0.35">
      <c r="A349" t="s">
        <v>341</v>
      </c>
      <c r="B349" s="7" t="s">
        <v>1165</v>
      </c>
      <c r="E349">
        <v>1.6</v>
      </c>
      <c r="F349" t="s">
        <v>3293</v>
      </c>
      <c r="G349" t="s">
        <v>3480</v>
      </c>
      <c r="H349" s="57">
        <v>44580</v>
      </c>
      <c r="I349" t="s">
        <v>1720</v>
      </c>
    </row>
    <row r="350" spans="1:9" x14ac:dyDescent="0.35">
      <c r="A350" t="s">
        <v>342</v>
      </c>
      <c r="B350" s="7" t="s">
        <v>1166</v>
      </c>
    </row>
    <row r="351" spans="1:9" x14ac:dyDescent="0.35">
      <c r="A351" t="s">
        <v>343</v>
      </c>
      <c r="B351" s="7" t="s">
        <v>1167</v>
      </c>
    </row>
    <row r="352" spans="1:9" x14ac:dyDescent="0.35">
      <c r="A352" t="s">
        <v>344</v>
      </c>
      <c r="B352" s="7" t="s">
        <v>1168</v>
      </c>
    </row>
    <row r="353" spans="1:9" x14ac:dyDescent="0.35">
      <c r="A353" t="s">
        <v>345</v>
      </c>
      <c r="B353" s="7" t="s">
        <v>1169</v>
      </c>
    </row>
    <row r="354" spans="1:9" x14ac:dyDescent="0.35">
      <c r="A354" t="s">
        <v>346</v>
      </c>
      <c r="B354" s="7" t="s">
        <v>1170</v>
      </c>
    </row>
    <row r="355" spans="1:9" x14ac:dyDescent="0.35">
      <c r="A355" t="s">
        <v>347</v>
      </c>
      <c r="B355" s="7" t="s">
        <v>1171</v>
      </c>
    </row>
    <row r="356" spans="1:9" x14ac:dyDescent="0.35">
      <c r="A356" t="s">
        <v>348</v>
      </c>
      <c r="B356" s="7" t="s">
        <v>1172</v>
      </c>
    </row>
    <row r="357" spans="1:9" x14ac:dyDescent="0.35">
      <c r="A357" t="s">
        <v>355</v>
      </c>
      <c r="B357" s="7" t="s">
        <v>1179</v>
      </c>
      <c r="C357">
        <v>39</v>
      </c>
      <c r="D357" t="s">
        <v>3302</v>
      </c>
      <c r="E357">
        <v>0.495</v>
      </c>
      <c r="F357" t="s">
        <v>3304</v>
      </c>
      <c r="G357" t="s">
        <v>3480</v>
      </c>
      <c r="H357" s="57">
        <v>44579</v>
      </c>
      <c r="I357" t="s">
        <v>1720</v>
      </c>
    </row>
    <row r="358" spans="1:9" x14ac:dyDescent="0.35">
      <c r="A358" t="s">
        <v>350</v>
      </c>
      <c r="B358" s="7" t="s">
        <v>1174</v>
      </c>
    </row>
    <row r="359" spans="1:9" x14ac:dyDescent="0.35">
      <c r="A359" t="s">
        <v>341</v>
      </c>
      <c r="B359" s="7" t="s">
        <v>1165</v>
      </c>
      <c r="E359">
        <v>2.2000000000000002</v>
      </c>
      <c r="F359" t="s">
        <v>3306</v>
      </c>
      <c r="G359" t="s">
        <v>3480</v>
      </c>
      <c r="H359" s="57">
        <v>44580</v>
      </c>
      <c r="I359" t="s">
        <v>1720</v>
      </c>
    </row>
    <row r="360" spans="1:9" x14ac:dyDescent="0.35">
      <c r="A360" t="s">
        <v>351</v>
      </c>
      <c r="B360" s="7" t="s">
        <v>1175</v>
      </c>
      <c r="E360">
        <v>7</v>
      </c>
      <c r="F360" t="s">
        <v>3293</v>
      </c>
      <c r="G360" t="s">
        <v>3480</v>
      </c>
      <c r="H360" s="57">
        <v>44611</v>
      </c>
      <c r="I360" t="s">
        <v>1720</v>
      </c>
    </row>
    <row r="361" spans="1:9" x14ac:dyDescent="0.35">
      <c r="A361" t="s">
        <v>352</v>
      </c>
      <c r="B361" s="7" t="s">
        <v>1176</v>
      </c>
      <c r="E361">
        <v>0.1</v>
      </c>
      <c r="F361" t="s">
        <v>3311</v>
      </c>
      <c r="G361" t="s">
        <v>3480</v>
      </c>
      <c r="H361" s="57">
        <v>44579</v>
      </c>
      <c r="I361" t="s">
        <v>1720</v>
      </c>
    </row>
    <row r="362" spans="1:9" x14ac:dyDescent="0.35">
      <c r="A362" t="s">
        <v>353</v>
      </c>
      <c r="B362" s="7" t="s">
        <v>1177</v>
      </c>
    </row>
    <row r="363" spans="1:9" x14ac:dyDescent="0.35">
      <c r="A363" t="s">
        <v>354</v>
      </c>
      <c r="B363" s="7" t="s">
        <v>1178</v>
      </c>
      <c r="C363">
        <v>39</v>
      </c>
      <c r="D363" t="s">
        <v>3292</v>
      </c>
      <c r="E363">
        <v>2.2000000000000002</v>
      </c>
      <c r="F363" t="s">
        <v>3292</v>
      </c>
      <c r="G363" t="s">
        <v>3480</v>
      </c>
      <c r="H363" s="57">
        <v>44579</v>
      </c>
      <c r="I363" t="s">
        <v>1720</v>
      </c>
    </row>
    <row r="364" spans="1:9" x14ac:dyDescent="0.35">
      <c r="A364" t="s">
        <v>355</v>
      </c>
      <c r="B364" s="7" t="s">
        <v>1179</v>
      </c>
      <c r="C364">
        <v>39</v>
      </c>
      <c r="D364" t="s">
        <v>3292</v>
      </c>
      <c r="E364">
        <v>2.2000000000000002</v>
      </c>
      <c r="F364" t="s">
        <v>3292</v>
      </c>
      <c r="G364" t="s">
        <v>3480</v>
      </c>
      <c r="H364" s="57">
        <v>44579</v>
      </c>
      <c r="I364" t="s">
        <v>1720</v>
      </c>
    </row>
    <row r="365" spans="1:9" x14ac:dyDescent="0.35">
      <c r="A365" t="s">
        <v>356</v>
      </c>
      <c r="B365" s="7" t="s">
        <v>1180</v>
      </c>
      <c r="C365">
        <v>39</v>
      </c>
      <c r="D365" t="s">
        <v>3302</v>
      </c>
      <c r="E365">
        <v>2.2000000000000002</v>
      </c>
      <c r="F365" t="s">
        <v>3292</v>
      </c>
      <c r="G365" t="s">
        <v>3480</v>
      </c>
      <c r="H365" s="57">
        <v>44579</v>
      </c>
      <c r="I365" t="s">
        <v>1720</v>
      </c>
    </row>
    <row r="366" spans="1:9" x14ac:dyDescent="0.35">
      <c r="A366" s="4" t="s">
        <v>826</v>
      </c>
      <c r="B366" s="7" t="s">
        <v>1648</v>
      </c>
      <c r="C366">
        <v>66</v>
      </c>
      <c r="D366" t="s">
        <v>3303</v>
      </c>
      <c r="E366">
        <v>3.7</v>
      </c>
      <c r="F366" t="s">
        <v>3303</v>
      </c>
      <c r="G366" t="s">
        <v>3480</v>
      </c>
      <c r="H366" s="57">
        <v>44579</v>
      </c>
      <c r="I366" t="s">
        <v>1720</v>
      </c>
    </row>
    <row r="367" spans="1:9" x14ac:dyDescent="0.35">
      <c r="A367" t="s">
        <v>357</v>
      </c>
      <c r="B367" s="7" t="s">
        <v>1181</v>
      </c>
    </row>
    <row r="368" spans="1:9" x14ac:dyDescent="0.35">
      <c r="A368" t="s">
        <v>358</v>
      </c>
      <c r="B368" s="7" t="s">
        <v>1182</v>
      </c>
    </row>
    <row r="369" spans="1:9" x14ac:dyDescent="0.35">
      <c r="A369" t="s">
        <v>359</v>
      </c>
      <c r="B369" s="7" t="s">
        <v>1183</v>
      </c>
    </row>
    <row r="370" spans="1:9" x14ac:dyDescent="0.35">
      <c r="A370" t="s">
        <v>360</v>
      </c>
      <c r="B370" s="7" t="s">
        <v>1184</v>
      </c>
      <c r="E370">
        <v>5</v>
      </c>
      <c r="F370" t="s">
        <v>3293</v>
      </c>
      <c r="G370" t="s">
        <v>3480</v>
      </c>
      <c r="H370" s="57">
        <v>44579</v>
      </c>
      <c r="I370" t="s">
        <v>1720</v>
      </c>
    </row>
    <row r="371" spans="1:9" x14ac:dyDescent="0.35">
      <c r="A371" t="s">
        <v>361</v>
      </c>
      <c r="B371" s="7" t="s">
        <v>1185</v>
      </c>
    </row>
    <row r="372" spans="1:9" x14ac:dyDescent="0.35">
      <c r="A372" t="s">
        <v>362</v>
      </c>
      <c r="B372" s="7" t="s">
        <v>1186</v>
      </c>
    </row>
    <row r="373" spans="1:9" x14ac:dyDescent="0.35">
      <c r="A373" t="s">
        <v>363</v>
      </c>
      <c r="B373" s="7" t="s">
        <v>1187</v>
      </c>
    </row>
    <row r="374" spans="1:9" x14ac:dyDescent="0.35">
      <c r="A374" t="s">
        <v>364</v>
      </c>
      <c r="B374" s="7" t="s">
        <v>1188</v>
      </c>
    </row>
    <row r="375" spans="1:9" x14ac:dyDescent="0.35">
      <c r="A375" t="s">
        <v>365</v>
      </c>
      <c r="B375" s="7" t="s">
        <v>1189</v>
      </c>
    </row>
    <row r="376" spans="1:9" x14ac:dyDescent="0.35">
      <c r="A376" t="s">
        <v>366</v>
      </c>
      <c r="B376" s="7" t="s">
        <v>1190</v>
      </c>
    </row>
    <row r="377" spans="1:9" x14ac:dyDescent="0.35">
      <c r="A377" t="s">
        <v>367</v>
      </c>
      <c r="B377" s="7" t="s">
        <v>1191</v>
      </c>
    </row>
    <row r="378" spans="1:9" x14ac:dyDescent="0.35">
      <c r="A378" t="s">
        <v>368</v>
      </c>
      <c r="B378" s="7" t="s">
        <v>1192</v>
      </c>
    </row>
    <row r="379" spans="1:9" x14ac:dyDescent="0.35">
      <c r="A379" t="s">
        <v>369</v>
      </c>
      <c r="B379" s="7" t="s">
        <v>1193</v>
      </c>
    </row>
    <row r="380" spans="1:9" x14ac:dyDescent="0.35">
      <c r="A380" t="s">
        <v>370</v>
      </c>
      <c r="B380" s="7" t="s">
        <v>1194</v>
      </c>
    </row>
    <row r="381" spans="1:9" x14ac:dyDescent="0.35">
      <c r="A381" t="s">
        <v>371</v>
      </c>
      <c r="B381" s="7" t="s">
        <v>1195</v>
      </c>
    </row>
    <row r="382" spans="1:9" x14ac:dyDescent="0.35">
      <c r="A382" t="s">
        <v>372</v>
      </c>
      <c r="B382" s="7" t="s">
        <v>1196</v>
      </c>
    </row>
    <row r="383" spans="1:9" x14ac:dyDescent="0.35">
      <c r="A383" t="s">
        <v>373</v>
      </c>
      <c r="B383" s="7" t="s">
        <v>1197</v>
      </c>
    </row>
    <row r="384" spans="1:9" x14ac:dyDescent="0.35">
      <c r="A384" t="s">
        <v>374</v>
      </c>
      <c r="B384" s="7" t="s">
        <v>1198</v>
      </c>
    </row>
    <row r="385" spans="1:9" x14ac:dyDescent="0.35">
      <c r="A385" t="s">
        <v>375</v>
      </c>
      <c r="B385" s="7" t="s">
        <v>1199</v>
      </c>
    </row>
    <row r="386" spans="1:9" x14ac:dyDescent="0.35">
      <c r="A386" t="s">
        <v>376</v>
      </c>
      <c r="B386" s="7" t="s">
        <v>1200</v>
      </c>
    </row>
    <row r="387" spans="1:9" x14ac:dyDescent="0.35">
      <c r="A387" t="s">
        <v>377</v>
      </c>
      <c r="B387" s="7" t="s">
        <v>1201</v>
      </c>
    </row>
    <row r="388" spans="1:9" x14ac:dyDescent="0.35">
      <c r="A388" t="s">
        <v>378</v>
      </c>
      <c r="B388" s="7" t="s">
        <v>1202</v>
      </c>
    </row>
    <row r="389" spans="1:9" x14ac:dyDescent="0.35">
      <c r="A389" t="s">
        <v>51</v>
      </c>
      <c r="B389" s="7" t="s">
        <v>880</v>
      </c>
      <c r="C389">
        <v>70</v>
      </c>
      <c r="D389" t="s">
        <v>3292</v>
      </c>
      <c r="E389">
        <v>3.9</v>
      </c>
      <c r="F389" t="s">
        <v>3295</v>
      </c>
      <c r="G389" t="s">
        <v>3480</v>
      </c>
      <c r="H389" s="57">
        <v>44580</v>
      </c>
      <c r="I389" t="s">
        <v>1720</v>
      </c>
    </row>
    <row r="390" spans="1:9" x14ac:dyDescent="0.35">
      <c r="A390" t="s">
        <v>380</v>
      </c>
      <c r="B390" s="7" t="s">
        <v>1204</v>
      </c>
    </row>
    <row r="391" spans="1:9" x14ac:dyDescent="0.35">
      <c r="A391" t="s">
        <v>381</v>
      </c>
      <c r="B391" s="7" t="s">
        <v>1205</v>
      </c>
    </row>
    <row r="392" spans="1:9" x14ac:dyDescent="0.35">
      <c r="A392" t="s">
        <v>382</v>
      </c>
      <c r="B392" s="7" t="s">
        <v>1206</v>
      </c>
    </row>
    <row r="393" spans="1:9" x14ac:dyDescent="0.35">
      <c r="A393" t="s">
        <v>383</v>
      </c>
      <c r="B393" s="7" t="s">
        <v>1207</v>
      </c>
    </row>
    <row r="394" spans="1:9" x14ac:dyDescent="0.35">
      <c r="A394" t="s">
        <v>384</v>
      </c>
      <c r="B394" s="7" t="s">
        <v>1208</v>
      </c>
    </row>
    <row r="395" spans="1:9" x14ac:dyDescent="0.35">
      <c r="A395" t="s">
        <v>385</v>
      </c>
      <c r="B395" s="7" t="s">
        <v>1209</v>
      </c>
    </row>
    <row r="396" spans="1:9" x14ac:dyDescent="0.35">
      <c r="A396" t="s">
        <v>386</v>
      </c>
      <c r="B396" s="7" t="s">
        <v>1210</v>
      </c>
    </row>
    <row r="397" spans="1:9" x14ac:dyDescent="0.35">
      <c r="A397" t="s">
        <v>387</v>
      </c>
      <c r="B397" s="7" t="s">
        <v>1211</v>
      </c>
    </row>
    <row r="398" spans="1:9" x14ac:dyDescent="0.35">
      <c r="A398" t="s">
        <v>388</v>
      </c>
      <c r="B398" s="7" t="s">
        <v>1212</v>
      </c>
      <c r="E398">
        <v>2.8</v>
      </c>
      <c r="F398" t="s">
        <v>3306</v>
      </c>
      <c r="G398" t="s">
        <v>3480</v>
      </c>
      <c r="H398" s="57">
        <v>44580</v>
      </c>
      <c r="I398" t="s">
        <v>1720</v>
      </c>
    </row>
    <row r="399" spans="1:9" x14ac:dyDescent="0.35">
      <c r="A399" t="s">
        <v>389</v>
      </c>
      <c r="B399" s="7" t="s">
        <v>1213</v>
      </c>
    </row>
    <row r="400" spans="1:9" x14ac:dyDescent="0.35">
      <c r="A400" t="s">
        <v>390</v>
      </c>
      <c r="B400" s="7" t="s">
        <v>1214</v>
      </c>
    </row>
    <row r="401" spans="1:2" x14ac:dyDescent="0.35">
      <c r="A401" t="s">
        <v>391</v>
      </c>
      <c r="B401" s="7" t="s">
        <v>1215</v>
      </c>
    </row>
    <row r="402" spans="1:2" x14ac:dyDescent="0.35">
      <c r="A402" t="s">
        <v>392</v>
      </c>
      <c r="B402" s="7" t="s">
        <v>1216</v>
      </c>
    </row>
    <row r="403" spans="1:2" x14ac:dyDescent="0.35">
      <c r="A403" t="s">
        <v>393</v>
      </c>
      <c r="B403" s="7" t="s">
        <v>1217</v>
      </c>
    </row>
    <row r="404" spans="1:2" x14ac:dyDescent="0.35">
      <c r="A404" t="s">
        <v>394</v>
      </c>
      <c r="B404" s="7" t="s">
        <v>1218</v>
      </c>
    </row>
    <row r="405" spans="1:2" x14ac:dyDescent="0.35">
      <c r="A405" t="s">
        <v>395</v>
      </c>
      <c r="B405" s="7" t="s">
        <v>1219</v>
      </c>
    </row>
    <row r="406" spans="1:2" x14ac:dyDescent="0.35">
      <c r="A406" t="s">
        <v>396</v>
      </c>
      <c r="B406" s="7" t="s">
        <v>1220</v>
      </c>
    </row>
    <row r="407" spans="1:2" x14ac:dyDescent="0.35">
      <c r="A407" t="s">
        <v>397</v>
      </c>
      <c r="B407" s="7" t="s">
        <v>1221</v>
      </c>
    </row>
    <row r="408" spans="1:2" x14ac:dyDescent="0.35">
      <c r="A408" t="s">
        <v>398</v>
      </c>
      <c r="B408" s="7" t="s">
        <v>1222</v>
      </c>
    </row>
    <row r="409" spans="1:2" x14ac:dyDescent="0.35">
      <c r="A409" t="s">
        <v>399</v>
      </c>
      <c r="B409" s="7" t="s">
        <v>1223</v>
      </c>
    </row>
    <row r="410" spans="1:2" x14ac:dyDescent="0.35">
      <c r="A410" t="s">
        <v>400</v>
      </c>
      <c r="B410" s="7" t="s">
        <v>1224</v>
      </c>
    </row>
    <row r="411" spans="1:2" x14ac:dyDescent="0.35">
      <c r="A411" t="s">
        <v>401</v>
      </c>
      <c r="B411" s="7" t="s">
        <v>1225</v>
      </c>
    </row>
    <row r="412" spans="1:2" x14ac:dyDescent="0.35">
      <c r="A412" t="s">
        <v>402</v>
      </c>
      <c r="B412" s="7" t="s">
        <v>1226</v>
      </c>
    </row>
    <row r="413" spans="1:2" x14ac:dyDescent="0.35">
      <c r="A413" t="s">
        <v>403</v>
      </c>
      <c r="B413" s="7" t="s">
        <v>1227</v>
      </c>
    </row>
    <row r="414" spans="1:2" x14ac:dyDescent="0.35">
      <c r="A414" t="s">
        <v>404</v>
      </c>
      <c r="B414" s="7" t="s">
        <v>1228</v>
      </c>
    </row>
    <row r="415" spans="1:2" x14ac:dyDescent="0.35">
      <c r="A415" t="s">
        <v>405</v>
      </c>
      <c r="B415" s="7" t="s">
        <v>1229</v>
      </c>
    </row>
    <row r="416" spans="1:2" x14ac:dyDescent="0.35">
      <c r="A416" t="s">
        <v>406</v>
      </c>
      <c r="B416" s="7" t="s">
        <v>1230</v>
      </c>
    </row>
    <row r="417" spans="1:9" x14ac:dyDescent="0.35">
      <c r="A417" t="s">
        <v>407</v>
      </c>
      <c r="B417" s="7" t="s">
        <v>1231</v>
      </c>
    </row>
    <row r="418" spans="1:9" x14ac:dyDescent="0.35">
      <c r="A418" s="3" t="s">
        <v>408</v>
      </c>
      <c r="B418" s="7" t="s">
        <v>1232</v>
      </c>
    </row>
    <row r="419" spans="1:9" x14ac:dyDescent="0.35">
      <c r="A419" t="s">
        <v>409</v>
      </c>
      <c r="B419" s="7" t="s">
        <v>1233</v>
      </c>
    </row>
    <row r="420" spans="1:9" x14ac:dyDescent="0.35">
      <c r="A420" t="s">
        <v>410</v>
      </c>
      <c r="B420" s="7" t="s">
        <v>1234</v>
      </c>
    </row>
    <row r="421" spans="1:9" x14ac:dyDescent="0.35">
      <c r="A421" t="s">
        <v>411</v>
      </c>
      <c r="B421" s="7" t="s">
        <v>1235</v>
      </c>
    </row>
    <row r="422" spans="1:9" x14ac:dyDescent="0.35">
      <c r="A422" t="s">
        <v>412</v>
      </c>
      <c r="B422" s="7" t="s">
        <v>1236</v>
      </c>
    </row>
    <row r="423" spans="1:9" x14ac:dyDescent="0.35">
      <c r="A423" t="s">
        <v>413</v>
      </c>
      <c r="B423" s="7" t="s">
        <v>1237</v>
      </c>
    </row>
    <row r="424" spans="1:9" x14ac:dyDescent="0.35">
      <c r="A424" t="s">
        <v>414</v>
      </c>
      <c r="B424" s="7" t="s">
        <v>1238</v>
      </c>
    </row>
    <row r="425" spans="1:9" x14ac:dyDescent="0.35">
      <c r="A425" t="s">
        <v>415</v>
      </c>
      <c r="B425" s="7" t="s">
        <v>1239</v>
      </c>
      <c r="E425">
        <v>1E-3</v>
      </c>
      <c r="F425">
        <v>1</v>
      </c>
      <c r="G425" t="s">
        <v>3480</v>
      </c>
      <c r="H425" s="57">
        <v>44580</v>
      </c>
      <c r="I425" t="s">
        <v>1720</v>
      </c>
    </row>
    <row r="426" spans="1:9" x14ac:dyDescent="0.35">
      <c r="A426" t="s">
        <v>416</v>
      </c>
      <c r="B426" s="7" t="s">
        <v>1240</v>
      </c>
    </row>
    <row r="427" spans="1:9" x14ac:dyDescent="0.35">
      <c r="A427" t="s">
        <v>417</v>
      </c>
      <c r="B427" s="7" t="s">
        <v>1241</v>
      </c>
    </row>
    <row r="428" spans="1:9" x14ac:dyDescent="0.35">
      <c r="A428" t="s">
        <v>418</v>
      </c>
      <c r="B428" s="7" t="s">
        <v>1242</v>
      </c>
    </row>
    <row r="429" spans="1:9" x14ac:dyDescent="0.35">
      <c r="A429" t="s">
        <v>419</v>
      </c>
      <c r="B429" s="7" t="s">
        <v>1243</v>
      </c>
    </row>
    <row r="430" spans="1:9" x14ac:dyDescent="0.35">
      <c r="A430" t="s">
        <v>420</v>
      </c>
      <c r="B430" s="7" t="s">
        <v>1244</v>
      </c>
    </row>
    <row r="431" spans="1:9" x14ac:dyDescent="0.35">
      <c r="A431" t="s">
        <v>421</v>
      </c>
      <c r="B431" s="7" t="s">
        <v>1245</v>
      </c>
    </row>
    <row r="432" spans="1:9" x14ac:dyDescent="0.35">
      <c r="A432" t="s">
        <v>422</v>
      </c>
      <c r="B432" s="7" t="s">
        <v>1246</v>
      </c>
    </row>
    <row r="433" spans="1:9" x14ac:dyDescent="0.35">
      <c r="A433" t="s">
        <v>423</v>
      </c>
      <c r="B433" s="7" t="s">
        <v>1247</v>
      </c>
    </row>
    <row r="434" spans="1:9" x14ac:dyDescent="0.35">
      <c r="A434" t="s">
        <v>424</v>
      </c>
      <c r="B434" s="7" t="s">
        <v>1248</v>
      </c>
      <c r="E434">
        <v>0.24</v>
      </c>
      <c r="F434" t="s">
        <v>3293</v>
      </c>
      <c r="G434" t="s">
        <v>3480</v>
      </c>
      <c r="H434" s="57">
        <v>44580</v>
      </c>
      <c r="I434" t="s">
        <v>1720</v>
      </c>
    </row>
    <row r="435" spans="1:9" x14ac:dyDescent="0.35">
      <c r="A435" t="s">
        <v>425</v>
      </c>
      <c r="B435" s="7" t="s">
        <v>1249</v>
      </c>
    </row>
    <row r="436" spans="1:9" x14ac:dyDescent="0.35">
      <c r="A436" t="s">
        <v>426</v>
      </c>
      <c r="B436" s="7" t="s">
        <v>1250</v>
      </c>
    </row>
    <row r="437" spans="1:9" x14ac:dyDescent="0.35">
      <c r="A437" t="s">
        <v>427</v>
      </c>
      <c r="B437" s="7" t="s">
        <v>1251</v>
      </c>
    </row>
    <row r="438" spans="1:9" x14ac:dyDescent="0.35">
      <c r="A438" t="s">
        <v>428</v>
      </c>
      <c r="B438" s="7" t="s">
        <v>1252</v>
      </c>
    </row>
    <row r="439" spans="1:9" x14ac:dyDescent="0.35">
      <c r="A439" t="s">
        <v>429</v>
      </c>
      <c r="B439" s="7" t="s">
        <v>1253</v>
      </c>
    </row>
    <row r="440" spans="1:9" x14ac:dyDescent="0.35">
      <c r="A440" t="s">
        <v>430</v>
      </c>
      <c r="B440" s="7" t="s">
        <v>1254</v>
      </c>
    </row>
    <row r="441" spans="1:9" x14ac:dyDescent="0.35">
      <c r="A441" t="s">
        <v>431</v>
      </c>
      <c r="B441" s="7" t="s">
        <v>1255</v>
      </c>
    </row>
    <row r="442" spans="1:9" x14ac:dyDescent="0.35">
      <c r="A442" t="s">
        <v>432</v>
      </c>
      <c r="B442" s="7" t="s">
        <v>1256</v>
      </c>
      <c r="E442">
        <v>3.4</v>
      </c>
      <c r="F442" t="s">
        <v>3306</v>
      </c>
      <c r="G442" t="s">
        <v>3480</v>
      </c>
      <c r="H442" s="57">
        <v>44580</v>
      </c>
      <c r="I442" t="s">
        <v>1720</v>
      </c>
    </row>
    <row r="443" spans="1:9" x14ac:dyDescent="0.35">
      <c r="A443" t="s">
        <v>433</v>
      </c>
      <c r="B443" s="7" t="s">
        <v>1257</v>
      </c>
    </row>
    <row r="444" spans="1:9" x14ac:dyDescent="0.35">
      <c r="A444" t="s">
        <v>434</v>
      </c>
      <c r="B444" s="7" t="s">
        <v>1258</v>
      </c>
    </row>
    <row r="445" spans="1:9" x14ac:dyDescent="0.35">
      <c r="A445" t="s">
        <v>435</v>
      </c>
      <c r="B445" s="7" t="s">
        <v>1259</v>
      </c>
    </row>
    <row r="446" spans="1:9" x14ac:dyDescent="0.35">
      <c r="A446" t="s">
        <v>436</v>
      </c>
      <c r="B446" s="7" t="s">
        <v>1260</v>
      </c>
    </row>
    <row r="447" spans="1:9" x14ac:dyDescent="0.35">
      <c r="A447" t="s">
        <v>437</v>
      </c>
      <c r="B447" s="7" t="s">
        <v>1261</v>
      </c>
    </row>
    <row r="448" spans="1:9" x14ac:dyDescent="0.35">
      <c r="A448" t="s">
        <v>438</v>
      </c>
      <c r="B448" s="7" t="s">
        <v>1262</v>
      </c>
    </row>
    <row r="449" spans="1:9" x14ac:dyDescent="0.35">
      <c r="A449" t="s">
        <v>439</v>
      </c>
      <c r="B449" s="7" t="s">
        <v>1263</v>
      </c>
    </row>
    <row r="450" spans="1:9" x14ac:dyDescent="0.35">
      <c r="A450" t="s">
        <v>440</v>
      </c>
      <c r="B450" s="7" t="s">
        <v>1264</v>
      </c>
    </row>
    <row r="451" spans="1:9" x14ac:dyDescent="0.35">
      <c r="A451" t="s">
        <v>441</v>
      </c>
      <c r="B451" s="7" t="s">
        <v>1265</v>
      </c>
    </row>
    <row r="452" spans="1:9" x14ac:dyDescent="0.35">
      <c r="A452" t="s">
        <v>442</v>
      </c>
      <c r="B452" s="7" t="s">
        <v>1266</v>
      </c>
    </row>
    <row r="453" spans="1:9" x14ac:dyDescent="0.35">
      <c r="A453" t="s">
        <v>443</v>
      </c>
      <c r="B453" s="7" t="s">
        <v>1267</v>
      </c>
    </row>
    <row r="454" spans="1:9" x14ac:dyDescent="0.35">
      <c r="A454" t="s">
        <v>444</v>
      </c>
      <c r="B454" s="7" t="s">
        <v>1268</v>
      </c>
      <c r="E454">
        <v>1</v>
      </c>
      <c r="F454" t="s">
        <v>3293</v>
      </c>
      <c r="G454" t="s">
        <v>3480</v>
      </c>
      <c r="H454" s="57">
        <v>44580</v>
      </c>
      <c r="I454" t="s">
        <v>1720</v>
      </c>
    </row>
    <row r="455" spans="1:9" x14ac:dyDescent="0.35">
      <c r="A455" t="s">
        <v>445</v>
      </c>
      <c r="B455" s="7" t="s">
        <v>1269</v>
      </c>
    </row>
    <row r="456" spans="1:9" x14ac:dyDescent="0.35">
      <c r="A456" t="s">
        <v>446</v>
      </c>
      <c r="B456" s="7" t="s">
        <v>1270</v>
      </c>
      <c r="E456">
        <v>4840</v>
      </c>
      <c r="F456" t="s">
        <v>3298</v>
      </c>
      <c r="G456" t="s">
        <v>3480</v>
      </c>
      <c r="H456" s="57">
        <v>44579</v>
      </c>
      <c r="I456" t="s">
        <v>1720</v>
      </c>
    </row>
    <row r="457" spans="1:9" x14ac:dyDescent="0.35">
      <c r="A457" t="s">
        <v>447</v>
      </c>
      <c r="B457" s="7" t="s">
        <v>1271</v>
      </c>
    </row>
    <row r="458" spans="1:9" x14ac:dyDescent="0.35">
      <c r="A458" t="s">
        <v>448</v>
      </c>
      <c r="B458" s="7" t="s">
        <v>1272</v>
      </c>
    </row>
    <row r="459" spans="1:9" x14ac:dyDescent="0.35">
      <c r="A459" t="s">
        <v>449</v>
      </c>
      <c r="B459" s="7" t="s">
        <v>1273</v>
      </c>
    </row>
    <row r="460" spans="1:9" x14ac:dyDescent="0.35">
      <c r="A460" t="s">
        <v>633</v>
      </c>
      <c r="B460" s="7" t="s">
        <v>1457</v>
      </c>
      <c r="C460">
        <v>180</v>
      </c>
      <c r="D460" t="s">
        <v>3303</v>
      </c>
      <c r="E460">
        <v>9.4</v>
      </c>
      <c r="F460" t="s">
        <v>3298</v>
      </c>
      <c r="G460" t="s">
        <v>3480</v>
      </c>
      <c r="H460" s="57">
        <v>44579</v>
      </c>
      <c r="I460" t="s">
        <v>1720</v>
      </c>
    </row>
    <row r="461" spans="1:9" x14ac:dyDescent="0.35">
      <c r="A461" t="s">
        <v>451</v>
      </c>
      <c r="B461" s="7" t="s">
        <v>1275</v>
      </c>
      <c r="E461">
        <v>9.07</v>
      </c>
      <c r="F461" t="s">
        <v>3298</v>
      </c>
      <c r="G461" t="s">
        <v>3480</v>
      </c>
      <c r="H461" s="57">
        <v>44579</v>
      </c>
      <c r="I461" t="s">
        <v>1720</v>
      </c>
    </row>
    <row r="462" spans="1:9" x14ac:dyDescent="0.35">
      <c r="A462" t="s">
        <v>452</v>
      </c>
      <c r="B462" s="7" t="s">
        <v>1276</v>
      </c>
    </row>
    <row r="463" spans="1:9" x14ac:dyDescent="0.35">
      <c r="A463" t="s">
        <v>453</v>
      </c>
      <c r="B463" s="7" t="s">
        <v>1277</v>
      </c>
    </row>
    <row r="464" spans="1:9" x14ac:dyDescent="0.35">
      <c r="A464" t="s">
        <v>454</v>
      </c>
      <c r="B464" s="7" t="s">
        <v>1278</v>
      </c>
    </row>
    <row r="465" spans="1:9" x14ac:dyDescent="0.35">
      <c r="A465" t="s">
        <v>455</v>
      </c>
      <c r="B465" s="7" t="s">
        <v>1279</v>
      </c>
    </row>
    <row r="466" spans="1:9" x14ac:dyDescent="0.35">
      <c r="A466" t="s">
        <v>456</v>
      </c>
      <c r="B466" s="7" t="s">
        <v>1280</v>
      </c>
    </row>
    <row r="467" spans="1:9" x14ac:dyDescent="0.35">
      <c r="A467" t="s">
        <v>457</v>
      </c>
      <c r="B467" s="7" t="s">
        <v>1281</v>
      </c>
    </row>
    <row r="468" spans="1:9" x14ac:dyDescent="0.35">
      <c r="A468" t="s">
        <v>458</v>
      </c>
      <c r="B468" s="7" t="s">
        <v>1282</v>
      </c>
    </row>
    <row r="469" spans="1:9" x14ac:dyDescent="0.35">
      <c r="A469" t="s">
        <v>459</v>
      </c>
      <c r="B469" s="7" t="s">
        <v>1283</v>
      </c>
    </row>
    <row r="470" spans="1:9" x14ac:dyDescent="0.35">
      <c r="A470" t="s">
        <v>460</v>
      </c>
      <c r="B470" s="7" t="s">
        <v>1284</v>
      </c>
    </row>
    <row r="471" spans="1:9" x14ac:dyDescent="0.35">
      <c r="A471" t="s">
        <v>461</v>
      </c>
      <c r="B471" s="7" t="s">
        <v>1285</v>
      </c>
    </row>
    <row r="472" spans="1:9" x14ac:dyDescent="0.35">
      <c r="A472" t="s">
        <v>462</v>
      </c>
      <c r="B472" s="7" t="s">
        <v>1286</v>
      </c>
    </row>
    <row r="473" spans="1:9" x14ac:dyDescent="0.35">
      <c r="A473" t="s">
        <v>463</v>
      </c>
      <c r="B473" s="7" t="s">
        <v>1287</v>
      </c>
    </row>
    <row r="474" spans="1:9" x14ac:dyDescent="0.35">
      <c r="A474" t="s">
        <v>464</v>
      </c>
      <c r="B474" s="7" t="s">
        <v>1288</v>
      </c>
    </row>
    <row r="475" spans="1:9" x14ac:dyDescent="0.35">
      <c r="A475" t="s">
        <v>465</v>
      </c>
      <c r="B475" s="7" t="s">
        <v>1289</v>
      </c>
    </row>
    <row r="476" spans="1:9" x14ac:dyDescent="0.35">
      <c r="A476" t="s">
        <v>466</v>
      </c>
      <c r="B476" s="7" t="s">
        <v>1290</v>
      </c>
      <c r="E476">
        <v>4.3099999999999996</v>
      </c>
      <c r="F476" t="s">
        <v>3298</v>
      </c>
      <c r="G476" t="s">
        <v>3480</v>
      </c>
      <c r="H476" s="57">
        <v>44580</v>
      </c>
      <c r="I476" t="s">
        <v>1720</v>
      </c>
    </row>
    <row r="477" spans="1:9" x14ac:dyDescent="0.35">
      <c r="A477" t="s">
        <v>467</v>
      </c>
      <c r="B477" s="7" t="s">
        <v>1291</v>
      </c>
    </row>
    <row r="478" spans="1:9" x14ac:dyDescent="0.35">
      <c r="A478" t="s">
        <v>468</v>
      </c>
      <c r="B478" s="7" t="s">
        <v>1292</v>
      </c>
      <c r="E478">
        <v>10</v>
      </c>
      <c r="F478" t="s">
        <v>3293</v>
      </c>
      <c r="G478" t="s">
        <v>3480</v>
      </c>
      <c r="H478" s="57">
        <v>44579</v>
      </c>
      <c r="I478" t="s">
        <v>1720</v>
      </c>
    </row>
    <row r="479" spans="1:9" x14ac:dyDescent="0.35">
      <c r="A479" t="s">
        <v>469</v>
      </c>
      <c r="B479" s="7" t="s">
        <v>1293</v>
      </c>
      <c r="E479">
        <v>7.64</v>
      </c>
      <c r="F479" t="s">
        <v>3298</v>
      </c>
      <c r="G479" t="s">
        <v>3480</v>
      </c>
      <c r="H479" s="57">
        <v>44579</v>
      </c>
      <c r="I479" t="s">
        <v>1720</v>
      </c>
    </row>
    <row r="480" spans="1:9" x14ac:dyDescent="0.35">
      <c r="A480" t="s">
        <v>470</v>
      </c>
      <c r="B480" s="7" t="s">
        <v>1294</v>
      </c>
      <c r="E480">
        <v>1.8</v>
      </c>
      <c r="F480" t="s">
        <v>3293</v>
      </c>
      <c r="G480" t="s">
        <v>3480</v>
      </c>
      <c r="H480" s="57">
        <v>44579</v>
      </c>
      <c r="I480" t="s">
        <v>1720</v>
      </c>
    </row>
    <row r="481" spans="1:2" x14ac:dyDescent="0.35">
      <c r="A481" t="s">
        <v>471</v>
      </c>
      <c r="B481" s="7" t="s">
        <v>1295</v>
      </c>
    </row>
    <row r="482" spans="1:2" x14ac:dyDescent="0.35">
      <c r="A482" t="s">
        <v>472</v>
      </c>
      <c r="B482" s="7" t="s">
        <v>1296</v>
      </c>
    </row>
    <row r="483" spans="1:2" x14ac:dyDescent="0.35">
      <c r="A483" t="s">
        <v>473</v>
      </c>
      <c r="B483" s="7" t="s">
        <v>1297</v>
      </c>
    </row>
    <row r="484" spans="1:2" x14ac:dyDescent="0.35">
      <c r="A484" t="s">
        <v>474</v>
      </c>
      <c r="B484" s="7" t="s">
        <v>1298</v>
      </c>
    </row>
    <row r="485" spans="1:2" x14ac:dyDescent="0.35">
      <c r="A485" t="s">
        <v>475</v>
      </c>
      <c r="B485" s="7" t="s">
        <v>1299</v>
      </c>
    </row>
    <row r="486" spans="1:2" x14ac:dyDescent="0.35">
      <c r="A486" t="s">
        <v>476</v>
      </c>
      <c r="B486" s="7" t="s">
        <v>1300</v>
      </c>
    </row>
    <row r="487" spans="1:2" x14ac:dyDescent="0.35">
      <c r="A487" t="s">
        <v>477</v>
      </c>
      <c r="B487" s="7" t="s">
        <v>1301</v>
      </c>
    </row>
    <row r="488" spans="1:2" x14ac:dyDescent="0.35">
      <c r="A488" t="s">
        <v>478</v>
      </c>
      <c r="B488" s="7" t="s">
        <v>1302</v>
      </c>
    </row>
    <row r="489" spans="1:2" x14ac:dyDescent="0.35">
      <c r="A489" t="s">
        <v>479</v>
      </c>
      <c r="B489" s="7" t="s">
        <v>1303</v>
      </c>
    </row>
    <row r="490" spans="1:2" x14ac:dyDescent="0.35">
      <c r="A490" t="s">
        <v>480</v>
      </c>
      <c r="B490" s="7" t="s">
        <v>1304</v>
      </c>
    </row>
    <row r="491" spans="1:2" x14ac:dyDescent="0.35">
      <c r="A491" t="s">
        <v>481</v>
      </c>
      <c r="B491" s="7" t="s">
        <v>1305</v>
      </c>
    </row>
    <row r="492" spans="1:2" x14ac:dyDescent="0.35">
      <c r="A492" t="s">
        <v>482</v>
      </c>
      <c r="B492" s="7" t="s">
        <v>1306</v>
      </c>
    </row>
    <row r="493" spans="1:2" x14ac:dyDescent="0.35">
      <c r="A493" s="2" t="s">
        <v>483</v>
      </c>
      <c r="B493" t="s">
        <v>1307</v>
      </c>
    </row>
    <row r="494" spans="1:2" x14ac:dyDescent="0.35">
      <c r="A494" t="s">
        <v>484</v>
      </c>
      <c r="B494" s="7" t="s">
        <v>1308</v>
      </c>
    </row>
    <row r="495" spans="1:2" x14ac:dyDescent="0.35">
      <c r="A495" t="s">
        <v>485</v>
      </c>
      <c r="B495" s="7" t="s">
        <v>1309</v>
      </c>
    </row>
    <row r="496" spans="1:2" x14ac:dyDescent="0.35">
      <c r="A496" t="s">
        <v>486</v>
      </c>
      <c r="B496" s="7" t="s">
        <v>1310</v>
      </c>
    </row>
    <row r="497" spans="1:9" x14ac:dyDescent="0.35">
      <c r="A497" t="s">
        <v>487</v>
      </c>
      <c r="B497" s="7" t="s">
        <v>1311</v>
      </c>
    </row>
    <row r="498" spans="1:9" x14ac:dyDescent="0.35">
      <c r="A498" t="s">
        <v>488</v>
      </c>
      <c r="B498" s="7" t="s">
        <v>1312</v>
      </c>
    </row>
    <row r="499" spans="1:9" x14ac:dyDescent="0.35">
      <c r="A499" t="s">
        <v>489</v>
      </c>
      <c r="B499" s="7" t="s">
        <v>1313</v>
      </c>
    </row>
    <row r="500" spans="1:9" x14ac:dyDescent="0.35">
      <c r="A500" t="s">
        <v>490</v>
      </c>
      <c r="B500" s="7" t="s">
        <v>1314</v>
      </c>
    </row>
    <row r="501" spans="1:9" x14ac:dyDescent="0.35">
      <c r="A501" t="s">
        <v>491</v>
      </c>
      <c r="B501" s="7" t="s">
        <v>1315</v>
      </c>
    </row>
    <row r="502" spans="1:9" x14ac:dyDescent="0.35">
      <c r="A502" t="s">
        <v>492</v>
      </c>
      <c r="B502" s="7" t="s">
        <v>1316</v>
      </c>
      <c r="E502">
        <v>5</v>
      </c>
      <c r="F502" t="s">
        <v>3293</v>
      </c>
      <c r="G502" t="s">
        <v>3480</v>
      </c>
      <c r="H502" s="57">
        <v>44579</v>
      </c>
      <c r="I502" t="s">
        <v>1720</v>
      </c>
    </row>
    <row r="503" spans="1:9" x14ac:dyDescent="0.35">
      <c r="A503" t="s">
        <v>493</v>
      </c>
      <c r="B503" s="7" t="s">
        <v>1317</v>
      </c>
      <c r="E503">
        <v>3.5</v>
      </c>
      <c r="F503" t="s">
        <v>3306</v>
      </c>
      <c r="G503" t="s">
        <v>3480</v>
      </c>
      <c r="H503" s="57">
        <v>44580</v>
      </c>
      <c r="I503" t="s">
        <v>1720</v>
      </c>
    </row>
    <row r="504" spans="1:9" x14ac:dyDescent="0.35">
      <c r="A504" t="s">
        <v>494</v>
      </c>
      <c r="B504" s="7" t="s">
        <v>1318</v>
      </c>
    </row>
    <row r="505" spans="1:9" x14ac:dyDescent="0.35">
      <c r="A505" t="s">
        <v>495</v>
      </c>
      <c r="B505" s="7" t="s">
        <v>1319</v>
      </c>
    </row>
    <row r="506" spans="1:9" x14ac:dyDescent="0.35">
      <c r="A506" t="s">
        <v>496</v>
      </c>
      <c r="B506" s="7" t="s">
        <v>1320</v>
      </c>
    </row>
    <row r="507" spans="1:9" x14ac:dyDescent="0.35">
      <c r="A507" t="s">
        <v>497</v>
      </c>
      <c r="B507" s="7" t="s">
        <v>1321</v>
      </c>
    </row>
    <row r="508" spans="1:9" x14ac:dyDescent="0.35">
      <c r="A508" t="s">
        <v>498</v>
      </c>
      <c r="B508" s="7" t="s">
        <v>1322</v>
      </c>
    </row>
    <row r="509" spans="1:9" x14ac:dyDescent="0.35">
      <c r="A509" s="2" t="s">
        <v>499</v>
      </c>
      <c r="B509" s="7" t="s">
        <v>1323</v>
      </c>
    </row>
    <row r="510" spans="1:9" x14ac:dyDescent="0.35">
      <c r="A510" t="s">
        <v>500</v>
      </c>
      <c r="B510" s="7" t="s">
        <v>1324</v>
      </c>
    </row>
    <row r="511" spans="1:9" x14ac:dyDescent="0.35">
      <c r="A511" t="s">
        <v>501</v>
      </c>
      <c r="B511" s="7" t="s">
        <v>1325</v>
      </c>
    </row>
    <row r="512" spans="1:9" x14ac:dyDescent="0.35">
      <c r="A512" t="s">
        <v>502</v>
      </c>
      <c r="B512" s="7" t="s">
        <v>1326</v>
      </c>
    </row>
    <row r="513" spans="1:9" x14ac:dyDescent="0.35">
      <c r="A513" t="s">
        <v>503</v>
      </c>
      <c r="B513" s="7" t="s">
        <v>1327</v>
      </c>
    </row>
    <row r="514" spans="1:9" x14ac:dyDescent="0.35">
      <c r="A514" t="s">
        <v>504</v>
      </c>
      <c r="B514" s="7" t="s">
        <v>1328</v>
      </c>
    </row>
    <row r="515" spans="1:9" x14ac:dyDescent="0.35">
      <c r="A515" t="s">
        <v>505</v>
      </c>
      <c r="B515" s="7" t="s">
        <v>1329</v>
      </c>
    </row>
    <row r="516" spans="1:9" x14ac:dyDescent="0.35">
      <c r="A516" t="s">
        <v>506</v>
      </c>
      <c r="B516" s="7" t="s">
        <v>1330</v>
      </c>
    </row>
    <row r="517" spans="1:9" x14ac:dyDescent="0.35">
      <c r="A517" t="s">
        <v>507</v>
      </c>
      <c r="B517" s="7" t="s">
        <v>1331</v>
      </c>
      <c r="E517">
        <v>0.2</v>
      </c>
      <c r="F517" t="s">
        <v>3293</v>
      </c>
      <c r="G517" t="s">
        <v>3480</v>
      </c>
      <c r="H517" s="57">
        <v>44580</v>
      </c>
      <c r="I517" t="s">
        <v>1720</v>
      </c>
    </row>
    <row r="518" spans="1:9" x14ac:dyDescent="0.35">
      <c r="A518" t="s">
        <v>508</v>
      </c>
      <c r="B518" s="7" t="s">
        <v>1332</v>
      </c>
    </row>
    <row r="519" spans="1:9" x14ac:dyDescent="0.35">
      <c r="A519" t="s">
        <v>509</v>
      </c>
      <c r="B519" s="7" t="s">
        <v>1333</v>
      </c>
    </row>
    <row r="520" spans="1:9" x14ac:dyDescent="0.35">
      <c r="A520" t="s">
        <v>510</v>
      </c>
      <c r="B520" s="7" t="s">
        <v>1334</v>
      </c>
      <c r="E520">
        <v>1.8</v>
      </c>
      <c r="F520" t="s">
        <v>3293</v>
      </c>
      <c r="G520" t="s">
        <v>3480</v>
      </c>
      <c r="H520" s="57">
        <v>44579</v>
      </c>
      <c r="I520" t="s">
        <v>1720</v>
      </c>
    </row>
    <row r="521" spans="1:9" x14ac:dyDescent="0.35">
      <c r="A521" t="s">
        <v>511</v>
      </c>
      <c r="B521" s="7" t="s">
        <v>1335</v>
      </c>
    </row>
    <row r="522" spans="1:9" x14ac:dyDescent="0.35">
      <c r="A522" t="s">
        <v>512</v>
      </c>
      <c r="B522" s="7" t="s">
        <v>1336</v>
      </c>
    </row>
    <row r="523" spans="1:9" x14ac:dyDescent="0.35">
      <c r="A523" t="s">
        <v>513</v>
      </c>
      <c r="B523" s="7" t="s">
        <v>1337</v>
      </c>
    </row>
    <row r="524" spans="1:9" x14ac:dyDescent="0.35">
      <c r="A524" t="s">
        <v>514</v>
      </c>
      <c r="B524" s="7" t="s">
        <v>1338</v>
      </c>
    </row>
    <row r="525" spans="1:9" x14ac:dyDescent="0.35">
      <c r="A525" t="s">
        <v>515</v>
      </c>
      <c r="B525" s="7" t="s">
        <v>1339</v>
      </c>
    </row>
    <row r="526" spans="1:9" x14ac:dyDescent="0.35">
      <c r="A526" t="s">
        <v>516</v>
      </c>
      <c r="B526" s="7" t="s">
        <v>1340</v>
      </c>
    </row>
    <row r="527" spans="1:9" x14ac:dyDescent="0.35">
      <c r="A527" t="s">
        <v>517</v>
      </c>
      <c r="B527" s="7" t="s">
        <v>1341</v>
      </c>
    </row>
    <row r="528" spans="1:9" x14ac:dyDescent="0.35">
      <c r="A528" t="s">
        <v>518</v>
      </c>
      <c r="B528" s="7" t="s">
        <v>1342</v>
      </c>
    </row>
    <row r="529" spans="1:2" x14ac:dyDescent="0.35">
      <c r="A529" t="s">
        <v>519</v>
      </c>
      <c r="B529" s="7" t="s">
        <v>1343</v>
      </c>
    </row>
    <row r="530" spans="1:2" x14ac:dyDescent="0.35">
      <c r="A530" t="s">
        <v>520</v>
      </c>
      <c r="B530" s="7" t="s">
        <v>1344</v>
      </c>
    </row>
    <row r="531" spans="1:2" x14ac:dyDescent="0.35">
      <c r="A531" t="s">
        <v>521</v>
      </c>
      <c r="B531" s="7" t="s">
        <v>1345</v>
      </c>
    </row>
    <row r="532" spans="1:2" x14ac:dyDescent="0.35">
      <c r="A532" t="s">
        <v>522</v>
      </c>
      <c r="B532" s="7" t="s">
        <v>1346</v>
      </c>
    </row>
    <row r="533" spans="1:2" x14ac:dyDescent="0.35">
      <c r="A533" t="s">
        <v>523</v>
      </c>
      <c r="B533" s="7" t="s">
        <v>1347</v>
      </c>
    </row>
    <row r="534" spans="1:2" x14ac:dyDescent="0.35">
      <c r="A534" t="s">
        <v>524</v>
      </c>
      <c r="B534" s="7" t="s">
        <v>1348</v>
      </c>
    </row>
    <row r="535" spans="1:2" x14ac:dyDescent="0.35">
      <c r="A535" t="s">
        <v>525</v>
      </c>
      <c r="B535" s="7" t="s">
        <v>1349</v>
      </c>
    </row>
    <row r="536" spans="1:2" x14ac:dyDescent="0.35">
      <c r="A536" t="s">
        <v>526</v>
      </c>
      <c r="B536" s="7" t="s">
        <v>1350</v>
      </c>
    </row>
    <row r="537" spans="1:2" x14ac:dyDescent="0.35">
      <c r="A537" t="s">
        <v>527</v>
      </c>
      <c r="B537" s="7" t="s">
        <v>1351</v>
      </c>
    </row>
    <row r="538" spans="1:2" x14ac:dyDescent="0.35">
      <c r="A538" t="s">
        <v>528</v>
      </c>
      <c r="B538" s="7" t="s">
        <v>1352</v>
      </c>
    </row>
    <row r="539" spans="1:2" x14ac:dyDescent="0.35">
      <c r="A539" t="s">
        <v>529</v>
      </c>
      <c r="B539" s="7" t="s">
        <v>1353</v>
      </c>
    </row>
    <row r="540" spans="1:2" x14ac:dyDescent="0.35">
      <c r="A540" t="s">
        <v>530</v>
      </c>
      <c r="B540" s="7" t="s">
        <v>1354</v>
      </c>
    </row>
    <row r="541" spans="1:2" x14ac:dyDescent="0.35">
      <c r="A541" t="s">
        <v>531</v>
      </c>
      <c r="B541" s="7" t="s">
        <v>1355</v>
      </c>
    </row>
    <row r="542" spans="1:2" x14ac:dyDescent="0.35">
      <c r="A542" t="s">
        <v>532</v>
      </c>
      <c r="B542" s="7" t="s">
        <v>1356</v>
      </c>
    </row>
    <row r="543" spans="1:2" x14ac:dyDescent="0.35">
      <c r="A543" t="s">
        <v>533</v>
      </c>
      <c r="B543" s="7" t="s">
        <v>1357</v>
      </c>
    </row>
    <row r="544" spans="1:2" x14ac:dyDescent="0.35">
      <c r="A544" t="s">
        <v>534</v>
      </c>
      <c r="B544" s="7" t="s">
        <v>1358</v>
      </c>
    </row>
    <row r="545" spans="1:2" x14ac:dyDescent="0.35">
      <c r="A545" t="s">
        <v>535</v>
      </c>
      <c r="B545" s="7" t="s">
        <v>1359</v>
      </c>
    </row>
    <row r="546" spans="1:2" x14ac:dyDescent="0.35">
      <c r="A546" t="s">
        <v>536</v>
      </c>
      <c r="B546" s="7" t="s">
        <v>1360</v>
      </c>
    </row>
    <row r="547" spans="1:2" x14ac:dyDescent="0.35">
      <c r="A547" t="s">
        <v>537</v>
      </c>
      <c r="B547" s="7" t="s">
        <v>1361</v>
      </c>
    </row>
    <row r="548" spans="1:2" x14ac:dyDescent="0.35">
      <c r="A548" t="s">
        <v>538</v>
      </c>
      <c r="B548" s="7" t="s">
        <v>1362</v>
      </c>
    </row>
    <row r="549" spans="1:2" x14ac:dyDescent="0.35">
      <c r="A549" t="s">
        <v>539</v>
      </c>
      <c r="B549" s="7" t="s">
        <v>1363</v>
      </c>
    </row>
    <row r="550" spans="1:2" x14ac:dyDescent="0.35">
      <c r="A550" t="s">
        <v>540</v>
      </c>
      <c r="B550" s="7" t="s">
        <v>1364</v>
      </c>
    </row>
    <row r="551" spans="1:2" x14ac:dyDescent="0.35">
      <c r="A551" t="s">
        <v>541</v>
      </c>
      <c r="B551" s="7" t="s">
        <v>1365</v>
      </c>
    </row>
    <row r="552" spans="1:2" x14ac:dyDescent="0.35">
      <c r="A552" t="s">
        <v>542</v>
      </c>
      <c r="B552" s="7" t="s">
        <v>1366</v>
      </c>
    </row>
    <row r="553" spans="1:2" x14ac:dyDescent="0.35">
      <c r="A553" t="s">
        <v>543</v>
      </c>
      <c r="B553" s="7" t="s">
        <v>1367</v>
      </c>
    </row>
    <row r="554" spans="1:2" x14ac:dyDescent="0.35">
      <c r="A554" t="s">
        <v>544</v>
      </c>
      <c r="B554" s="7" t="s">
        <v>1368</v>
      </c>
    </row>
    <row r="555" spans="1:2" x14ac:dyDescent="0.35">
      <c r="A555" t="s">
        <v>545</v>
      </c>
      <c r="B555" s="7" t="s">
        <v>1369</v>
      </c>
    </row>
    <row r="556" spans="1:2" x14ac:dyDescent="0.35">
      <c r="A556" t="s">
        <v>546</v>
      </c>
      <c r="B556" s="7" t="s">
        <v>1370</v>
      </c>
    </row>
    <row r="557" spans="1:2" x14ac:dyDescent="0.35">
      <c r="A557" t="s">
        <v>547</v>
      </c>
      <c r="B557" s="7" t="s">
        <v>1371</v>
      </c>
    </row>
    <row r="558" spans="1:2" x14ac:dyDescent="0.35">
      <c r="A558" t="s">
        <v>548</v>
      </c>
      <c r="B558" s="7" t="s">
        <v>1372</v>
      </c>
    </row>
    <row r="559" spans="1:2" x14ac:dyDescent="0.35">
      <c r="A559" t="s">
        <v>549</v>
      </c>
      <c r="B559" s="7" t="s">
        <v>1373</v>
      </c>
    </row>
    <row r="560" spans="1:2" x14ac:dyDescent="0.35">
      <c r="A560" t="s">
        <v>550</v>
      </c>
      <c r="B560" s="7" t="s">
        <v>1374</v>
      </c>
    </row>
    <row r="561" spans="1:9" x14ac:dyDescent="0.35">
      <c r="A561" t="s">
        <v>551</v>
      </c>
      <c r="B561" s="7" t="s">
        <v>1375</v>
      </c>
    </row>
    <row r="562" spans="1:9" x14ac:dyDescent="0.35">
      <c r="A562" t="s">
        <v>552</v>
      </c>
      <c r="B562" s="7" t="s">
        <v>1376</v>
      </c>
    </row>
    <row r="563" spans="1:9" x14ac:dyDescent="0.35">
      <c r="A563" t="s">
        <v>553</v>
      </c>
      <c r="B563" s="7" t="s">
        <v>1377</v>
      </c>
    </row>
    <row r="564" spans="1:9" x14ac:dyDescent="0.35">
      <c r="A564" t="s">
        <v>554</v>
      </c>
      <c r="B564" s="7" t="s">
        <v>1378</v>
      </c>
    </row>
    <row r="565" spans="1:9" x14ac:dyDescent="0.35">
      <c r="A565" t="s">
        <v>555</v>
      </c>
      <c r="B565" s="7" t="s">
        <v>1379</v>
      </c>
    </row>
    <row r="566" spans="1:9" x14ac:dyDescent="0.35">
      <c r="A566" t="s">
        <v>556</v>
      </c>
      <c r="B566" s="7" t="s">
        <v>1380</v>
      </c>
    </row>
    <row r="567" spans="1:9" x14ac:dyDescent="0.35">
      <c r="A567" t="s">
        <v>557</v>
      </c>
      <c r="B567" s="7" t="s">
        <v>1381</v>
      </c>
    </row>
    <row r="568" spans="1:9" x14ac:dyDescent="0.35">
      <c r="A568" t="s">
        <v>558</v>
      </c>
      <c r="B568" s="7" t="s">
        <v>1382</v>
      </c>
    </row>
    <row r="569" spans="1:9" x14ac:dyDescent="0.35">
      <c r="A569" t="s">
        <v>559</v>
      </c>
      <c r="B569" s="7" t="s">
        <v>1383</v>
      </c>
    </row>
    <row r="570" spans="1:9" x14ac:dyDescent="0.35">
      <c r="A570" t="s">
        <v>560</v>
      </c>
      <c r="B570" s="7" t="s">
        <v>1384</v>
      </c>
    </row>
    <row r="571" spans="1:9" x14ac:dyDescent="0.35">
      <c r="A571" t="s">
        <v>633</v>
      </c>
      <c r="B571" s="7" t="s">
        <v>1457</v>
      </c>
      <c r="C571">
        <v>180</v>
      </c>
      <c r="D571" t="s">
        <v>3303</v>
      </c>
      <c r="E571">
        <v>15</v>
      </c>
      <c r="F571" t="s">
        <v>3308</v>
      </c>
      <c r="G571" t="s">
        <v>3480</v>
      </c>
      <c r="H571" s="57">
        <v>44579</v>
      </c>
      <c r="I571" t="s">
        <v>1720</v>
      </c>
    </row>
    <row r="572" spans="1:9" x14ac:dyDescent="0.35">
      <c r="A572" t="s">
        <v>562</v>
      </c>
      <c r="B572" s="7" t="s">
        <v>1386</v>
      </c>
    </row>
    <row r="573" spans="1:9" x14ac:dyDescent="0.35">
      <c r="A573" t="s">
        <v>563</v>
      </c>
      <c r="B573" s="7" t="s">
        <v>1387</v>
      </c>
    </row>
    <row r="574" spans="1:9" x14ac:dyDescent="0.35">
      <c r="A574" t="s">
        <v>564</v>
      </c>
      <c r="B574" s="7" t="s">
        <v>1388</v>
      </c>
    </row>
    <row r="575" spans="1:9" x14ac:dyDescent="0.35">
      <c r="A575" t="s">
        <v>565</v>
      </c>
      <c r="B575" s="7" t="s">
        <v>1389</v>
      </c>
    </row>
    <row r="576" spans="1:9" x14ac:dyDescent="0.35">
      <c r="A576" t="s">
        <v>566</v>
      </c>
      <c r="B576" s="7" t="s">
        <v>1390</v>
      </c>
    </row>
    <row r="577" spans="1:9" x14ac:dyDescent="0.35">
      <c r="A577" t="s">
        <v>567</v>
      </c>
      <c r="B577" s="7" t="s">
        <v>1391</v>
      </c>
    </row>
    <row r="578" spans="1:9" x14ac:dyDescent="0.35">
      <c r="A578" t="s">
        <v>568</v>
      </c>
      <c r="B578" s="7" t="s">
        <v>1392</v>
      </c>
    </row>
    <row r="579" spans="1:9" x14ac:dyDescent="0.35">
      <c r="A579" t="s">
        <v>569</v>
      </c>
      <c r="B579" s="7" t="s">
        <v>1393</v>
      </c>
    </row>
    <row r="580" spans="1:9" x14ac:dyDescent="0.35">
      <c r="A580" t="s">
        <v>570</v>
      </c>
      <c r="B580" s="7" t="s">
        <v>1394</v>
      </c>
    </row>
    <row r="581" spans="1:9" x14ac:dyDescent="0.35">
      <c r="A581" t="s">
        <v>571</v>
      </c>
      <c r="B581" s="7" t="s">
        <v>1395</v>
      </c>
    </row>
    <row r="582" spans="1:9" x14ac:dyDescent="0.35">
      <c r="A582" t="s">
        <v>572</v>
      </c>
      <c r="B582" s="7" t="s">
        <v>1396</v>
      </c>
    </row>
    <row r="583" spans="1:9" x14ac:dyDescent="0.35">
      <c r="A583" t="s">
        <v>573</v>
      </c>
      <c r="B583" t="s">
        <v>1397</v>
      </c>
    </row>
    <row r="584" spans="1:9" x14ac:dyDescent="0.35">
      <c r="A584" t="s">
        <v>574</v>
      </c>
      <c r="B584" s="7" t="s">
        <v>1398</v>
      </c>
    </row>
    <row r="585" spans="1:9" x14ac:dyDescent="0.35">
      <c r="A585" t="s">
        <v>575</v>
      </c>
      <c r="B585" s="7" t="s">
        <v>1399</v>
      </c>
    </row>
    <row r="586" spans="1:9" x14ac:dyDescent="0.35">
      <c r="A586" t="s">
        <v>576</v>
      </c>
      <c r="B586" s="7" t="s">
        <v>1400</v>
      </c>
    </row>
    <row r="587" spans="1:9" x14ac:dyDescent="0.35">
      <c r="A587" t="s">
        <v>577</v>
      </c>
      <c r="B587" s="7" t="s">
        <v>1401</v>
      </c>
      <c r="E587">
        <v>2.5000000000000001E-2</v>
      </c>
      <c r="F587" t="s">
        <v>3293</v>
      </c>
      <c r="G587" t="s">
        <v>3480</v>
      </c>
      <c r="H587" s="57">
        <v>44580</v>
      </c>
      <c r="I587" t="s">
        <v>1720</v>
      </c>
    </row>
    <row r="588" spans="1:9" x14ac:dyDescent="0.35">
      <c r="A588" t="s">
        <v>633</v>
      </c>
      <c r="B588" s="7" t="s">
        <v>1457</v>
      </c>
      <c r="C588">
        <v>180</v>
      </c>
      <c r="D588" t="s">
        <v>3303</v>
      </c>
      <c r="E588">
        <v>60</v>
      </c>
      <c r="F588" t="s">
        <v>3306</v>
      </c>
      <c r="G588" t="s">
        <v>3480</v>
      </c>
      <c r="H588" s="57">
        <v>44579</v>
      </c>
      <c r="I588" t="s">
        <v>1720</v>
      </c>
    </row>
    <row r="589" spans="1:9" x14ac:dyDescent="0.35">
      <c r="A589" t="s">
        <v>35</v>
      </c>
      <c r="B589" s="7" t="s">
        <v>864</v>
      </c>
      <c r="C589">
        <v>190</v>
      </c>
      <c r="D589" t="s">
        <v>3292</v>
      </c>
      <c r="E589">
        <v>1.1000000000000001</v>
      </c>
      <c r="F589" t="s">
        <v>3293</v>
      </c>
      <c r="G589" t="s">
        <v>3480</v>
      </c>
      <c r="H589" s="57">
        <v>44580</v>
      </c>
      <c r="I589" t="s">
        <v>1720</v>
      </c>
    </row>
    <row r="590" spans="1:9" x14ac:dyDescent="0.35">
      <c r="A590" t="s">
        <v>579</v>
      </c>
      <c r="B590" s="7" t="s">
        <v>1403</v>
      </c>
    </row>
    <row r="591" spans="1:9" x14ac:dyDescent="0.35">
      <c r="A591" t="s">
        <v>580</v>
      </c>
      <c r="B591" s="7" t="s">
        <v>1404</v>
      </c>
    </row>
    <row r="592" spans="1:9" x14ac:dyDescent="0.35">
      <c r="A592" t="s">
        <v>581</v>
      </c>
      <c r="B592" s="7" t="s">
        <v>1405</v>
      </c>
    </row>
    <row r="593" spans="1:9" x14ac:dyDescent="0.35">
      <c r="A593" t="s">
        <v>582</v>
      </c>
      <c r="B593" s="7" t="s">
        <v>1406</v>
      </c>
    </row>
    <row r="594" spans="1:9" x14ac:dyDescent="0.35">
      <c r="A594" t="s">
        <v>583</v>
      </c>
      <c r="B594" s="7" t="s">
        <v>1407</v>
      </c>
    </row>
    <row r="595" spans="1:9" x14ac:dyDescent="0.35">
      <c r="A595" t="s">
        <v>584</v>
      </c>
      <c r="B595" s="7" t="s">
        <v>1408</v>
      </c>
    </row>
    <row r="596" spans="1:9" x14ac:dyDescent="0.35">
      <c r="A596" t="s">
        <v>585</v>
      </c>
      <c r="B596" s="7" t="s">
        <v>1409</v>
      </c>
    </row>
    <row r="597" spans="1:9" x14ac:dyDescent="0.35">
      <c r="A597" t="s">
        <v>586</v>
      </c>
      <c r="B597" s="7" t="s">
        <v>1410</v>
      </c>
    </row>
    <row r="598" spans="1:9" x14ac:dyDescent="0.35">
      <c r="A598" t="s">
        <v>587</v>
      </c>
      <c r="B598" s="7" t="s">
        <v>1411</v>
      </c>
    </row>
    <row r="599" spans="1:9" x14ac:dyDescent="0.35">
      <c r="A599" t="s">
        <v>588</v>
      </c>
      <c r="B599" s="7" t="s">
        <v>1412</v>
      </c>
    </row>
    <row r="600" spans="1:9" x14ac:dyDescent="0.35">
      <c r="A600" t="s">
        <v>589</v>
      </c>
      <c r="B600" s="7" t="s">
        <v>1413</v>
      </c>
    </row>
    <row r="601" spans="1:9" ht="13.5" customHeight="1" x14ac:dyDescent="0.35">
      <c r="A601" t="s">
        <v>590</v>
      </c>
      <c r="B601" s="7" t="s">
        <v>1414</v>
      </c>
      <c r="E601">
        <v>10</v>
      </c>
      <c r="F601" t="s">
        <v>3293</v>
      </c>
      <c r="G601" t="s">
        <v>3480</v>
      </c>
      <c r="H601" s="57">
        <v>44580</v>
      </c>
      <c r="I601" t="s">
        <v>1720</v>
      </c>
    </row>
    <row r="602" spans="1:9" x14ac:dyDescent="0.35">
      <c r="A602" t="s">
        <v>591</v>
      </c>
      <c r="B602" s="7" t="s">
        <v>1415</v>
      </c>
    </row>
    <row r="603" spans="1:9" x14ac:dyDescent="0.35">
      <c r="A603" t="s">
        <v>592</v>
      </c>
      <c r="B603" s="7" t="s">
        <v>1416</v>
      </c>
    </row>
    <row r="604" spans="1:9" x14ac:dyDescent="0.35">
      <c r="A604" t="s">
        <v>590</v>
      </c>
      <c r="B604" s="7" t="s">
        <v>1414</v>
      </c>
      <c r="E604">
        <v>3.2</v>
      </c>
      <c r="F604" t="s">
        <v>3306</v>
      </c>
      <c r="G604" t="s">
        <v>3480</v>
      </c>
      <c r="H604" s="57">
        <v>44580</v>
      </c>
      <c r="I604" t="s">
        <v>1720</v>
      </c>
    </row>
    <row r="605" spans="1:9" x14ac:dyDescent="0.35">
      <c r="A605" t="s">
        <v>593</v>
      </c>
      <c r="B605" s="7" t="s">
        <v>1417</v>
      </c>
      <c r="E605">
        <v>0.1</v>
      </c>
      <c r="F605">
        <v>1</v>
      </c>
      <c r="G605" t="s">
        <v>3480</v>
      </c>
      <c r="H605" s="57">
        <v>44580</v>
      </c>
      <c r="I605" t="s">
        <v>1720</v>
      </c>
    </row>
    <row r="606" spans="1:9" x14ac:dyDescent="0.35">
      <c r="A606" t="s">
        <v>594</v>
      </c>
      <c r="B606" s="7" t="s">
        <v>1418</v>
      </c>
    </row>
    <row r="607" spans="1:9" x14ac:dyDescent="0.35">
      <c r="A607" t="s">
        <v>595</v>
      </c>
      <c r="B607" s="7" t="s">
        <v>1419</v>
      </c>
    </row>
    <row r="608" spans="1:9" x14ac:dyDescent="0.35">
      <c r="A608" t="s">
        <v>596</v>
      </c>
      <c r="B608" s="7" t="s">
        <v>1420</v>
      </c>
    </row>
    <row r="609" spans="1:9" x14ac:dyDescent="0.35">
      <c r="A609" t="s">
        <v>597</v>
      </c>
      <c r="B609" s="7" t="s">
        <v>1421</v>
      </c>
    </row>
    <row r="610" spans="1:9" x14ac:dyDescent="0.35">
      <c r="A610" t="s">
        <v>606</v>
      </c>
      <c r="B610" s="7" t="s">
        <v>1430</v>
      </c>
      <c r="C610">
        <v>400</v>
      </c>
      <c r="D610" t="s">
        <v>3307</v>
      </c>
      <c r="E610">
        <v>0.3</v>
      </c>
      <c r="F610" t="s">
        <v>3298</v>
      </c>
      <c r="G610" t="s">
        <v>3480</v>
      </c>
      <c r="H610" s="57">
        <v>44579</v>
      </c>
      <c r="I610" t="s">
        <v>1720</v>
      </c>
    </row>
    <row r="611" spans="1:9" x14ac:dyDescent="0.35">
      <c r="A611" t="s">
        <v>599</v>
      </c>
      <c r="B611" s="7" t="s">
        <v>1423</v>
      </c>
    </row>
    <row r="612" spans="1:9" x14ac:dyDescent="0.35">
      <c r="A612" t="s">
        <v>600</v>
      </c>
      <c r="B612" s="7" t="s">
        <v>1424</v>
      </c>
    </row>
    <row r="613" spans="1:9" x14ac:dyDescent="0.35">
      <c r="A613" t="s">
        <v>601</v>
      </c>
      <c r="B613" s="7" t="s">
        <v>1425</v>
      </c>
    </row>
    <row r="614" spans="1:9" x14ac:dyDescent="0.35">
      <c r="A614" t="s">
        <v>602</v>
      </c>
      <c r="B614" s="7" t="s">
        <v>1426</v>
      </c>
    </row>
    <row r="615" spans="1:9" x14ac:dyDescent="0.35">
      <c r="A615" t="s">
        <v>603</v>
      </c>
      <c r="B615" s="7" t="s">
        <v>1427</v>
      </c>
    </row>
    <row r="616" spans="1:9" x14ac:dyDescent="0.35">
      <c r="A616" t="s">
        <v>604</v>
      </c>
      <c r="B616" s="7" t="s">
        <v>1428</v>
      </c>
    </row>
    <row r="617" spans="1:9" x14ac:dyDescent="0.35">
      <c r="A617" t="s">
        <v>606</v>
      </c>
      <c r="B617" s="7" t="s">
        <v>1430</v>
      </c>
      <c r="C617">
        <v>400</v>
      </c>
      <c r="D617" t="s">
        <v>3307</v>
      </c>
      <c r="E617">
        <v>16</v>
      </c>
      <c r="F617" t="s">
        <v>3293</v>
      </c>
      <c r="G617" t="s">
        <v>3480</v>
      </c>
      <c r="H617" s="57">
        <v>44579</v>
      </c>
      <c r="I617" t="s">
        <v>1720</v>
      </c>
    </row>
    <row r="618" spans="1:9" x14ac:dyDescent="0.35">
      <c r="A618" t="s">
        <v>606</v>
      </c>
      <c r="B618" s="7" t="s">
        <v>1430</v>
      </c>
      <c r="C618">
        <v>400</v>
      </c>
      <c r="D618" t="s">
        <v>3307</v>
      </c>
      <c r="E618">
        <v>32</v>
      </c>
      <c r="F618" t="s">
        <v>3297</v>
      </c>
      <c r="G618" t="s">
        <v>3480</v>
      </c>
      <c r="H618" s="57">
        <v>44579</v>
      </c>
      <c r="I618" t="s">
        <v>1720</v>
      </c>
    </row>
    <row r="619" spans="1:9" x14ac:dyDescent="0.35">
      <c r="A619" t="s">
        <v>578</v>
      </c>
      <c r="B619" s="7" t="s">
        <v>1402</v>
      </c>
      <c r="C619">
        <v>830</v>
      </c>
      <c r="D619" t="s">
        <v>3303</v>
      </c>
      <c r="E619">
        <v>45</v>
      </c>
      <c r="F619" t="s">
        <v>3298</v>
      </c>
      <c r="G619" t="s">
        <v>3480</v>
      </c>
      <c r="H619" s="57">
        <v>44580</v>
      </c>
      <c r="I619" t="s">
        <v>1720</v>
      </c>
    </row>
    <row r="620" spans="1:9" x14ac:dyDescent="0.35">
      <c r="A620" t="s">
        <v>578</v>
      </c>
      <c r="B620" s="7" t="s">
        <v>1402</v>
      </c>
      <c r="C620">
        <v>830</v>
      </c>
      <c r="D620" t="s">
        <v>3303</v>
      </c>
      <c r="E620">
        <v>98</v>
      </c>
      <c r="F620" t="s">
        <v>3303</v>
      </c>
      <c r="G620" t="s">
        <v>3480</v>
      </c>
      <c r="H620" s="57">
        <v>44580</v>
      </c>
      <c r="I620" t="s">
        <v>1720</v>
      </c>
    </row>
    <row r="621" spans="1:9" x14ac:dyDescent="0.35">
      <c r="A621" t="s">
        <v>607</v>
      </c>
      <c r="B621" s="7" t="s">
        <v>1431</v>
      </c>
    </row>
    <row r="622" spans="1:9" x14ac:dyDescent="0.35">
      <c r="A622" t="s">
        <v>608</v>
      </c>
      <c r="B622" s="7" t="s">
        <v>1432</v>
      </c>
    </row>
    <row r="623" spans="1:9" x14ac:dyDescent="0.35">
      <c r="A623" t="s">
        <v>609</v>
      </c>
      <c r="B623" s="7" t="s">
        <v>1433</v>
      </c>
      <c r="E623">
        <v>1</v>
      </c>
      <c r="F623" t="s">
        <v>3293</v>
      </c>
      <c r="G623" t="s">
        <v>3480</v>
      </c>
      <c r="H623" s="57">
        <v>44579</v>
      </c>
      <c r="I623" t="s">
        <v>1720</v>
      </c>
    </row>
    <row r="624" spans="1:9" x14ac:dyDescent="0.35">
      <c r="A624" t="s">
        <v>610</v>
      </c>
      <c r="B624" s="7" t="s">
        <v>1434</v>
      </c>
    </row>
    <row r="625" spans="1:2" x14ac:dyDescent="0.35">
      <c r="A625" t="s">
        <v>611</v>
      </c>
      <c r="B625" s="7" t="s">
        <v>1435</v>
      </c>
    </row>
    <row r="626" spans="1:2" x14ac:dyDescent="0.35">
      <c r="A626" t="s">
        <v>612</v>
      </c>
      <c r="B626" s="7" t="s">
        <v>1436</v>
      </c>
    </row>
    <row r="627" spans="1:2" x14ac:dyDescent="0.35">
      <c r="A627" t="s">
        <v>613</v>
      </c>
      <c r="B627" s="7" t="s">
        <v>1437</v>
      </c>
    </row>
    <row r="628" spans="1:2" x14ac:dyDescent="0.35">
      <c r="A628" t="s">
        <v>614</v>
      </c>
      <c r="B628" s="7" t="s">
        <v>1438</v>
      </c>
    </row>
    <row r="629" spans="1:2" x14ac:dyDescent="0.35">
      <c r="A629" t="s">
        <v>615</v>
      </c>
      <c r="B629" s="7" t="s">
        <v>1439</v>
      </c>
    </row>
    <row r="630" spans="1:2" x14ac:dyDescent="0.35">
      <c r="A630" t="s">
        <v>616</v>
      </c>
      <c r="B630" s="7" t="s">
        <v>1440</v>
      </c>
    </row>
    <row r="631" spans="1:2" x14ac:dyDescent="0.35">
      <c r="A631" t="s">
        <v>617</v>
      </c>
      <c r="B631" s="7" t="s">
        <v>1441</v>
      </c>
    </row>
    <row r="632" spans="1:2" x14ac:dyDescent="0.35">
      <c r="A632" t="s">
        <v>618</v>
      </c>
      <c r="B632" s="7" t="s">
        <v>1442</v>
      </c>
    </row>
    <row r="633" spans="1:2" x14ac:dyDescent="0.35">
      <c r="A633" t="s">
        <v>619</v>
      </c>
      <c r="B633" s="7" t="s">
        <v>1443</v>
      </c>
    </row>
    <row r="634" spans="1:2" x14ac:dyDescent="0.35">
      <c r="A634" t="s">
        <v>620</v>
      </c>
      <c r="B634" s="7" t="s">
        <v>1444</v>
      </c>
    </row>
    <row r="635" spans="1:2" x14ac:dyDescent="0.35">
      <c r="A635" t="s">
        <v>621</v>
      </c>
      <c r="B635" s="7" t="s">
        <v>1445</v>
      </c>
    </row>
    <row r="636" spans="1:2" x14ac:dyDescent="0.35">
      <c r="A636" t="s">
        <v>622</v>
      </c>
      <c r="B636" s="7" t="s">
        <v>1446</v>
      </c>
    </row>
    <row r="637" spans="1:2" x14ac:dyDescent="0.35">
      <c r="A637" t="s">
        <v>623</v>
      </c>
      <c r="B637" s="7" t="s">
        <v>1447</v>
      </c>
    </row>
    <row r="638" spans="1:2" x14ac:dyDescent="0.35">
      <c r="A638" t="s">
        <v>624</v>
      </c>
      <c r="B638" s="7" t="s">
        <v>1448</v>
      </c>
    </row>
    <row r="639" spans="1:2" x14ac:dyDescent="0.35">
      <c r="A639" t="s">
        <v>625</v>
      </c>
      <c r="B639" s="7" t="s">
        <v>1449</v>
      </c>
    </row>
    <row r="640" spans="1:2" x14ac:dyDescent="0.35">
      <c r="A640" t="s">
        <v>626</v>
      </c>
      <c r="B640" s="7" t="s">
        <v>1450</v>
      </c>
    </row>
    <row r="641" spans="1:9" x14ac:dyDescent="0.35">
      <c r="A641" t="s">
        <v>627</v>
      </c>
      <c r="B641" s="7" t="s">
        <v>1451</v>
      </c>
    </row>
    <row r="642" spans="1:9" x14ac:dyDescent="0.35">
      <c r="A642" t="s">
        <v>628</v>
      </c>
      <c r="B642" s="7" t="s">
        <v>1452</v>
      </c>
    </row>
    <row r="643" spans="1:9" x14ac:dyDescent="0.35">
      <c r="A643" t="s">
        <v>138</v>
      </c>
      <c r="B643" s="7" t="s">
        <v>967</v>
      </c>
      <c r="C643">
        <v>1050</v>
      </c>
      <c r="D643" t="s">
        <v>3299</v>
      </c>
      <c r="E643">
        <v>105</v>
      </c>
      <c r="F643" t="s">
        <v>3300</v>
      </c>
      <c r="G643" t="s">
        <v>3480</v>
      </c>
      <c r="H643" s="57">
        <v>44579</v>
      </c>
      <c r="I643" t="s">
        <v>1720</v>
      </c>
    </row>
    <row r="644" spans="1:9" x14ac:dyDescent="0.35">
      <c r="A644" t="s">
        <v>75</v>
      </c>
      <c r="B644" s="7" t="s">
        <v>904</v>
      </c>
      <c r="C644">
        <v>1700</v>
      </c>
      <c r="D644" t="s">
        <v>3299</v>
      </c>
      <c r="E644">
        <v>5.8</v>
      </c>
      <c r="F644" t="s">
        <v>3293</v>
      </c>
      <c r="G644" t="s">
        <v>3480</v>
      </c>
      <c r="H644" s="57">
        <v>44579</v>
      </c>
      <c r="I644" t="s">
        <v>1720</v>
      </c>
    </row>
    <row r="645" spans="1:9" x14ac:dyDescent="0.35">
      <c r="A645" t="s">
        <v>60</v>
      </c>
      <c r="B645" s="7" t="s">
        <v>889</v>
      </c>
      <c r="C645">
        <v>1800</v>
      </c>
      <c r="D645" t="s">
        <v>3292</v>
      </c>
      <c r="E645">
        <v>110</v>
      </c>
      <c r="F645" t="s">
        <v>3298</v>
      </c>
      <c r="G645" t="s">
        <v>3480</v>
      </c>
      <c r="H645" s="57">
        <v>44579</v>
      </c>
      <c r="I645" t="s">
        <v>1720</v>
      </c>
    </row>
    <row r="646" spans="1:9" x14ac:dyDescent="0.35">
      <c r="A646" t="s">
        <v>630</v>
      </c>
      <c r="B646" s="7" t="s">
        <v>1454</v>
      </c>
    </row>
    <row r="647" spans="1:9" x14ac:dyDescent="0.35">
      <c r="A647" t="s">
        <v>631</v>
      </c>
      <c r="B647" s="7" t="s">
        <v>1455</v>
      </c>
    </row>
    <row r="648" spans="1:9" x14ac:dyDescent="0.35">
      <c r="A648" t="s">
        <v>632</v>
      </c>
      <c r="B648" s="7" t="s">
        <v>1456</v>
      </c>
    </row>
    <row r="649" spans="1:9" x14ac:dyDescent="0.35">
      <c r="A649" t="s">
        <v>60</v>
      </c>
      <c r="B649" s="7" t="s">
        <v>889</v>
      </c>
      <c r="C649">
        <v>1800</v>
      </c>
      <c r="D649" t="s">
        <v>3292</v>
      </c>
      <c r="E649">
        <v>210</v>
      </c>
      <c r="F649" t="s">
        <v>3292</v>
      </c>
      <c r="G649" t="s">
        <v>3480</v>
      </c>
      <c r="H649" s="57">
        <v>44579</v>
      </c>
      <c r="I649" t="s">
        <v>1720</v>
      </c>
    </row>
    <row r="650" spans="1:9" x14ac:dyDescent="0.35">
      <c r="A650" t="s">
        <v>122</v>
      </c>
      <c r="B650" s="7" t="s">
        <v>951</v>
      </c>
      <c r="C650">
        <v>2300</v>
      </c>
      <c r="D650" t="s">
        <v>3292</v>
      </c>
      <c r="E650">
        <v>320</v>
      </c>
      <c r="F650" t="s">
        <v>3297</v>
      </c>
      <c r="G650" t="s">
        <v>3480</v>
      </c>
      <c r="H650" s="57">
        <v>44579</v>
      </c>
      <c r="I650" t="s">
        <v>1720</v>
      </c>
    </row>
    <row r="651" spans="1:9" x14ac:dyDescent="0.35">
      <c r="A651" t="s">
        <v>634</v>
      </c>
      <c r="B651" s="7" t="s">
        <v>1458</v>
      </c>
    </row>
    <row r="652" spans="1:9" x14ac:dyDescent="0.35">
      <c r="A652" t="s">
        <v>635</v>
      </c>
      <c r="B652" s="7" t="s">
        <v>1459</v>
      </c>
    </row>
    <row r="653" spans="1:9" x14ac:dyDescent="0.35">
      <c r="A653" t="s">
        <v>636</v>
      </c>
      <c r="B653" s="7" t="s">
        <v>1460</v>
      </c>
    </row>
    <row r="654" spans="1:9" x14ac:dyDescent="0.35">
      <c r="A654" t="s">
        <v>637</v>
      </c>
      <c r="B654" s="7" t="s">
        <v>1461</v>
      </c>
    </row>
    <row r="655" spans="1:9" x14ac:dyDescent="0.35">
      <c r="A655" t="s">
        <v>638</v>
      </c>
      <c r="B655" s="7" t="s">
        <v>1462</v>
      </c>
    </row>
    <row r="656" spans="1:9" x14ac:dyDescent="0.35">
      <c r="A656" t="s">
        <v>639</v>
      </c>
      <c r="B656" s="7" t="s">
        <v>1463</v>
      </c>
    </row>
    <row r="657" spans="1:9" x14ac:dyDescent="0.35">
      <c r="A657" t="s">
        <v>640</v>
      </c>
      <c r="B657" s="7" t="s">
        <v>1464</v>
      </c>
    </row>
    <row r="658" spans="1:9" x14ac:dyDescent="0.35">
      <c r="A658" t="s">
        <v>641</v>
      </c>
      <c r="B658" s="7" t="s">
        <v>1465</v>
      </c>
    </row>
    <row r="659" spans="1:9" x14ac:dyDescent="0.35">
      <c r="A659" t="s">
        <v>642</v>
      </c>
      <c r="B659" s="7" t="s">
        <v>1466</v>
      </c>
    </row>
    <row r="660" spans="1:9" x14ac:dyDescent="0.35">
      <c r="A660" t="s">
        <v>643</v>
      </c>
      <c r="B660" s="7" t="s">
        <v>1467</v>
      </c>
      <c r="E660">
        <v>2.2200000000000002</v>
      </c>
      <c r="F660" t="s">
        <v>3298</v>
      </c>
      <c r="G660" t="s">
        <v>3480</v>
      </c>
      <c r="H660" s="57">
        <v>44580</v>
      </c>
      <c r="I660" t="s">
        <v>1720</v>
      </c>
    </row>
    <row r="661" spans="1:9" x14ac:dyDescent="0.35">
      <c r="A661" t="s">
        <v>644</v>
      </c>
      <c r="B661" s="7" t="s">
        <v>1468</v>
      </c>
    </row>
    <row r="662" spans="1:9" x14ac:dyDescent="0.35">
      <c r="A662" t="s">
        <v>645</v>
      </c>
      <c r="B662" s="7" t="s">
        <v>1469</v>
      </c>
    </row>
    <row r="663" spans="1:9" x14ac:dyDescent="0.35">
      <c r="A663" t="s">
        <v>646</v>
      </c>
      <c r="B663" s="7" t="s">
        <v>1470</v>
      </c>
    </row>
    <row r="664" spans="1:9" x14ac:dyDescent="0.35">
      <c r="A664" t="s">
        <v>122</v>
      </c>
      <c r="B664" s="7" t="s">
        <v>951</v>
      </c>
      <c r="C664">
        <v>2300</v>
      </c>
      <c r="D664" t="s">
        <v>3292</v>
      </c>
      <c r="E664">
        <v>320</v>
      </c>
      <c r="F664" t="s">
        <v>3292</v>
      </c>
      <c r="G664" t="s">
        <v>3480</v>
      </c>
      <c r="H664" s="57">
        <v>44579</v>
      </c>
      <c r="I664" t="s">
        <v>1720</v>
      </c>
    </row>
    <row r="665" spans="1:9" x14ac:dyDescent="0.35">
      <c r="A665" t="s">
        <v>450</v>
      </c>
      <c r="B665" s="7" t="s">
        <v>1274</v>
      </c>
      <c r="C665">
        <v>3980</v>
      </c>
      <c r="D665" t="s">
        <v>3305</v>
      </c>
      <c r="E665">
        <v>0.04</v>
      </c>
      <c r="F665" t="s">
        <v>3293</v>
      </c>
      <c r="G665" t="s">
        <v>3480</v>
      </c>
      <c r="H665" s="57">
        <v>44580</v>
      </c>
      <c r="I665" t="s">
        <v>1720</v>
      </c>
    </row>
    <row r="666" spans="1:9" x14ac:dyDescent="0.35">
      <c r="A666" t="s">
        <v>629</v>
      </c>
      <c r="B666" s="7" t="s">
        <v>1453</v>
      </c>
      <c r="C666">
        <v>10200</v>
      </c>
      <c r="D666" t="s">
        <v>3299</v>
      </c>
      <c r="E666">
        <v>180</v>
      </c>
      <c r="F666" t="s">
        <v>3298</v>
      </c>
      <c r="G666" t="s">
        <v>3480</v>
      </c>
      <c r="H666" s="57">
        <v>44580</v>
      </c>
      <c r="I666" t="s">
        <v>1720</v>
      </c>
    </row>
    <row r="667" spans="1:9" x14ac:dyDescent="0.35">
      <c r="A667" t="s">
        <v>648</v>
      </c>
      <c r="B667" s="7" t="s">
        <v>1472</v>
      </c>
    </row>
    <row r="668" spans="1:9" x14ac:dyDescent="0.35">
      <c r="A668" t="s">
        <v>649</v>
      </c>
      <c r="B668" s="7" t="s">
        <v>1473</v>
      </c>
    </row>
    <row r="669" spans="1:9" x14ac:dyDescent="0.35">
      <c r="A669" t="s">
        <v>650</v>
      </c>
      <c r="B669" s="7" t="s">
        <v>1474</v>
      </c>
    </row>
    <row r="670" spans="1:9" x14ac:dyDescent="0.35">
      <c r="A670" t="s">
        <v>651</v>
      </c>
      <c r="B670" s="7" t="s">
        <v>1475</v>
      </c>
    </row>
    <row r="671" spans="1:9" x14ac:dyDescent="0.35">
      <c r="A671" t="s">
        <v>652</v>
      </c>
      <c r="B671" s="7" t="s">
        <v>1476</v>
      </c>
    </row>
    <row r="672" spans="1:9" x14ac:dyDescent="0.35">
      <c r="A672" t="s">
        <v>653</v>
      </c>
      <c r="B672" s="7" t="s">
        <v>1477</v>
      </c>
    </row>
    <row r="673" spans="1:2" x14ac:dyDescent="0.35">
      <c r="A673" t="s">
        <v>654</v>
      </c>
      <c r="B673" s="7" t="s">
        <v>1478</v>
      </c>
    </row>
    <row r="674" spans="1:2" x14ac:dyDescent="0.35">
      <c r="A674" t="s">
        <v>655</v>
      </c>
      <c r="B674" s="7" t="s">
        <v>1479</v>
      </c>
    </row>
    <row r="675" spans="1:2" x14ac:dyDescent="0.35">
      <c r="A675" t="s">
        <v>656</v>
      </c>
      <c r="B675" s="7" t="s">
        <v>1480</v>
      </c>
    </row>
    <row r="676" spans="1:2" x14ac:dyDescent="0.35">
      <c r="A676" t="s">
        <v>657</v>
      </c>
      <c r="B676" s="7" t="s">
        <v>1481</v>
      </c>
    </row>
    <row r="677" spans="1:2" x14ac:dyDescent="0.35">
      <c r="A677" t="s">
        <v>658</v>
      </c>
      <c r="B677" s="7" t="s">
        <v>1482</v>
      </c>
    </row>
    <row r="678" spans="1:2" x14ac:dyDescent="0.35">
      <c r="A678" t="s">
        <v>659</v>
      </c>
      <c r="B678" s="7" t="s">
        <v>1483</v>
      </c>
    </row>
    <row r="679" spans="1:2" x14ac:dyDescent="0.35">
      <c r="A679" t="s">
        <v>660</v>
      </c>
      <c r="B679" s="7" t="s">
        <v>1484</v>
      </c>
    </row>
    <row r="680" spans="1:2" x14ac:dyDescent="0.35">
      <c r="A680" t="s">
        <v>661</v>
      </c>
      <c r="B680" s="7" t="s">
        <v>1485</v>
      </c>
    </row>
    <row r="681" spans="1:2" x14ac:dyDescent="0.35">
      <c r="A681" t="s">
        <v>662</v>
      </c>
      <c r="B681" s="7" t="s">
        <v>1486</v>
      </c>
    </row>
    <row r="682" spans="1:2" x14ac:dyDescent="0.35">
      <c r="A682" t="s">
        <v>663</v>
      </c>
      <c r="B682" s="7" t="s">
        <v>1487</v>
      </c>
    </row>
    <row r="683" spans="1:2" x14ac:dyDescent="0.35">
      <c r="A683" t="s">
        <v>664</v>
      </c>
      <c r="B683" s="7" t="s">
        <v>1488</v>
      </c>
    </row>
    <row r="684" spans="1:2" x14ac:dyDescent="0.35">
      <c r="A684" t="s">
        <v>665</v>
      </c>
      <c r="B684" s="7" t="s">
        <v>1489</v>
      </c>
    </row>
    <row r="685" spans="1:2" x14ac:dyDescent="0.35">
      <c r="A685" t="s">
        <v>666</v>
      </c>
      <c r="B685" s="7" t="s">
        <v>1490</v>
      </c>
    </row>
    <row r="686" spans="1:2" x14ac:dyDescent="0.35">
      <c r="A686" t="s">
        <v>667</v>
      </c>
      <c r="B686" s="7" t="s">
        <v>1491</v>
      </c>
    </row>
    <row r="687" spans="1:2" x14ac:dyDescent="0.35">
      <c r="A687" t="s">
        <v>668</v>
      </c>
      <c r="B687" s="7" t="s">
        <v>1492</v>
      </c>
    </row>
    <row r="688" spans="1:2" x14ac:dyDescent="0.35">
      <c r="A688" t="s">
        <v>669</v>
      </c>
      <c r="B688" s="7" t="s">
        <v>1493</v>
      </c>
    </row>
    <row r="689" spans="1:2" x14ac:dyDescent="0.35">
      <c r="A689" t="s">
        <v>670</v>
      </c>
      <c r="B689" s="7" t="s">
        <v>1494</v>
      </c>
    </row>
    <row r="690" spans="1:2" x14ac:dyDescent="0.35">
      <c r="A690" t="s">
        <v>671</v>
      </c>
      <c r="B690" s="7" t="s">
        <v>1495</v>
      </c>
    </row>
    <row r="691" spans="1:2" x14ac:dyDescent="0.35">
      <c r="A691" t="s">
        <v>672</v>
      </c>
      <c r="B691" s="7" t="s">
        <v>1496</v>
      </c>
    </row>
    <row r="692" spans="1:2" x14ac:dyDescent="0.35">
      <c r="A692" t="s">
        <v>673</v>
      </c>
      <c r="B692" s="7" t="s">
        <v>1497</v>
      </c>
    </row>
    <row r="693" spans="1:2" x14ac:dyDescent="0.35">
      <c r="A693" t="s">
        <v>674</v>
      </c>
      <c r="B693" s="7" t="s">
        <v>1498</v>
      </c>
    </row>
    <row r="694" spans="1:2" x14ac:dyDescent="0.35">
      <c r="A694" t="s">
        <v>675</v>
      </c>
      <c r="B694" s="7" t="s">
        <v>1499</v>
      </c>
    </row>
    <row r="695" spans="1:2" x14ac:dyDescent="0.35">
      <c r="A695" t="s">
        <v>676</v>
      </c>
      <c r="B695" s="7" t="s">
        <v>1500</v>
      </c>
    </row>
    <row r="696" spans="1:2" x14ac:dyDescent="0.35">
      <c r="A696" t="s">
        <v>677</v>
      </c>
      <c r="B696" s="7" t="s">
        <v>1501</v>
      </c>
    </row>
    <row r="697" spans="1:2" x14ac:dyDescent="0.35">
      <c r="A697" t="s">
        <v>678</v>
      </c>
      <c r="B697" s="7" t="s">
        <v>1502</v>
      </c>
    </row>
    <row r="698" spans="1:2" x14ac:dyDescent="0.35">
      <c r="A698" t="s">
        <v>679</v>
      </c>
      <c r="B698" s="7" t="s">
        <v>1503</v>
      </c>
    </row>
    <row r="699" spans="1:2" x14ac:dyDescent="0.35">
      <c r="A699" t="s">
        <v>680</v>
      </c>
      <c r="B699" s="7" t="s">
        <v>1504</v>
      </c>
    </row>
    <row r="700" spans="1:2" x14ac:dyDescent="0.35">
      <c r="A700" t="s">
        <v>681</v>
      </c>
      <c r="B700" s="7" t="s">
        <v>1505</v>
      </c>
    </row>
    <row r="701" spans="1:2" x14ac:dyDescent="0.35">
      <c r="A701" t="s">
        <v>682</v>
      </c>
      <c r="B701" s="7" t="s">
        <v>1506</v>
      </c>
    </row>
    <row r="702" spans="1:2" x14ac:dyDescent="0.35">
      <c r="A702" t="s">
        <v>683</v>
      </c>
      <c r="B702" s="7" t="s">
        <v>1507</v>
      </c>
    </row>
    <row r="703" spans="1:2" x14ac:dyDescent="0.35">
      <c r="A703" t="s">
        <v>684</v>
      </c>
      <c r="B703" s="7" t="s">
        <v>1508</v>
      </c>
    </row>
    <row r="704" spans="1:2" x14ac:dyDescent="0.35">
      <c r="A704" t="s">
        <v>685</v>
      </c>
      <c r="B704" s="7" t="s">
        <v>1509</v>
      </c>
    </row>
    <row r="705" spans="1:2" x14ac:dyDescent="0.35">
      <c r="A705" t="s">
        <v>686</v>
      </c>
      <c r="B705" s="7" t="s">
        <v>1510</v>
      </c>
    </row>
    <row r="706" spans="1:2" x14ac:dyDescent="0.35">
      <c r="A706" t="s">
        <v>687</v>
      </c>
      <c r="B706" s="7" t="s">
        <v>1511</v>
      </c>
    </row>
    <row r="707" spans="1:2" x14ac:dyDescent="0.35">
      <c r="A707" t="s">
        <v>688</v>
      </c>
      <c r="B707" s="7" t="s">
        <v>1512</v>
      </c>
    </row>
    <row r="708" spans="1:2" x14ac:dyDescent="0.35">
      <c r="A708" t="s">
        <v>689</v>
      </c>
      <c r="B708" s="7" t="s">
        <v>1513</v>
      </c>
    </row>
    <row r="709" spans="1:2" x14ac:dyDescent="0.35">
      <c r="A709" t="s">
        <v>690</v>
      </c>
      <c r="B709" s="7" t="s">
        <v>1514</v>
      </c>
    </row>
    <row r="710" spans="1:2" x14ac:dyDescent="0.35">
      <c r="A710" t="s">
        <v>691</v>
      </c>
      <c r="B710" s="7" t="s">
        <v>1515</v>
      </c>
    </row>
    <row r="711" spans="1:2" x14ac:dyDescent="0.35">
      <c r="A711" t="s">
        <v>692</v>
      </c>
      <c r="B711" s="7" t="s">
        <v>1516</v>
      </c>
    </row>
    <row r="712" spans="1:2" x14ac:dyDescent="0.35">
      <c r="A712" t="s">
        <v>693</v>
      </c>
      <c r="B712" s="7" t="s">
        <v>1517</v>
      </c>
    </row>
    <row r="713" spans="1:2" x14ac:dyDescent="0.35">
      <c r="A713" t="s">
        <v>694</v>
      </c>
      <c r="B713" s="7" t="s">
        <v>1518</v>
      </c>
    </row>
    <row r="714" spans="1:2" x14ac:dyDescent="0.35">
      <c r="A714" t="s">
        <v>695</v>
      </c>
      <c r="B714" s="7" t="s">
        <v>1519</v>
      </c>
    </row>
    <row r="715" spans="1:2" x14ac:dyDescent="0.35">
      <c r="A715" t="s">
        <v>696</v>
      </c>
      <c r="B715" s="7" t="s">
        <v>1520</v>
      </c>
    </row>
    <row r="716" spans="1:2" x14ac:dyDescent="0.35">
      <c r="A716" t="s">
        <v>697</v>
      </c>
      <c r="B716" s="7" t="s">
        <v>1521</v>
      </c>
    </row>
    <row r="717" spans="1:2" x14ac:dyDescent="0.35">
      <c r="A717" t="s">
        <v>698</v>
      </c>
      <c r="B717" s="7" t="s">
        <v>1522</v>
      </c>
    </row>
    <row r="718" spans="1:2" x14ac:dyDescent="0.35">
      <c r="A718" t="s">
        <v>699</v>
      </c>
      <c r="B718" s="7" t="s">
        <v>1523</v>
      </c>
    </row>
    <row r="719" spans="1:2" x14ac:dyDescent="0.35">
      <c r="A719" t="s">
        <v>700</v>
      </c>
      <c r="B719" s="7" t="s">
        <v>1524</v>
      </c>
    </row>
    <row r="720" spans="1:2" x14ac:dyDescent="0.35">
      <c r="A720" t="s">
        <v>701</v>
      </c>
      <c r="B720" s="7" t="s">
        <v>1525</v>
      </c>
    </row>
    <row r="721" spans="1:2" x14ac:dyDescent="0.35">
      <c r="A721" t="s">
        <v>702</v>
      </c>
      <c r="B721" s="7" t="s">
        <v>1526</v>
      </c>
    </row>
    <row r="722" spans="1:2" x14ac:dyDescent="0.35">
      <c r="A722" t="s">
        <v>703</v>
      </c>
      <c r="B722" s="7" t="s">
        <v>1527</v>
      </c>
    </row>
    <row r="723" spans="1:2" x14ac:dyDescent="0.35">
      <c r="A723" t="s">
        <v>704</v>
      </c>
      <c r="B723" s="7" t="s">
        <v>1528</v>
      </c>
    </row>
    <row r="724" spans="1:2" x14ac:dyDescent="0.35">
      <c r="A724" t="s">
        <v>705</v>
      </c>
      <c r="B724" s="7" t="s">
        <v>1529</v>
      </c>
    </row>
    <row r="725" spans="1:2" x14ac:dyDescent="0.35">
      <c r="A725" t="s">
        <v>706</v>
      </c>
      <c r="B725" s="7" t="s">
        <v>1530</v>
      </c>
    </row>
    <row r="726" spans="1:2" x14ac:dyDescent="0.35">
      <c r="A726" t="s">
        <v>707</v>
      </c>
      <c r="B726" s="7" t="s">
        <v>1531</v>
      </c>
    </row>
    <row r="727" spans="1:2" x14ac:dyDescent="0.35">
      <c r="A727" t="s">
        <v>708</v>
      </c>
      <c r="B727" s="7" t="s">
        <v>1532</v>
      </c>
    </row>
    <row r="728" spans="1:2" x14ac:dyDescent="0.35">
      <c r="A728" t="s">
        <v>709</v>
      </c>
      <c r="B728" s="7" t="s">
        <v>1533</v>
      </c>
    </row>
    <row r="729" spans="1:2" x14ac:dyDescent="0.35">
      <c r="A729" t="s">
        <v>710</v>
      </c>
      <c r="B729" s="7" t="s">
        <v>1534</v>
      </c>
    </row>
    <row r="730" spans="1:2" x14ac:dyDescent="0.35">
      <c r="A730" t="s">
        <v>711</v>
      </c>
      <c r="B730" s="7" t="s">
        <v>1535</v>
      </c>
    </row>
    <row r="731" spans="1:2" x14ac:dyDescent="0.35">
      <c r="A731" t="s">
        <v>712</v>
      </c>
      <c r="B731" s="7" t="s">
        <v>1536</v>
      </c>
    </row>
    <row r="732" spans="1:2" x14ac:dyDescent="0.35">
      <c r="A732" t="s">
        <v>713</v>
      </c>
      <c r="B732" s="7" t="s">
        <v>1537</v>
      </c>
    </row>
    <row r="733" spans="1:2" x14ac:dyDescent="0.35">
      <c r="A733" t="s">
        <v>714</v>
      </c>
      <c r="B733" s="7" t="s">
        <v>1538</v>
      </c>
    </row>
    <row r="734" spans="1:2" x14ac:dyDescent="0.35">
      <c r="A734" t="s">
        <v>715</v>
      </c>
      <c r="B734" s="7" t="s">
        <v>1539</v>
      </c>
    </row>
    <row r="735" spans="1:2" x14ac:dyDescent="0.35">
      <c r="A735" t="s">
        <v>716</v>
      </c>
      <c r="B735" s="7" t="s">
        <v>1540</v>
      </c>
    </row>
    <row r="736" spans="1:2" x14ac:dyDescent="0.35">
      <c r="A736" t="s">
        <v>717</v>
      </c>
      <c r="B736" s="7" t="s">
        <v>1541</v>
      </c>
    </row>
    <row r="737" spans="1:2" x14ac:dyDescent="0.35">
      <c r="A737" t="s">
        <v>718</v>
      </c>
      <c r="B737" s="7" t="s">
        <v>1542</v>
      </c>
    </row>
    <row r="738" spans="1:2" x14ac:dyDescent="0.35">
      <c r="A738" t="s">
        <v>719</v>
      </c>
      <c r="B738" s="7" t="s">
        <v>1543</v>
      </c>
    </row>
    <row r="739" spans="1:2" x14ac:dyDescent="0.35">
      <c r="A739" t="s">
        <v>720</v>
      </c>
      <c r="B739" s="7" t="s">
        <v>1544</v>
      </c>
    </row>
    <row r="740" spans="1:2" x14ac:dyDescent="0.35">
      <c r="A740" t="s">
        <v>721</v>
      </c>
      <c r="B740" s="7" t="s">
        <v>1545</v>
      </c>
    </row>
    <row r="741" spans="1:2" x14ac:dyDescent="0.35">
      <c r="A741" t="s">
        <v>722</v>
      </c>
      <c r="B741" s="7" t="s">
        <v>1546</v>
      </c>
    </row>
    <row r="742" spans="1:2" x14ac:dyDescent="0.35">
      <c r="A742" t="s">
        <v>723</v>
      </c>
      <c r="B742" s="7" t="s">
        <v>1547</v>
      </c>
    </row>
    <row r="743" spans="1:2" x14ac:dyDescent="0.35">
      <c r="A743" t="s">
        <v>724</v>
      </c>
      <c r="B743" s="7" t="s">
        <v>1548</v>
      </c>
    </row>
    <row r="744" spans="1:2" x14ac:dyDescent="0.35">
      <c r="A744" t="s">
        <v>725</v>
      </c>
      <c r="B744" s="7" t="s">
        <v>1549</v>
      </c>
    </row>
    <row r="745" spans="1:2" x14ac:dyDescent="0.35">
      <c r="A745" t="s">
        <v>726</v>
      </c>
      <c r="B745" s="7" t="s">
        <v>1550</v>
      </c>
    </row>
    <row r="746" spans="1:2" x14ac:dyDescent="0.35">
      <c r="A746" t="s">
        <v>727</v>
      </c>
      <c r="B746" s="7" t="s">
        <v>1551</v>
      </c>
    </row>
    <row r="747" spans="1:2" x14ac:dyDescent="0.35">
      <c r="A747" t="s">
        <v>728</v>
      </c>
      <c r="B747" s="7" t="s">
        <v>1552</v>
      </c>
    </row>
    <row r="748" spans="1:2" x14ac:dyDescent="0.35">
      <c r="A748" t="s">
        <v>729</v>
      </c>
      <c r="B748" s="7" t="s">
        <v>1553</v>
      </c>
    </row>
    <row r="749" spans="1:2" x14ac:dyDescent="0.35">
      <c r="A749" t="s">
        <v>730</v>
      </c>
      <c r="B749" s="7" t="s">
        <v>1554</v>
      </c>
    </row>
    <row r="750" spans="1:2" x14ac:dyDescent="0.35">
      <c r="A750" t="s">
        <v>731</v>
      </c>
      <c r="B750" s="7" t="s">
        <v>1555</v>
      </c>
    </row>
    <row r="751" spans="1:2" x14ac:dyDescent="0.35">
      <c r="A751" t="s">
        <v>732</v>
      </c>
      <c r="B751" s="7" t="s">
        <v>1556</v>
      </c>
    </row>
    <row r="752" spans="1:2" x14ac:dyDescent="0.35">
      <c r="A752" t="s">
        <v>733</v>
      </c>
      <c r="B752" s="7" t="s">
        <v>1557</v>
      </c>
    </row>
    <row r="753" spans="1:2" x14ac:dyDescent="0.35">
      <c r="A753" t="s">
        <v>734</v>
      </c>
      <c r="B753" s="7" t="s">
        <v>1558</v>
      </c>
    </row>
    <row r="754" spans="1:2" x14ac:dyDescent="0.35">
      <c r="A754" t="s">
        <v>735</v>
      </c>
      <c r="B754" s="7" t="s">
        <v>1559</v>
      </c>
    </row>
    <row r="755" spans="1:2" x14ac:dyDescent="0.35">
      <c r="A755" t="s">
        <v>736</v>
      </c>
      <c r="B755" s="7" t="s">
        <v>1560</v>
      </c>
    </row>
    <row r="756" spans="1:2" x14ac:dyDescent="0.35">
      <c r="A756" t="s">
        <v>737</v>
      </c>
      <c r="B756" s="7" t="s">
        <v>1561</v>
      </c>
    </row>
    <row r="757" spans="1:2" x14ac:dyDescent="0.35">
      <c r="A757" t="s">
        <v>738</v>
      </c>
      <c r="B757" s="7" t="s">
        <v>1562</v>
      </c>
    </row>
    <row r="758" spans="1:2" x14ac:dyDescent="0.35">
      <c r="A758" t="s">
        <v>739</v>
      </c>
      <c r="B758" s="7" t="s">
        <v>1563</v>
      </c>
    </row>
    <row r="759" spans="1:2" x14ac:dyDescent="0.35">
      <c r="A759" t="s">
        <v>740</v>
      </c>
      <c r="B759" s="7" t="s">
        <v>1564</v>
      </c>
    </row>
    <row r="760" spans="1:2" x14ac:dyDescent="0.35">
      <c r="A760" t="s">
        <v>741</v>
      </c>
      <c r="B760" s="7" t="s">
        <v>1565</v>
      </c>
    </row>
    <row r="761" spans="1:2" x14ac:dyDescent="0.35">
      <c r="A761" t="s">
        <v>742</v>
      </c>
      <c r="B761" s="7" t="s">
        <v>1566</v>
      </c>
    </row>
    <row r="762" spans="1:2" x14ac:dyDescent="0.35">
      <c r="A762" t="s">
        <v>743</v>
      </c>
      <c r="B762" s="7" t="s">
        <v>1567</v>
      </c>
    </row>
    <row r="763" spans="1:2" x14ac:dyDescent="0.35">
      <c r="A763" t="s">
        <v>744</v>
      </c>
      <c r="B763" s="7" t="s">
        <v>1568</v>
      </c>
    </row>
    <row r="764" spans="1:2" x14ac:dyDescent="0.35">
      <c r="A764" t="s">
        <v>745</v>
      </c>
      <c r="B764" s="7" t="s">
        <v>1569</v>
      </c>
    </row>
    <row r="765" spans="1:2" x14ac:dyDescent="0.35">
      <c r="A765" t="s">
        <v>746</v>
      </c>
      <c r="B765" s="7" t="s">
        <v>1570</v>
      </c>
    </row>
    <row r="766" spans="1:2" x14ac:dyDescent="0.35">
      <c r="A766" t="s">
        <v>747</v>
      </c>
      <c r="B766" s="7" t="s">
        <v>1571</v>
      </c>
    </row>
    <row r="767" spans="1:2" x14ac:dyDescent="0.35">
      <c r="A767" t="s">
        <v>748</v>
      </c>
      <c r="B767" s="7" t="s">
        <v>1572</v>
      </c>
    </row>
    <row r="768" spans="1:2" x14ac:dyDescent="0.35">
      <c r="A768" t="s">
        <v>749</v>
      </c>
      <c r="B768" s="7" t="s">
        <v>1573</v>
      </c>
    </row>
    <row r="769" spans="1:9" x14ac:dyDescent="0.35">
      <c r="A769" t="s">
        <v>750</v>
      </c>
      <c r="B769" s="7" t="s">
        <v>1574</v>
      </c>
    </row>
    <row r="770" spans="1:9" x14ac:dyDescent="0.35">
      <c r="A770" t="s">
        <v>751</v>
      </c>
      <c r="B770" s="7" t="s">
        <v>1575</v>
      </c>
    </row>
    <row r="771" spans="1:9" x14ac:dyDescent="0.35">
      <c r="A771" t="s">
        <v>752</v>
      </c>
      <c r="B771" s="7" t="s">
        <v>1576</v>
      </c>
    </row>
    <row r="772" spans="1:9" x14ac:dyDescent="0.35">
      <c r="A772" t="s">
        <v>753</v>
      </c>
      <c r="B772" s="7" t="s">
        <v>1577</v>
      </c>
    </row>
    <row r="773" spans="1:9" x14ac:dyDescent="0.35">
      <c r="A773" t="s">
        <v>754</v>
      </c>
      <c r="B773" s="7" t="s">
        <v>1578</v>
      </c>
    </row>
    <row r="774" spans="1:9" x14ac:dyDescent="0.35">
      <c r="A774" t="s">
        <v>755</v>
      </c>
      <c r="B774" s="7" t="s">
        <v>1579</v>
      </c>
    </row>
    <row r="775" spans="1:9" x14ac:dyDescent="0.35">
      <c r="A775" t="s">
        <v>756</v>
      </c>
      <c r="B775" s="7" t="s">
        <v>1580</v>
      </c>
    </row>
    <row r="776" spans="1:9" x14ac:dyDescent="0.35">
      <c r="A776" t="s">
        <v>757</v>
      </c>
      <c r="B776" s="7" t="s">
        <v>1581</v>
      </c>
    </row>
    <row r="777" spans="1:9" x14ac:dyDescent="0.35">
      <c r="A777" t="s">
        <v>758</v>
      </c>
      <c r="B777" s="7" t="s">
        <v>1582</v>
      </c>
    </row>
    <row r="778" spans="1:9" x14ac:dyDescent="0.35">
      <c r="A778" t="s">
        <v>759</v>
      </c>
      <c r="B778" s="7" t="s">
        <v>1583</v>
      </c>
    </row>
    <row r="779" spans="1:9" x14ac:dyDescent="0.35">
      <c r="A779" t="s">
        <v>760</v>
      </c>
      <c r="B779" s="7" t="s">
        <v>1584</v>
      </c>
    </row>
    <row r="780" spans="1:9" x14ac:dyDescent="0.35">
      <c r="A780" t="s">
        <v>761</v>
      </c>
      <c r="B780" s="7" t="s">
        <v>1585</v>
      </c>
    </row>
    <row r="781" spans="1:9" x14ac:dyDescent="0.35">
      <c r="A781" t="s">
        <v>762</v>
      </c>
      <c r="B781" s="7" t="s">
        <v>1586</v>
      </c>
    </row>
    <row r="782" spans="1:9" x14ac:dyDescent="0.35">
      <c r="A782" t="s">
        <v>629</v>
      </c>
      <c r="B782" s="7" t="s">
        <v>1453</v>
      </c>
      <c r="C782">
        <v>10200</v>
      </c>
      <c r="D782" t="s">
        <v>3299</v>
      </c>
      <c r="E782">
        <v>320</v>
      </c>
      <c r="F782" t="s">
        <v>3306</v>
      </c>
      <c r="G782" t="s">
        <v>3480</v>
      </c>
      <c r="H782" s="57">
        <v>44580</v>
      </c>
      <c r="I782" t="s">
        <v>1720</v>
      </c>
    </row>
    <row r="783" spans="1:9" x14ac:dyDescent="0.35">
      <c r="A783" t="s">
        <v>764</v>
      </c>
      <c r="B783" s="7" t="s">
        <v>1588</v>
      </c>
      <c r="E783">
        <v>1.3</v>
      </c>
      <c r="F783" t="s">
        <v>3293</v>
      </c>
      <c r="G783" t="s">
        <v>3480</v>
      </c>
      <c r="H783" s="57">
        <v>44579</v>
      </c>
      <c r="I783" t="s">
        <v>1720</v>
      </c>
    </row>
    <row r="784" spans="1:9" x14ac:dyDescent="0.35">
      <c r="A784" t="s">
        <v>765</v>
      </c>
      <c r="B784" s="7" t="s">
        <v>1589</v>
      </c>
    </row>
    <row r="785" spans="1:9" x14ac:dyDescent="0.35">
      <c r="A785" t="s">
        <v>766</v>
      </c>
      <c r="B785" s="7" t="s">
        <v>1590</v>
      </c>
    </row>
    <row r="786" spans="1:9" x14ac:dyDescent="0.35">
      <c r="A786" t="s">
        <v>767</v>
      </c>
      <c r="B786" s="7" t="s">
        <v>1591</v>
      </c>
    </row>
    <row r="787" spans="1:9" x14ac:dyDescent="0.35">
      <c r="A787" t="s">
        <v>768</v>
      </c>
      <c r="B787" s="7" t="s">
        <v>1592</v>
      </c>
    </row>
    <row r="788" spans="1:9" x14ac:dyDescent="0.35">
      <c r="A788" t="s">
        <v>769</v>
      </c>
      <c r="B788" s="7" t="s">
        <v>1593</v>
      </c>
    </row>
    <row r="789" spans="1:9" x14ac:dyDescent="0.35">
      <c r="A789" t="s">
        <v>770</v>
      </c>
      <c r="B789" s="7" t="s">
        <v>1594</v>
      </c>
    </row>
    <row r="790" spans="1:9" x14ac:dyDescent="0.35">
      <c r="A790" t="s">
        <v>771</v>
      </c>
      <c r="B790" s="7" t="s">
        <v>1595</v>
      </c>
    </row>
    <row r="791" spans="1:9" x14ac:dyDescent="0.35">
      <c r="A791" t="s">
        <v>772</v>
      </c>
      <c r="B791" s="7" t="s">
        <v>1596</v>
      </c>
    </row>
    <row r="792" spans="1:9" x14ac:dyDescent="0.35">
      <c r="A792" t="s">
        <v>773</v>
      </c>
      <c r="B792" s="7" t="s">
        <v>1597</v>
      </c>
    </row>
    <row r="793" spans="1:9" x14ac:dyDescent="0.35">
      <c r="A793" t="s">
        <v>774</v>
      </c>
      <c r="B793" s="7" t="s">
        <v>1598</v>
      </c>
      <c r="E793">
        <v>36</v>
      </c>
      <c r="F793" t="s">
        <v>3306</v>
      </c>
      <c r="G793" t="s">
        <v>3480</v>
      </c>
      <c r="H793" s="57">
        <v>44579</v>
      </c>
      <c r="I793" t="s">
        <v>1720</v>
      </c>
    </row>
    <row r="794" spans="1:9" x14ac:dyDescent="0.35">
      <c r="A794" t="s">
        <v>775</v>
      </c>
      <c r="B794" s="7" t="s">
        <v>1599</v>
      </c>
      <c r="E794">
        <v>0.18</v>
      </c>
      <c r="F794" t="s">
        <v>3293</v>
      </c>
      <c r="G794" t="s">
        <v>3480</v>
      </c>
      <c r="H794" s="57">
        <v>44579</v>
      </c>
      <c r="I794" t="s">
        <v>1720</v>
      </c>
    </row>
    <row r="795" spans="1:9" x14ac:dyDescent="0.35">
      <c r="A795" t="s">
        <v>776</v>
      </c>
      <c r="B795" s="7" t="s">
        <v>1600</v>
      </c>
    </row>
    <row r="796" spans="1:9" x14ac:dyDescent="0.35">
      <c r="A796" t="s">
        <v>777</v>
      </c>
      <c r="B796" s="7" t="s">
        <v>1601</v>
      </c>
    </row>
    <row r="797" spans="1:9" x14ac:dyDescent="0.35">
      <c r="A797" t="s">
        <v>778</v>
      </c>
      <c r="B797" s="7" t="s">
        <v>854</v>
      </c>
    </row>
    <row r="798" spans="1:9" x14ac:dyDescent="0.35">
      <c r="A798" s="4" t="s">
        <v>779</v>
      </c>
      <c r="B798" s="7" t="s">
        <v>1602</v>
      </c>
    </row>
    <row r="799" spans="1:9" x14ac:dyDescent="0.35">
      <c r="A799" s="4" t="s">
        <v>451</v>
      </c>
      <c r="B799" t="s">
        <v>1603</v>
      </c>
      <c r="E799">
        <v>9.07</v>
      </c>
      <c r="F799" t="s">
        <v>3298</v>
      </c>
      <c r="G799" t="s">
        <v>3480</v>
      </c>
      <c r="H799" s="57">
        <v>44579</v>
      </c>
      <c r="I799" t="s">
        <v>1720</v>
      </c>
    </row>
    <row r="800" spans="1:9" x14ac:dyDescent="0.35">
      <c r="A800" s="4" t="s">
        <v>780</v>
      </c>
      <c r="B800" s="7" t="s">
        <v>843</v>
      </c>
    </row>
    <row r="801" spans="1:2" x14ac:dyDescent="0.35">
      <c r="A801" t="s">
        <v>781</v>
      </c>
      <c r="B801" s="7" t="s">
        <v>1604</v>
      </c>
    </row>
    <row r="802" spans="1:2" x14ac:dyDescent="0.35">
      <c r="A802" s="5" t="s">
        <v>782</v>
      </c>
      <c r="B802" s="7" t="s">
        <v>1605</v>
      </c>
    </row>
    <row r="803" spans="1:2" x14ac:dyDescent="0.35">
      <c r="A803" t="s">
        <v>783</v>
      </c>
      <c r="B803" s="7" t="s">
        <v>1606</v>
      </c>
    </row>
    <row r="804" spans="1:2" x14ac:dyDescent="0.35">
      <c r="A804" t="s">
        <v>784</v>
      </c>
      <c r="B804" s="7" t="s">
        <v>1607</v>
      </c>
    </row>
    <row r="805" spans="1:2" x14ac:dyDescent="0.35">
      <c r="A805" t="s">
        <v>785</v>
      </c>
      <c r="B805" s="7" t="s">
        <v>1608</v>
      </c>
    </row>
    <row r="806" spans="1:2" x14ac:dyDescent="0.35">
      <c r="A806" t="s">
        <v>786</v>
      </c>
      <c r="B806" s="7" t="s">
        <v>1609</v>
      </c>
    </row>
    <row r="807" spans="1:2" x14ac:dyDescent="0.35">
      <c r="A807" s="6" t="s">
        <v>787</v>
      </c>
      <c r="B807" s="7" t="s">
        <v>1610</v>
      </c>
    </row>
    <row r="808" spans="1:2" x14ac:dyDescent="0.35">
      <c r="A808" s="6" t="s">
        <v>788</v>
      </c>
      <c r="B808" t="s">
        <v>1611</v>
      </c>
    </row>
    <row r="809" spans="1:2" x14ac:dyDescent="0.35">
      <c r="A809" t="s">
        <v>789</v>
      </c>
      <c r="B809" s="7" t="s">
        <v>1612</v>
      </c>
    </row>
    <row r="810" spans="1:2" x14ac:dyDescent="0.35">
      <c r="A810" t="s">
        <v>790</v>
      </c>
      <c r="B810" s="7" t="s">
        <v>1613</v>
      </c>
    </row>
    <row r="811" spans="1:2" x14ac:dyDescent="0.35">
      <c r="A811" t="s">
        <v>791</v>
      </c>
      <c r="B811" s="7" t="s">
        <v>1614</v>
      </c>
    </row>
    <row r="812" spans="1:2" x14ac:dyDescent="0.35">
      <c r="A812" s="6" t="s">
        <v>792</v>
      </c>
      <c r="B812" s="7" t="s">
        <v>1615</v>
      </c>
    </row>
    <row r="813" spans="1:2" x14ac:dyDescent="0.35">
      <c r="A813" s="4" t="s">
        <v>793</v>
      </c>
      <c r="B813" s="4" t="s">
        <v>1616</v>
      </c>
    </row>
    <row r="814" spans="1:2" x14ac:dyDescent="0.35">
      <c r="A814" t="s">
        <v>794</v>
      </c>
      <c r="B814" s="7" t="s">
        <v>1617</v>
      </c>
    </row>
    <row r="815" spans="1:2" x14ac:dyDescent="0.35">
      <c r="A815" t="s">
        <v>795</v>
      </c>
      <c r="B815" s="7" t="s">
        <v>1618</v>
      </c>
    </row>
    <row r="816" spans="1:2" x14ac:dyDescent="0.35">
      <c r="A816" t="s">
        <v>796</v>
      </c>
      <c r="B816" s="7" t="s">
        <v>1619</v>
      </c>
    </row>
    <row r="817" spans="1:2" x14ac:dyDescent="0.35">
      <c r="A817" s="6" t="s">
        <v>797</v>
      </c>
      <c r="B817" s="7" t="s">
        <v>1620</v>
      </c>
    </row>
    <row r="818" spans="1:2" x14ac:dyDescent="0.35">
      <c r="A818" t="s">
        <v>798</v>
      </c>
      <c r="B818" s="7" t="s">
        <v>1621</v>
      </c>
    </row>
    <row r="819" spans="1:2" x14ac:dyDescent="0.35">
      <c r="A819" t="s">
        <v>799</v>
      </c>
      <c r="B819" s="7" t="s">
        <v>1622</v>
      </c>
    </row>
    <row r="820" spans="1:2" x14ac:dyDescent="0.35">
      <c r="A820" t="s">
        <v>800</v>
      </c>
      <c r="B820" s="7" t="s">
        <v>1623</v>
      </c>
    </row>
    <row r="821" spans="1:2" x14ac:dyDescent="0.35">
      <c r="A821" t="s">
        <v>801</v>
      </c>
      <c r="B821" s="7" t="s">
        <v>1624</v>
      </c>
    </row>
    <row r="822" spans="1:2" x14ac:dyDescent="0.35">
      <c r="A822" t="s">
        <v>802</v>
      </c>
      <c r="B822" s="7" t="s">
        <v>1625</v>
      </c>
    </row>
    <row r="823" spans="1:2" x14ac:dyDescent="0.35">
      <c r="A823" t="s">
        <v>803</v>
      </c>
      <c r="B823" s="7" t="s">
        <v>1626</v>
      </c>
    </row>
    <row r="824" spans="1:2" x14ac:dyDescent="0.35">
      <c r="A824" t="s">
        <v>804</v>
      </c>
      <c r="B824" s="7" t="s">
        <v>1627</v>
      </c>
    </row>
    <row r="825" spans="1:2" x14ac:dyDescent="0.35">
      <c r="A825" t="s">
        <v>805</v>
      </c>
      <c r="B825" s="7" t="s">
        <v>1628</v>
      </c>
    </row>
    <row r="826" spans="1:2" x14ac:dyDescent="0.35">
      <c r="A826" t="s">
        <v>806</v>
      </c>
      <c r="B826" s="7" t="s">
        <v>1629</v>
      </c>
    </row>
    <row r="827" spans="1:2" x14ac:dyDescent="0.35">
      <c r="A827" t="s">
        <v>807</v>
      </c>
      <c r="B827" s="7" t="s">
        <v>1630</v>
      </c>
    </row>
    <row r="828" spans="1:2" x14ac:dyDescent="0.35">
      <c r="A828" s="4" t="s">
        <v>808</v>
      </c>
      <c r="B828" t="s">
        <v>1631</v>
      </c>
    </row>
    <row r="829" spans="1:2" x14ac:dyDescent="0.35">
      <c r="A829" t="s">
        <v>809</v>
      </c>
      <c r="B829" s="7" t="s">
        <v>1632</v>
      </c>
    </row>
    <row r="830" spans="1:2" x14ac:dyDescent="0.35">
      <c r="A830" t="s">
        <v>810</v>
      </c>
      <c r="B830" s="7" t="s">
        <v>1633</v>
      </c>
    </row>
    <row r="831" spans="1:2" x14ac:dyDescent="0.35">
      <c r="A831" t="s">
        <v>811</v>
      </c>
      <c r="B831" s="7" t="s">
        <v>1634</v>
      </c>
    </row>
    <row r="832" spans="1:2" x14ac:dyDescent="0.35">
      <c r="A832" s="6" t="s">
        <v>812</v>
      </c>
      <c r="B832" s="7" t="s">
        <v>1635</v>
      </c>
    </row>
    <row r="833" spans="1:9" x14ac:dyDescent="0.35">
      <c r="A833" t="s">
        <v>813</v>
      </c>
      <c r="B833" s="7" t="s">
        <v>1636</v>
      </c>
    </row>
    <row r="834" spans="1:9" x14ac:dyDescent="0.35">
      <c r="A834" t="s">
        <v>814</v>
      </c>
      <c r="B834" s="7" t="s">
        <v>1637</v>
      </c>
    </row>
    <row r="835" spans="1:9" x14ac:dyDescent="0.35">
      <c r="A835" t="s">
        <v>815</v>
      </c>
      <c r="B835" t="s">
        <v>1638</v>
      </c>
    </row>
    <row r="836" spans="1:9" x14ac:dyDescent="0.35">
      <c r="A836" s="6" t="s">
        <v>816</v>
      </c>
      <c r="B836" s="7" t="s">
        <v>1639</v>
      </c>
    </row>
    <row r="837" spans="1:9" x14ac:dyDescent="0.35">
      <c r="A837" s="6" t="s">
        <v>817</v>
      </c>
      <c r="B837" t="s">
        <v>1640</v>
      </c>
    </row>
    <row r="838" spans="1:9" x14ac:dyDescent="0.35">
      <c r="A838" t="s">
        <v>818</v>
      </c>
      <c r="B838" t="s">
        <v>1641</v>
      </c>
    </row>
    <row r="839" spans="1:9" x14ac:dyDescent="0.35">
      <c r="A839" t="s">
        <v>819</v>
      </c>
    </row>
    <row r="840" spans="1:9" x14ac:dyDescent="0.35">
      <c r="A840" t="s">
        <v>820</v>
      </c>
      <c r="B840" s="7" t="s">
        <v>1642</v>
      </c>
    </row>
    <row r="841" spans="1:9" x14ac:dyDescent="0.35">
      <c r="A841" s="6" t="s">
        <v>821</v>
      </c>
      <c r="B841" s="7" t="s">
        <v>1643</v>
      </c>
    </row>
    <row r="842" spans="1:9" x14ac:dyDescent="0.35">
      <c r="A842" t="s">
        <v>822</v>
      </c>
      <c r="B842" s="7" t="s">
        <v>1644</v>
      </c>
    </row>
    <row r="843" spans="1:9" x14ac:dyDescent="0.35">
      <c r="A843" t="s">
        <v>823</v>
      </c>
      <c r="B843" s="7" t="s">
        <v>1645</v>
      </c>
    </row>
    <row r="844" spans="1:9" x14ac:dyDescent="0.35">
      <c r="A844" t="s">
        <v>824</v>
      </c>
      <c r="B844" s="7" t="s">
        <v>1646</v>
      </c>
    </row>
    <row r="845" spans="1:9" x14ac:dyDescent="0.35">
      <c r="A845" s="4" t="s">
        <v>825</v>
      </c>
      <c r="B845" s="7" t="s">
        <v>1647</v>
      </c>
    </row>
    <row r="846" spans="1:9" x14ac:dyDescent="0.35">
      <c r="A846" t="s">
        <v>94</v>
      </c>
      <c r="B846" s="7" t="s">
        <v>923</v>
      </c>
      <c r="C846">
        <v>117000</v>
      </c>
      <c r="D846" t="s">
        <v>3299</v>
      </c>
      <c r="E846">
        <v>920</v>
      </c>
      <c r="F846" t="s">
        <v>3298</v>
      </c>
      <c r="G846" t="s">
        <v>3480</v>
      </c>
      <c r="H846" s="57">
        <v>44580</v>
      </c>
      <c r="I846" t="s">
        <v>1720</v>
      </c>
    </row>
    <row r="847" spans="1:9" x14ac:dyDescent="0.35">
      <c r="A847" s="4" t="s">
        <v>565</v>
      </c>
      <c r="B847" t="s">
        <v>1389</v>
      </c>
    </row>
    <row r="848" spans="1:9" x14ac:dyDescent="0.35">
      <c r="A848" t="s">
        <v>94</v>
      </c>
      <c r="B848" s="7" t="s">
        <v>923</v>
      </c>
      <c r="C848">
        <v>117000</v>
      </c>
      <c r="D848" t="s">
        <v>3299</v>
      </c>
      <c r="E848">
        <v>1170</v>
      </c>
      <c r="F848" t="s">
        <v>3300</v>
      </c>
      <c r="G848" t="s">
        <v>3480</v>
      </c>
      <c r="H848" s="57">
        <v>44580</v>
      </c>
      <c r="I848" t="s">
        <v>1720</v>
      </c>
    </row>
    <row r="849" spans="1:2" x14ac:dyDescent="0.35">
      <c r="A849" t="s">
        <v>827</v>
      </c>
      <c r="B849" s="7" t="s">
        <v>1649</v>
      </c>
    </row>
    <row r="850" spans="1:2" s="26" customFormat="1" x14ac:dyDescent="0.35">
      <c r="A850" s="26" t="s">
        <v>3325</v>
      </c>
    </row>
    <row r="851" spans="1:2" s="26" customFormat="1" x14ac:dyDescent="0.35">
      <c r="A851" s="26" t="s">
        <v>3326</v>
      </c>
      <c r="B851" s="26" t="s">
        <v>3327</v>
      </c>
    </row>
    <row r="852" spans="1:2" s="26" customFormat="1" x14ac:dyDescent="0.35">
      <c r="A852" s="26" t="s">
        <v>3328</v>
      </c>
      <c r="B852" s="26" t="s">
        <v>3329</v>
      </c>
    </row>
    <row r="853" spans="1:2" s="26" customFormat="1" x14ac:dyDescent="0.35">
      <c r="A853" s="26" t="s">
        <v>3330</v>
      </c>
      <c r="B853" s="26" t="s">
        <v>3331</v>
      </c>
    </row>
    <row r="854" spans="1:2" s="26" customFormat="1" x14ac:dyDescent="0.35">
      <c r="A854" s="26" t="s">
        <v>3332</v>
      </c>
      <c r="B854" s="26" t="s">
        <v>3333</v>
      </c>
    </row>
    <row r="855" spans="1:2" s="26" customFormat="1" x14ac:dyDescent="0.35">
      <c r="A855" s="26" t="s">
        <v>3334</v>
      </c>
      <c r="B855" s="26" t="s">
        <v>867</v>
      </c>
    </row>
    <row r="856" spans="1:2" s="26" customFormat="1" x14ac:dyDescent="0.35">
      <c r="A856" s="26" t="s">
        <v>3335</v>
      </c>
      <c r="B856" s="26" t="s">
        <v>3336</v>
      </c>
    </row>
    <row r="857" spans="1:2" s="26" customFormat="1" x14ac:dyDescent="0.35">
      <c r="A857" s="26" t="s">
        <v>3337</v>
      </c>
      <c r="B857" s="26" t="s">
        <v>1397</v>
      </c>
    </row>
    <row r="858" spans="1:2" s="26" customFormat="1" x14ac:dyDescent="0.35">
      <c r="A858" s="26" t="s">
        <v>3338</v>
      </c>
      <c r="B858" s="26" t="s">
        <v>3339</v>
      </c>
    </row>
    <row r="859" spans="1:2" s="26" customFormat="1" x14ac:dyDescent="0.35">
      <c r="A859" s="26" t="s">
        <v>3340</v>
      </c>
      <c r="B859" s="26" t="s">
        <v>3341</v>
      </c>
    </row>
    <row r="860" spans="1:2" s="26" customFormat="1" x14ac:dyDescent="0.35">
      <c r="A860" s="26" t="s">
        <v>3342</v>
      </c>
      <c r="B860" s="26" t="s">
        <v>3343</v>
      </c>
    </row>
    <row r="861" spans="1:2" s="26" customFormat="1" x14ac:dyDescent="0.35">
      <c r="A861" s="26" t="s">
        <v>1879</v>
      </c>
      <c r="B861" s="26" t="s">
        <v>3344</v>
      </c>
    </row>
    <row r="862" spans="1:2" s="26" customFormat="1" x14ac:dyDescent="0.35">
      <c r="A862" s="26" t="s">
        <v>3345</v>
      </c>
      <c r="B862" s="26" t="s">
        <v>3346</v>
      </c>
    </row>
    <row r="863" spans="1:2" s="26" customFormat="1" x14ac:dyDescent="0.35">
      <c r="A863" s="26" t="s">
        <v>3347</v>
      </c>
      <c r="B863" s="26" t="s">
        <v>3348</v>
      </c>
    </row>
    <row r="864" spans="1:2" s="26" customFormat="1" x14ac:dyDescent="0.35">
      <c r="A864" s="26" t="s">
        <v>3349</v>
      </c>
      <c r="B864" s="26" t="s">
        <v>3350</v>
      </c>
    </row>
    <row r="865" spans="1:9" s="26" customFormat="1" x14ac:dyDescent="0.35">
      <c r="A865" s="26" t="s">
        <v>3351</v>
      </c>
      <c r="B865" s="26" t="s">
        <v>3352</v>
      </c>
    </row>
    <row r="866" spans="1:9" s="26" customFormat="1" x14ac:dyDescent="0.35">
      <c r="A866" s="26" t="s">
        <v>3353</v>
      </c>
      <c r="B866" s="26" t="s">
        <v>3354</v>
      </c>
    </row>
    <row r="867" spans="1:9" s="26" customFormat="1" x14ac:dyDescent="0.35">
      <c r="A867" s="26" t="s">
        <v>3355</v>
      </c>
      <c r="B867" s="26" t="s">
        <v>3356</v>
      </c>
    </row>
    <row r="868" spans="1:9" s="26" customFormat="1" x14ac:dyDescent="0.35">
      <c r="A868" s="26" t="s">
        <v>3357</v>
      </c>
      <c r="B868" s="26" t="s">
        <v>3358</v>
      </c>
    </row>
    <row r="869" spans="1:9" s="26" customFormat="1" x14ac:dyDescent="0.35">
      <c r="A869" s="26" t="s">
        <v>3359</v>
      </c>
      <c r="B869" s="26" t="s">
        <v>3360</v>
      </c>
      <c r="E869" s="26">
        <v>4.0000000000000001E-3</v>
      </c>
      <c r="F869" s="26" t="s">
        <v>3444</v>
      </c>
      <c r="G869" t="s">
        <v>3480</v>
      </c>
      <c r="H869" s="57">
        <v>44580</v>
      </c>
      <c r="I869" s="26" t="s">
        <v>1720</v>
      </c>
    </row>
    <row r="870" spans="1:9" s="26" customFormat="1" x14ac:dyDescent="0.35">
      <c r="A870" s="26" t="s">
        <v>3361</v>
      </c>
      <c r="B870" s="26" t="s">
        <v>3362</v>
      </c>
    </row>
    <row r="871" spans="1:9" s="26" customFormat="1" x14ac:dyDescent="0.35">
      <c r="A871" s="26" t="s">
        <v>3363</v>
      </c>
      <c r="B871" s="26" t="s">
        <v>3364</v>
      </c>
    </row>
    <row r="872" spans="1:9" s="26" customFormat="1" x14ac:dyDescent="0.35">
      <c r="A872" s="26" t="s">
        <v>3365</v>
      </c>
      <c r="B872" s="26" t="s">
        <v>3366</v>
      </c>
    </row>
    <row r="873" spans="1:9" s="26" customFormat="1" x14ac:dyDescent="0.35">
      <c r="A873" s="26" t="s">
        <v>3367</v>
      </c>
      <c r="B873" s="26" t="s">
        <v>3368</v>
      </c>
    </row>
    <row r="874" spans="1:9" s="26" customFormat="1" x14ac:dyDescent="0.35">
      <c r="A874" s="26" t="s">
        <v>3369</v>
      </c>
      <c r="B874" s="26" t="s">
        <v>3370</v>
      </c>
    </row>
    <row r="875" spans="1:9" s="26" customFormat="1" x14ac:dyDescent="0.35">
      <c r="A875" s="26" t="s">
        <v>3371</v>
      </c>
      <c r="B875" s="26" t="s">
        <v>3372</v>
      </c>
      <c r="E875" s="26">
        <v>65</v>
      </c>
      <c r="F875" s="26" t="s">
        <v>3444</v>
      </c>
      <c r="G875" t="s">
        <v>3480</v>
      </c>
      <c r="H875" s="57">
        <v>44580</v>
      </c>
      <c r="I875" s="26" t="s">
        <v>1720</v>
      </c>
    </row>
    <row r="876" spans="1:9" s="26" customFormat="1" x14ac:dyDescent="0.35">
      <c r="A876" s="26" t="s">
        <v>3373</v>
      </c>
      <c r="B876" s="26" t="s">
        <v>3374</v>
      </c>
    </row>
    <row r="877" spans="1:9" s="26" customFormat="1" x14ac:dyDescent="0.35">
      <c r="A877" s="26" t="s">
        <v>3375</v>
      </c>
      <c r="B877" s="26" t="s">
        <v>3376</v>
      </c>
      <c r="C877" s="26">
        <v>6.5000000000000002E-2</v>
      </c>
      <c r="E877" s="26">
        <v>1.2999999999999999E-2</v>
      </c>
      <c r="G877" t="s">
        <v>3480</v>
      </c>
      <c r="H877" s="57">
        <v>44580</v>
      </c>
      <c r="I877" s="26" t="s">
        <v>1720</v>
      </c>
    </row>
    <row r="878" spans="1:9" s="26" customFormat="1" x14ac:dyDescent="0.35">
      <c r="A878" s="26" t="s">
        <v>3377</v>
      </c>
      <c r="B878" s="26" t="s">
        <v>3339</v>
      </c>
    </row>
    <row r="879" spans="1:9" s="26" customFormat="1" x14ac:dyDescent="0.35">
      <c r="A879" s="26" t="s">
        <v>3378</v>
      </c>
      <c r="B879" s="26" t="s">
        <v>3341</v>
      </c>
    </row>
    <row r="880" spans="1:9" s="26" customFormat="1" x14ac:dyDescent="0.35">
      <c r="A880" s="26" t="s">
        <v>3379</v>
      </c>
      <c r="B880" s="26" t="s">
        <v>3380</v>
      </c>
    </row>
    <row r="881" spans="1:9" s="26" customFormat="1" x14ac:dyDescent="0.35">
      <c r="A881" s="26" t="s">
        <v>3381</v>
      </c>
      <c r="B881" s="26" t="s">
        <v>3382</v>
      </c>
    </row>
    <row r="882" spans="1:9" s="26" customFormat="1" x14ac:dyDescent="0.35">
      <c r="A882" s="26" t="s">
        <v>3383</v>
      </c>
      <c r="B882" s="26" t="s">
        <v>3384</v>
      </c>
    </row>
    <row r="883" spans="1:9" s="26" customFormat="1" x14ac:dyDescent="0.35">
      <c r="A883" s="26" t="s">
        <v>3385</v>
      </c>
      <c r="B883" s="26" t="s">
        <v>3386</v>
      </c>
    </row>
    <row r="884" spans="1:9" s="26" customFormat="1" x14ac:dyDescent="0.35">
      <c r="A884" s="26" t="s">
        <v>3387</v>
      </c>
      <c r="B884" s="26" t="s">
        <v>3388</v>
      </c>
    </row>
    <row r="885" spans="1:9" s="26" customFormat="1" x14ac:dyDescent="0.35">
      <c r="A885" s="26" t="s">
        <v>3389</v>
      </c>
      <c r="B885" s="26" t="s">
        <v>3390</v>
      </c>
    </row>
    <row r="886" spans="1:9" s="26" customFormat="1" x14ac:dyDescent="0.35">
      <c r="A886" s="26" t="s">
        <v>3391</v>
      </c>
      <c r="B886" s="26" t="s">
        <v>3392</v>
      </c>
    </row>
    <row r="887" spans="1:9" s="26" customFormat="1" x14ac:dyDescent="0.35">
      <c r="A887" s="26" t="s">
        <v>3393</v>
      </c>
      <c r="B887" s="26" t="s">
        <v>3348</v>
      </c>
    </row>
    <row r="888" spans="1:9" s="26" customFormat="1" x14ac:dyDescent="0.35">
      <c r="A888" s="26" t="s">
        <v>3394</v>
      </c>
      <c r="B888" s="26" t="s">
        <v>3395</v>
      </c>
    </row>
    <row r="889" spans="1:9" s="26" customFormat="1" x14ac:dyDescent="0.35">
      <c r="A889" s="26" t="s">
        <v>3396</v>
      </c>
      <c r="B889" s="26" t="s">
        <v>3397</v>
      </c>
    </row>
    <row r="890" spans="1:9" s="26" customFormat="1" x14ac:dyDescent="0.35">
      <c r="A890" s="26" t="s">
        <v>3398</v>
      </c>
      <c r="B890" s="26" t="s">
        <v>3352</v>
      </c>
    </row>
    <row r="891" spans="1:9" s="26" customFormat="1" x14ac:dyDescent="0.35">
      <c r="A891" s="26" t="s">
        <v>3399</v>
      </c>
      <c r="B891" s="26" t="s">
        <v>3400</v>
      </c>
    </row>
    <row r="892" spans="1:9" s="26" customFormat="1" x14ac:dyDescent="0.35">
      <c r="A892" s="26" t="s">
        <v>3401</v>
      </c>
      <c r="B892" s="26" t="s">
        <v>3402</v>
      </c>
    </row>
    <row r="893" spans="1:9" s="26" customFormat="1" x14ac:dyDescent="0.35">
      <c r="A893" s="26" t="s">
        <v>3403</v>
      </c>
      <c r="B893" s="26" t="s">
        <v>3404</v>
      </c>
    </row>
    <row r="894" spans="1:9" s="26" customFormat="1" x14ac:dyDescent="0.35">
      <c r="A894" s="26" t="s">
        <v>3405</v>
      </c>
      <c r="B894" s="26" t="s">
        <v>3406</v>
      </c>
    </row>
    <row r="895" spans="1:9" s="26" customFormat="1" x14ac:dyDescent="0.35">
      <c r="A895" s="26" t="s">
        <v>3407</v>
      </c>
      <c r="B895" s="26" t="s">
        <v>3415</v>
      </c>
    </row>
    <row r="896" spans="1:9" s="26" customFormat="1" x14ac:dyDescent="0.35">
      <c r="A896" s="26" t="s">
        <v>3408</v>
      </c>
      <c r="B896" s="26" t="s">
        <v>3416</v>
      </c>
      <c r="E896" s="26">
        <v>0.2</v>
      </c>
      <c r="G896" t="s">
        <v>3480</v>
      </c>
      <c r="H896" s="57">
        <v>44580</v>
      </c>
      <c r="I896" s="26" t="s">
        <v>1720</v>
      </c>
    </row>
    <row r="897" spans="1:9" s="26" customFormat="1" x14ac:dyDescent="0.35">
      <c r="A897" s="26" t="s">
        <v>3409</v>
      </c>
    </row>
    <row r="898" spans="1:9" s="26" customFormat="1" x14ac:dyDescent="0.35">
      <c r="A898" s="26" t="s">
        <v>3410</v>
      </c>
    </row>
    <row r="899" spans="1:9" s="26" customFormat="1" x14ac:dyDescent="0.35">
      <c r="A899" s="26" t="s">
        <v>3411</v>
      </c>
    </row>
    <row r="900" spans="1:9" s="26" customFormat="1" x14ac:dyDescent="0.35">
      <c r="A900" s="26" t="s">
        <v>3412</v>
      </c>
      <c r="B900" s="26" t="s">
        <v>3417</v>
      </c>
    </row>
    <row r="901" spans="1:9" s="26" customFormat="1" x14ac:dyDescent="0.35">
      <c r="A901" s="26" t="s">
        <v>3413</v>
      </c>
      <c r="B901" s="26" t="s">
        <v>3418</v>
      </c>
    </row>
    <row r="902" spans="1:9" s="26" customFormat="1" x14ac:dyDescent="0.35">
      <c r="A902" s="26" t="s">
        <v>3414</v>
      </c>
      <c r="B902" s="26" t="s">
        <v>3419</v>
      </c>
      <c r="E902" s="26">
        <v>0.05</v>
      </c>
      <c r="F902" s="26" t="s">
        <v>3444</v>
      </c>
      <c r="G902" t="s">
        <v>3480</v>
      </c>
      <c r="H902" s="57">
        <v>44579</v>
      </c>
      <c r="I902" s="26" t="s">
        <v>1720</v>
      </c>
    </row>
  </sheetData>
  <autoFilter ref="A1:I902" xr:uid="{DC4D0797-5ABA-4D0C-9619-527A87D08C8F}">
    <sortState xmlns:xlrd2="http://schemas.microsoft.com/office/spreadsheetml/2017/richdata2" ref="A37:I848">
      <sortCondition ref="C1:C849"/>
    </sortState>
  </autoFilter>
  <hyperlinks>
    <hyperlink ref="A41" r:id="rId1" display="DTXSID5037523" xr:uid="{F2CCBFF7-C7CE-441E-80B5-321CC16E4C0D}"/>
    <hyperlink ref="A42" r:id="rId2" display="DTXSID1032482" xr:uid="{05BEF013-1B33-4457-BE75-CEB251F696A5}"/>
    <hyperlink ref="A43" r:id="rId3" display="DTXSID4058499" xr:uid="{91E8365E-15B5-4468-BC8F-60BBFC58ABE4}"/>
    <hyperlink ref="A44" r:id="rId4" display="DTXSID9037539" xr:uid="{5ECDA559-9C7C-48AE-8DEC-DD5C3E941571}"/>
    <hyperlink ref="A45" r:id="rId5" display="DTXSID1032640" xr:uid="{76A05DAA-B199-4073-89CF-3FED0BECCC7C}"/>
    <hyperlink ref="A46" r:id="rId6" display="DTXSID2052736" xr:uid="{62323D7E-E5A6-4AFC-8D2A-0FE83BCFDABB}"/>
    <hyperlink ref="A47" r:id="rId7" display="DTXSID6020147" xr:uid="{879A29DA-ACFD-4D7C-8B97-FFA73CD6658F}"/>
    <hyperlink ref="A48" r:id="rId8" display="DTXSID5020819" xr:uid="{AD84C3E0-1F38-43C8-BE4C-5BC0989DC316}"/>
    <hyperlink ref="A219" r:id="rId9" display="DTXSID5037571" xr:uid="{DAA60365-5AA4-48C9-942B-267589892EE5}"/>
    <hyperlink ref="A50" r:id="rId10" display="DTXSID1023445" xr:uid="{5867610E-6A5A-447C-8C44-5796C602C947}"/>
    <hyperlink ref="A51" r:id="rId11" display="DTXSID0020442" xr:uid="{D0197D3F-5B88-48A2-BE80-70438EF5DB16}"/>
    <hyperlink ref="A52" r:id="rId12" display="DTXSID4024195" xr:uid="{17581686-47A5-4E56-AED2-8D25747EBEFC}"/>
    <hyperlink ref="A389" r:id="rId13" display="DTXSID2024113" xr:uid="{487D0260-C357-4B85-9165-E7D9CC9123CD}"/>
    <hyperlink ref="A54" r:id="rId14" display="DTXSID9020322" xr:uid="{CD116218-8545-4300-8107-994B3B5563C5}"/>
    <hyperlink ref="A55" r:id="rId15" display="DTXSID9034868" xr:uid="{8C554A6C-59C3-4112-B0B1-2E1BD2734C4B}"/>
    <hyperlink ref="A56" r:id="rId16" display="DTXSID2020636" xr:uid="{2DF4F49E-1869-4E6B-A710-7393B718B026}"/>
    <hyperlink ref="A57" r:id="rId17" display="DTXSID9024194" xr:uid="{A48E0828-5004-41E7-A506-E629908EF02E}"/>
    <hyperlink ref="A58" r:id="rId18" display="DTXSID5040675" xr:uid="{59FDD20B-9097-4E4A-A13A-4C433B98AF6C}"/>
    <hyperlink ref="A59" r:id="rId19" display="DTXSID8023975" xr:uid="{CE764A9D-5978-41F6-9848-34D2FE8A8145}"/>
    <hyperlink ref="A60" r:id="rId20" display="DTXSID1024465" xr:uid="{81E8B7E2-8446-4A3B-83E9-30A379F2F3F0}"/>
    <hyperlink ref="A294" r:id="rId21" display="DTXSID6023737" xr:uid="{FA97EDFA-F7D0-4BC0-BB32-85E2F37A0562}"/>
    <hyperlink ref="A645" r:id="rId22" display="DTXSID40869118" xr:uid="{0AB2B1EF-E8C8-4E35-AED1-4E541E0D345F}"/>
    <hyperlink ref="A65" r:id="rId23" display="DTXSID5023114" xr:uid="{CC8C215B-C17D-4811-B575-C53BDDD6611F}"/>
    <hyperlink ref="A66" r:id="rId24" display="DTXSID4020161" xr:uid="{B86DF133-70C0-4B17-9655-550909F98173}"/>
    <hyperlink ref="A67" r:id="rId25" display="DTXSID4020878" xr:uid="{9700BB30-9B23-44A9-9664-72AD31DD9DD0}"/>
    <hyperlink ref="A68" r:id="rId26" display="DTXSID4022658" xr:uid="{B59C530B-AFEC-4E70-9B70-C124AF60993E}"/>
    <hyperlink ref="A69" r:id="rId27" display="DTXSID8020913" xr:uid="{95798C56-83CD-43BA-BBED-93FDF1926CF6}"/>
    <hyperlink ref="A70" r:id="rId28" display="DTXSID0023955" xr:uid="{768911B9-D449-4900-8029-7C67A0CB2343}"/>
    <hyperlink ref="A71" r:id="rId29" display="DTXSID9020877" xr:uid="{6871B2F1-FE9F-4BA7-AFFE-68CF93D0CCDC}"/>
    <hyperlink ref="A240" r:id="rId30" display="DTXSID6023737" xr:uid="{37D95CD6-0E49-46AB-9651-0EE711F31745}"/>
    <hyperlink ref="A649" r:id="rId31" display="DTXSID40869118" xr:uid="{B6E117BA-DD12-4CB0-8135-471C2FA0A814}"/>
    <hyperlink ref="A61" r:id="rId32" display="DTXSID9020322" xr:uid="{4B223039-C95E-42C1-869A-95A979C63A37}"/>
    <hyperlink ref="D37" r:id="rId33" xr:uid="{0C101D7E-0B31-4395-8DCF-E43BE6CBAE9F}"/>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82F72-A88C-47C8-A7DF-2156CC5FB213}">
  <sheetPr filterMode="1"/>
  <dimension ref="A1:I884"/>
  <sheetViews>
    <sheetView workbookViewId="0">
      <selection activeCell="A830" sqref="A830"/>
    </sheetView>
  </sheetViews>
  <sheetFormatPr defaultRowHeight="14.5" x14ac:dyDescent="0.35"/>
  <cols>
    <col min="1" max="1" width="12.54296875" customWidth="1"/>
    <col min="2" max="2" width="21.7265625" customWidth="1"/>
    <col min="3" max="3" width="32.1796875" bestFit="1" customWidth="1"/>
    <col min="4" max="4" width="32.1796875" customWidth="1"/>
    <col min="5" max="5" width="27.7265625" bestFit="1" customWidth="1"/>
    <col min="6" max="8" width="27.7265625" customWidth="1"/>
  </cols>
  <sheetData>
    <row r="1" spans="1:9" s="18" customFormat="1" x14ac:dyDescent="0.35">
      <c r="A1" s="18" t="s">
        <v>828</v>
      </c>
      <c r="B1" s="18" t="s">
        <v>1650</v>
      </c>
      <c r="C1" s="18" t="s">
        <v>1700</v>
      </c>
      <c r="D1" s="18" t="s">
        <v>3312</v>
      </c>
      <c r="E1" s="18" t="s">
        <v>1701</v>
      </c>
      <c r="F1" s="18" t="s">
        <v>3316</v>
      </c>
      <c r="G1" s="18" t="s">
        <v>3479</v>
      </c>
      <c r="H1" s="18" t="s">
        <v>4152</v>
      </c>
      <c r="I1" s="18" t="s">
        <v>1696</v>
      </c>
    </row>
    <row r="2" spans="1:9" hidden="1" x14ac:dyDescent="0.35">
      <c r="A2" t="s">
        <v>0</v>
      </c>
      <c r="B2" s="7" t="s">
        <v>829</v>
      </c>
    </row>
    <row r="3" spans="1:9" hidden="1" x14ac:dyDescent="0.35">
      <c r="A3" t="s">
        <v>1</v>
      </c>
      <c r="B3" s="7" t="s">
        <v>830</v>
      </c>
    </row>
    <row r="4" spans="1:9" hidden="1" x14ac:dyDescent="0.35">
      <c r="A4" t="s">
        <v>2</v>
      </c>
      <c r="B4" s="7" t="s">
        <v>831</v>
      </c>
    </row>
    <row r="5" spans="1:9" hidden="1" x14ac:dyDescent="0.35">
      <c r="A5" t="s">
        <v>3</v>
      </c>
      <c r="B5" s="7" t="s">
        <v>832</v>
      </c>
    </row>
    <row r="6" spans="1:9" hidden="1" x14ac:dyDescent="0.35">
      <c r="A6" t="s">
        <v>4</v>
      </c>
      <c r="B6" s="7" t="s">
        <v>833</v>
      </c>
    </row>
    <row r="7" spans="1:9" hidden="1" x14ac:dyDescent="0.35">
      <c r="A7" t="s">
        <v>5</v>
      </c>
      <c r="B7" s="7" t="s">
        <v>834</v>
      </c>
    </row>
    <row r="8" spans="1:9" hidden="1" x14ac:dyDescent="0.35">
      <c r="A8" t="s">
        <v>6</v>
      </c>
      <c r="B8" s="7" t="s">
        <v>835</v>
      </c>
    </row>
    <row r="9" spans="1:9" hidden="1" x14ac:dyDescent="0.35">
      <c r="A9" s="1" t="s">
        <v>7</v>
      </c>
      <c r="B9" s="7" t="s">
        <v>836</v>
      </c>
    </row>
    <row r="10" spans="1:9" hidden="1" x14ac:dyDescent="0.35">
      <c r="A10" t="s">
        <v>8</v>
      </c>
      <c r="B10" s="7" t="s">
        <v>837</v>
      </c>
    </row>
    <row r="11" spans="1:9" hidden="1" x14ac:dyDescent="0.35">
      <c r="A11" t="s">
        <v>9</v>
      </c>
      <c r="B11" s="7" t="s">
        <v>838</v>
      </c>
    </row>
    <row r="12" spans="1:9" hidden="1" x14ac:dyDescent="0.35">
      <c r="A12" t="s">
        <v>10</v>
      </c>
      <c r="B12" s="7" t="s">
        <v>839</v>
      </c>
    </row>
    <row r="13" spans="1:9" hidden="1" x14ac:dyDescent="0.35">
      <c r="A13" t="s">
        <v>11</v>
      </c>
      <c r="B13" s="7" t="s">
        <v>840</v>
      </c>
    </row>
    <row r="14" spans="1:9" x14ac:dyDescent="0.35">
      <c r="A14" t="s">
        <v>115</v>
      </c>
      <c r="B14" s="7" t="s">
        <v>944</v>
      </c>
      <c r="E14">
        <v>6.8999999999999999E-3</v>
      </c>
      <c r="F14" t="s">
        <v>3319</v>
      </c>
      <c r="G14" t="s">
        <v>3480</v>
      </c>
      <c r="H14" s="57">
        <v>44580</v>
      </c>
      <c r="I14" t="s">
        <v>1720</v>
      </c>
    </row>
    <row r="15" spans="1:9" hidden="1" x14ac:dyDescent="0.35">
      <c r="A15" t="s">
        <v>13</v>
      </c>
      <c r="B15" s="7" t="s">
        <v>842</v>
      </c>
    </row>
    <row r="16" spans="1:9" hidden="1" x14ac:dyDescent="0.35">
      <c r="A16" t="s">
        <v>14</v>
      </c>
      <c r="B16" s="7" t="s">
        <v>843</v>
      </c>
    </row>
    <row r="17" spans="1:2" hidden="1" x14ac:dyDescent="0.35">
      <c r="A17" t="s">
        <v>15</v>
      </c>
      <c r="B17" s="7" t="s">
        <v>844</v>
      </c>
    </row>
    <row r="18" spans="1:2" hidden="1" x14ac:dyDescent="0.35">
      <c r="A18" t="s">
        <v>16</v>
      </c>
      <c r="B18" s="7" t="s">
        <v>845</v>
      </c>
    </row>
    <row r="19" spans="1:2" hidden="1" x14ac:dyDescent="0.35">
      <c r="A19" t="s">
        <v>17</v>
      </c>
      <c r="B19" s="7" t="s">
        <v>846</v>
      </c>
    </row>
    <row r="20" spans="1:2" hidden="1" x14ac:dyDescent="0.35">
      <c r="A20" t="s">
        <v>18</v>
      </c>
      <c r="B20" s="7" t="s">
        <v>847</v>
      </c>
    </row>
    <row r="21" spans="1:2" hidden="1" x14ac:dyDescent="0.35">
      <c r="A21" t="s">
        <v>19</v>
      </c>
      <c r="B21" s="7" t="s">
        <v>848</v>
      </c>
    </row>
    <row r="22" spans="1:2" hidden="1" x14ac:dyDescent="0.35">
      <c r="A22" t="s">
        <v>20</v>
      </c>
      <c r="B22" s="7" t="s">
        <v>849</v>
      </c>
    </row>
    <row r="23" spans="1:2" hidden="1" x14ac:dyDescent="0.35">
      <c r="A23" t="s">
        <v>21</v>
      </c>
      <c r="B23" s="7" t="s">
        <v>850</v>
      </c>
    </row>
    <row r="24" spans="1:2" hidden="1" x14ac:dyDescent="0.35">
      <c r="A24" t="s">
        <v>22</v>
      </c>
      <c r="B24" s="7" t="s">
        <v>851</v>
      </c>
    </row>
    <row r="25" spans="1:2" hidden="1" x14ac:dyDescent="0.35">
      <c r="A25" t="s">
        <v>23</v>
      </c>
      <c r="B25" s="7" t="s">
        <v>852</v>
      </c>
    </row>
    <row r="26" spans="1:2" hidden="1" x14ac:dyDescent="0.35">
      <c r="A26" t="s">
        <v>24</v>
      </c>
      <c r="B26" s="7" t="s">
        <v>853</v>
      </c>
    </row>
    <row r="27" spans="1:2" hidden="1" x14ac:dyDescent="0.35">
      <c r="A27" t="s">
        <v>25</v>
      </c>
      <c r="B27" s="7" t="s">
        <v>854</v>
      </c>
    </row>
    <row r="28" spans="1:2" hidden="1" x14ac:dyDescent="0.35">
      <c r="A28" t="s">
        <v>26</v>
      </c>
      <c r="B28" s="7" t="s">
        <v>855</v>
      </c>
    </row>
    <row r="29" spans="1:2" hidden="1" x14ac:dyDescent="0.35">
      <c r="A29" t="s">
        <v>27</v>
      </c>
      <c r="B29" s="7" t="s">
        <v>856</v>
      </c>
    </row>
    <row r="30" spans="1:2" hidden="1" x14ac:dyDescent="0.35">
      <c r="A30" t="s">
        <v>28</v>
      </c>
      <c r="B30" s="7" t="s">
        <v>857</v>
      </c>
    </row>
    <row r="31" spans="1:2" hidden="1" x14ac:dyDescent="0.35">
      <c r="A31" t="s">
        <v>29</v>
      </c>
      <c r="B31" s="7" t="s">
        <v>858</v>
      </c>
    </row>
    <row r="32" spans="1:2" hidden="1" x14ac:dyDescent="0.35">
      <c r="A32" t="s">
        <v>30</v>
      </c>
      <c r="B32" s="7" t="s">
        <v>859</v>
      </c>
    </row>
    <row r="33" spans="1:9" hidden="1" x14ac:dyDescent="0.35">
      <c r="A33" t="s">
        <v>31</v>
      </c>
      <c r="B33" s="7" t="s">
        <v>860</v>
      </c>
    </row>
    <row r="34" spans="1:9" x14ac:dyDescent="0.35">
      <c r="A34" t="s">
        <v>287</v>
      </c>
      <c r="B34" s="7" t="s">
        <v>1112</v>
      </c>
      <c r="E34">
        <v>1.2999999999999999E-2</v>
      </c>
      <c r="F34" t="s">
        <v>3319</v>
      </c>
      <c r="G34" t="s">
        <v>3480</v>
      </c>
      <c r="H34" s="57">
        <v>44580</v>
      </c>
      <c r="I34" t="s">
        <v>1720</v>
      </c>
    </row>
    <row r="35" spans="1:9" hidden="1" x14ac:dyDescent="0.35">
      <c r="A35" t="s">
        <v>33</v>
      </c>
      <c r="B35" s="7" t="s">
        <v>862</v>
      </c>
    </row>
    <row r="36" spans="1:9" hidden="1" x14ac:dyDescent="0.35">
      <c r="A36" t="s">
        <v>34</v>
      </c>
      <c r="B36" s="7" t="s">
        <v>863</v>
      </c>
    </row>
    <row r="37" spans="1:9" x14ac:dyDescent="0.35">
      <c r="A37" t="s">
        <v>286</v>
      </c>
      <c r="B37" s="7" t="s">
        <v>1111</v>
      </c>
      <c r="E37">
        <v>1.4E-2</v>
      </c>
      <c r="F37" t="s">
        <v>3320</v>
      </c>
      <c r="G37" t="s">
        <v>3480</v>
      </c>
      <c r="H37" s="57">
        <v>44580</v>
      </c>
      <c r="I37" t="s">
        <v>1720</v>
      </c>
    </row>
    <row r="38" spans="1:9" hidden="1" x14ac:dyDescent="0.35">
      <c r="A38" t="s">
        <v>36</v>
      </c>
      <c r="B38" s="7" t="s">
        <v>865</v>
      </c>
    </row>
    <row r="39" spans="1:9" hidden="1" x14ac:dyDescent="0.35">
      <c r="A39" t="s">
        <v>37</v>
      </c>
      <c r="B39" s="7" t="s">
        <v>866</v>
      </c>
    </row>
    <row r="40" spans="1:9" hidden="1" x14ac:dyDescent="0.35">
      <c r="A40" s="1" t="s">
        <v>38</v>
      </c>
      <c r="B40" s="7" t="s">
        <v>867</v>
      </c>
    </row>
    <row r="41" spans="1:9" hidden="1" x14ac:dyDescent="0.35">
      <c r="A41" t="s">
        <v>39</v>
      </c>
      <c r="B41" s="7" t="s">
        <v>868</v>
      </c>
    </row>
    <row r="42" spans="1:9" hidden="1" x14ac:dyDescent="0.35">
      <c r="A42" t="s">
        <v>40</v>
      </c>
      <c r="B42" s="7" t="s">
        <v>869</v>
      </c>
    </row>
    <row r="43" spans="1:9" hidden="1" x14ac:dyDescent="0.35">
      <c r="A43" t="s">
        <v>41</v>
      </c>
      <c r="B43" s="7" t="s">
        <v>870</v>
      </c>
    </row>
    <row r="44" spans="1:9" hidden="1" x14ac:dyDescent="0.35">
      <c r="A44" t="s">
        <v>42</v>
      </c>
      <c r="B44" s="7" t="s">
        <v>871</v>
      </c>
    </row>
    <row r="45" spans="1:9" hidden="1" x14ac:dyDescent="0.35">
      <c r="A45" t="s">
        <v>43</v>
      </c>
      <c r="B45" s="7" t="s">
        <v>872</v>
      </c>
    </row>
    <row r="46" spans="1:9" hidden="1" x14ac:dyDescent="0.35">
      <c r="A46" t="s">
        <v>44</v>
      </c>
      <c r="B46" s="7" t="s">
        <v>873</v>
      </c>
    </row>
    <row r="47" spans="1:9" hidden="1" x14ac:dyDescent="0.35">
      <c r="A47" t="s">
        <v>45</v>
      </c>
      <c r="B47" s="7" t="s">
        <v>874</v>
      </c>
    </row>
    <row r="48" spans="1:9" hidden="1" x14ac:dyDescent="0.35">
      <c r="A48" t="s">
        <v>46</v>
      </c>
      <c r="B48" s="7" t="s">
        <v>875</v>
      </c>
    </row>
    <row r="49" spans="1:9" x14ac:dyDescent="0.35">
      <c r="A49" t="s">
        <v>349</v>
      </c>
      <c r="B49" s="7" t="s">
        <v>1173</v>
      </c>
      <c r="C49">
        <v>4.2999999999999997E-2</v>
      </c>
      <c r="D49" t="s">
        <v>3315</v>
      </c>
      <c r="G49" t="s">
        <v>3480</v>
      </c>
      <c r="H49" s="57">
        <v>44580</v>
      </c>
      <c r="I49" t="s">
        <v>1720</v>
      </c>
    </row>
    <row r="50" spans="1:9" hidden="1" x14ac:dyDescent="0.35">
      <c r="A50" t="s">
        <v>48</v>
      </c>
      <c r="B50" s="7" t="s">
        <v>877</v>
      </c>
    </row>
    <row r="51" spans="1:9" hidden="1" x14ac:dyDescent="0.35">
      <c r="A51" t="s">
        <v>49</v>
      </c>
      <c r="B51" s="7" t="s">
        <v>878</v>
      </c>
    </row>
    <row r="52" spans="1:9" hidden="1" x14ac:dyDescent="0.35">
      <c r="A52" t="s">
        <v>50</v>
      </c>
      <c r="B52" s="7" t="s">
        <v>879</v>
      </c>
    </row>
    <row r="53" spans="1:9" x14ac:dyDescent="0.35">
      <c r="A53" t="s">
        <v>140</v>
      </c>
      <c r="B53" s="7" t="s">
        <v>969</v>
      </c>
      <c r="E53">
        <v>1.9E-2</v>
      </c>
      <c r="F53" t="s">
        <v>3317</v>
      </c>
      <c r="G53" t="s">
        <v>3480</v>
      </c>
      <c r="H53" s="57">
        <v>44580</v>
      </c>
      <c r="I53" t="s">
        <v>1720</v>
      </c>
    </row>
    <row r="54" spans="1:9" hidden="1" x14ac:dyDescent="0.35">
      <c r="A54" t="s">
        <v>52</v>
      </c>
      <c r="B54" s="7" t="s">
        <v>881</v>
      </c>
    </row>
    <row r="55" spans="1:9" hidden="1" x14ac:dyDescent="0.35">
      <c r="A55" t="s">
        <v>53</v>
      </c>
      <c r="B55" s="7" t="s">
        <v>882</v>
      </c>
    </row>
    <row r="56" spans="1:9" hidden="1" x14ac:dyDescent="0.35">
      <c r="A56" t="s">
        <v>54</v>
      </c>
      <c r="B56" s="7" t="s">
        <v>883</v>
      </c>
    </row>
    <row r="57" spans="1:9" hidden="1" x14ac:dyDescent="0.35">
      <c r="A57" t="s">
        <v>55</v>
      </c>
      <c r="B57" s="7" t="s">
        <v>884</v>
      </c>
    </row>
    <row r="58" spans="1:9" hidden="1" x14ac:dyDescent="0.35">
      <c r="A58" t="s">
        <v>56</v>
      </c>
      <c r="B58" s="7" t="s">
        <v>885</v>
      </c>
    </row>
    <row r="59" spans="1:9" hidden="1" x14ac:dyDescent="0.35">
      <c r="A59" t="s">
        <v>57</v>
      </c>
      <c r="B59" s="7" t="s">
        <v>886</v>
      </c>
    </row>
    <row r="60" spans="1:9" hidden="1" x14ac:dyDescent="0.35">
      <c r="A60" t="s">
        <v>58</v>
      </c>
      <c r="B60" s="7" t="s">
        <v>887</v>
      </c>
    </row>
    <row r="61" spans="1:9" x14ac:dyDescent="0.35">
      <c r="A61" t="s">
        <v>142</v>
      </c>
      <c r="B61" s="7" t="s">
        <v>971</v>
      </c>
      <c r="C61">
        <v>6.0999999999999999E-2</v>
      </c>
      <c r="D61" t="s">
        <v>3313</v>
      </c>
      <c r="G61" t="s">
        <v>3480</v>
      </c>
      <c r="H61" s="57">
        <v>44580</v>
      </c>
      <c r="I61" t="s">
        <v>1720</v>
      </c>
    </row>
    <row r="62" spans="1:9" x14ac:dyDescent="0.35">
      <c r="A62" t="s">
        <v>12</v>
      </c>
      <c r="B62" s="7" t="s">
        <v>841</v>
      </c>
      <c r="E62">
        <v>5.0999999999999997E-2</v>
      </c>
      <c r="F62" t="s">
        <v>3317</v>
      </c>
      <c r="G62" t="s">
        <v>3480</v>
      </c>
      <c r="H62" s="57">
        <v>44580</v>
      </c>
      <c r="I62" t="s">
        <v>1720</v>
      </c>
    </row>
    <row r="63" spans="1:9" hidden="1" x14ac:dyDescent="0.35">
      <c r="A63" t="s">
        <v>61</v>
      </c>
      <c r="B63" s="7" t="s">
        <v>890</v>
      </c>
    </row>
    <row r="64" spans="1:9" hidden="1" x14ac:dyDescent="0.35">
      <c r="A64" t="s">
        <v>62</v>
      </c>
      <c r="B64" s="7" t="s">
        <v>891</v>
      </c>
    </row>
    <row r="65" spans="1:9" hidden="1" x14ac:dyDescent="0.35">
      <c r="A65" t="s">
        <v>63</v>
      </c>
      <c r="B65" s="7" t="s">
        <v>892</v>
      </c>
    </row>
    <row r="66" spans="1:9" hidden="1" x14ac:dyDescent="0.35">
      <c r="A66" t="s">
        <v>64</v>
      </c>
      <c r="B66" s="7" t="s">
        <v>893</v>
      </c>
    </row>
    <row r="67" spans="1:9" hidden="1" x14ac:dyDescent="0.35">
      <c r="A67" t="s">
        <v>65</v>
      </c>
      <c r="B67" s="7" t="s">
        <v>894</v>
      </c>
    </row>
    <row r="68" spans="1:9" hidden="1" x14ac:dyDescent="0.35">
      <c r="A68" t="s">
        <v>66</v>
      </c>
      <c r="B68" s="7" t="s">
        <v>895</v>
      </c>
    </row>
    <row r="69" spans="1:9" hidden="1" x14ac:dyDescent="0.35">
      <c r="A69" t="s">
        <v>67</v>
      </c>
      <c r="B69" s="7" t="s">
        <v>896</v>
      </c>
    </row>
    <row r="70" spans="1:9" hidden="1" x14ac:dyDescent="0.35">
      <c r="A70" t="s">
        <v>68</v>
      </c>
      <c r="B70" s="7" t="s">
        <v>897</v>
      </c>
    </row>
    <row r="71" spans="1:9" hidden="1" x14ac:dyDescent="0.35">
      <c r="A71" t="s">
        <v>69</v>
      </c>
      <c r="B71" s="7" t="s">
        <v>898</v>
      </c>
    </row>
    <row r="72" spans="1:9" hidden="1" x14ac:dyDescent="0.35">
      <c r="A72" t="s">
        <v>70</v>
      </c>
      <c r="B72" s="7" t="s">
        <v>899</v>
      </c>
    </row>
    <row r="73" spans="1:9" hidden="1" x14ac:dyDescent="0.35">
      <c r="A73" t="s">
        <v>71</v>
      </c>
      <c r="B73" s="7" t="s">
        <v>900</v>
      </c>
    </row>
    <row r="74" spans="1:9" hidden="1" x14ac:dyDescent="0.35">
      <c r="A74" t="s">
        <v>72</v>
      </c>
      <c r="B74" s="7" t="s">
        <v>901</v>
      </c>
    </row>
    <row r="75" spans="1:9" hidden="1" x14ac:dyDescent="0.35">
      <c r="A75" t="s">
        <v>73</v>
      </c>
      <c r="B75" s="7" t="s">
        <v>902</v>
      </c>
    </row>
    <row r="76" spans="1:9" hidden="1" x14ac:dyDescent="0.35">
      <c r="A76" t="s">
        <v>74</v>
      </c>
      <c r="B76" s="7" t="s">
        <v>903</v>
      </c>
    </row>
    <row r="77" spans="1:9" x14ac:dyDescent="0.35">
      <c r="A77" t="s">
        <v>190</v>
      </c>
      <c r="B77" s="7" t="s">
        <v>1018</v>
      </c>
      <c r="C77">
        <v>6.2E-2</v>
      </c>
      <c r="D77" t="s">
        <v>3313</v>
      </c>
      <c r="G77" t="s">
        <v>3480</v>
      </c>
      <c r="H77" s="57">
        <v>44580</v>
      </c>
      <c r="I77" t="s">
        <v>1720</v>
      </c>
    </row>
    <row r="78" spans="1:9" hidden="1" x14ac:dyDescent="0.35">
      <c r="A78" t="s">
        <v>76</v>
      </c>
      <c r="B78" s="7" t="s">
        <v>905</v>
      </c>
    </row>
    <row r="79" spans="1:9" hidden="1" x14ac:dyDescent="0.35">
      <c r="A79" t="s">
        <v>77</v>
      </c>
      <c r="B79" s="7" t="s">
        <v>906</v>
      </c>
    </row>
    <row r="80" spans="1:9" hidden="1" x14ac:dyDescent="0.35">
      <c r="A80" t="s">
        <v>78</v>
      </c>
      <c r="B80" s="7" t="s">
        <v>907</v>
      </c>
    </row>
    <row r="81" spans="1:2" hidden="1" x14ac:dyDescent="0.35">
      <c r="A81" t="s">
        <v>79</v>
      </c>
      <c r="B81" s="7" t="s">
        <v>908</v>
      </c>
    </row>
    <row r="82" spans="1:2" hidden="1" x14ac:dyDescent="0.35">
      <c r="A82" t="s">
        <v>80</v>
      </c>
      <c r="B82" s="7" t="s">
        <v>909</v>
      </c>
    </row>
    <row r="83" spans="1:2" hidden="1" x14ac:dyDescent="0.35">
      <c r="A83" t="s">
        <v>81</v>
      </c>
      <c r="B83" s="7" t="s">
        <v>910</v>
      </c>
    </row>
    <row r="84" spans="1:2" hidden="1" x14ac:dyDescent="0.35">
      <c r="A84" t="s">
        <v>82</v>
      </c>
      <c r="B84" s="7" t="s">
        <v>911</v>
      </c>
    </row>
    <row r="85" spans="1:2" hidden="1" x14ac:dyDescent="0.35">
      <c r="A85" t="s">
        <v>83</v>
      </c>
      <c r="B85" s="7" t="s">
        <v>912</v>
      </c>
    </row>
    <row r="86" spans="1:2" hidden="1" x14ac:dyDescent="0.35">
      <c r="A86" t="s">
        <v>84</v>
      </c>
      <c r="B86" s="7" t="s">
        <v>913</v>
      </c>
    </row>
    <row r="87" spans="1:2" hidden="1" x14ac:dyDescent="0.35">
      <c r="A87" t="s">
        <v>85</v>
      </c>
      <c r="B87" s="7" t="s">
        <v>914</v>
      </c>
    </row>
    <row r="88" spans="1:2" hidden="1" x14ac:dyDescent="0.35">
      <c r="A88" t="s">
        <v>86</v>
      </c>
      <c r="B88" s="7" t="s">
        <v>915</v>
      </c>
    </row>
    <row r="89" spans="1:2" hidden="1" x14ac:dyDescent="0.35">
      <c r="A89" t="s">
        <v>87</v>
      </c>
      <c r="B89" s="7" t="s">
        <v>916</v>
      </c>
    </row>
    <row r="90" spans="1:2" hidden="1" x14ac:dyDescent="0.35">
      <c r="A90" t="s">
        <v>88</v>
      </c>
      <c r="B90" s="7" t="s">
        <v>917</v>
      </c>
    </row>
    <row r="91" spans="1:2" hidden="1" x14ac:dyDescent="0.35">
      <c r="A91" t="s">
        <v>89</v>
      </c>
      <c r="B91" s="7" t="s">
        <v>918</v>
      </c>
    </row>
    <row r="92" spans="1:2" hidden="1" x14ac:dyDescent="0.35">
      <c r="A92" t="s">
        <v>90</v>
      </c>
      <c r="B92" s="7" t="s">
        <v>919</v>
      </c>
    </row>
    <row r="93" spans="1:2" hidden="1" x14ac:dyDescent="0.35">
      <c r="A93" t="s">
        <v>91</v>
      </c>
      <c r="B93" s="7" t="s">
        <v>920</v>
      </c>
    </row>
    <row r="94" spans="1:2" hidden="1" x14ac:dyDescent="0.35">
      <c r="A94" t="s">
        <v>92</v>
      </c>
      <c r="B94" s="7" t="s">
        <v>921</v>
      </c>
    </row>
    <row r="95" spans="1:2" hidden="1" x14ac:dyDescent="0.35">
      <c r="A95" t="s">
        <v>93</v>
      </c>
      <c r="B95" s="7" t="s">
        <v>922</v>
      </c>
    </row>
    <row r="96" spans="1:2" hidden="1" x14ac:dyDescent="0.35">
      <c r="A96" t="s">
        <v>94</v>
      </c>
      <c r="B96" s="7" t="s">
        <v>923</v>
      </c>
    </row>
    <row r="97" spans="1:2" hidden="1" x14ac:dyDescent="0.35">
      <c r="A97" t="s">
        <v>95</v>
      </c>
      <c r="B97" s="7" t="s">
        <v>924</v>
      </c>
    </row>
    <row r="98" spans="1:2" hidden="1" x14ac:dyDescent="0.35">
      <c r="A98" t="s">
        <v>96</v>
      </c>
      <c r="B98" s="7" t="s">
        <v>925</v>
      </c>
    </row>
    <row r="99" spans="1:2" hidden="1" x14ac:dyDescent="0.35">
      <c r="A99" t="s">
        <v>97</v>
      </c>
      <c r="B99" s="7" t="s">
        <v>926</v>
      </c>
    </row>
    <row r="100" spans="1:2" hidden="1" x14ac:dyDescent="0.35">
      <c r="A100" t="s">
        <v>98</v>
      </c>
      <c r="B100" s="7" t="s">
        <v>927</v>
      </c>
    </row>
    <row r="101" spans="1:2" hidden="1" x14ac:dyDescent="0.35">
      <c r="A101" t="s">
        <v>99</v>
      </c>
      <c r="B101" s="7" t="s">
        <v>928</v>
      </c>
    </row>
    <row r="102" spans="1:2" hidden="1" x14ac:dyDescent="0.35">
      <c r="A102" t="s">
        <v>100</v>
      </c>
      <c r="B102" s="7" t="s">
        <v>929</v>
      </c>
    </row>
    <row r="103" spans="1:2" hidden="1" x14ac:dyDescent="0.35">
      <c r="A103" t="s">
        <v>101</v>
      </c>
      <c r="B103" s="7" t="s">
        <v>930</v>
      </c>
    </row>
    <row r="104" spans="1:2" hidden="1" x14ac:dyDescent="0.35">
      <c r="A104" t="s">
        <v>102</v>
      </c>
      <c r="B104" s="7" t="s">
        <v>931</v>
      </c>
    </row>
    <row r="105" spans="1:2" hidden="1" x14ac:dyDescent="0.35">
      <c r="A105" t="s">
        <v>103</v>
      </c>
      <c r="B105" s="7" t="s">
        <v>932</v>
      </c>
    </row>
    <row r="106" spans="1:2" hidden="1" x14ac:dyDescent="0.35">
      <c r="A106" t="s">
        <v>104</v>
      </c>
      <c r="B106" s="7" t="s">
        <v>933</v>
      </c>
    </row>
    <row r="107" spans="1:2" hidden="1" x14ac:dyDescent="0.35">
      <c r="A107" t="s">
        <v>105</v>
      </c>
      <c r="B107" s="7" t="s">
        <v>934</v>
      </c>
    </row>
    <row r="108" spans="1:2" hidden="1" x14ac:dyDescent="0.35">
      <c r="A108" t="s">
        <v>106</v>
      </c>
      <c r="B108" s="7" t="s">
        <v>935</v>
      </c>
    </row>
    <row r="109" spans="1:2" hidden="1" x14ac:dyDescent="0.35">
      <c r="A109" t="s">
        <v>107</v>
      </c>
      <c r="B109" s="7" t="s">
        <v>936</v>
      </c>
    </row>
    <row r="110" spans="1:2" hidden="1" x14ac:dyDescent="0.35">
      <c r="A110" t="s">
        <v>108</v>
      </c>
      <c r="B110" s="7" t="s">
        <v>937</v>
      </c>
    </row>
    <row r="111" spans="1:2" hidden="1" x14ac:dyDescent="0.35">
      <c r="A111" t="s">
        <v>109</v>
      </c>
      <c r="B111" s="7" t="s">
        <v>938</v>
      </c>
    </row>
    <row r="112" spans="1:2" hidden="1" x14ac:dyDescent="0.35">
      <c r="A112" t="s">
        <v>110</v>
      </c>
      <c r="B112" s="7" t="s">
        <v>939</v>
      </c>
    </row>
    <row r="113" spans="1:9" hidden="1" x14ac:dyDescent="0.35">
      <c r="A113" t="s">
        <v>111</v>
      </c>
      <c r="B113" s="7" t="s">
        <v>940</v>
      </c>
    </row>
    <row r="114" spans="1:9" hidden="1" x14ac:dyDescent="0.35">
      <c r="A114" t="s">
        <v>112</v>
      </c>
      <c r="B114" s="7" t="s">
        <v>941</v>
      </c>
    </row>
    <row r="115" spans="1:9" hidden="1" x14ac:dyDescent="0.35">
      <c r="A115" t="s">
        <v>113</v>
      </c>
      <c r="B115" s="7" t="s">
        <v>942</v>
      </c>
    </row>
    <row r="116" spans="1:9" hidden="1" x14ac:dyDescent="0.35">
      <c r="A116" t="s">
        <v>114</v>
      </c>
      <c r="B116" s="7" t="s">
        <v>943</v>
      </c>
    </row>
    <row r="117" spans="1:9" x14ac:dyDescent="0.35">
      <c r="A117" t="s">
        <v>350</v>
      </c>
      <c r="B117" s="7" t="s">
        <v>1174</v>
      </c>
      <c r="E117">
        <v>5.0999999999999997E-2</v>
      </c>
      <c r="F117" t="s">
        <v>3317</v>
      </c>
      <c r="G117" t="s">
        <v>3480</v>
      </c>
      <c r="H117" s="57">
        <v>44580</v>
      </c>
      <c r="I117" t="s">
        <v>1720</v>
      </c>
    </row>
    <row r="118" spans="1:9" hidden="1" x14ac:dyDescent="0.35">
      <c r="A118" t="s">
        <v>116</v>
      </c>
      <c r="B118" s="7" t="s">
        <v>945</v>
      </c>
    </row>
    <row r="119" spans="1:9" hidden="1" x14ac:dyDescent="0.35">
      <c r="A119" t="s">
        <v>117</v>
      </c>
      <c r="B119" s="7" t="s">
        <v>946</v>
      </c>
    </row>
    <row r="120" spans="1:9" hidden="1" x14ac:dyDescent="0.35">
      <c r="A120" t="s">
        <v>118</v>
      </c>
      <c r="B120" s="7" t="s">
        <v>947</v>
      </c>
    </row>
    <row r="121" spans="1:9" hidden="1" x14ac:dyDescent="0.35">
      <c r="A121" t="s">
        <v>119</v>
      </c>
      <c r="B121" s="7" t="s">
        <v>948</v>
      </c>
    </row>
    <row r="122" spans="1:9" hidden="1" x14ac:dyDescent="0.35">
      <c r="A122" t="s">
        <v>120</v>
      </c>
      <c r="B122" s="7" t="s">
        <v>949</v>
      </c>
    </row>
    <row r="123" spans="1:9" hidden="1" x14ac:dyDescent="0.35">
      <c r="A123" t="s">
        <v>121</v>
      </c>
      <c r="B123" s="7" t="s">
        <v>950</v>
      </c>
    </row>
    <row r="124" spans="1:9" x14ac:dyDescent="0.35">
      <c r="A124" t="s">
        <v>593</v>
      </c>
      <c r="B124" s="7" t="s">
        <v>1417</v>
      </c>
      <c r="E124">
        <v>9.7000000000000003E-2</v>
      </c>
      <c r="G124" t="s">
        <v>3480</v>
      </c>
      <c r="H124" s="57">
        <v>44580</v>
      </c>
      <c r="I124" t="s">
        <v>1720</v>
      </c>
    </row>
    <row r="125" spans="1:9" hidden="1" x14ac:dyDescent="0.35">
      <c r="A125" t="s">
        <v>123</v>
      </c>
      <c r="B125" s="7" t="s">
        <v>952</v>
      </c>
    </row>
    <row r="126" spans="1:9" hidden="1" x14ac:dyDescent="0.35">
      <c r="A126" t="s">
        <v>124</v>
      </c>
      <c r="B126" s="7" t="s">
        <v>953</v>
      </c>
    </row>
    <row r="127" spans="1:9" hidden="1" x14ac:dyDescent="0.35">
      <c r="A127" t="s">
        <v>125</v>
      </c>
      <c r="B127" s="7" t="s">
        <v>954</v>
      </c>
    </row>
    <row r="128" spans="1:9" hidden="1" x14ac:dyDescent="0.35">
      <c r="A128" t="s">
        <v>126</v>
      </c>
      <c r="B128" s="7" t="s">
        <v>955</v>
      </c>
    </row>
    <row r="129" spans="1:9" hidden="1" x14ac:dyDescent="0.35">
      <c r="A129" t="s">
        <v>127</v>
      </c>
      <c r="B129" s="7" t="s">
        <v>956</v>
      </c>
    </row>
    <row r="130" spans="1:9" hidden="1" x14ac:dyDescent="0.35">
      <c r="A130" t="s">
        <v>128</v>
      </c>
      <c r="B130" s="7" t="s">
        <v>957</v>
      </c>
    </row>
    <row r="131" spans="1:9" hidden="1" x14ac:dyDescent="0.35">
      <c r="A131" t="s">
        <v>129</v>
      </c>
      <c r="B131" s="7" t="s">
        <v>958</v>
      </c>
    </row>
    <row r="132" spans="1:9" hidden="1" x14ac:dyDescent="0.35">
      <c r="A132" t="s">
        <v>130</v>
      </c>
      <c r="B132" s="7" t="s">
        <v>959</v>
      </c>
    </row>
    <row r="133" spans="1:9" hidden="1" x14ac:dyDescent="0.35">
      <c r="A133" t="s">
        <v>131</v>
      </c>
      <c r="B133" s="7" t="s">
        <v>960</v>
      </c>
    </row>
    <row r="134" spans="1:9" hidden="1" x14ac:dyDescent="0.35">
      <c r="A134" t="s">
        <v>132</v>
      </c>
      <c r="B134" s="7" t="s">
        <v>961</v>
      </c>
    </row>
    <row r="135" spans="1:9" hidden="1" x14ac:dyDescent="0.35">
      <c r="A135" t="s">
        <v>133</v>
      </c>
      <c r="B135" s="7" t="s">
        <v>962</v>
      </c>
    </row>
    <row r="136" spans="1:9" hidden="1" x14ac:dyDescent="0.35">
      <c r="A136" t="s">
        <v>134</v>
      </c>
      <c r="B136" s="7" t="s">
        <v>963</v>
      </c>
    </row>
    <row r="137" spans="1:9" hidden="1" x14ac:dyDescent="0.35">
      <c r="A137" t="s">
        <v>135</v>
      </c>
      <c r="B137" s="7" t="s">
        <v>964</v>
      </c>
    </row>
    <row r="138" spans="1:9" hidden="1" x14ac:dyDescent="0.35">
      <c r="A138" t="s">
        <v>136</v>
      </c>
      <c r="B138" s="7" t="s">
        <v>965</v>
      </c>
    </row>
    <row r="139" spans="1:9" hidden="1" x14ac:dyDescent="0.35">
      <c r="A139" t="s">
        <v>137</v>
      </c>
      <c r="B139" s="7" t="s">
        <v>966</v>
      </c>
    </row>
    <row r="140" spans="1:9" hidden="1" x14ac:dyDescent="0.35">
      <c r="A140" t="s">
        <v>138</v>
      </c>
      <c r="B140" s="7" t="s">
        <v>967</v>
      </c>
    </row>
    <row r="141" spans="1:9" hidden="1" x14ac:dyDescent="0.35">
      <c r="A141" t="s">
        <v>139</v>
      </c>
      <c r="B141" s="7" t="s">
        <v>968</v>
      </c>
    </row>
    <row r="142" spans="1:9" x14ac:dyDescent="0.35">
      <c r="A142" t="s">
        <v>51</v>
      </c>
      <c r="B142" s="7" t="s">
        <v>880</v>
      </c>
      <c r="E142">
        <v>3.9</v>
      </c>
      <c r="F142" t="s">
        <v>3317</v>
      </c>
      <c r="G142" t="s">
        <v>3480</v>
      </c>
      <c r="H142" s="57">
        <v>44580</v>
      </c>
      <c r="I142" t="s">
        <v>1720</v>
      </c>
    </row>
    <row r="143" spans="1:9" hidden="1" x14ac:dyDescent="0.35">
      <c r="A143" t="s">
        <v>141</v>
      </c>
      <c r="B143" s="7" t="s">
        <v>970</v>
      </c>
    </row>
    <row r="144" spans="1:9" x14ac:dyDescent="0.35">
      <c r="A144" t="s">
        <v>212</v>
      </c>
      <c r="B144" s="7" t="s">
        <v>1039</v>
      </c>
      <c r="C144">
        <v>0.08</v>
      </c>
      <c r="G144" t="s">
        <v>3480</v>
      </c>
      <c r="H144" s="57">
        <v>44580</v>
      </c>
      <c r="I144" t="s">
        <v>1720</v>
      </c>
    </row>
    <row r="145" spans="1:2" hidden="1" x14ac:dyDescent="0.35">
      <c r="A145" t="s">
        <v>143</v>
      </c>
      <c r="B145" s="7" t="s">
        <v>972</v>
      </c>
    </row>
    <row r="146" spans="1:2" hidden="1" x14ac:dyDescent="0.35">
      <c r="A146" t="s">
        <v>144</v>
      </c>
      <c r="B146" s="7" t="s">
        <v>973</v>
      </c>
    </row>
    <row r="147" spans="1:2" hidden="1" x14ac:dyDescent="0.35">
      <c r="A147" t="s">
        <v>145</v>
      </c>
      <c r="B147" s="7" t="s">
        <v>974</v>
      </c>
    </row>
    <row r="148" spans="1:2" hidden="1" x14ac:dyDescent="0.35">
      <c r="A148" t="s">
        <v>146</v>
      </c>
      <c r="B148" s="7" t="s">
        <v>975</v>
      </c>
    </row>
    <row r="149" spans="1:2" hidden="1" x14ac:dyDescent="0.35">
      <c r="A149" t="s">
        <v>147</v>
      </c>
      <c r="B149" s="7" t="s">
        <v>976</v>
      </c>
    </row>
    <row r="150" spans="1:2" hidden="1" x14ac:dyDescent="0.35">
      <c r="A150" t="s">
        <v>148</v>
      </c>
      <c r="B150" s="7" t="s">
        <v>977</v>
      </c>
    </row>
    <row r="151" spans="1:2" hidden="1" x14ac:dyDescent="0.35">
      <c r="A151" t="s">
        <v>149</v>
      </c>
      <c r="B151" s="7" t="s">
        <v>978</v>
      </c>
    </row>
    <row r="152" spans="1:2" hidden="1" x14ac:dyDescent="0.35">
      <c r="A152" t="s">
        <v>150</v>
      </c>
      <c r="B152" s="7" t="s">
        <v>979</v>
      </c>
    </row>
    <row r="153" spans="1:2" hidden="1" x14ac:dyDescent="0.35">
      <c r="A153" t="s">
        <v>151</v>
      </c>
      <c r="B153" s="7" t="s">
        <v>980</v>
      </c>
    </row>
    <row r="154" spans="1:2" hidden="1" x14ac:dyDescent="0.35">
      <c r="A154" t="s">
        <v>152</v>
      </c>
      <c r="B154" s="7" t="s">
        <v>981</v>
      </c>
    </row>
    <row r="155" spans="1:2" hidden="1" x14ac:dyDescent="0.35">
      <c r="A155" t="s">
        <v>153</v>
      </c>
      <c r="B155" s="7" t="s">
        <v>982</v>
      </c>
    </row>
    <row r="156" spans="1:2" hidden="1" x14ac:dyDescent="0.35">
      <c r="A156" t="s">
        <v>154</v>
      </c>
      <c r="B156" s="7" t="s">
        <v>983</v>
      </c>
    </row>
    <row r="157" spans="1:2" hidden="1" x14ac:dyDescent="0.35">
      <c r="A157" t="s">
        <v>155</v>
      </c>
      <c r="B157" s="7" t="s">
        <v>984</v>
      </c>
    </row>
    <row r="158" spans="1:2" hidden="1" x14ac:dyDescent="0.35">
      <c r="A158" t="s">
        <v>156</v>
      </c>
      <c r="B158" s="7" t="s">
        <v>985</v>
      </c>
    </row>
    <row r="159" spans="1:2" hidden="1" x14ac:dyDescent="0.35">
      <c r="A159" t="s">
        <v>157</v>
      </c>
      <c r="B159" s="7" t="s">
        <v>986</v>
      </c>
    </row>
    <row r="160" spans="1:2" hidden="1" x14ac:dyDescent="0.35">
      <c r="A160" t="s">
        <v>158</v>
      </c>
      <c r="B160" s="7" t="s">
        <v>987</v>
      </c>
    </row>
    <row r="161" spans="1:2" hidden="1" x14ac:dyDescent="0.35">
      <c r="A161" t="s">
        <v>159</v>
      </c>
      <c r="B161" s="7" t="s">
        <v>988</v>
      </c>
    </row>
    <row r="162" spans="1:2" hidden="1" x14ac:dyDescent="0.35">
      <c r="A162" t="s">
        <v>160</v>
      </c>
      <c r="B162" s="7" t="s">
        <v>989</v>
      </c>
    </row>
    <row r="163" spans="1:2" hidden="1" x14ac:dyDescent="0.35">
      <c r="A163" t="s">
        <v>161</v>
      </c>
      <c r="B163" s="7" t="s">
        <v>990</v>
      </c>
    </row>
    <row r="164" spans="1:2" hidden="1" x14ac:dyDescent="0.35">
      <c r="A164" t="s">
        <v>162</v>
      </c>
      <c r="B164" s="7" t="s">
        <v>991</v>
      </c>
    </row>
    <row r="165" spans="1:2" hidden="1" x14ac:dyDescent="0.35">
      <c r="A165" t="s">
        <v>163</v>
      </c>
      <c r="B165" s="7" t="s">
        <v>992</v>
      </c>
    </row>
    <row r="166" spans="1:2" hidden="1" x14ac:dyDescent="0.35">
      <c r="A166" t="s">
        <v>164</v>
      </c>
      <c r="B166" s="7" t="s">
        <v>993</v>
      </c>
    </row>
    <row r="167" spans="1:2" hidden="1" x14ac:dyDescent="0.35">
      <c r="A167" t="s">
        <v>165</v>
      </c>
      <c r="B167" s="7" t="s">
        <v>994</v>
      </c>
    </row>
    <row r="168" spans="1:2" hidden="1" x14ac:dyDescent="0.35">
      <c r="A168" t="s">
        <v>166</v>
      </c>
      <c r="B168" s="7" t="s">
        <v>995</v>
      </c>
    </row>
    <row r="169" spans="1:2" hidden="1" x14ac:dyDescent="0.35">
      <c r="A169" t="s">
        <v>167</v>
      </c>
      <c r="B169" s="7" t="s">
        <v>996</v>
      </c>
    </row>
    <row r="170" spans="1:2" hidden="1" x14ac:dyDescent="0.35">
      <c r="A170" t="s">
        <v>168</v>
      </c>
      <c r="B170" s="7" t="s">
        <v>997</v>
      </c>
    </row>
    <row r="171" spans="1:2" hidden="1" x14ac:dyDescent="0.35">
      <c r="A171" t="s">
        <v>169</v>
      </c>
      <c r="B171" s="7" t="s">
        <v>998</v>
      </c>
    </row>
    <row r="172" spans="1:2" hidden="1" x14ac:dyDescent="0.35">
      <c r="A172" t="s">
        <v>170</v>
      </c>
      <c r="B172" s="7" t="s">
        <v>999</v>
      </c>
    </row>
    <row r="173" spans="1:2" hidden="1" x14ac:dyDescent="0.35">
      <c r="A173" t="s">
        <v>171</v>
      </c>
      <c r="B173" s="7" t="s">
        <v>1000</v>
      </c>
    </row>
    <row r="174" spans="1:2" hidden="1" x14ac:dyDescent="0.35">
      <c r="A174" t="s">
        <v>172</v>
      </c>
      <c r="B174" s="7" t="s">
        <v>1001</v>
      </c>
    </row>
    <row r="175" spans="1:2" hidden="1" x14ac:dyDescent="0.35">
      <c r="A175" t="s">
        <v>173</v>
      </c>
      <c r="B175" s="7" t="s">
        <v>1002</v>
      </c>
    </row>
    <row r="176" spans="1:2" hidden="1" x14ac:dyDescent="0.35">
      <c r="A176" t="s">
        <v>174</v>
      </c>
      <c r="B176" s="7" t="s">
        <v>1003</v>
      </c>
    </row>
    <row r="177" spans="1:9" hidden="1" x14ac:dyDescent="0.35">
      <c r="A177" t="s">
        <v>175</v>
      </c>
      <c r="B177" s="7" t="s">
        <v>1004</v>
      </c>
    </row>
    <row r="178" spans="1:9" hidden="1" x14ac:dyDescent="0.35">
      <c r="A178" t="s">
        <v>176</v>
      </c>
      <c r="B178" s="7" t="s">
        <v>1005</v>
      </c>
    </row>
    <row r="179" spans="1:9" hidden="1" x14ac:dyDescent="0.35">
      <c r="A179" t="s">
        <v>177</v>
      </c>
      <c r="B179" s="7" t="s">
        <v>1006</v>
      </c>
    </row>
    <row r="180" spans="1:9" hidden="1" x14ac:dyDescent="0.35">
      <c r="A180" t="s">
        <v>178</v>
      </c>
      <c r="B180" s="7" t="s">
        <v>1007</v>
      </c>
    </row>
    <row r="181" spans="1:9" hidden="1" x14ac:dyDescent="0.35">
      <c r="A181" t="s">
        <v>179</v>
      </c>
      <c r="B181" s="7" t="s">
        <v>1008</v>
      </c>
    </row>
    <row r="182" spans="1:9" hidden="1" x14ac:dyDescent="0.35">
      <c r="A182" t="s">
        <v>180</v>
      </c>
      <c r="B182" s="7" t="s">
        <v>1009</v>
      </c>
    </row>
    <row r="183" spans="1:9" hidden="1" x14ac:dyDescent="0.35">
      <c r="A183" t="s">
        <v>181</v>
      </c>
      <c r="B183" s="7" t="s">
        <v>1010</v>
      </c>
    </row>
    <row r="184" spans="1:9" hidden="1" x14ac:dyDescent="0.35">
      <c r="A184" t="s">
        <v>182</v>
      </c>
      <c r="B184" s="7" t="s">
        <v>1011</v>
      </c>
    </row>
    <row r="185" spans="1:9" hidden="1" x14ac:dyDescent="0.35">
      <c r="A185" t="s">
        <v>183</v>
      </c>
      <c r="B185" s="7" t="s">
        <v>1012</v>
      </c>
    </row>
    <row r="186" spans="1:9" hidden="1" x14ac:dyDescent="0.35">
      <c r="A186" s="2" t="s">
        <v>184</v>
      </c>
    </row>
    <row r="187" spans="1:9" hidden="1" x14ac:dyDescent="0.35">
      <c r="A187" t="s">
        <v>185</v>
      </c>
      <c r="B187" s="7" t="s">
        <v>1013</v>
      </c>
    </row>
    <row r="188" spans="1:9" hidden="1" x14ac:dyDescent="0.35">
      <c r="A188" t="s">
        <v>186</v>
      </c>
      <c r="B188" s="7" t="s">
        <v>1014</v>
      </c>
    </row>
    <row r="189" spans="1:9" hidden="1" x14ac:dyDescent="0.35">
      <c r="A189" t="s">
        <v>187</v>
      </c>
      <c r="B189" s="7" t="s">
        <v>1015</v>
      </c>
    </row>
    <row r="190" spans="1:9" hidden="1" x14ac:dyDescent="0.35">
      <c r="A190" t="s">
        <v>188</v>
      </c>
      <c r="B190" s="7" t="s">
        <v>1016</v>
      </c>
    </row>
    <row r="191" spans="1:9" hidden="1" x14ac:dyDescent="0.35">
      <c r="A191" t="s">
        <v>189</v>
      </c>
      <c r="B191" s="7" t="s">
        <v>1017</v>
      </c>
    </row>
    <row r="192" spans="1:9" x14ac:dyDescent="0.35">
      <c r="A192" t="s">
        <v>59</v>
      </c>
      <c r="B192" s="7" t="s">
        <v>888</v>
      </c>
      <c r="C192">
        <v>6.3</v>
      </c>
      <c r="D192" t="s">
        <v>3313</v>
      </c>
      <c r="G192" t="s">
        <v>3480</v>
      </c>
      <c r="H192" s="57">
        <v>44580</v>
      </c>
      <c r="I192" t="s">
        <v>1720</v>
      </c>
    </row>
    <row r="193" spans="1:2" hidden="1" x14ac:dyDescent="0.35">
      <c r="A193" t="s">
        <v>191</v>
      </c>
      <c r="B193" s="7" t="s">
        <v>1019</v>
      </c>
    </row>
    <row r="194" spans="1:2" hidden="1" x14ac:dyDescent="0.35">
      <c r="A194" t="s">
        <v>192</v>
      </c>
      <c r="B194" s="7" t="s">
        <v>1020</v>
      </c>
    </row>
    <row r="195" spans="1:2" hidden="1" x14ac:dyDescent="0.35">
      <c r="A195" t="s">
        <v>193</v>
      </c>
      <c r="B195" s="7" t="s">
        <v>1021</v>
      </c>
    </row>
    <row r="196" spans="1:2" hidden="1" x14ac:dyDescent="0.35">
      <c r="A196" t="s">
        <v>194</v>
      </c>
      <c r="B196" s="7" t="s">
        <v>1022</v>
      </c>
    </row>
    <row r="197" spans="1:2" hidden="1" x14ac:dyDescent="0.35">
      <c r="A197" t="s">
        <v>195</v>
      </c>
      <c r="B197" s="7" t="s">
        <v>1023</v>
      </c>
    </row>
    <row r="198" spans="1:2" hidden="1" x14ac:dyDescent="0.35">
      <c r="A198" t="s">
        <v>196</v>
      </c>
      <c r="B198" s="7" t="s">
        <v>1024</v>
      </c>
    </row>
    <row r="199" spans="1:2" hidden="1" x14ac:dyDescent="0.35">
      <c r="A199" t="s">
        <v>197</v>
      </c>
      <c r="B199" s="7" t="s">
        <v>1025</v>
      </c>
    </row>
    <row r="200" spans="1:2" hidden="1" x14ac:dyDescent="0.35">
      <c r="A200" t="s">
        <v>198</v>
      </c>
      <c r="B200" s="7" t="s">
        <v>1026</v>
      </c>
    </row>
    <row r="201" spans="1:2" hidden="1" x14ac:dyDescent="0.35">
      <c r="A201" t="s">
        <v>199</v>
      </c>
      <c r="B201" s="7" t="s">
        <v>1027</v>
      </c>
    </row>
    <row r="202" spans="1:2" hidden="1" x14ac:dyDescent="0.35">
      <c r="A202" t="s">
        <v>200</v>
      </c>
      <c r="B202" s="7" t="s">
        <v>1028</v>
      </c>
    </row>
    <row r="203" spans="1:2" hidden="1" x14ac:dyDescent="0.35">
      <c r="A203" t="s">
        <v>201</v>
      </c>
      <c r="B203" s="7" t="s">
        <v>1029</v>
      </c>
    </row>
    <row r="204" spans="1:2" hidden="1" x14ac:dyDescent="0.35">
      <c r="A204" t="s">
        <v>202</v>
      </c>
      <c r="B204" s="7" t="s">
        <v>1030</v>
      </c>
    </row>
    <row r="205" spans="1:2" hidden="1" x14ac:dyDescent="0.35">
      <c r="A205" s="2" t="s">
        <v>203</v>
      </c>
    </row>
    <row r="206" spans="1:2" hidden="1" x14ac:dyDescent="0.35">
      <c r="A206" t="s">
        <v>204</v>
      </c>
      <c r="B206" s="7" t="s">
        <v>1031</v>
      </c>
    </row>
    <row r="207" spans="1:2" hidden="1" x14ac:dyDescent="0.35">
      <c r="A207" t="s">
        <v>205</v>
      </c>
      <c r="B207" s="7" t="s">
        <v>1032</v>
      </c>
    </row>
    <row r="208" spans="1:2" hidden="1" x14ac:dyDescent="0.35">
      <c r="A208" t="s">
        <v>206</v>
      </c>
      <c r="B208" s="7" t="s">
        <v>1033</v>
      </c>
    </row>
    <row r="209" spans="1:9" hidden="1" x14ac:dyDescent="0.35">
      <c r="A209" t="s">
        <v>207</v>
      </c>
      <c r="B209" s="7" t="s">
        <v>1034</v>
      </c>
    </row>
    <row r="210" spans="1:9" hidden="1" x14ac:dyDescent="0.35">
      <c r="A210" t="s">
        <v>208</v>
      </c>
      <c r="B210" s="7" t="s">
        <v>1035</v>
      </c>
    </row>
    <row r="211" spans="1:9" hidden="1" x14ac:dyDescent="0.35">
      <c r="A211" t="s">
        <v>209</v>
      </c>
      <c r="B211" s="7" t="s">
        <v>1036</v>
      </c>
    </row>
    <row r="212" spans="1:9" hidden="1" x14ac:dyDescent="0.35">
      <c r="A212" t="s">
        <v>210</v>
      </c>
      <c r="B212" s="7" t="s">
        <v>1037</v>
      </c>
    </row>
    <row r="213" spans="1:9" hidden="1" x14ac:dyDescent="0.35">
      <c r="A213" t="s">
        <v>211</v>
      </c>
      <c r="B213" s="7" t="s">
        <v>1038</v>
      </c>
    </row>
    <row r="214" spans="1:9" x14ac:dyDescent="0.35">
      <c r="A214" t="s">
        <v>450</v>
      </c>
      <c r="B214" s="7" t="s">
        <v>1274</v>
      </c>
      <c r="C214">
        <v>8.1</v>
      </c>
      <c r="D214" t="s">
        <v>3313</v>
      </c>
      <c r="G214" t="s">
        <v>3480</v>
      </c>
      <c r="H214" s="57">
        <v>44580</v>
      </c>
      <c r="I214" t="s">
        <v>1720</v>
      </c>
    </row>
    <row r="215" spans="1:9" hidden="1" x14ac:dyDescent="0.35">
      <c r="A215" t="s">
        <v>213</v>
      </c>
      <c r="B215" s="7" t="s">
        <v>1040</v>
      </c>
    </row>
    <row r="216" spans="1:9" hidden="1" x14ac:dyDescent="0.35">
      <c r="A216" t="s">
        <v>214</v>
      </c>
      <c r="B216" s="7" t="s">
        <v>1041</v>
      </c>
    </row>
    <row r="217" spans="1:9" hidden="1" x14ac:dyDescent="0.35">
      <c r="A217" t="s">
        <v>215</v>
      </c>
      <c r="B217" s="7" t="s">
        <v>1042</v>
      </c>
    </row>
    <row r="218" spans="1:9" hidden="1" x14ac:dyDescent="0.35">
      <c r="A218" t="s">
        <v>216</v>
      </c>
      <c r="B218" s="7" t="s">
        <v>1043</v>
      </c>
    </row>
    <row r="219" spans="1:9" hidden="1" x14ac:dyDescent="0.35">
      <c r="A219" t="s">
        <v>217</v>
      </c>
      <c r="B219" s="7" t="s">
        <v>1044</v>
      </c>
    </row>
    <row r="220" spans="1:9" hidden="1" x14ac:dyDescent="0.35">
      <c r="A220" t="s">
        <v>218</v>
      </c>
      <c r="B220" s="7" t="s">
        <v>1045</v>
      </c>
    </row>
    <row r="221" spans="1:9" hidden="1" x14ac:dyDescent="0.35">
      <c r="A221" t="s">
        <v>219</v>
      </c>
      <c r="B221" s="7" t="s">
        <v>1046</v>
      </c>
    </row>
    <row r="222" spans="1:9" hidden="1" x14ac:dyDescent="0.35">
      <c r="A222" t="s">
        <v>220</v>
      </c>
      <c r="B222" s="7" t="s">
        <v>1047</v>
      </c>
    </row>
    <row r="223" spans="1:9" hidden="1" x14ac:dyDescent="0.35">
      <c r="A223" t="s">
        <v>221</v>
      </c>
      <c r="B223" s="7" t="s">
        <v>1048</v>
      </c>
    </row>
    <row r="224" spans="1:9" hidden="1" x14ac:dyDescent="0.35">
      <c r="A224" t="s">
        <v>222</v>
      </c>
      <c r="B224" s="7" t="s">
        <v>1049</v>
      </c>
    </row>
    <row r="225" spans="1:2" hidden="1" x14ac:dyDescent="0.35">
      <c r="A225" t="s">
        <v>223</v>
      </c>
      <c r="B225" s="7" t="s">
        <v>1050</v>
      </c>
    </row>
    <row r="226" spans="1:2" hidden="1" x14ac:dyDescent="0.35">
      <c r="A226" t="s">
        <v>224</v>
      </c>
      <c r="B226" s="7" t="s">
        <v>1051</v>
      </c>
    </row>
    <row r="227" spans="1:2" hidden="1" x14ac:dyDescent="0.35">
      <c r="A227" t="s">
        <v>225</v>
      </c>
      <c r="B227" s="7" t="s">
        <v>1052</v>
      </c>
    </row>
    <row r="228" spans="1:2" hidden="1" x14ac:dyDescent="0.35">
      <c r="A228" t="s">
        <v>226</v>
      </c>
      <c r="B228" s="7" t="s">
        <v>1053</v>
      </c>
    </row>
    <row r="229" spans="1:2" hidden="1" x14ac:dyDescent="0.35">
      <c r="A229" t="s">
        <v>227</v>
      </c>
      <c r="B229" s="7" t="s">
        <v>1054</v>
      </c>
    </row>
    <row r="230" spans="1:2" hidden="1" x14ac:dyDescent="0.35">
      <c r="A230" t="s">
        <v>228</v>
      </c>
      <c r="B230" s="7" t="s">
        <v>1055</v>
      </c>
    </row>
    <row r="231" spans="1:2" hidden="1" x14ac:dyDescent="0.35">
      <c r="A231" t="s">
        <v>229</v>
      </c>
      <c r="B231" s="7" t="s">
        <v>1056</v>
      </c>
    </row>
    <row r="232" spans="1:2" hidden="1" x14ac:dyDescent="0.35">
      <c r="A232" t="s">
        <v>230</v>
      </c>
      <c r="B232" s="7" t="s">
        <v>1057</v>
      </c>
    </row>
    <row r="233" spans="1:2" hidden="1" x14ac:dyDescent="0.35">
      <c r="A233" t="s">
        <v>231</v>
      </c>
      <c r="B233" s="7" t="s">
        <v>1058</v>
      </c>
    </row>
    <row r="234" spans="1:2" hidden="1" x14ac:dyDescent="0.35">
      <c r="A234" t="s">
        <v>232</v>
      </c>
      <c r="B234" s="7" t="s">
        <v>1059</v>
      </c>
    </row>
    <row r="235" spans="1:2" hidden="1" x14ac:dyDescent="0.35">
      <c r="A235" t="s">
        <v>233</v>
      </c>
      <c r="B235" s="7" t="s">
        <v>1060</v>
      </c>
    </row>
    <row r="236" spans="1:2" hidden="1" x14ac:dyDescent="0.35">
      <c r="A236" t="s">
        <v>234</v>
      </c>
      <c r="B236" s="7" t="s">
        <v>1061</v>
      </c>
    </row>
    <row r="237" spans="1:2" hidden="1" x14ac:dyDescent="0.35">
      <c r="A237" t="s">
        <v>235</v>
      </c>
      <c r="B237" s="7" t="s">
        <v>1062</v>
      </c>
    </row>
    <row r="238" spans="1:2" hidden="1" x14ac:dyDescent="0.35">
      <c r="A238" t="s">
        <v>236</v>
      </c>
      <c r="B238" s="7" t="s">
        <v>1063</v>
      </c>
    </row>
    <row r="239" spans="1:2" hidden="1" x14ac:dyDescent="0.35">
      <c r="A239" t="s">
        <v>237</v>
      </c>
      <c r="B239" s="7" t="s">
        <v>897</v>
      </c>
    </row>
    <row r="240" spans="1:2" hidden="1" x14ac:dyDescent="0.35">
      <c r="A240" t="s">
        <v>238</v>
      </c>
      <c r="B240" s="7" t="s">
        <v>1064</v>
      </c>
    </row>
    <row r="241" spans="1:2" hidden="1" x14ac:dyDescent="0.35">
      <c r="A241" t="s">
        <v>239</v>
      </c>
      <c r="B241" s="7" t="s">
        <v>1065</v>
      </c>
    </row>
    <row r="242" spans="1:2" hidden="1" x14ac:dyDescent="0.35">
      <c r="A242" t="s">
        <v>240</v>
      </c>
      <c r="B242" s="7" t="s">
        <v>1066</v>
      </c>
    </row>
    <row r="243" spans="1:2" hidden="1" x14ac:dyDescent="0.35">
      <c r="A243" t="s">
        <v>241</v>
      </c>
      <c r="B243" s="7" t="s">
        <v>1067</v>
      </c>
    </row>
    <row r="244" spans="1:2" hidden="1" x14ac:dyDescent="0.35">
      <c r="A244" t="s">
        <v>242</v>
      </c>
      <c r="B244" s="7" t="s">
        <v>1068</v>
      </c>
    </row>
    <row r="245" spans="1:2" hidden="1" x14ac:dyDescent="0.35">
      <c r="A245" t="s">
        <v>243</v>
      </c>
      <c r="B245" s="7" t="s">
        <v>1069</v>
      </c>
    </row>
    <row r="246" spans="1:2" hidden="1" x14ac:dyDescent="0.35">
      <c r="A246" t="s">
        <v>244</v>
      </c>
      <c r="B246" s="7" t="s">
        <v>1070</v>
      </c>
    </row>
    <row r="247" spans="1:2" hidden="1" x14ac:dyDescent="0.35">
      <c r="A247" t="s">
        <v>245</v>
      </c>
      <c r="B247" s="7" t="s">
        <v>1071</v>
      </c>
    </row>
    <row r="248" spans="1:2" hidden="1" x14ac:dyDescent="0.35">
      <c r="A248" t="s">
        <v>246</v>
      </c>
      <c r="B248" s="7" t="s">
        <v>1072</v>
      </c>
    </row>
    <row r="249" spans="1:2" hidden="1" x14ac:dyDescent="0.35">
      <c r="A249" t="s">
        <v>247</v>
      </c>
      <c r="B249" s="7" t="s">
        <v>1073</v>
      </c>
    </row>
    <row r="250" spans="1:2" hidden="1" x14ac:dyDescent="0.35">
      <c r="A250" t="s">
        <v>248</v>
      </c>
      <c r="B250" s="7" t="s">
        <v>1074</v>
      </c>
    </row>
    <row r="251" spans="1:2" hidden="1" x14ac:dyDescent="0.35">
      <c r="A251" t="s">
        <v>249</v>
      </c>
      <c r="B251" s="7" t="s">
        <v>1075</v>
      </c>
    </row>
    <row r="252" spans="1:2" hidden="1" x14ac:dyDescent="0.35">
      <c r="A252" t="s">
        <v>250</v>
      </c>
      <c r="B252" s="7" t="s">
        <v>1076</v>
      </c>
    </row>
    <row r="253" spans="1:2" hidden="1" x14ac:dyDescent="0.35">
      <c r="A253" t="s">
        <v>251</v>
      </c>
      <c r="B253" s="7" t="s">
        <v>1077</v>
      </c>
    </row>
    <row r="254" spans="1:2" hidden="1" x14ac:dyDescent="0.35">
      <c r="A254" t="s">
        <v>252</v>
      </c>
      <c r="B254" s="7" t="s">
        <v>1078</v>
      </c>
    </row>
    <row r="255" spans="1:2" hidden="1" x14ac:dyDescent="0.35">
      <c r="A255" t="s">
        <v>253</v>
      </c>
      <c r="B255" s="7" t="s">
        <v>1079</v>
      </c>
    </row>
    <row r="256" spans="1:2" hidden="1" x14ac:dyDescent="0.35">
      <c r="A256" t="s">
        <v>254</v>
      </c>
      <c r="B256" s="7" t="s">
        <v>1080</v>
      </c>
    </row>
    <row r="257" spans="1:2" hidden="1" x14ac:dyDescent="0.35">
      <c r="A257" t="s">
        <v>255</v>
      </c>
      <c r="B257" s="7" t="s">
        <v>1081</v>
      </c>
    </row>
    <row r="258" spans="1:2" hidden="1" x14ac:dyDescent="0.35">
      <c r="A258" t="s">
        <v>256</v>
      </c>
      <c r="B258" s="7" t="s">
        <v>1082</v>
      </c>
    </row>
    <row r="259" spans="1:2" hidden="1" x14ac:dyDescent="0.35">
      <c r="A259" t="s">
        <v>257</v>
      </c>
      <c r="B259" s="7" t="s">
        <v>1083</v>
      </c>
    </row>
    <row r="260" spans="1:2" hidden="1" x14ac:dyDescent="0.35">
      <c r="A260" t="s">
        <v>258</v>
      </c>
      <c r="B260" s="7" t="s">
        <v>1084</v>
      </c>
    </row>
    <row r="261" spans="1:2" hidden="1" x14ac:dyDescent="0.35">
      <c r="A261" t="s">
        <v>259</v>
      </c>
      <c r="B261" s="7" t="s">
        <v>1085</v>
      </c>
    </row>
    <row r="262" spans="1:2" hidden="1" x14ac:dyDescent="0.35">
      <c r="A262" t="s">
        <v>260</v>
      </c>
      <c r="B262" s="7" t="s">
        <v>1086</v>
      </c>
    </row>
    <row r="263" spans="1:2" hidden="1" x14ac:dyDescent="0.35">
      <c r="A263" t="s">
        <v>261</v>
      </c>
      <c r="B263" s="7" t="s">
        <v>1087</v>
      </c>
    </row>
    <row r="264" spans="1:2" hidden="1" x14ac:dyDescent="0.35">
      <c r="A264" t="s">
        <v>262</v>
      </c>
      <c r="B264" s="7" t="s">
        <v>1088</v>
      </c>
    </row>
    <row r="265" spans="1:2" hidden="1" x14ac:dyDescent="0.35">
      <c r="A265" t="s">
        <v>263</v>
      </c>
      <c r="B265" s="7" t="s">
        <v>1089</v>
      </c>
    </row>
    <row r="266" spans="1:2" hidden="1" x14ac:dyDescent="0.35">
      <c r="A266" t="s">
        <v>264</v>
      </c>
      <c r="B266" s="7" t="s">
        <v>1090</v>
      </c>
    </row>
    <row r="267" spans="1:2" hidden="1" x14ac:dyDescent="0.35">
      <c r="A267" t="s">
        <v>265</v>
      </c>
      <c r="B267" s="7" t="s">
        <v>1091</v>
      </c>
    </row>
    <row r="268" spans="1:2" hidden="1" x14ac:dyDescent="0.35">
      <c r="A268" t="s">
        <v>266</v>
      </c>
      <c r="B268" s="7" t="s">
        <v>1092</v>
      </c>
    </row>
    <row r="269" spans="1:2" hidden="1" x14ac:dyDescent="0.35">
      <c r="A269" t="s">
        <v>267</v>
      </c>
      <c r="B269" s="7" t="s">
        <v>1093</v>
      </c>
    </row>
    <row r="270" spans="1:2" hidden="1" x14ac:dyDescent="0.35">
      <c r="A270" t="s">
        <v>268</v>
      </c>
      <c r="B270" s="7" t="s">
        <v>1094</v>
      </c>
    </row>
    <row r="271" spans="1:2" hidden="1" x14ac:dyDescent="0.35">
      <c r="A271" t="s">
        <v>269</v>
      </c>
      <c r="B271" s="7" t="s">
        <v>1095</v>
      </c>
    </row>
    <row r="272" spans="1:2" hidden="1" x14ac:dyDescent="0.35">
      <c r="A272" t="s">
        <v>270</v>
      </c>
      <c r="B272" s="7" t="s">
        <v>1096</v>
      </c>
    </row>
    <row r="273" spans="1:9" hidden="1" x14ac:dyDescent="0.35">
      <c r="A273" t="s">
        <v>271</v>
      </c>
      <c r="B273" s="7" t="s">
        <v>1097</v>
      </c>
    </row>
    <row r="274" spans="1:9" hidden="1" x14ac:dyDescent="0.35">
      <c r="A274" t="s">
        <v>272</v>
      </c>
      <c r="B274" s="7" t="s">
        <v>1098</v>
      </c>
    </row>
    <row r="275" spans="1:9" hidden="1" x14ac:dyDescent="0.35">
      <c r="A275" t="s">
        <v>273</v>
      </c>
      <c r="B275" s="7" t="s">
        <v>1099</v>
      </c>
    </row>
    <row r="276" spans="1:9" hidden="1" x14ac:dyDescent="0.35">
      <c r="A276" t="s">
        <v>274</v>
      </c>
      <c r="B276" s="7" t="s">
        <v>1100</v>
      </c>
    </row>
    <row r="277" spans="1:9" hidden="1" x14ac:dyDescent="0.35">
      <c r="A277" t="s">
        <v>275</v>
      </c>
      <c r="B277" s="7" t="s">
        <v>1101</v>
      </c>
    </row>
    <row r="278" spans="1:9" hidden="1" x14ac:dyDescent="0.35">
      <c r="A278" t="s">
        <v>276</v>
      </c>
      <c r="B278" s="7" t="s">
        <v>1102</v>
      </c>
    </row>
    <row r="279" spans="1:9" hidden="1" x14ac:dyDescent="0.35">
      <c r="A279" t="s">
        <v>277</v>
      </c>
      <c r="B279" s="7" t="s">
        <v>1103</v>
      </c>
    </row>
    <row r="280" spans="1:9" hidden="1" x14ac:dyDescent="0.35">
      <c r="A280" t="s">
        <v>278</v>
      </c>
      <c r="B280" s="7" t="s">
        <v>1104</v>
      </c>
    </row>
    <row r="281" spans="1:9" hidden="1" x14ac:dyDescent="0.35">
      <c r="A281" t="s">
        <v>279</v>
      </c>
      <c r="B281" s="7" t="s">
        <v>1105</v>
      </c>
    </row>
    <row r="282" spans="1:9" hidden="1" x14ac:dyDescent="0.35">
      <c r="A282" t="s">
        <v>280</v>
      </c>
      <c r="B282" s="7" t="s">
        <v>1106</v>
      </c>
    </row>
    <row r="283" spans="1:9" hidden="1" x14ac:dyDescent="0.35">
      <c r="A283" t="s">
        <v>281</v>
      </c>
      <c r="B283" s="7" t="s">
        <v>1107</v>
      </c>
    </row>
    <row r="284" spans="1:9" hidden="1" x14ac:dyDescent="0.35">
      <c r="A284" t="s">
        <v>282</v>
      </c>
      <c r="B284" s="7" t="s">
        <v>1108</v>
      </c>
    </row>
    <row r="285" spans="1:9" hidden="1" x14ac:dyDescent="0.35">
      <c r="A285" t="s">
        <v>283</v>
      </c>
      <c r="B285" s="7" t="s">
        <v>1109</v>
      </c>
    </row>
    <row r="286" spans="1:9" hidden="1" x14ac:dyDescent="0.35">
      <c r="A286" s="2" t="s">
        <v>284</v>
      </c>
    </row>
    <row r="287" spans="1:9" hidden="1" x14ac:dyDescent="0.35">
      <c r="A287" t="s">
        <v>285</v>
      </c>
      <c r="B287" s="7" t="s">
        <v>1110</v>
      </c>
    </row>
    <row r="288" spans="1:9" x14ac:dyDescent="0.35">
      <c r="A288" t="s">
        <v>32</v>
      </c>
      <c r="B288" s="7" t="s">
        <v>861</v>
      </c>
      <c r="E288">
        <v>14</v>
      </c>
      <c r="F288" t="s">
        <v>3317</v>
      </c>
      <c r="G288" t="s">
        <v>3480</v>
      </c>
      <c r="H288" s="57">
        <v>44580</v>
      </c>
      <c r="I288" t="s">
        <v>1720</v>
      </c>
    </row>
    <row r="289" spans="1:9" x14ac:dyDescent="0.35">
      <c r="A289" t="s">
        <v>633</v>
      </c>
      <c r="B289" s="7" t="s">
        <v>1457</v>
      </c>
      <c r="E289">
        <v>15</v>
      </c>
      <c r="F289" t="s">
        <v>3317</v>
      </c>
      <c r="G289" t="s">
        <v>3480</v>
      </c>
      <c r="H289" s="57">
        <v>44580</v>
      </c>
      <c r="I289" t="s">
        <v>1720</v>
      </c>
    </row>
    <row r="290" spans="1:9" hidden="1" x14ac:dyDescent="0.35">
      <c r="A290" t="s">
        <v>288</v>
      </c>
      <c r="B290" s="7" t="s">
        <v>1113</v>
      </c>
    </row>
    <row r="291" spans="1:9" hidden="1" x14ac:dyDescent="0.35">
      <c r="A291" t="s">
        <v>289</v>
      </c>
      <c r="B291" s="7" t="s">
        <v>1114</v>
      </c>
    </row>
    <row r="292" spans="1:9" hidden="1" x14ac:dyDescent="0.35">
      <c r="A292" t="s">
        <v>290</v>
      </c>
      <c r="B292" s="7" t="s">
        <v>1115</v>
      </c>
    </row>
    <row r="293" spans="1:9" hidden="1" x14ac:dyDescent="0.35">
      <c r="A293" t="s">
        <v>291</v>
      </c>
      <c r="B293" s="7" t="s">
        <v>1116</v>
      </c>
    </row>
    <row r="294" spans="1:9" hidden="1" x14ac:dyDescent="0.35">
      <c r="A294" t="s">
        <v>292</v>
      </c>
      <c r="B294" s="7" t="s">
        <v>1117</v>
      </c>
    </row>
    <row r="295" spans="1:9" hidden="1" x14ac:dyDescent="0.35">
      <c r="A295" t="s">
        <v>293</v>
      </c>
      <c r="B295" s="7" t="s">
        <v>1118</v>
      </c>
    </row>
    <row r="296" spans="1:9" hidden="1" x14ac:dyDescent="0.35">
      <c r="A296" t="s">
        <v>294</v>
      </c>
      <c r="B296" s="7" t="s">
        <v>1119</v>
      </c>
    </row>
    <row r="297" spans="1:9" hidden="1" x14ac:dyDescent="0.35">
      <c r="A297" t="s">
        <v>295</v>
      </c>
      <c r="B297" s="7" t="s">
        <v>1120</v>
      </c>
    </row>
    <row r="298" spans="1:9" hidden="1" x14ac:dyDescent="0.35">
      <c r="A298" t="s">
        <v>296</v>
      </c>
      <c r="B298" s="7" t="s">
        <v>1121</v>
      </c>
    </row>
    <row r="299" spans="1:9" hidden="1" x14ac:dyDescent="0.35">
      <c r="A299" t="s">
        <v>297</v>
      </c>
      <c r="B299" s="7" t="s">
        <v>1122</v>
      </c>
    </row>
    <row r="300" spans="1:9" hidden="1" x14ac:dyDescent="0.35">
      <c r="A300" t="s">
        <v>298</v>
      </c>
      <c r="B300" s="7" t="s">
        <v>1123</v>
      </c>
    </row>
    <row r="301" spans="1:9" hidden="1" x14ac:dyDescent="0.35">
      <c r="A301" t="s">
        <v>299</v>
      </c>
      <c r="B301" s="7" t="s">
        <v>1124</v>
      </c>
    </row>
    <row r="302" spans="1:9" hidden="1" x14ac:dyDescent="0.35">
      <c r="A302" t="s">
        <v>300</v>
      </c>
      <c r="B302" s="7" t="s">
        <v>1125</v>
      </c>
    </row>
    <row r="303" spans="1:9" hidden="1" x14ac:dyDescent="0.35">
      <c r="A303" t="s">
        <v>301</v>
      </c>
      <c r="B303" s="7" t="s">
        <v>1126</v>
      </c>
    </row>
    <row r="304" spans="1:9" hidden="1" x14ac:dyDescent="0.35">
      <c r="A304" t="s">
        <v>302</v>
      </c>
      <c r="B304" s="7" t="s">
        <v>1127</v>
      </c>
    </row>
    <row r="305" spans="1:2" hidden="1" x14ac:dyDescent="0.35">
      <c r="A305" t="s">
        <v>303</v>
      </c>
      <c r="B305" s="7" t="s">
        <v>1128</v>
      </c>
    </row>
    <row r="306" spans="1:2" hidden="1" x14ac:dyDescent="0.35">
      <c r="A306" t="s">
        <v>304</v>
      </c>
      <c r="B306" s="7" t="s">
        <v>1129</v>
      </c>
    </row>
    <row r="307" spans="1:2" hidden="1" x14ac:dyDescent="0.35">
      <c r="A307" t="s">
        <v>305</v>
      </c>
      <c r="B307" s="7" t="s">
        <v>1130</v>
      </c>
    </row>
    <row r="308" spans="1:2" hidden="1" x14ac:dyDescent="0.35">
      <c r="A308" t="s">
        <v>306</v>
      </c>
      <c r="B308" s="7" t="s">
        <v>1131</v>
      </c>
    </row>
    <row r="309" spans="1:2" hidden="1" x14ac:dyDescent="0.35">
      <c r="A309" t="s">
        <v>307</v>
      </c>
      <c r="B309" s="7" t="s">
        <v>1132</v>
      </c>
    </row>
    <row r="310" spans="1:2" hidden="1" x14ac:dyDescent="0.35">
      <c r="A310" t="s">
        <v>308</v>
      </c>
      <c r="B310" s="7" t="s">
        <v>1133</v>
      </c>
    </row>
    <row r="311" spans="1:2" hidden="1" x14ac:dyDescent="0.35">
      <c r="A311" t="s">
        <v>309</v>
      </c>
      <c r="B311" s="7" t="s">
        <v>1134</v>
      </c>
    </row>
    <row r="312" spans="1:2" hidden="1" x14ac:dyDescent="0.35">
      <c r="A312" t="s">
        <v>310</v>
      </c>
      <c r="B312" s="7" t="s">
        <v>1135</v>
      </c>
    </row>
    <row r="313" spans="1:2" hidden="1" x14ac:dyDescent="0.35">
      <c r="A313" t="s">
        <v>311</v>
      </c>
      <c r="B313" s="7" t="s">
        <v>1136</v>
      </c>
    </row>
    <row r="314" spans="1:2" hidden="1" x14ac:dyDescent="0.35">
      <c r="A314" t="s">
        <v>312</v>
      </c>
      <c r="B314" s="7" t="s">
        <v>1137</v>
      </c>
    </row>
    <row r="315" spans="1:2" hidden="1" x14ac:dyDescent="0.35">
      <c r="A315" t="s">
        <v>313</v>
      </c>
      <c r="B315" s="7" t="s">
        <v>1138</v>
      </c>
    </row>
    <row r="316" spans="1:2" hidden="1" x14ac:dyDescent="0.35">
      <c r="A316" t="s">
        <v>314</v>
      </c>
      <c r="B316" s="7" t="s">
        <v>1139</v>
      </c>
    </row>
    <row r="317" spans="1:2" hidden="1" x14ac:dyDescent="0.35">
      <c r="A317" t="s">
        <v>315</v>
      </c>
      <c r="B317" s="7" t="s">
        <v>1140</v>
      </c>
    </row>
    <row r="318" spans="1:2" hidden="1" x14ac:dyDescent="0.35">
      <c r="A318" t="s">
        <v>316</v>
      </c>
      <c r="B318" s="7" t="s">
        <v>1141</v>
      </c>
    </row>
    <row r="319" spans="1:2" hidden="1" x14ac:dyDescent="0.35">
      <c r="A319" t="s">
        <v>317</v>
      </c>
      <c r="B319" s="7" t="s">
        <v>1142</v>
      </c>
    </row>
    <row r="320" spans="1:2" hidden="1" x14ac:dyDescent="0.35">
      <c r="A320" t="s">
        <v>318</v>
      </c>
      <c r="B320" s="7" t="s">
        <v>1143</v>
      </c>
    </row>
    <row r="321" spans="1:2" hidden="1" x14ac:dyDescent="0.35">
      <c r="A321" t="s">
        <v>319</v>
      </c>
      <c r="B321" s="7" t="s">
        <v>1144</v>
      </c>
    </row>
    <row r="322" spans="1:2" hidden="1" x14ac:dyDescent="0.35">
      <c r="A322" t="s">
        <v>320</v>
      </c>
      <c r="B322" s="7" t="s">
        <v>1145</v>
      </c>
    </row>
    <row r="323" spans="1:2" hidden="1" x14ac:dyDescent="0.35">
      <c r="A323" t="s">
        <v>321</v>
      </c>
      <c r="B323" s="7" t="s">
        <v>1146</v>
      </c>
    </row>
    <row r="324" spans="1:2" hidden="1" x14ac:dyDescent="0.35">
      <c r="A324" t="s">
        <v>322</v>
      </c>
      <c r="B324" s="7" t="s">
        <v>1147</v>
      </c>
    </row>
    <row r="325" spans="1:2" hidden="1" x14ac:dyDescent="0.35">
      <c r="A325" t="s">
        <v>323</v>
      </c>
      <c r="B325" s="7" t="s">
        <v>1148</v>
      </c>
    </row>
    <row r="326" spans="1:2" hidden="1" x14ac:dyDescent="0.35">
      <c r="A326" t="s">
        <v>324</v>
      </c>
      <c r="B326" s="7" t="s">
        <v>1149</v>
      </c>
    </row>
    <row r="327" spans="1:2" hidden="1" x14ac:dyDescent="0.35">
      <c r="A327" t="s">
        <v>325</v>
      </c>
      <c r="B327" s="7" t="s">
        <v>1150</v>
      </c>
    </row>
    <row r="328" spans="1:2" hidden="1" x14ac:dyDescent="0.35">
      <c r="A328" t="s">
        <v>326</v>
      </c>
      <c r="B328" s="7" t="s">
        <v>1151</v>
      </c>
    </row>
    <row r="329" spans="1:2" hidden="1" x14ac:dyDescent="0.35">
      <c r="A329" t="s">
        <v>327</v>
      </c>
      <c r="B329" s="7" t="s">
        <v>1152</v>
      </c>
    </row>
    <row r="330" spans="1:2" hidden="1" x14ac:dyDescent="0.35">
      <c r="A330" t="s">
        <v>328</v>
      </c>
      <c r="B330" s="7" t="s">
        <v>1153</v>
      </c>
    </row>
    <row r="331" spans="1:2" hidden="1" x14ac:dyDescent="0.35">
      <c r="A331" t="s">
        <v>329</v>
      </c>
      <c r="B331" s="7" t="s">
        <v>1154</v>
      </c>
    </row>
    <row r="332" spans="1:2" hidden="1" x14ac:dyDescent="0.35">
      <c r="A332" t="s">
        <v>330</v>
      </c>
      <c r="B332" s="7" t="s">
        <v>1155</v>
      </c>
    </row>
    <row r="333" spans="1:2" hidden="1" x14ac:dyDescent="0.35">
      <c r="A333" t="s">
        <v>331</v>
      </c>
      <c r="B333" s="7" t="s">
        <v>1156</v>
      </c>
    </row>
    <row r="334" spans="1:2" hidden="1" x14ac:dyDescent="0.35">
      <c r="A334" t="s">
        <v>332</v>
      </c>
      <c r="B334" s="7" t="s">
        <v>1157</v>
      </c>
    </row>
    <row r="335" spans="1:2" hidden="1" x14ac:dyDescent="0.35">
      <c r="A335" t="s">
        <v>333</v>
      </c>
      <c r="B335" s="7" t="s">
        <v>1158</v>
      </c>
    </row>
    <row r="336" spans="1:2" hidden="1" x14ac:dyDescent="0.35">
      <c r="A336" t="s">
        <v>334</v>
      </c>
      <c r="B336" s="7" t="s">
        <v>1159</v>
      </c>
    </row>
    <row r="337" spans="1:9" hidden="1" x14ac:dyDescent="0.35">
      <c r="A337" t="s">
        <v>335</v>
      </c>
      <c r="B337" s="7" t="s">
        <v>1160</v>
      </c>
    </row>
    <row r="338" spans="1:9" hidden="1" x14ac:dyDescent="0.35">
      <c r="A338" t="s">
        <v>336</v>
      </c>
      <c r="B338" s="7" t="s">
        <v>1161</v>
      </c>
    </row>
    <row r="339" spans="1:9" hidden="1" x14ac:dyDescent="0.35">
      <c r="A339" t="s">
        <v>337</v>
      </c>
      <c r="B339" s="7" t="s">
        <v>1161</v>
      </c>
    </row>
    <row r="340" spans="1:9" hidden="1" x14ac:dyDescent="0.35">
      <c r="A340" t="s">
        <v>338</v>
      </c>
      <c r="B340" s="7" t="s">
        <v>1162</v>
      </c>
    </row>
    <row r="341" spans="1:9" hidden="1" x14ac:dyDescent="0.35">
      <c r="A341" t="s">
        <v>339</v>
      </c>
      <c r="B341" s="7" t="s">
        <v>1163</v>
      </c>
    </row>
    <row r="342" spans="1:9" hidden="1" x14ac:dyDescent="0.35">
      <c r="A342" t="s">
        <v>340</v>
      </c>
      <c r="B342" s="7" t="s">
        <v>1164</v>
      </c>
    </row>
    <row r="343" spans="1:9" hidden="1" x14ac:dyDescent="0.35">
      <c r="A343" t="s">
        <v>341</v>
      </c>
      <c r="B343" s="7" t="s">
        <v>1165</v>
      </c>
    </row>
    <row r="344" spans="1:9" hidden="1" x14ac:dyDescent="0.35">
      <c r="A344" t="s">
        <v>342</v>
      </c>
      <c r="B344" s="7" t="s">
        <v>1166</v>
      </c>
    </row>
    <row r="345" spans="1:9" hidden="1" x14ac:dyDescent="0.35">
      <c r="A345" t="s">
        <v>343</v>
      </c>
      <c r="B345" s="7" t="s">
        <v>1167</v>
      </c>
    </row>
    <row r="346" spans="1:9" hidden="1" x14ac:dyDescent="0.35">
      <c r="A346" t="s">
        <v>344</v>
      </c>
      <c r="B346" s="7" t="s">
        <v>1168</v>
      </c>
    </row>
    <row r="347" spans="1:9" hidden="1" x14ac:dyDescent="0.35">
      <c r="A347" t="s">
        <v>345</v>
      </c>
      <c r="B347" s="7" t="s">
        <v>1169</v>
      </c>
    </row>
    <row r="348" spans="1:9" hidden="1" x14ac:dyDescent="0.35">
      <c r="A348" t="s">
        <v>346</v>
      </c>
      <c r="B348" s="7" t="s">
        <v>1170</v>
      </c>
    </row>
    <row r="349" spans="1:9" hidden="1" x14ac:dyDescent="0.35">
      <c r="A349" t="s">
        <v>347</v>
      </c>
      <c r="B349" s="7" t="s">
        <v>1171</v>
      </c>
    </row>
    <row r="350" spans="1:9" hidden="1" x14ac:dyDescent="0.35">
      <c r="A350" t="s">
        <v>348</v>
      </c>
      <c r="B350" s="7" t="s">
        <v>1172</v>
      </c>
    </row>
    <row r="351" spans="1:9" x14ac:dyDescent="0.35">
      <c r="A351" t="s">
        <v>47</v>
      </c>
      <c r="B351" s="7" t="s">
        <v>876</v>
      </c>
      <c r="C351">
        <v>13</v>
      </c>
      <c r="D351" t="s">
        <v>3314</v>
      </c>
      <c r="G351" t="s">
        <v>3480</v>
      </c>
      <c r="H351" s="57">
        <v>44580</v>
      </c>
      <c r="I351" t="s">
        <v>1720</v>
      </c>
    </row>
    <row r="352" spans="1:9" x14ac:dyDescent="0.35">
      <c r="A352" s="4" t="s">
        <v>826</v>
      </c>
      <c r="B352" s="7" t="s">
        <v>1648</v>
      </c>
      <c r="E352">
        <v>20</v>
      </c>
      <c r="F352" t="s">
        <v>3320</v>
      </c>
      <c r="G352" t="s">
        <v>3480</v>
      </c>
      <c r="H352" s="57">
        <v>44580</v>
      </c>
      <c r="I352" t="s">
        <v>1720</v>
      </c>
    </row>
    <row r="353" spans="1:2" hidden="1" x14ac:dyDescent="0.35">
      <c r="A353" t="s">
        <v>351</v>
      </c>
      <c r="B353" s="7" t="s">
        <v>1175</v>
      </c>
    </row>
    <row r="354" spans="1:2" hidden="1" x14ac:dyDescent="0.35">
      <c r="A354" t="s">
        <v>352</v>
      </c>
      <c r="B354" s="7" t="s">
        <v>1176</v>
      </c>
    </row>
    <row r="355" spans="1:2" hidden="1" x14ac:dyDescent="0.35">
      <c r="A355" t="s">
        <v>353</v>
      </c>
      <c r="B355" s="7" t="s">
        <v>1177</v>
      </c>
    </row>
    <row r="356" spans="1:2" hidden="1" x14ac:dyDescent="0.35">
      <c r="A356" t="s">
        <v>354</v>
      </c>
      <c r="B356" s="7" t="s">
        <v>1178</v>
      </c>
    </row>
    <row r="357" spans="1:2" hidden="1" x14ac:dyDescent="0.35">
      <c r="A357" t="s">
        <v>355</v>
      </c>
      <c r="B357" s="7" t="s">
        <v>1179</v>
      </c>
    </row>
    <row r="358" spans="1:2" hidden="1" x14ac:dyDescent="0.35">
      <c r="A358" t="s">
        <v>356</v>
      </c>
      <c r="B358" s="7" t="s">
        <v>1180</v>
      </c>
    </row>
    <row r="359" spans="1:2" hidden="1" x14ac:dyDescent="0.35">
      <c r="A359" t="s">
        <v>357</v>
      </c>
      <c r="B359" s="7" t="s">
        <v>1181</v>
      </c>
    </row>
    <row r="360" spans="1:2" hidden="1" x14ac:dyDescent="0.35">
      <c r="A360" t="s">
        <v>358</v>
      </c>
      <c r="B360" s="7" t="s">
        <v>1182</v>
      </c>
    </row>
    <row r="361" spans="1:2" hidden="1" x14ac:dyDescent="0.35">
      <c r="A361" t="s">
        <v>359</v>
      </c>
      <c r="B361" s="7" t="s">
        <v>1183</v>
      </c>
    </row>
    <row r="362" spans="1:2" hidden="1" x14ac:dyDescent="0.35">
      <c r="A362" t="s">
        <v>360</v>
      </c>
      <c r="B362" s="7" t="s">
        <v>1184</v>
      </c>
    </row>
    <row r="363" spans="1:2" hidden="1" x14ac:dyDescent="0.35">
      <c r="A363" t="s">
        <v>361</v>
      </c>
      <c r="B363" s="7" t="s">
        <v>1185</v>
      </c>
    </row>
    <row r="364" spans="1:2" hidden="1" x14ac:dyDescent="0.35">
      <c r="A364" t="s">
        <v>362</v>
      </c>
      <c r="B364" s="7" t="s">
        <v>1186</v>
      </c>
    </row>
    <row r="365" spans="1:2" hidden="1" x14ac:dyDescent="0.35">
      <c r="A365" t="s">
        <v>363</v>
      </c>
      <c r="B365" s="7" t="s">
        <v>1187</v>
      </c>
    </row>
    <row r="366" spans="1:2" hidden="1" x14ac:dyDescent="0.35">
      <c r="A366" t="s">
        <v>364</v>
      </c>
      <c r="B366" s="7" t="s">
        <v>1188</v>
      </c>
    </row>
    <row r="367" spans="1:2" hidden="1" x14ac:dyDescent="0.35">
      <c r="A367" t="s">
        <v>365</v>
      </c>
      <c r="B367" s="7" t="s">
        <v>1189</v>
      </c>
    </row>
    <row r="368" spans="1:2" hidden="1" x14ac:dyDescent="0.35">
      <c r="A368" t="s">
        <v>366</v>
      </c>
      <c r="B368" s="7" t="s">
        <v>1190</v>
      </c>
    </row>
    <row r="369" spans="1:2" hidden="1" x14ac:dyDescent="0.35">
      <c r="A369" t="s">
        <v>367</v>
      </c>
      <c r="B369" s="7" t="s">
        <v>1191</v>
      </c>
    </row>
    <row r="370" spans="1:2" hidden="1" x14ac:dyDescent="0.35">
      <c r="A370" t="s">
        <v>368</v>
      </c>
      <c r="B370" s="7" t="s">
        <v>1192</v>
      </c>
    </row>
    <row r="371" spans="1:2" hidden="1" x14ac:dyDescent="0.35">
      <c r="A371" t="s">
        <v>369</v>
      </c>
      <c r="B371" s="7" t="s">
        <v>1193</v>
      </c>
    </row>
    <row r="372" spans="1:2" hidden="1" x14ac:dyDescent="0.35">
      <c r="A372" t="s">
        <v>370</v>
      </c>
      <c r="B372" s="7" t="s">
        <v>1194</v>
      </c>
    </row>
    <row r="373" spans="1:2" hidden="1" x14ac:dyDescent="0.35">
      <c r="A373" t="s">
        <v>371</v>
      </c>
      <c r="B373" s="7" t="s">
        <v>1195</v>
      </c>
    </row>
    <row r="374" spans="1:2" hidden="1" x14ac:dyDescent="0.35">
      <c r="A374" t="s">
        <v>372</v>
      </c>
      <c r="B374" s="7" t="s">
        <v>1196</v>
      </c>
    </row>
    <row r="375" spans="1:2" hidden="1" x14ac:dyDescent="0.35">
      <c r="A375" t="s">
        <v>373</v>
      </c>
      <c r="B375" s="7" t="s">
        <v>1197</v>
      </c>
    </row>
    <row r="376" spans="1:2" hidden="1" x14ac:dyDescent="0.35">
      <c r="A376" t="s">
        <v>374</v>
      </c>
      <c r="B376" s="7" t="s">
        <v>1198</v>
      </c>
    </row>
    <row r="377" spans="1:2" hidden="1" x14ac:dyDescent="0.35">
      <c r="A377" t="s">
        <v>375</v>
      </c>
      <c r="B377" s="7" t="s">
        <v>1199</v>
      </c>
    </row>
    <row r="378" spans="1:2" hidden="1" x14ac:dyDescent="0.35">
      <c r="A378" t="s">
        <v>376</v>
      </c>
      <c r="B378" s="7" t="s">
        <v>1200</v>
      </c>
    </row>
    <row r="379" spans="1:2" hidden="1" x14ac:dyDescent="0.35">
      <c r="A379" t="s">
        <v>377</v>
      </c>
      <c r="B379" s="7" t="s">
        <v>1201</v>
      </c>
    </row>
    <row r="380" spans="1:2" hidden="1" x14ac:dyDescent="0.35">
      <c r="A380" t="s">
        <v>378</v>
      </c>
      <c r="B380" s="7" t="s">
        <v>1202</v>
      </c>
    </row>
    <row r="381" spans="1:2" hidden="1" x14ac:dyDescent="0.35">
      <c r="A381" t="s">
        <v>379</v>
      </c>
      <c r="B381" s="7" t="s">
        <v>1203</v>
      </c>
    </row>
    <row r="382" spans="1:2" hidden="1" x14ac:dyDescent="0.35">
      <c r="A382" t="s">
        <v>380</v>
      </c>
      <c r="B382" s="7" t="s">
        <v>1204</v>
      </c>
    </row>
    <row r="383" spans="1:2" hidden="1" x14ac:dyDescent="0.35">
      <c r="A383" t="s">
        <v>381</v>
      </c>
      <c r="B383" s="7" t="s">
        <v>1205</v>
      </c>
    </row>
    <row r="384" spans="1:2" hidden="1" x14ac:dyDescent="0.35">
      <c r="A384" t="s">
        <v>382</v>
      </c>
      <c r="B384" s="7" t="s">
        <v>1206</v>
      </c>
    </row>
    <row r="385" spans="1:2" hidden="1" x14ac:dyDescent="0.35">
      <c r="A385" t="s">
        <v>383</v>
      </c>
      <c r="B385" s="7" t="s">
        <v>1207</v>
      </c>
    </row>
    <row r="386" spans="1:2" hidden="1" x14ac:dyDescent="0.35">
      <c r="A386" t="s">
        <v>384</v>
      </c>
      <c r="B386" s="7" t="s">
        <v>1208</v>
      </c>
    </row>
    <row r="387" spans="1:2" hidden="1" x14ac:dyDescent="0.35">
      <c r="A387" t="s">
        <v>385</v>
      </c>
      <c r="B387" s="7" t="s">
        <v>1209</v>
      </c>
    </row>
    <row r="388" spans="1:2" hidden="1" x14ac:dyDescent="0.35">
      <c r="A388" t="s">
        <v>386</v>
      </c>
      <c r="B388" s="7" t="s">
        <v>1210</v>
      </c>
    </row>
    <row r="389" spans="1:2" hidden="1" x14ac:dyDescent="0.35">
      <c r="A389" t="s">
        <v>387</v>
      </c>
      <c r="B389" s="7" t="s">
        <v>1211</v>
      </c>
    </row>
    <row r="390" spans="1:2" hidden="1" x14ac:dyDescent="0.35">
      <c r="A390" t="s">
        <v>388</v>
      </c>
      <c r="B390" s="7" t="s">
        <v>1212</v>
      </c>
    </row>
    <row r="391" spans="1:2" hidden="1" x14ac:dyDescent="0.35">
      <c r="A391" t="s">
        <v>389</v>
      </c>
      <c r="B391" s="7" t="s">
        <v>1213</v>
      </c>
    </row>
    <row r="392" spans="1:2" hidden="1" x14ac:dyDescent="0.35">
      <c r="A392" t="s">
        <v>390</v>
      </c>
      <c r="B392" s="7" t="s">
        <v>1214</v>
      </c>
    </row>
    <row r="393" spans="1:2" hidden="1" x14ac:dyDescent="0.35">
      <c r="A393" t="s">
        <v>391</v>
      </c>
      <c r="B393" s="7" t="s">
        <v>1215</v>
      </c>
    </row>
    <row r="394" spans="1:2" hidden="1" x14ac:dyDescent="0.35">
      <c r="A394" t="s">
        <v>392</v>
      </c>
      <c r="B394" s="7" t="s">
        <v>1216</v>
      </c>
    </row>
    <row r="395" spans="1:2" hidden="1" x14ac:dyDescent="0.35">
      <c r="A395" t="s">
        <v>393</v>
      </c>
      <c r="B395" s="7" t="s">
        <v>1217</v>
      </c>
    </row>
    <row r="396" spans="1:2" hidden="1" x14ac:dyDescent="0.35">
      <c r="A396" t="s">
        <v>394</v>
      </c>
      <c r="B396" s="7" t="s">
        <v>1218</v>
      </c>
    </row>
    <row r="397" spans="1:2" hidden="1" x14ac:dyDescent="0.35">
      <c r="A397" t="s">
        <v>395</v>
      </c>
      <c r="B397" s="7" t="s">
        <v>1219</v>
      </c>
    </row>
    <row r="398" spans="1:2" hidden="1" x14ac:dyDescent="0.35">
      <c r="A398" t="s">
        <v>396</v>
      </c>
      <c r="B398" s="7" t="s">
        <v>1220</v>
      </c>
    </row>
    <row r="399" spans="1:2" hidden="1" x14ac:dyDescent="0.35">
      <c r="A399" t="s">
        <v>397</v>
      </c>
      <c r="B399" s="7" t="s">
        <v>1221</v>
      </c>
    </row>
    <row r="400" spans="1:2" hidden="1" x14ac:dyDescent="0.35">
      <c r="A400" t="s">
        <v>398</v>
      </c>
      <c r="B400" s="7" t="s">
        <v>1222</v>
      </c>
    </row>
    <row r="401" spans="1:2" hidden="1" x14ac:dyDescent="0.35">
      <c r="A401" t="s">
        <v>399</v>
      </c>
      <c r="B401" s="7" t="s">
        <v>1223</v>
      </c>
    </row>
    <row r="402" spans="1:2" hidden="1" x14ac:dyDescent="0.35">
      <c r="A402" t="s">
        <v>400</v>
      </c>
      <c r="B402" s="7" t="s">
        <v>1224</v>
      </c>
    </row>
    <row r="403" spans="1:2" hidden="1" x14ac:dyDescent="0.35">
      <c r="A403" t="s">
        <v>401</v>
      </c>
      <c r="B403" s="7" t="s">
        <v>1225</v>
      </c>
    </row>
    <row r="404" spans="1:2" hidden="1" x14ac:dyDescent="0.35">
      <c r="A404" t="s">
        <v>402</v>
      </c>
      <c r="B404" s="7" t="s">
        <v>1226</v>
      </c>
    </row>
    <row r="405" spans="1:2" hidden="1" x14ac:dyDescent="0.35">
      <c r="A405" t="s">
        <v>403</v>
      </c>
      <c r="B405" s="7" t="s">
        <v>1227</v>
      </c>
    </row>
    <row r="406" spans="1:2" hidden="1" x14ac:dyDescent="0.35">
      <c r="A406" t="s">
        <v>404</v>
      </c>
      <c r="B406" s="7" t="s">
        <v>1228</v>
      </c>
    </row>
    <row r="407" spans="1:2" hidden="1" x14ac:dyDescent="0.35">
      <c r="A407" t="s">
        <v>405</v>
      </c>
      <c r="B407" s="7" t="s">
        <v>1229</v>
      </c>
    </row>
    <row r="408" spans="1:2" hidden="1" x14ac:dyDescent="0.35">
      <c r="A408" t="s">
        <v>406</v>
      </c>
      <c r="B408" s="7" t="s">
        <v>1230</v>
      </c>
    </row>
    <row r="409" spans="1:2" hidden="1" x14ac:dyDescent="0.35">
      <c r="A409" t="s">
        <v>407</v>
      </c>
      <c r="B409" s="7" t="s">
        <v>1231</v>
      </c>
    </row>
    <row r="410" spans="1:2" hidden="1" x14ac:dyDescent="0.35">
      <c r="A410" s="3" t="s">
        <v>408</v>
      </c>
      <c r="B410" s="7" t="s">
        <v>1232</v>
      </c>
    </row>
    <row r="411" spans="1:2" hidden="1" x14ac:dyDescent="0.35">
      <c r="A411" t="s">
        <v>409</v>
      </c>
      <c r="B411" s="7" t="s">
        <v>1233</v>
      </c>
    </row>
    <row r="412" spans="1:2" hidden="1" x14ac:dyDescent="0.35">
      <c r="A412" t="s">
        <v>410</v>
      </c>
      <c r="B412" s="7" t="s">
        <v>1234</v>
      </c>
    </row>
    <row r="413" spans="1:2" hidden="1" x14ac:dyDescent="0.35">
      <c r="A413" t="s">
        <v>411</v>
      </c>
      <c r="B413" s="7" t="s">
        <v>1235</v>
      </c>
    </row>
    <row r="414" spans="1:2" hidden="1" x14ac:dyDescent="0.35">
      <c r="A414" t="s">
        <v>412</v>
      </c>
      <c r="B414" s="7" t="s">
        <v>1236</v>
      </c>
    </row>
    <row r="415" spans="1:2" hidden="1" x14ac:dyDescent="0.35">
      <c r="A415" t="s">
        <v>413</v>
      </c>
      <c r="B415" s="7" t="s">
        <v>1237</v>
      </c>
    </row>
    <row r="416" spans="1:2" hidden="1" x14ac:dyDescent="0.35">
      <c r="A416" t="s">
        <v>414</v>
      </c>
      <c r="B416" s="7" t="s">
        <v>1238</v>
      </c>
    </row>
    <row r="417" spans="1:2" hidden="1" x14ac:dyDescent="0.35">
      <c r="A417" t="s">
        <v>415</v>
      </c>
      <c r="B417" s="7" t="s">
        <v>1239</v>
      </c>
    </row>
    <row r="418" spans="1:2" hidden="1" x14ac:dyDescent="0.35">
      <c r="A418" t="s">
        <v>416</v>
      </c>
      <c r="B418" s="7" t="s">
        <v>1240</v>
      </c>
    </row>
    <row r="419" spans="1:2" hidden="1" x14ac:dyDescent="0.35">
      <c r="A419" t="s">
        <v>417</v>
      </c>
      <c r="B419" s="7" t="s">
        <v>1241</v>
      </c>
    </row>
    <row r="420" spans="1:2" hidden="1" x14ac:dyDescent="0.35">
      <c r="A420" t="s">
        <v>418</v>
      </c>
      <c r="B420" s="7" t="s">
        <v>1242</v>
      </c>
    </row>
    <row r="421" spans="1:2" hidden="1" x14ac:dyDescent="0.35">
      <c r="A421" t="s">
        <v>419</v>
      </c>
      <c r="B421" s="7" t="s">
        <v>1243</v>
      </c>
    </row>
    <row r="422" spans="1:2" hidden="1" x14ac:dyDescent="0.35">
      <c r="A422" t="s">
        <v>420</v>
      </c>
      <c r="B422" s="7" t="s">
        <v>1244</v>
      </c>
    </row>
    <row r="423" spans="1:2" hidden="1" x14ac:dyDescent="0.35">
      <c r="A423" t="s">
        <v>421</v>
      </c>
      <c r="B423" s="7" t="s">
        <v>1245</v>
      </c>
    </row>
    <row r="424" spans="1:2" hidden="1" x14ac:dyDescent="0.35">
      <c r="A424" t="s">
        <v>422</v>
      </c>
      <c r="B424" s="7" t="s">
        <v>1246</v>
      </c>
    </row>
    <row r="425" spans="1:2" hidden="1" x14ac:dyDescent="0.35">
      <c r="A425" t="s">
        <v>423</v>
      </c>
      <c r="B425" s="7" t="s">
        <v>1247</v>
      </c>
    </row>
    <row r="426" spans="1:2" hidden="1" x14ac:dyDescent="0.35">
      <c r="A426" t="s">
        <v>424</v>
      </c>
      <c r="B426" s="7" t="s">
        <v>1248</v>
      </c>
    </row>
    <row r="427" spans="1:2" hidden="1" x14ac:dyDescent="0.35">
      <c r="A427" t="s">
        <v>425</v>
      </c>
      <c r="B427" s="7" t="s">
        <v>1249</v>
      </c>
    </row>
    <row r="428" spans="1:2" hidden="1" x14ac:dyDescent="0.35">
      <c r="A428" t="s">
        <v>426</v>
      </c>
      <c r="B428" s="7" t="s">
        <v>1250</v>
      </c>
    </row>
    <row r="429" spans="1:2" hidden="1" x14ac:dyDescent="0.35">
      <c r="A429" t="s">
        <v>427</v>
      </c>
      <c r="B429" s="7" t="s">
        <v>1251</v>
      </c>
    </row>
    <row r="430" spans="1:2" hidden="1" x14ac:dyDescent="0.35">
      <c r="A430" t="s">
        <v>428</v>
      </c>
      <c r="B430" s="7" t="s">
        <v>1252</v>
      </c>
    </row>
    <row r="431" spans="1:2" hidden="1" x14ac:dyDescent="0.35">
      <c r="A431" t="s">
        <v>429</v>
      </c>
      <c r="B431" s="7" t="s">
        <v>1253</v>
      </c>
    </row>
    <row r="432" spans="1:2" hidden="1" x14ac:dyDescent="0.35">
      <c r="A432" t="s">
        <v>430</v>
      </c>
      <c r="B432" s="7" t="s">
        <v>1254</v>
      </c>
    </row>
    <row r="433" spans="1:2" hidden="1" x14ac:dyDescent="0.35">
      <c r="A433" t="s">
        <v>431</v>
      </c>
      <c r="B433" s="7" t="s">
        <v>1255</v>
      </c>
    </row>
    <row r="434" spans="1:2" hidden="1" x14ac:dyDescent="0.35">
      <c r="A434" t="s">
        <v>432</v>
      </c>
      <c r="B434" s="7" t="s">
        <v>1256</v>
      </c>
    </row>
    <row r="435" spans="1:2" hidden="1" x14ac:dyDescent="0.35">
      <c r="A435" t="s">
        <v>433</v>
      </c>
      <c r="B435" s="7" t="s">
        <v>1257</v>
      </c>
    </row>
    <row r="436" spans="1:2" hidden="1" x14ac:dyDescent="0.35">
      <c r="A436" t="s">
        <v>434</v>
      </c>
      <c r="B436" s="7" t="s">
        <v>1258</v>
      </c>
    </row>
    <row r="437" spans="1:2" hidden="1" x14ac:dyDescent="0.35">
      <c r="A437" t="s">
        <v>435</v>
      </c>
      <c r="B437" s="7" t="s">
        <v>1259</v>
      </c>
    </row>
    <row r="438" spans="1:2" hidden="1" x14ac:dyDescent="0.35">
      <c r="A438" t="s">
        <v>436</v>
      </c>
      <c r="B438" s="7" t="s">
        <v>1260</v>
      </c>
    </row>
    <row r="439" spans="1:2" hidden="1" x14ac:dyDescent="0.35">
      <c r="A439" t="s">
        <v>437</v>
      </c>
      <c r="B439" s="7" t="s">
        <v>1261</v>
      </c>
    </row>
    <row r="440" spans="1:2" hidden="1" x14ac:dyDescent="0.35">
      <c r="A440" t="s">
        <v>438</v>
      </c>
      <c r="B440" s="7" t="s">
        <v>1262</v>
      </c>
    </row>
    <row r="441" spans="1:2" hidden="1" x14ac:dyDescent="0.35">
      <c r="A441" t="s">
        <v>439</v>
      </c>
      <c r="B441" s="7" t="s">
        <v>1263</v>
      </c>
    </row>
    <row r="442" spans="1:2" hidden="1" x14ac:dyDescent="0.35">
      <c r="A442" t="s">
        <v>440</v>
      </c>
      <c r="B442" s="7" t="s">
        <v>1264</v>
      </c>
    </row>
    <row r="443" spans="1:2" hidden="1" x14ac:dyDescent="0.35">
      <c r="A443" t="s">
        <v>441</v>
      </c>
      <c r="B443" s="7" t="s">
        <v>1265</v>
      </c>
    </row>
    <row r="444" spans="1:2" hidden="1" x14ac:dyDescent="0.35">
      <c r="A444" t="s">
        <v>442</v>
      </c>
      <c r="B444" s="7" t="s">
        <v>1266</v>
      </c>
    </row>
    <row r="445" spans="1:2" hidden="1" x14ac:dyDescent="0.35">
      <c r="A445" t="s">
        <v>443</v>
      </c>
      <c r="B445" s="7" t="s">
        <v>1267</v>
      </c>
    </row>
    <row r="446" spans="1:2" hidden="1" x14ac:dyDescent="0.35">
      <c r="A446" t="s">
        <v>444</v>
      </c>
      <c r="B446" s="7" t="s">
        <v>1268</v>
      </c>
    </row>
    <row r="447" spans="1:2" hidden="1" x14ac:dyDescent="0.35">
      <c r="A447" t="s">
        <v>445</v>
      </c>
      <c r="B447" s="7" t="s">
        <v>1269</v>
      </c>
    </row>
    <row r="448" spans="1:2" hidden="1" x14ac:dyDescent="0.35">
      <c r="A448" t="s">
        <v>446</v>
      </c>
      <c r="B448" s="7" t="s">
        <v>1270</v>
      </c>
    </row>
    <row r="449" spans="1:9" hidden="1" x14ac:dyDescent="0.35">
      <c r="A449" t="s">
        <v>447</v>
      </c>
      <c r="B449" s="7" t="s">
        <v>1271</v>
      </c>
    </row>
    <row r="450" spans="1:9" hidden="1" x14ac:dyDescent="0.35">
      <c r="A450" t="s">
        <v>448</v>
      </c>
      <c r="B450" s="7" t="s">
        <v>1272</v>
      </c>
    </row>
    <row r="451" spans="1:9" hidden="1" x14ac:dyDescent="0.35">
      <c r="A451" t="s">
        <v>449</v>
      </c>
      <c r="B451" s="7" t="s">
        <v>1273</v>
      </c>
    </row>
    <row r="452" spans="1:9" x14ac:dyDescent="0.35">
      <c r="A452" t="s">
        <v>75</v>
      </c>
      <c r="B452" s="7" t="s">
        <v>904</v>
      </c>
      <c r="C452">
        <v>23</v>
      </c>
      <c r="D452" t="s">
        <v>3313</v>
      </c>
      <c r="G452" t="s">
        <v>3480</v>
      </c>
      <c r="H452" s="57">
        <v>44580</v>
      </c>
      <c r="I452" t="s">
        <v>1720</v>
      </c>
    </row>
    <row r="453" spans="1:9" hidden="1" x14ac:dyDescent="0.35">
      <c r="A453" t="s">
        <v>451</v>
      </c>
      <c r="B453" s="7" t="s">
        <v>1275</v>
      </c>
    </row>
    <row r="454" spans="1:9" hidden="1" x14ac:dyDescent="0.35">
      <c r="A454" t="s">
        <v>452</v>
      </c>
      <c r="B454" s="7" t="s">
        <v>1276</v>
      </c>
    </row>
    <row r="455" spans="1:9" hidden="1" x14ac:dyDescent="0.35">
      <c r="A455" t="s">
        <v>453</v>
      </c>
      <c r="B455" s="7" t="s">
        <v>1277</v>
      </c>
    </row>
    <row r="456" spans="1:9" hidden="1" x14ac:dyDescent="0.35">
      <c r="A456" t="s">
        <v>454</v>
      </c>
      <c r="B456" s="7" t="s">
        <v>1278</v>
      </c>
    </row>
    <row r="457" spans="1:9" hidden="1" x14ac:dyDescent="0.35">
      <c r="A457" t="s">
        <v>455</v>
      </c>
      <c r="B457" s="7" t="s">
        <v>1279</v>
      </c>
    </row>
    <row r="458" spans="1:9" hidden="1" x14ac:dyDescent="0.35">
      <c r="A458" t="s">
        <v>456</v>
      </c>
      <c r="B458" s="7" t="s">
        <v>1280</v>
      </c>
    </row>
    <row r="459" spans="1:9" hidden="1" x14ac:dyDescent="0.35">
      <c r="A459" t="s">
        <v>457</v>
      </c>
      <c r="B459" s="7" t="s">
        <v>1281</v>
      </c>
    </row>
    <row r="460" spans="1:9" hidden="1" x14ac:dyDescent="0.35">
      <c r="A460" t="s">
        <v>458</v>
      </c>
      <c r="B460" s="7" t="s">
        <v>1282</v>
      </c>
    </row>
    <row r="461" spans="1:9" hidden="1" x14ac:dyDescent="0.35">
      <c r="A461" t="s">
        <v>459</v>
      </c>
      <c r="B461" s="7" t="s">
        <v>1283</v>
      </c>
    </row>
    <row r="462" spans="1:9" hidden="1" x14ac:dyDescent="0.35">
      <c r="A462" t="s">
        <v>460</v>
      </c>
      <c r="B462" s="7" t="s">
        <v>1284</v>
      </c>
    </row>
    <row r="463" spans="1:9" hidden="1" x14ac:dyDescent="0.35">
      <c r="A463" t="s">
        <v>461</v>
      </c>
      <c r="B463" s="7" t="s">
        <v>1285</v>
      </c>
    </row>
    <row r="464" spans="1:9" hidden="1" x14ac:dyDescent="0.35">
      <c r="A464" t="s">
        <v>462</v>
      </c>
      <c r="B464" s="7" t="s">
        <v>1286</v>
      </c>
    </row>
    <row r="465" spans="1:2" hidden="1" x14ac:dyDescent="0.35">
      <c r="A465" t="s">
        <v>463</v>
      </c>
      <c r="B465" s="7" t="s">
        <v>1287</v>
      </c>
    </row>
    <row r="466" spans="1:2" hidden="1" x14ac:dyDescent="0.35">
      <c r="A466" t="s">
        <v>464</v>
      </c>
      <c r="B466" s="7" t="s">
        <v>1288</v>
      </c>
    </row>
    <row r="467" spans="1:2" hidden="1" x14ac:dyDescent="0.35">
      <c r="A467" t="s">
        <v>465</v>
      </c>
      <c r="B467" s="7" t="s">
        <v>1289</v>
      </c>
    </row>
    <row r="468" spans="1:2" hidden="1" x14ac:dyDescent="0.35">
      <c r="A468" t="s">
        <v>466</v>
      </c>
      <c r="B468" s="7" t="s">
        <v>1290</v>
      </c>
    </row>
    <row r="469" spans="1:2" hidden="1" x14ac:dyDescent="0.35">
      <c r="A469" t="s">
        <v>467</v>
      </c>
      <c r="B469" s="7" t="s">
        <v>1291</v>
      </c>
    </row>
    <row r="470" spans="1:2" hidden="1" x14ac:dyDescent="0.35">
      <c r="A470" t="s">
        <v>468</v>
      </c>
      <c r="B470" s="7" t="s">
        <v>1292</v>
      </c>
    </row>
    <row r="471" spans="1:2" hidden="1" x14ac:dyDescent="0.35">
      <c r="A471" t="s">
        <v>469</v>
      </c>
      <c r="B471" s="7" t="s">
        <v>1293</v>
      </c>
    </row>
    <row r="472" spans="1:2" hidden="1" x14ac:dyDescent="0.35">
      <c r="A472" t="s">
        <v>470</v>
      </c>
      <c r="B472" s="7" t="s">
        <v>1294</v>
      </c>
    </row>
    <row r="473" spans="1:2" hidden="1" x14ac:dyDescent="0.35">
      <c r="A473" t="s">
        <v>471</v>
      </c>
      <c r="B473" s="7" t="s">
        <v>1295</v>
      </c>
    </row>
    <row r="474" spans="1:2" hidden="1" x14ac:dyDescent="0.35">
      <c r="A474" t="s">
        <v>472</v>
      </c>
      <c r="B474" s="7" t="s">
        <v>1296</v>
      </c>
    </row>
    <row r="475" spans="1:2" hidden="1" x14ac:dyDescent="0.35">
      <c r="A475" t="s">
        <v>473</v>
      </c>
      <c r="B475" s="7" t="s">
        <v>1297</v>
      </c>
    </row>
    <row r="476" spans="1:2" hidden="1" x14ac:dyDescent="0.35">
      <c r="A476" t="s">
        <v>474</v>
      </c>
      <c r="B476" s="7" t="s">
        <v>1298</v>
      </c>
    </row>
    <row r="477" spans="1:2" hidden="1" x14ac:dyDescent="0.35">
      <c r="A477" t="s">
        <v>475</v>
      </c>
      <c r="B477" s="7" t="s">
        <v>1299</v>
      </c>
    </row>
    <row r="478" spans="1:2" hidden="1" x14ac:dyDescent="0.35">
      <c r="A478" t="s">
        <v>476</v>
      </c>
      <c r="B478" s="7" t="s">
        <v>1300</v>
      </c>
    </row>
    <row r="479" spans="1:2" hidden="1" x14ac:dyDescent="0.35">
      <c r="A479" t="s">
        <v>477</v>
      </c>
      <c r="B479" s="7" t="s">
        <v>1301</v>
      </c>
    </row>
    <row r="480" spans="1:2" hidden="1" x14ac:dyDescent="0.35">
      <c r="A480" t="s">
        <v>478</v>
      </c>
      <c r="B480" s="7" t="s">
        <v>1302</v>
      </c>
    </row>
    <row r="481" spans="1:2" hidden="1" x14ac:dyDescent="0.35">
      <c r="A481" t="s">
        <v>479</v>
      </c>
      <c r="B481" s="7" t="s">
        <v>1303</v>
      </c>
    </row>
    <row r="482" spans="1:2" hidden="1" x14ac:dyDescent="0.35">
      <c r="A482" t="s">
        <v>480</v>
      </c>
      <c r="B482" s="7" t="s">
        <v>1304</v>
      </c>
    </row>
    <row r="483" spans="1:2" hidden="1" x14ac:dyDescent="0.35">
      <c r="A483" t="s">
        <v>481</v>
      </c>
      <c r="B483" s="7" t="s">
        <v>1305</v>
      </c>
    </row>
    <row r="484" spans="1:2" hidden="1" x14ac:dyDescent="0.35">
      <c r="A484" t="s">
        <v>482</v>
      </c>
      <c r="B484" s="7" t="s">
        <v>1306</v>
      </c>
    </row>
    <row r="485" spans="1:2" hidden="1" x14ac:dyDescent="0.35">
      <c r="A485" s="2" t="s">
        <v>483</v>
      </c>
      <c r="B485" t="s">
        <v>1307</v>
      </c>
    </row>
    <row r="486" spans="1:2" hidden="1" x14ac:dyDescent="0.35">
      <c r="A486" t="s">
        <v>484</v>
      </c>
      <c r="B486" s="7" t="s">
        <v>1308</v>
      </c>
    </row>
    <row r="487" spans="1:2" hidden="1" x14ac:dyDescent="0.35">
      <c r="A487" t="s">
        <v>485</v>
      </c>
      <c r="B487" s="7" t="s">
        <v>1309</v>
      </c>
    </row>
    <row r="488" spans="1:2" hidden="1" x14ac:dyDescent="0.35">
      <c r="A488" t="s">
        <v>486</v>
      </c>
      <c r="B488" s="7" t="s">
        <v>1310</v>
      </c>
    </row>
    <row r="489" spans="1:2" hidden="1" x14ac:dyDescent="0.35">
      <c r="A489" t="s">
        <v>487</v>
      </c>
      <c r="B489" s="7" t="s">
        <v>1311</v>
      </c>
    </row>
    <row r="490" spans="1:2" hidden="1" x14ac:dyDescent="0.35">
      <c r="A490" t="s">
        <v>488</v>
      </c>
      <c r="B490" s="7" t="s">
        <v>1312</v>
      </c>
    </row>
    <row r="491" spans="1:2" hidden="1" x14ac:dyDescent="0.35">
      <c r="A491" t="s">
        <v>489</v>
      </c>
      <c r="B491" s="7" t="s">
        <v>1313</v>
      </c>
    </row>
    <row r="492" spans="1:2" hidden="1" x14ac:dyDescent="0.35">
      <c r="A492" t="s">
        <v>490</v>
      </c>
      <c r="B492" s="7" t="s">
        <v>1314</v>
      </c>
    </row>
    <row r="493" spans="1:2" hidden="1" x14ac:dyDescent="0.35">
      <c r="A493" t="s">
        <v>491</v>
      </c>
      <c r="B493" s="7" t="s">
        <v>1315</v>
      </c>
    </row>
    <row r="494" spans="1:2" hidden="1" x14ac:dyDescent="0.35">
      <c r="A494" t="s">
        <v>492</v>
      </c>
      <c r="B494" s="7" t="s">
        <v>1316</v>
      </c>
    </row>
    <row r="495" spans="1:2" hidden="1" x14ac:dyDescent="0.35">
      <c r="A495" t="s">
        <v>493</v>
      </c>
      <c r="B495" s="7" t="s">
        <v>1317</v>
      </c>
    </row>
    <row r="496" spans="1:2" hidden="1" x14ac:dyDescent="0.35">
      <c r="A496" t="s">
        <v>494</v>
      </c>
      <c r="B496" s="7" t="s">
        <v>1318</v>
      </c>
    </row>
    <row r="497" spans="1:2" hidden="1" x14ac:dyDescent="0.35">
      <c r="A497" t="s">
        <v>495</v>
      </c>
      <c r="B497" s="7" t="s">
        <v>1319</v>
      </c>
    </row>
    <row r="498" spans="1:2" hidden="1" x14ac:dyDescent="0.35">
      <c r="A498" t="s">
        <v>496</v>
      </c>
      <c r="B498" s="7" t="s">
        <v>1320</v>
      </c>
    </row>
    <row r="499" spans="1:2" hidden="1" x14ac:dyDescent="0.35">
      <c r="A499" t="s">
        <v>497</v>
      </c>
      <c r="B499" s="7" t="s">
        <v>1321</v>
      </c>
    </row>
    <row r="500" spans="1:2" hidden="1" x14ac:dyDescent="0.35">
      <c r="A500" t="s">
        <v>498</v>
      </c>
      <c r="B500" s="7" t="s">
        <v>1322</v>
      </c>
    </row>
    <row r="501" spans="1:2" hidden="1" x14ac:dyDescent="0.35">
      <c r="A501" s="2" t="s">
        <v>499</v>
      </c>
      <c r="B501" s="7" t="s">
        <v>1323</v>
      </c>
    </row>
    <row r="502" spans="1:2" hidden="1" x14ac:dyDescent="0.35">
      <c r="A502" t="s">
        <v>500</v>
      </c>
      <c r="B502" s="7" t="s">
        <v>1324</v>
      </c>
    </row>
    <row r="503" spans="1:2" hidden="1" x14ac:dyDescent="0.35">
      <c r="A503" t="s">
        <v>501</v>
      </c>
      <c r="B503" s="7" t="s">
        <v>1325</v>
      </c>
    </row>
    <row r="504" spans="1:2" hidden="1" x14ac:dyDescent="0.35">
      <c r="A504" t="s">
        <v>502</v>
      </c>
      <c r="B504" s="7" t="s">
        <v>1326</v>
      </c>
    </row>
    <row r="505" spans="1:2" hidden="1" x14ac:dyDescent="0.35">
      <c r="A505" t="s">
        <v>503</v>
      </c>
      <c r="B505" s="7" t="s">
        <v>1327</v>
      </c>
    </row>
    <row r="506" spans="1:2" hidden="1" x14ac:dyDescent="0.35">
      <c r="A506" t="s">
        <v>504</v>
      </c>
      <c r="B506" s="7" t="s">
        <v>1328</v>
      </c>
    </row>
    <row r="507" spans="1:2" hidden="1" x14ac:dyDescent="0.35">
      <c r="A507" t="s">
        <v>505</v>
      </c>
      <c r="B507" s="7" t="s">
        <v>1329</v>
      </c>
    </row>
    <row r="508" spans="1:2" hidden="1" x14ac:dyDescent="0.35">
      <c r="A508" t="s">
        <v>506</v>
      </c>
      <c r="B508" s="7" t="s">
        <v>1330</v>
      </c>
    </row>
    <row r="509" spans="1:2" hidden="1" x14ac:dyDescent="0.35">
      <c r="A509" t="s">
        <v>507</v>
      </c>
      <c r="B509" s="7" t="s">
        <v>1331</v>
      </c>
    </row>
    <row r="510" spans="1:2" hidden="1" x14ac:dyDescent="0.35">
      <c r="A510" t="s">
        <v>508</v>
      </c>
      <c r="B510" s="7" t="s">
        <v>1332</v>
      </c>
    </row>
    <row r="511" spans="1:2" hidden="1" x14ac:dyDescent="0.35">
      <c r="A511" t="s">
        <v>509</v>
      </c>
      <c r="B511" s="7" t="s">
        <v>1333</v>
      </c>
    </row>
    <row r="512" spans="1:2" hidden="1" x14ac:dyDescent="0.35">
      <c r="A512" t="s">
        <v>510</v>
      </c>
      <c r="B512" s="7" t="s">
        <v>1334</v>
      </c>
    </row>
    <row r="513" spans="1:2" hidden="1" x14ac:dyDescent="0.35">
      <c r="A513" t="s">
        <v>511</v>
      </c>
      <c r="B513" s="7" t="s">
        <v>1335</v>
      </c>
    </row>
    <row r="514" spans="1:2" hidden="1" x14ac:dyDescent="0.35">
      <c r="A514" t="s">
        <v>512</v>
      </c>
      <c r="B514" s="7" t="s">
        <v>1336</v>
      </c>
    </row>
    <row r="515" spans="1:2" hidden="1" x14ac:dyDescent="0.35">
      <c r="A515" t="s">
        <v>513</v>
      </c>
      <c r="B515" s="7" t="s">
        <v>1337</v>
      </c>
    </row>
    <row r="516" spans="1:2" hidden="1" x14ac:dyDescent="0.35">
      <c r="A516" t="s">
        <v>514</v>
      </c>
      <c r="B516" s="7" t="s">
        <v>1338</v>
      </c>
    </row>
    <row r="517" spans="1:2" hidden="1" x14ac:dyDescent="0.35">
      <c r="A517" t="s">
        <v>515</v>
      </c>
      <c r="B517" s="7" t="s">
        <v>1339</v>
      </c>
    </row>
    <row r="518" spans="1:2" hidden="1" x14ac:dyDescent="0.35">
      <c r="A518" t="s">
        <v>516</v>
      </c>
      <c r="B518" s="7" t="s">
        <v>1340</v>
      </c>
    </row>
    <row r="519" spans="1:2" hidden="1" x14ac:dyDescent="0.35">
      <c r="A519" t="s">
        <v>517</v>
      </c>
      <c r="B519" s="7" t="s">
        <v>1341</v>
      </c>
    </row>
    <row r="520" spans="1:2" hidden="1" x14ac:dyDescent="0.35">
      <c r="A520" t="s">
        <v>518</v>
      </c>
      <c r="B520" s="7" t="s">
        <v>1342</v>
      </c>
    </row>
    <row r="521" spans="1:2" hidden="1" x14ac:dyDescent="0.35">
      <c r="A521" t="s">
        <v>519</v>
      </c>
      <c r="B521" s="7" t="s">
        <v>1343</v>
      </c>
    </row>
    <row r="522" spans="1:2" hidden="1" x14ac:dyDescent="0.35">
      <c r="A522" t="s">
        <v>520</v>
      </c>
      <c r="B522" s="7" t="s">
        <v>1344</v>
      </c>
    </row>
    <row r="523" spans="1:2" hidden="1" x14ac:dyDescent="0.35">
      <c r="A523" t="s">
        <v>521</v>
      </c>
      <c r="B523" s="7" t="s">
        <v>1345</v>
      </c>
    </row>
    <row r="524" spans="1:2" hidden="1" x14ac:dyDescent="0.35">
      <c r="A524" t="s">
        <v>522</v>
      </c>
      <c r="B524" s="7" t="s">
        <v>1346</v>
      </c>
    </row>
    <row r="525" spans="1:2" hidden="1" x14ac:dyDescent="0.35">
      <c r="A525" t="s">
        <v>523</v>
      </c>
      <c r="B525" s="7" t="s">
        <v>1347</v>
      </c>
    </row>
    <row r="526" spans="1:2" hidden="1" x14ac:dyDescent="0.35">
      <c r="A526" t="s">
        <v>524</v>
      </c>
      <c r="B526" s="7" t="s">
        <v>1348</v>
      </c>
    </row>
    <row r="527" spans="1:2" hidden="1" x14ac:dyDescent="0.35">
      <c r="A527" t="s">
        <v>525</v>
      </c>
      <c r="B527" s="7" t="s">
        <v>1349</v>
      </c>
    </row>
    <row r="528" spans="1:2" hidden="1" x14ac:dyDescent="0.35">
      <c r="A528" t="s">
        <v>526</v>
      </c>
      <c r="B528" s="7" t="s">
        <v>1350</v>
      </c>
    </row>
    <row r="529" spans="1:2" hidden="1" x14ac:dyDescent="0.35">
      <c r="A529" t="s">
        <v>527</v>
      </c>
      <c r="B529" s="7" t="s">
        <v>1351</v>
      </c>
    </row>
    <row r="530" spans="1:2" hidden="1" x14ac:dyDescent="0.35">
      <c r="A530" t="s">
        <v>528</v>
      </c>
      <c r="B530" s="7" t="s">
        <v>1352</v>
      </c>
    </row>
    <row r="531" spans="1:2" hidden="1" x14ac:dyDescent="0.35">
      <c r="A531" t="s">
        <v>529</v>
      </c>
      <c r="B531" s="7" t="s">
        <v>1353</v>
      </c>
    </row>
    <row r="532" spans="1:2" hidden="1" x14ac:dyDescent="0.35">
      <c r="A532" t="s">
        <v>530</v>
      </c>
      <c r="B532" s="7" t="s">
        <v>1354</v>
      </c>
    </row>
    <row r="533" spans="1:2" hidden="1" x14ac:dyDescent="0.35">
      <c r="A533" t="s">
        <v>531</v>
      </c>
      <c r="B533" s="7" t="s">
        <v>1355</v>
      </c>
    </row>
    <row r="534" spans="1:2" hidden="1" x14ac:dyDescent="0.35">
      <c r="A534" t="s">
        <v>532</v>
      </c>
      <c r="B534" s="7" t="s">
        <v>1356</v>
      </c>
    </row>
    <row r="535" spans="1:2" hidden="1" x14ac:dyDescent="0.35">
      <c r="A535" t="s">
        <v>533</v>
      </c>
      <c r="B535" s="7" t="s">
        <v>1357</v>
      </c>
    </row>
    <row r="536" spans="1:2" hidden="1" x14ac:dyDescent="0.35">
      <c r="A536" t="s">
        <v>534</v>
      </c>
      <c r="B536" s="7" t="s">
        <v>1358</v>
      </c>
    </row>
    <row r="537" spans="1:2" hidden="1" x14ac:dyDescent="0.35">
      <c r="A537" t="s">
        <v>535</v>
      </c>
      <c r="B537" s="7" t="s">
        <v>1359</v>
      </c>
    </row>
    <row r="538" spans="1:2" hidden="1" x14ac:dyDescent="0.35">
      <c r="A538" t="s">
        <v>536</v>
      </c>
      <c r="B538" s="7" t="s">
        <v>1360</v>
      </c>
    </row>
    <row r="539" spans="1:2" hidden="1" x14ac:dyDescent="0.35">
      <c r="A539" t="s">
        <v>537</v>
      </c>
      <c r="B539" s="7" t="s">
        <v>1361</v>
      </c>
    </row>
    <row r="540" spans="1:2" hidden="1" x14ac:dyDescent="0.35">
      <c r="A540" t="s">
        <v>538</v>
      </c>
      <c r="B540" s="7" t="s">
        <v>1362</v>
      </c>
    </row>
    <row r="541" spans="1:2" hidden="1" x14ac:dyDescent="0.35">
      <c r="A541" t="s">
        <v>539</v>
      </c>
      <c r="B541" s="7" t="s">
        <v>1363</v>
      </c>
    </row>
    <row r="542" spans="1:2" hidden="1" x14ac:dyDescent="0.35">
      <c r="A542" t="s">
        <v>540</v>
      </c>
      <c r="B542" s="7" t="s">
        <v>1364</v>
      </c>
    </row>
    <row r="543" spans="1:2" hidden="1" x14ac:dyDescent="0.35">
      <c r="A543" t="s">
        <v>541</v>
      </c>
      <c r="B543" s="7" t="s">
        <v>1365</v>
      </c>
    </row>
    <row r="544" spans="1:2" hidden="1" x14ac:dyDescent="0.35">
      <c r="A544" t="s">
        <v>542</v>
      </c>
      <c r="B544" s="7" t="s">
        <v>1366</v>
      </c>
    </row>
    <row r="545" spans="1:2" hidden="1" x14ac:dyDescent="0.35">
      <c r="A545" t="s">
        <v>543</v>
      </c>
      <c r="B545" s="7" t="s">
        <v>1367</v>
      </c>
    </row>
    <row r="546" spans="1:2" hidden="1" x14ac:dyDescent="0.35">
      <c r="A546" t="s">
        <v>544</v>
      </c>
      <c r="B546" s="7" t="s">
        <v>1368</v>
      </c>
    </row>
    <row r="547" spans="1:2" hidden="1" x14ac:dyDescent="0.35">
      <c r="A547" t="s">
        <v>545</v>
      </c>
      <c r="B547" s="7" t="s">
        <v>1369</v>
      </c>
    </row>
    <row r="548" spans="1:2" hidden="1" x14ac:dyDescent="0.35">
      <c r="A548" t="s">
        <v>546</v>
      </c>
      <c r="B548" s="7" t="s">
        <v>1370</v>
      </c>
    </row>
    <row r="549" spans="1:2" hidden="1" x14ac:dyDescent="0.35">
      <c r="A549" t="s">
        <v>547</v>
      </c>
      <c r="B549" s="7" t="s">
        <v>1371</v>
      </c>
    </row>
    <row r="550" spans="1:2" hidden="1" x14ac:dyDescent="0.35">
      <c r="A550" t="s">
        <v>548</v>
      </c>
      <c r="B550" s="7" t="s">
        <v>1372</v>
      </c>
    </row>
    <row r="551" spans="1:2" hidden="1" x14ac:dyDescent="0.35">
      <c r="A551" t="s">
        <v>549</v>
      </c>
      <c r="B551" s="7" t="s">
        <v>1373</v>
      </c>
    </row>
    <row r="552" spans="1:2" hidden="1" x14ac:dyDescent="0.35">
      <c r="A552" t="s">
        <v>550</v>
      </c>
      <c r="B552" s="7" t="s">
        <v>1374</v>
      </c>
    </row>
    <row r="553" spans="1:2" hidden="1" x14ac:dyDescent="0.35">
      <c r="A553" t="s">
        <v>551</v>
      </c>
      <c r="B553" s="7" t="s">
        <v>1375</v>
      </c>
    </row>
    <row r="554" spans="1:2" hidden="1" x14ac:dyDescent="0.35">
      <c r="A554" t="s">
        <v>552</v>
      </c>
      <c r="B554" s="7" t="s">
        <v>1376</v>
      </c>
    </row>
    <row r="555" spans="1:2" hidden="1" x14ac:dyDescent="0.35">
      <c r="A555" t="s">
        <v>553</v>
      </c>
      <c r="B555" s="7" t="s">
        <v>1377</v>
      </c>
    </row>
    <row r="556" spans="1:2" hidden="1" x14ac:dyDescent="0.35">
      <c r="A556" t="s">
        <v>554</v>
      </c>
      <c r="B556" s="7" t="s">
        <v>1378</v>
      </c>
    </row>
    <row r="557" spans="1:2" hidden="1" x14ac:dyDescent="0.35">
      <c r="A557" t="s">
        <v>555</v>
      </c>
      <c r="B557" s="7" t="s">
        <v>1379</v>
      </c>
    </row>
    <row r="558" spans="1:2" hidden="1" x14ac:dyDescent="0.35">
      <c r="A558" t="s">
        <v>556</v>
      </c>
      <c r="B558" s="7" t="s">
        <v>1380</v>
      </c>
    </row>
    <row r="559" spans="1:2" hidden="1" x14ac:dyDescent="0.35">
      <c r="A559" t="s">
        <v>557</v>
      </c>
      <c r="B559" s="7" t="s">
        <v>1381</v>
      </c>
    </row>
    <row r="560" spans="1:2" hidden="1" x14ac:dyDescent="0.35">
      <c r="A560" t="s">
        <v>558</v>
      </c>
      <c r="B560" s="7" t="s">
        <v>1382</v>
      </c>
    </row>
    <row r="561" spans="1:2" hidden="1" x14ac:dyDescent="0.35">
      <c r="A561" t="s">
        <v>559</v>
      </c>
      <c r="B561" s="7" t="s">
        <v>1383</v>
      </c>
    </row>
    <row r="562" spans="1:2" hidden="1" x14ac:dyDescent="0.35">
      <c r="A562" t="s">
        <v>560</v>
      </c>
      <c r="B562" s="7" t="s">
        <v>1384</v>
      </c>
    </row>
    <row r="563" spans="1:2" hidden="1" x14ac:dyDescent="0.35">
      <c r="A563" t="s">
        <v>561</v>
      </c>
      <c r="B563" s="7" t="s">
        <v>1385</v>
      </c>
    </row>
    <row r="564" spans="1:2" hidden="1" x14ac:dyDescent="0.35">
      <c r="A564" t="s">
        <v>562</v>
      </c>
      <c r="B564" s="7" t="s">
        <v>1386</v>
      </c>
    </row>
    <row r="565" spans="1:2" hidden="1" x14ac:dyDescent="0.35">
      <c r="A565" t="s">
        <v>563</v>
      </c>
      <c r="B565" s="7" t="s">
        <v>1387</v>
      </c>
    </row>
    <row r="566" spans="1:2" hidden="1" x14ac:dyDescent="0.35">
      <c r="A566" t="s">
        <v>564</v>
      </c>
      <c r="B566" s="7" t="s">
        <v>1388</v>
      </c>
    </row>
    <row r="567" spans="1:2" hidden="1" x14ac:dyDescent="0.35">
      <c r="A567" t="s">
        <v>565</v>
      </c>
      <c r="B567" s="7" t="s">
        <v>1389</v>
      </c>
    </row>
    <row r="568" spans="1:2" hidden="1" x14ac:dyDescent="0.35">
      <c r="A568" t="s">
        <v>566</v>
      </c>
      <c r="B568" s="7" t="s">
        <v>1390</v>
      </c>
    </row>
    <row r="569" spans="1:2" hidden="1" x14ac:dyDescent="0.35">
      <c r="A569" t="s">
        <v>567</v>
      </c>
      <c r="B569" s="7" t="s">
        <v>1391</v>
      </c>
    </row>
    <row r="570" spans="1:2" hidden="1" x14ac:dyDescent="0.35">
      <c r="A570" t="s">
        <v>568</v>
      </c>
      <c r="B570" s="7" t="s">
        <v>1392</v>
      </c>
    </row>
    <row r="571" spans="1:2" hidden="1" x14ac:dyDescent="0.35">
      <c r="A571" t="s">
        <v>569</v>
      </c>
      <c r="B571" s="7" t="s">
        <v>1393</v>
      </c>
    </row>
    <row r="572" spans="1:2" hidden="1" x14ac:dyDescent="0.35">
      <c r="A572" t="s">
        <v>570</v>
      </c>
      <c r="B572" s="7" t="s">
        <v>1394</v>
      </c>
    </row>
    <row r="573" spans="1:2" hidden="1" x14ac:dyDescent="0.35">
      <c r="A573" t="s">
        <v>571</v>
      </c>
      <c r="B573" s="7" t="s">
        <v>1395</v>
      </c>
    </row>
    <row r="574" spans="1:2" hidden="1" x14ac:dyDescent="0.35">
      <c r="A574" t="s">
        <v>572</v>
      </c>
      <c r="B574" s="7" t="s">
        <v>1396</v>
      </c>
    </row>
    <row r="575" spans="1:2" hidden="1" x14ac:dyDescent="0.35">
      <c r="A575" t="s">
        <v>573</v>
      </c>
      <c r="B575" t="s">
        <v>1397</v>
      </c>
    </row>
    <row r="576" spans="1:2" hidden="1" x14ac:dyDescent="0.35">
      <c r="A576" t="s">
        <v>574</v>
      </c>
      <c r="B576" s="7" t="s">
        <v>1398</v>
      </c>
    </row>
    <row r="577" spans="1:9" hidden="1" x14ac:dyDescent="0.35">
      <c r="A577" t="s">
        <v>575</v>
      </c>
      <c r="B577" s="7" t="s">
        <v>1399</v>
      </c>
    </row>
    <row r="578" spans="1:9" hidden="1" x14ac:dyDescent="0.35">
      <c r="A578" t="s">
        <v>576</v>
      </c>
      <c r="B578" s="7" t="s">
        <v>1400</v>
      </c>
    </row>
    <row r="579" spans="1:9" hidden="1" x14ac:dyDescent="0.35">
      <c r="A579" t="s">
        <v>577</v>
      </c>
      <c r="B579" s="7" t="s">
        <v>1401</v>
      </c>
    </row>
    <row r="580" spans="1:9" x14ac:dyDescent="0.35">
      <c r="A580" t="s">
        <v>35</v>
      </c>
      <c r="B580" s="7" t="s">
        <v>864</v>
      </c>
      <c r="E580">
        <v>24</v>
      </c>
      <c r="F580" t="s">
        <v>3318</v>
      </c>
      <c r="G580" t="s">
        <v>3480</v>
      </c>
      <c r="H580" t="s">
        <v>4153</v>
      </c>
      <c r="I580" t="s">
        <v>1720</v>
      </c>
    </row>
    <row r="581" spans="1:9" hidden="1" x14ac:dyDescent="0.35">
      <c r="A581" t="s">
        <v>579</v>
      </c>
      <c r="B581" s="7" t="s">
        <v>1403</v>
      </c>
    </row>
    <row r="582" spans="1:9" hidden="1" x14ac:dyDescent="0.35">
      <c r="A582" t="s">
        <v>580</v>
      </c>
      <c r="B582" s="7" t="s">
        <v>1404</v>
      </c>
    </row>
    <row r="583" spans="1:9" hidden="1" x14ac:dyDescent="0.35">
      <c r="A583" t="s">
        <v>581</v>
      </c>
      <c r="B583" s="7" t="s">
        <v>1405</v>
      </c>
    </row>
    <row r="584" spans="1:9" hidden="1" x14ac:dyDescent="0.35">
      <c r="A584" t="s">
        <v>582</v>
      </c>
      <c r="B584" s="7" t="s">
        <v>1406</v>
      </c>
    </row>
    <row r="585" spans="1:9" hidden="1" x14ac:dyDescent="0.35">
      <c r="A585" t="s">
        <v>583</v>
      </c>
      <c r="B585" s="7" t="s">
        <v>1407</v>
      </c>
    </row>
    <row r="586" spans="1:9" hidden="1" x14ac:dyDescent="0.35">
      <c r="A586" t="s">
        <v>584</v>
      </c>
      <c r="B586" s="7" t="s">
        <v>1408</v>
      </c>
    </row>
    <row r="587" spans="1:9" hidden="1" x14ac:dyDescent="0.35">
      <c r="A587" t="s">
        <v>585</v>
      </c>
      <c r="B587" s="7" t="s">
        <v>1409</v>
      </c>
    </row>
    <row r="588" spans="1:9" hidden="1" x14ac:dyDescent="0.35">
      <c r="A588" t="s">
        <v>586</v>
      </c>
      <c r="B588" s="7" t="s">
        <v>1410</v>
      </c>
    </row>
    <row r="589" spans="1:9" hidden="1" x14ac:dyDescent="0.35">
      <c r="A589" t="s">
        <v>587</v>
      </c>
      <c r="B589" s="7" t="s">
        <v>1411</v>
      </c>
    </row>
    <row r="590" spans="1:9" hidden="1" x14ac:dyDescent="0.35">
      <c r="A590" t="s">
        <v>588</v>
      </c>
      <c r="B590" s="7" t="s">
        <v>1412</v>
      </c>
    </row>
    <row r="591" spans="1:9" hidden="1" x14ac:dyDescent="0.35">
      <c r="A591" t="s">
        <v>589</v>
      </c>
      <c r="B591" s="7" t="s">
        <v>1413</v>
      </c>
    </row>
    <row r="592" spans="1:9" hidden="1" x14ac:dyDescent="0.35">
      <c r="A592" t="s">
        <v>590</v>
      </c>
      <c r="B592" s="7" t="s">
        <v>1414</v>
      </c>
    </row>
    <row r="593" spans="1:9" hidden="1" x14ac:dyDescent="0.35">
      <c r="A593" t="s">
        <v>591</v>
      </c>
      <c r="B593" s="7" t="s">
        <v>1415</v>
      </c>
    </row>
    <row r="594" spans="1:9" hidden="1" x14ac:dyDescent="0.35">
      <c r="A594" t="s">
        <v>592</v>
      </c>
      <c r="B594" s="7" t="s">
        <v>1416</v>
      </c>
    </row>
    <row r="595" spans="1:9" hidden="1" x14ac:dyDescent="0.35">
      <c r="A595" t="s">
        <v>594</v>
      </c>
      <c r="B595" s="7" t="s">
        <v>1418</v>
      </c>
    </row>
    <row r="596" spans="1:9" hidden="1" x14ac:dyDescent="0.35">
      <c r="A596" t="s">
        <v>595</v>
      </c>
      <c r="B596" s="7" t="s">
        <v>1419</v>
      </c>
    </row>
    <row r="597" spans="1:9" hidden="1" x14ac:dyDescent="0.35">
      <c r="A597" t="s">
        <v>596</v>
      </c>
      <c r="B597" s="7" t="s">
        <v>1420</v>
      </c>
    </row>
    <row r="598" spans="1:9" hidden="1" x14ac:dyDescent="0.35">
      <c r="A598" t="s">
        <v>597</v>
      </c>
      <c r="B598" s="7" t="s">
        <v>1421</v>
      </c>
    </row>
    <row r="599" spans="1:9" hidden="1" x14ac:dyDescent="0.35">
      <c r="A599" t="s">
        <v>598</v>
      </c>
      <c r="B599" s="7" t="s">
        <v>1422</v>
      </c>
    </row>
    <row r="600" spans="1:9" hidden="1" x14ac:dyDescent="0.35">
      <c r="A600" t="s">
        <v>599</v>
      </c>
      <c r="B600" s="7" t="s">
        <v>1423</v>
      </c>
    </row>
    <row r="601" spans="1:9" hidden="1" x14ac:dyDescent="0.35">
      <c r="A601" t="s">
        <v>600</v>
      </c>
      <c r="B601" s="7" t="s">
        <v>1424</v>
      </c>
    </row>
    <row r="602" spans="1:9" hidden="1" x14ac:dyDescent="0.35">
      <c r="A602" t="s">
        <v>601</v>
      </c>
      <c r="B602" s="7" t="s">
        <v>1425</v>
      </c>
    </row>
    <row r="603" spans="1:9" hidden="1" x14ac:dyDescent="0.35">
      <c r="A603" t="s">
        <v>602</v>
      </c>
      <c r="B603" s="7" t="s">
        <v>1426</v>
      </c>
    </row>
    <row r="604" spans="1:9" hidden="1" x14ac:dyDescent="0.35">
      <c r="A604" t="s">
        <v>603</v>
      </c>
      <c r="B604" s="7" t="s">
        <v>1427</v>
      </c>
    </row>
    <row r="605" spans="1:9" hidden="1" x14ac:dyDescent="0.35">
      <c r="A605" t="s">
        <v>604</v>
      </c>
      <c r="B605" s="7" t="s">
        <v>1428</v>
      </c>
    </row>
    <row r="606" spans="1:9" hidden="1" x14ac:dyDescent="0.35">
      <c r="A606" t="s">
        <v>605</v>
      </c>
      <c r="B606" s="7" t="s">
        <v>1429</v>
      </c>
    </row>
    <row r="607" spans="1:9" x14ac:dyDescent="0.35">
      <c r="A607" t="s">
        <v>606</v>
      </c>
      <c r="B607" s="7" t="s">
        <v>1430</v>
      </c>
      <c r="E607">
        <v>32</v>
      </c>
      <c r="F607" t="s">
        <v>3320</v>
      </c>
      <c r="G607" t="s">
        <v>3480</v>
      </c>
      <c r="H607" s="57">
        <v>44580</v>
      </c>
      <c r="I607" t="s">
        <v>1720</v>
      </c>
    </row>
    <row r="608" spans="1:9" hidden="1" x14ac:dyDescent="0.35">
      <c r="A608" t="s">
        <v>607</v>
      </c>
      <c r="B608" s="7" t="s">
        <v>1431</v>
      </c>
    </row>
    <row r="609" spans="1:2" hidden="1" x14ac:dyDescent="0.35">
      <c r="A609" t="s">
        <v>608</v>
      </c>
      <c r="B609" s="7" t="s">
        <v>1432</v>
      </c>
    </row>
    <row r="610" spans="1:2" hidden="1" x14ac:dyDescent="0.35">
      <c r="A610" t="s">
        <v>609</v>
      </c>
      <c r="B610" s="7" t="s">
        <v>1433</v>
      </c>
    </row>
    <row r="611" spans="1:2" hidden="1" x14ac:dyDescent="0.35">
      <c r="A611" t="s">
        <v>610</v>
      </c>
      <c r="B611" s="7" t="s">
        <v>1434</v>
      </c>
    </row>
    <row r="612" spans="1:2" hidden="1" x14ac:dyDescent="0.35">
      <c r="A612" t="s">
        <v>611</v>
      </c>
      <c r="B612" s="7" t="s">
        <v>1435</v>
      </c>
    </row>
    <row r="613" spans="1:2" hidden="1" x14ac:dyDescent="0.35">
      <c r="A613" t="s">
        <v>612</v>
      </c>
      <c r="B613" s="7" t="s">
        <v>1436</v>
      </c>
    </row>
    <row r="614" spans="1:2" hidden="1" x14ac:dyDescent="0.35">
      <c r="A614" t="s">
        <v>613</v>
      </c>
      <c r="B614" s="7" t="s">
        <v>1437</v>
      </c>
    </row>
    <row r="615" spans="1:2" hidden="1" x14ac:dyDescent="0.35">
      <c r="A615" t="s">
        <v>614</v>
      </c>
      <c r="B615" s="7" t="s">
        <v>1438</v>
      </c>
    </row>
    <row r="616" spans="1:2" hidden="1" x14ac:dyDescent="0.35">
      <c r="A616" t="s">
        <v>615</v>
      </c>
      <c r="B616" s="7" t="s">
        <v>1439</v>
      </c>
    </row>
    <row r="617" spans="1:2" hidden="1" x14ac:dyDescent="0.35">
      <c r="A617" t="s">
        <v>616</v>
      </c>
      <c r="B617" s="7" t="s">
        <v>1440</v>
      </c>
    </row>
    <row r="618" spans="1:2" hidden="1" x14ac:dyDescent="0.35">
      <c r="A618" t="s">
        <v>617</v>
      </c>
      <c r="B618" s="7" t="s">
        <v>1441</v>
      </c>
    </row>
    <row r="619" spans="1:2" hidden="1" x14ac:dyDescent="0.35">
      <c r="A619" t="s">
        <v>618</v>
      </c>
      <c r="B619" s="7" t="s">
        <v>1442</v>
      </c>
    </row>
    <row r="620" spans="1:2" hidden="1" x14ac:dyDescent="0.35">
      <c r="A620" t="s">
        <v>619</v>
      </c>
      <c r="B620" s="7" t="s">
        <v>1443</v>
      </c>
    </row>
    <row r="621" spans="1:2" hidden="1" x14ac:dyDescent="0.35">
      <c r="A621" t="s">
        <v>620</v>
      </c>
      <c r="B621" s="7" t="s">
        <v>1444</v>
      </c>
    </row>
    <row r="622" spans="1:2" hidden="1" x14ac:dyDescent="0.35">
      <c r="A622" t="s">
        <v>621</v>
      </c>
      <c r="B622" s="7" t="s">
        <v>1445</v>
      </c>
    </row>
    <row r="623" spans="1:2" hidden="1" x14ac:dyDescent="0.35">
      <c r="A623" t="s">
        <v>622</v>
      </c>
      <c r="B623" s="7" t="s">
        <v>1446</v>
      </c>
    </row>
    <row r="624" spans="1:2" hidden="1" x14ac:dyDescent="0.35">
      <c r="A624" t="s">
        <v>623</v>
      </c>
      <c r="B624" s="7" t="s">
        <v>1447</v>
      </c>
    </row>
    <row r="625" spans="1:9" hidden="1" x14ac:dyDescent="0.35">
      <c r="A625" t="s">
        <v>624</v>
      </c>
      <c r="B625" s="7" t="s">
        <v>1448</v>
      </c>
    </row>
    <row r="626" spans="1:9" hidden="1" x14ac:dyDescent="0.35">
      <c r="A626" t="s">
        <v>625</v>
      </c>
      <c r="B626" s="7" t="s">
        <v>1449</v>
      </c>
    </row>
    <row r="627" spans="1:9" hidden="1" x14ac:dyDescent="0.35">
      <c r="A627" t="s">
        <v>626</v>
      </c>
      <c r="B627" s="7" t="s">
        <v>1450</v>
      </c>
    </row>
    <row r="628" spans="1:9" hidden="1" x14ac:dyDescent="0.35">
      <c r="A628" t="s">
        <v>627</v>
      </c>
      <c r="B628" s="7" t="s">
        <v>1451</v>
      </c>
    </row>
    <row r="629" spans="1:9" hidden="1" x14ac:dyDescent="0.35">
      <c r="A629" t="s">
        <v>628</v>
      </c>
      <c r="B629" s="7" t="s">
        <v>1452</v>
      </c>
    </row>
    <row r="630" spans="1:9" hidden="1" x14ac:dyDescent="0.35">
      <c r="A630" t="s">
        <v>629</v>
      </c>
      <c r="B630" s="7" t="s">
        <v>1453</v>
      </c>
    </row>
    <row r="631" spans="1:9" hidden="1" x14ac:dyDescent="0.35">
      <c r="A631" t="s">
        <v>630</v>
      </c>
      <c r="B631" s="7" t="s">
        <v>1454</v>
      </c>
    </row>
    <row r="632" spans="1:9" hidden="1" x14ac:dyDescent="0.35">
      <c r="A632" t="s">
        <v>631</v>
      </c>
      <c r="B632" s="7" t="s">
        <v>1455</v>
      </c>
    </row>
    <row r="633" spans="1:9" hidden="1" x14ac:dyDescent="0.35">
      <c r="A633" t="s">
        <v>632</v>
      </c>
      <c r="B633" s="7" t="s">
        <v>1456</v>
      </c>
    </row>
    <row r="634" spans="1:9" x14ac:dyDescent="0.35">
      <c r="A634" t="s">
        <v>578</v>
      </c>
      <c r="B634" s="7" t="s">
        <v>1402</v>
      </c>
      <c r="E634">
        <v>120</v>
      </c>
      <c r="F634" t="s">
        <v>3320</v>
      </c>
      <c r="G634" t="s">
        <v>3480</v>
      </c>
      <c r="H634" s="57">
        <v>44580</v>
      </c>
      <c r="I634" t="s">
        <v>1720</v>
      </c>
    </row>
    <row r="635" spans="1:9" hidden="1" x14ac:dyDescent="0.35">
      <c r="A635" t="s">
        <v>634</v>
      </c>
      <c r="B635" s="7" t="s">
        <v>1458</v>
      </c>
    </row>
    <row r="636" spans="1:9" hidden="1" x14ac:dyDescent="0.35">
      <c r="A636" t="s">
        <v>635</v>
      </c>
      <c r="B636" s="7" t="s">
        <v>1459</v>
      </c>
    </row>
    <row r="637" spans="1:9" hidden="1" x14ac:dyDescent="0.35">
      <c r="A637" t="s">
        <v>636</v>
      </c>
      <c r="B637" s="7" t="s">
        <v>1460</v>
      </c>
    </row>
    <row r="638" spans="1:9" hidden="1" x14ac:dyDescent="0.35">
      <c r="A638" t="s">
        <v>637</v>
      </c>
      <c r="B638" s="7" t="s">
        <v>1461</v>
      </c>
    </row>
    <row r="639" spans="1:9" hidden="1" x14ac:dyDescent="0.35">
      <c r="A639" t="s">
        <v>638</v>
      </c>
      <c r="B639" s="7" t="s">
        <v>1462</v>
      </c>
    </row>
    <row r="640" spans="1:9" hidden="1" x14ac:dyDescent="0.35">
      <c r="A640" t="s">
        <v>639</v>
      </c>
      <c r="B640" s="7" t="s">
        <v>1463</v>
      </c>
    </row>
    <row r="641" spans="1:2" hidden="1" x14ac:dyDescent="0.35">
      <c r="A641" t="s">
        <v>640</v>
      </c>
      <c r="B641" s="7" t="s">
        <v>1464</v>
      </c>
    </row>
    <row r="642" spans="1:2" hidden="1" x14ac:dyDescent="0.35">
      <c r="A642" t="s">
        <v>641</v>
      </c>
      <c r="B642" s="7" t="s">
        <v>1465</v>
      </c>
    </row>
    <row r="643" spans="1:2" hidden="1" x14ac:dyDescent="0.35">
      <c r="A643" t="s">
        <v>642</v>
      </c>
      <c r="B643" s="7" t="s">
        <v>1466</v>
      </c>
    </row>
    <row r="644" spans="1:2" hidden="1" x14ac:dyDescent="0.35">
      <c r="A644" t="s">
        <v>643</v>
      </c>
      <c r="B644" s="7" t="s">
        <v>1467</v>
      </c>
    </row>
    <row r="645" spans="1:2" hidden="1" x14ac:dyDescent="0.35">
      <c r="A645" t="s">
        <v>644</v>
      </c>
      <c r="B645" s="7" t="s">
        <v>1468</v>
      </c>
    </row>
    <row r="646" spans="1:2" hidden="1" x14ac:dyDescent="0.35">
      <c r="A646" t="s">
        <v>645</v>
      </c>
      <c r="B646" s="7" t="s">
        <v>1469</v>
      </c>
    </row>
    <row r="647" spans="1:2" hidden="1" x14ac:dyDescent="0.35">
      <c r="A647" t="s">
        <v>646</v>
      </c>
      <c r="B647" s="7" t="s">
        <v>1470</v>
      </c>
    </row>
    <row r="648" spans="1:2" hidden="1" x14ac:dyDescent="0.35">
      <c r="A648" t="s">
        <v>647</v>
      </c>
      <c r="B648" s="7" t="s">
        <v>1471</v>
      </c>
    </row>
    <row r="649" spans="1:2" hidden="1" x14ac:dyDescent="0.35">
      <c r="A649" t="s">
        <v>648</v>
      </c>
      <c r="B649" s="7" t="s">
        <v>1472</v>
      </c>
    </row>
    <row r="650" spans="1:2" hidden="1" x14ac:dyDescent="0.35">
      <c r="A650" t="s">
        <v>649</v>
      </c>
      <c r="B650" s="7" t="s">
        <v>1473</v>
      </c>
    </row>
    <row r="651" spans="1:2" hidden="1" x14ac:dyDescent="0.35">
      <c r="A651" t="s">
        <v>650</v>
      </c>
      <c r="B651" s="7" t="s">
        <v>1474</v>
      </c>
    </row>
    <row r="652" spans="1:2" hidden="1" x14ac:dyDescent="0.35">
      <c r="A652" t="s">
        <v>651</v>
      </c>
      <c r="B652" s="7" t="s">
        <v>1475</v>
      </c>
    </row>
    <row r="653" spans="1:2" hidden="1" x14ac:dyDescent="0.35">
      <c r="A653" t="s">
        <v>652</v>
      </c>
      <c r="B653" s="7" t="s">
        <v>1476</v>
      </c>
    </row>
    <row r="654" spans="1:2" hidden="1" x14ac:dyDescent="0.35">
      <c r="A654" t="s">
        <v>653</v>
      </c>
      <c r="B654" s="7" t="s">
        <v>1477</v>
      </c>
    </row>
    <row r="655" spans="1:2" hidden="1" x14ac:dyDescent="0.35">
      <c r="A655" t="s">
        <v>654</v>
      </c>
      <c r="B655" s="7" t="s">
        <v>1478</v>
      </c>
    </row>
    <row r="656" spans="1:2" hidden="1" x14ac:dyDescent="0.35">
      <c r="A656" t="s">
        <v>655</v>
      </c>
      <c r="B656" s="7" t="s">
        <v>1479</v>
      </c>
    </row>
    <row r="657" spans="1:2" hidden="1" x14ac:dyDescent="0.35">
      <c r="A657" t="s">
        <v>656</v>
      </c>
      <c r="B657" s="7" t="s">
        <v>1480</v>
      </c>
    </row>
    <row r="658" spans="1:2" hidden="1" x14ac:dyDescent="0.35">
      <c r="A658" t="s">
        <v>657</v>
      </c>
      <c r="B658" s="7" t="s">
        <v>1481</v>
      </c>
    </row>
    <row r="659" spans="1:2" hidden="1" x14ac:dyDescent="0.35">
      <c r="A659" t="s">
        <v>658</v>
      </c>
      <c r="B659" s="7" t="s">
        <v>1482</v>
      </c>
    </row>
    <row r="660" spans="1:2" hidden="1" x14ac:dyDescent="0.35">
      <c r="A660" t="s">
        <v>659</v>
      </c>
      <c r="B660" s="7" t="s">
        <v>1483</v>
      </c>
    </row>
    <row r="661" spans="1:2" hidden="1" x14ac:dyDescent="0.35">
      <c r="A661" t="s">
        <v>660</v>
      </c>
      <c r="B661" s="7" t="s">
        <v>1484</v>
      </c>
    </row>
    <row r="662" spans="1:2" hidden="1" x14ac:dyDescent="0.35">
      <c r="A662" t="s">
        <v>661</v>
      </c>
      <c r="B662" s="7" t="s">
        <v>1485</v>
      </c>
    </row>
    <row r="663" spans="1:2" hidden="1" x14ac:dyDescent="0.35">
      <c r="A663" t="s">
        <v>662</v>
      </c>
      <c r="B663" s="7" t="s">
        <v>1486</v>
      </c>
    </row>
    <row r="664" spans="1:2" hidden="1" x14ac:dyDescent="0.35">
      <c r="A664" t="s">
        <v>663</v>
      </c>
      <c r="B664" s="7" t="s">
        <v>1487</v>
      </c>
    </row>
    <row r="665" spans="1:2" hidden="1" x14ac:dyDescent="0.35">
      <c r="A665" t="s">
        <v>664</v>
      </c>
      <c r="B665" s="7" t="s">
        <v>1488</v>
      </c>
    </row>
    <row r="666" spans="1:2" hidden="1" x14ac:dyDescent="0.35">
      <c r="A666" t="s">
        <v>665</v>
      </c>
      <c r="B666" s="7" t="s">
        <v>1489</v>
      </c>
    </row>
    <row r="667" spans="1:2" hidden="1" x14ac:dyDescent="0.35">
      <c r="A667" t="s">
        <v>666</v>
      </c>
      <c r="B667" s="7" t="s">
        <v>1490</v>
      </c>
    </row>
    <row r="668" spans="1:2" hidden="1" x14ac:dyDescent="0.35">
      <c r="A668" t="s">
        <v>667</v>
      </c>
      <c r="B668" s="7" t="s">
        <v>1491</v>
      </c>
    </row>
    <row r="669" spans="1:2" hidden="1" x14ac:dyDescent="0.35">
      <c r="A669" t="s">
        <v>668</v>
      </c>
      <c r="B669" s="7" t="s">
        <v>1492</v>
      </c>
    </row>
    <row r="670" spans="1:2" hidden="1" x14ac:dyDescent="0.35">
      <c r="A670" t="s">
        <v>669</v>
      </c>
      <c r="B670" s="7" t="s">
        <v>1493</v>
      </c>
    </row>
    <row r="671" spans="1:2" hidden="1" x14ac:dyDescent="0.35">
      <c r="A671" t="s">
        <v>670</v>
      </c>
      <c r="B671" s="7" t="s">
        <v>1494</v>
      </c>
    </row>
    <row r="672" spans="1:2" hidden="1" x14ac:dyDescent="0.35">
      <c r="A672" t="s">
        <v>671</v>
      </c>
      <c r="B672" s="7" t="s">
        <v>1495</v>
      </c>
    </row>
    <row r="673" spans="1:2" hidden="1" x14ac:dyDescent="0.35">
      <c r="A673" t="s">
        <v>672</v>
      </c>
      <c r="B673" s="7" t="s">
        <v>1496</v>
      </c>
    </row>
    <row r="674" spans="1:2" hidden="1" x14ac:dyDescent="0.35">
      <c r="A674" t="s">
        <v>673</v>
      </c>
      <c r="B674" s="7" t="s">
        <v>1497</v>
      </c>
    </row>
    <row r="675" spans="1:2" hidden="1" x14ac:dyDescent="0.35">
      <c r="A675" t="s">
        <v>674</v>
      </c>
      <c r="B675" s="7" t="s">
        <v>1498</v>
      </c>
    </row>
    <row r="676" spans="1:2" hidden="1" x14ac:dyDescent="0.35">
      <c r="A676" t="s">
        <v>675</v>
      </c>
      <c r="B676" s="7" t="s">
        <v>1499</v>
      </c>
    </row>
    <row r="677" spans="1:2" hidden="1" x14ac:dyDescent="0.35">
      <c r="A677" t="s">
        <v>676</v>
      </c>
      <c r="B677" s="7" t="s">
        <v>1500</v>
      </c>
    </row>
    <row r="678" spans="1:2" hidden="1" x14ac:dyDescent="0.35">
      <c r="A678" t="s">
        <v>677</v>
      </c>
      <c r="B678" s="7" t="s">
        <v>1501</v>
      </c>
    </row>
    <row r="679" spans="1:2" hidden="1" x14ac:dyDescent="0.35">
      <c r="A679" t="s">
        <v>678</v>
      </c>
      <c r="B679" s="7" t="s">
        <v>1502</v>
      </c>
    </row>
    <row r="680" spans="1:2" hidden="1" x14ac:dyDescent="0.35">
      <c r="A680" t="s">
        <v>679</v>
      </c>
      <c r="B680" s="7" t="s">
        <v>1503</v>
      </c>
    </row>
    <row r="681" spans="1:2" hidden="1" x14ac:dyDescent="0.35">
      <c r="A681" t="s">
        <v>680</v>
      </c>
      <c r="B681" s="7" t="s">
        <v>1504</v>
      </c>
    </row>
    <row r="682" spans="1:2" hidden="1" x14ac:dyDescent="0.35">
      <c r="A682" t="s">
        <v>681</v>
      </c>
      <c r="B682" s="7" t="s">
        <v>1505</v>
      </c>
    </row>
    <row r="683" spans="1:2" hidden="1" x14ac:dyDescent="0.35">
      <c r="A683" t="s">
        <v>682</v>
      </c>
      <c r="B683" s="7" t="s">
        <v>1506</v>
      </c>
    </row>
    <row r="684" spans="1:2" hidden="1" x14ac:dyDescent="0.35">
      <c r="A684" t="s">
        <v>683</v>
      </c>
      <c r="B684" s="7" t="s">
        <v>1507</v>
      </c>
    </row>
    <row r="685" spans="1:2" hidden="1" x14ac:dyDescent="0.35">
      <c r="A685" t="s">
        <v>684</v>
      </c>
      <c r="B685" s="7" t="s">
        <v>1508</v>
      </c>
    </row>
    <row r="686" spans="1:2" hidden="1" x14ac:dyDescent="0.35">
      <c r="A686" t="s">
        <v>685</v>
      </c>
      <c r="B686" s="7" t="s">
        <v>1509</v>
      </c>
    </row>
    <row r="687" spans="1:2" hidden="1" x14ac:dyDescent="0.35">
      <c r="A687" t="s">
        <v>686</v>
      </c>
      <c r="B687" s="7" t="s">
        <v>1510</v>
      </c>
    </row>
    <row r="688" spans="1:2" hidden="1" x14ac:dyDescent="0.35">
      <c r="A688" t="s">
        <v>687</v>
      </c>
      <c r="B688" s="7" t="s">
        <v>1511</v>
      </c>
    </row>
    <row r="689" spans="1:2" hidden="1" x14ac:dyDescent="0.35">
      <c r="A689" t="s">
        <v>688</v>
      </c>
      <c r="B689" s="7" t="s">
        <v>1512</v>
      </c>
    </row>
    <row r="690" spans="1:2" hidden="1" x14ac:dyDescent="0.35">
      <c r="A690" t="s">
        <v>689</v>
      </c>
      <c r="B690" s="7" t="s">
        <v>1513</v>
      </c>
    </row>
    <row r="691" spans="1:2" hidden="1" x14ac:dyDescent="0.35">
      <c r="A691" t="s">
        <v>690</v>
      </c>
      <c r="B691" s="7" t="s">
        <v>1514</v>
      </c>
    </row>
    <row r="692" spans="1:2" hidden="1" x14ac:dyDescent="0.35">
      <c r="A692" t="s">
        <v>691</v>
      </c>
      <c r="B692" s="7" t="s">
        <v>1515</v>
      </c>
    </row>
    <row r="693" spans="1:2" hidden="1" x14ac:dyDescent="0.35">
      <c r="A693" t="s">
        <v>692</v>
      </c>
      <c r="B693" s="7" t="s">
        <v>1516</v>
      </c>
    </row>
    <row r="694" spans="1:2" hidden="1" x14ac:dyDescent="0.35">
      <c r="A694" t="s">
        <v>693</v>
      </c>
      <c r="B694" s="7" t="s">
        <v>1517</v>
      </c>
    </row>
    <row r="695" spans="1:2" hidden="1" x14ac:dyDescent="0.35">
      <c r="A695" t="s">
        <v>694</v>
      </c>
      <c r="B695" s="7" t="s">
        <v>1518</v>
      </c>
    </row>
    <row r="696" spans="1:2" hidden="1" x14ac:dyDescent="0.35">
      <c r="A696" t="s">
        <v>695</v>
      </c>
      <c r="B696" s="7" t="s">
        <v>1519</v>
      </c>
    </row>
    <row r="697" spans="1:2" hidden="1" x14ac:dyDescent="0.35">
      <c r="A697" t="s">
        <v>696</v>
      </c>
      <c r="B697" s="7" t="s">
        <v>1520</v>
      </c>
    </row>
    <row r="698" spans="1:2" hidden="1" x14ac:dyDescent="0.35">
      <c r="A698" t="s">
        <v>697</v>
      </c>
      <c r="B698" s="7" t="s">
        <v>1521</v>
      </c>
    </row>
    <row r="699" spans="1:2" hidden="1" x14ac:dyDescent="0.35">
      <c r="A699" t="s">
        <v>698</v>
      </c>
      <c r="B699" s="7" t="s">
        <v>1522</v>
      </c>
    </row>
    <row r="700" spans="1:2" hidden="1" x14ac:dyDescent="0.35">
      <c r="A700" t="s">
        <v>699</v>
      </c>
      <c r="B700" s="7" t="s">
        <v>1523</v>
      </c>
    </row>
    <row r="701" spans="1:2" hidden="1" x14ac:dyDescent="0.35">
      <c r="A701" t="s">
        <v>700</v>
      </c>
      <c r="B701" s="7" t="s">
        <v>1524</v>
      </c>
    </row>
    <row r="702" spans="1:2" hidden="1" x14ac:dyDescent="0.35">
      <c r="A702" t="s">
        <v>701</v>
      </c>
      <c r="B702" s="7" t="s">
        <v>1525</v>
      </c>
    </row>
    <row r="703" spans="1:2" hidden="1" x14ac:dyDescent="0.35">
      <c r="A703" t="s">
        <v>702</v>
      </c>
      <c r="B703" s="7" t="s">
        <v>1526</v>
      </c>
    </row>
    <row r="704" spans="1:2" hidden="1" x14ac:dyDescent="0.35">
      <c r="A704" t="s">
        <v>703</v>
      </c>
      <c r="B704" s="7" t="s">
        <v>1527</v>
      </c>
    </row>
    <row r="705" spans="1:2" hidden="1" x14ac:dyDescent="0.35">
      <c r="A705" t="s">
        <v>704</v>
      </c>
      <c r="B705" s="7" t="s">
        <v>1528</v>
      </c>
    </row>
    <row r="706" spans="1:2" hidden="1" x14ac:dyDescent="0.35">
      <c r="A706" t="s">
        <v>705</v>
      </c>
      <c r="B706" s="7" t="s">
        <v>1529</v>
      </c>
    </row>
    <row r="707" spans="1:2" hidden="1" x14ac:dyDescent="0.35">
      <c r="A707" t="s">
        <v>706</v>
      </c>
      <c r="B707" s="7" t="s">
        <v>1530</v>
      </c>
    </row>
    <row r="708" spans="1:2" hidden="1" x14ac:dyDescent="0.35">
      <c r="A708" t="s">
        <v>707</v>
      </c>
      <c r="B708" s="7" t="s">
        <v>1531</v>
      </c>
    </row>
    <row r="709" spans="1:2" hidden="1" x14ac:dyDescent="0.35">
      <c r="A709" t="s">
        <v>708</v>
      </c>
      <c r="B709" s="7" t="s">
        <v>1532</v>
      </c>
    </row>
    <row r="710" spans="1:2" hidden="1" x14ac:dyDescent="0.35">
      <c r="A710" t="s">
        <v>709</v>
      </c>
      <c r="B710" s="7" t="s">
        <v>1533</v>
      </c>
    </row>
    <row r="711" spans="1:2" hidden="1" x14ac:dyDescent="0.35">
      <c r="A711" t="s">
        <v>710</v>
      </c>
      <c r="B711" s="7" t="s">
        <v>1534</v>
      </c>
    </row>
    <row r="712" spans="1:2" hidden="1" x14ac:dyDescent="0.35">
      <c r="A712" t="s">
        <v>711</v>
      </c>
      <c r="B712" s="7" t="s">
        <v>1535</v>
      </c>
    </row>
    <row r="713" spans="1:2" hidden="1" x14ac:dyDescent="0.35">
      <c r="A713" t="s">
        <v>712</v>
      </c>
      <c r="B713" s="7" t="s">
        <v>1536</v>
      </c>
    </row>
    <row r="714" spans="1:2" hidden="1" x14ac:dyDescent="0.35">
      <c r="A714" t="s">
        <v>713</v>
      </c>
      <c r="B714" s="7" t="s">
        <v>1537</v>
      </c>
    </row>
    <row r="715" spans="1:2" hidden="1" x14ac:dyDescent="0.35">
      <c r="A715" t="s">
        <v>714</v>
      </c>
      <c r="B715" s="7" t="s">
        <v>1538</v>
      </c>
    </row>
    <row r="716" spans="1:2" hidden="1" x14ac:dyDescent="0.35">
      <c r="A716" t="s">
        <v>715</v>
      </c>
      <c r="B716" s="7" t="s">
        <v>1539</v>
      </c>
    </row>
    <row r="717" spans="1:2" hidden="1" x14ac:dyDescent="0.35">
      <c r="A717" t="s">
        <v>716</v>
      </c>
      <c r="B717" s="7" t="s">
        <v>1540</v>
      </c>
    </row>
    <row r="718" spans="1:2" hidden="1" x14ac:dyDescent="0.35">
      <c r="A718" t="s">
        <v>717</v>
      </c>
      <c r="B718" s="7" t="s">
        <v>1541</v>
      </c>
    </row>
    <row r="719" spans="1:2" hidden="1" x14ac:dyDescent="0.35">
      <c r="A719" t="s">
        <v>718</v>
      </c>
      <c r="B719" s="7" t="s">
        <v>1542</v>
      </c>
    </row>
    <row r="720" spans="1:2" hidden="1" x14ac:dyDescent="0.35">
      <c r="A720" t="s">
        <v>719</v>
      </c>
      <c r="B720" s="7" t="s">
        <v>1543</v>
      </c>
    </row>
    <row r="721" spans="1:2" hidden="1" x14ac:dyDescent="0.35">
      <c r="A721" t="s">
        <v>720</v>
      </c>
      <c r="B721" s="7" t="s">
        <v>1544</v>
      </c>
    </row>
    <row r="722" spans="1:2" hidden="1" x14ac:dyDescent="0.35">
      <c r="A722" t="s">
        <v>721</v>
      </c>
      <c r="B722" s="7" t="s">
        <v>1545</v>
      </c>
    </row>
    <row r="723" spans="1:2" hidden="1" x14ac:dyDescent="0.35">
      <c r="A723" t="s">
        <v>722</v>
      </c>
      <c r="B723" s="7" t="s">
        <v>1546</v>
      </c>
    </row>
    <row r="724" spans="1:2" hidden="1" x14ac:dyDescent="0.35">
      <c r="A724" t="s">
        <v>723</v>
      </c>
      <c r="B724" s="7" t="s">
        <v>1547</v>
      </c>
    </row>
    <row r="725" spans="1:2" hidden="1" x14ac:dyDescent="0.35">
      <c r="A725" t="s">
        <v>724</v>
      </c>
      <c r="B725" s="7" t="s">
        <v>1548</v>
      </c>
    </row>
    <row r="726" spans="1:2" hidden="1" x14ac:dyDescent="0.35">
      <c r="A726" t="s">
        <v>725</v>
      </c>
      <c r="B726" s="7" t="s">
        <v>1549</v>
      </c>
    </row>
    <row r="727" spans="1:2" hidden="1" x14ac:dyDescent="0.35">
      <c r="A727" t="s">
        <v>726</v>
      </c>
      <c r="B727" s="7" t="s">
        <v>1550</v>
      </c>
    </row>
    <row r="728" spans="1:2" hidden="1" x14ac:dyDescent="0.35">
      <c r="A728" t="s">
        <v>727</v>
      </c>
      <c r="B728" s="7" t="s">
        <v>1551</v>
      </c>
    </row>
    <row r="729" spans="1:2" hidden="1" x14ac:dyDescent="0.35">
      <c r="A729" t="s">
        <v>728</v>
      </c>
      <c r="B729" s="7" t="s">
        <v>1552</v>
      </c>
    </row>
    <row r="730" spans="1:2" hidden="1" x14ac:dyDescent="0.35">
      <c r="A730" t="s">
        <v>729</v>
      </c>
      <c r="B730" s="7" t="s">
        <v>1553</v>
      </c>
    </row>
    <row r="731" spans="1:2" hidden="1" x14ac:dyDescent="0.35">
      <c r="A731" t="s">
        <v>730</v>
      </c>
      <c r="B731" s="7" t="s">
        <v>1554</v>
      </c>
    </row>
    <row r="732" spans="1:2" hidden="1" x14ac:dyDescent="0.35">
      <c r="A732" t="s">
        <v>731</v>
      </c>
      <c r="B732" s="7" t="s">
        <v>1555</v>
      </c>
    </row>
    <row r="733" spans="1:2" hidden="1" x14ac:dyDescent="0.35">
      <c r="A733" t="s">
        <v>732</v>
      </c>
      <c r="B733" s="7" t="s">
        <v>1556</v>
      </c>
    </row>
    <row r="734" spans="1:2" hidden="1" x14ac:dyDescent="0.35">
      <c r="A734" t="s">
        <v>733</v>
      </c>
      <c r="B734" s="7" t="s">
        <v>1557</v>
      </c>
    </row>
    <row r="735" spans="1:2" hidden="1" x14ac:dyDescent="0.35">
      <c r="A735" t="s">
        <v>734</v>
      </c>
      <c r="B735" s="7" t="s">
        <v>1558</v>
      </c>
    </row>
    <row r="736" spans="1:2" hidden="1" x14ac:dyDescent="0.35">
      <c r="A736" t="s">
        <v>735</v>
      </c>
      <c r="B736" s="7" t="s">
        <v>1559</v>
      </c>
    </row>
    <row r="737" spans="1:2" hidden="1" x14ac:dyDescent="0.35">
      <c r="A737" t="s">
        <v>736</v>
      </c>
      <c r="B737" s="7" t="s">
        <v>1560</v>
      </c>
    </row>
    <row r="738" spans="1:2" hidden="1" x14ac:dyDescent="0.35">
      <c r="A738" t="s">
        <v>737</v>
      </c>
      <c r="B738" s="7" t="s">
        <v>1561</v>
      </c>
    </row>
    <row r="739" spans="1:2" hidden="1" x14ac:dyDescent="0.35">
      <c r="A739" t="s">
        <v>738</v>
      </c>
      <c r="B739" s="7" t="s">
        <v>1562</v>
      </c>
    </row>
    <row r="740" spans="1:2" hidden="1" x14ac:dyDescent="0.35">
      <c r="A740" t="s">
        <v>739</v>
      </c>
      <c r="B740" s="7" t="s">
        <v>1563</v>
      </c>
    </row>
    <row r="741" spans="1:2" hidden="1" x14ac:dyDescent="0.35">
      <c r="A741" t="s">
        <v>740</v>
      </c>
      <c r="B741" s="7" t="s">
        <v>1564</v>
      </c>
    </row>
    <row r="742" spans="1:2" hidden="1" x14ac:dyDescent="0.35">
      <c r="A742" t="s">
        <v>741</v>
      </c>
      <c r="B742" s="7" t="s">
        <v>1565</v>
      </c>
    </row>
    <row r="743" spans="1:2" hidden="1" x14ac:dyDescent="0.35">
      <c r="A743" t="s">
        <v>742</v>
      </c>
      <c r="B743" s="7" t="s">
        <v>1566</v>
      </c>
    </row>
    <row r="744" spans="1:2" hidden="1" x14ac:dyDescent="0.35">
      <c r="A744" t="s">
        <v>743</v>
      </c>
      <c r="B744" s="7" t="s">
        <v>1567</v>
      </c>
    </row>
    <row r="745" spans="1:2" hidden="1" x14ac:dyDescent="0.35">
      <c r="A745" t="s">
        <v>744</v>
      </c>
      <c r="B745" s="7" t="s">
        <v>1568</v>
      </c>
    </row>
    <row r="746" spans="1:2" hidden="1" x14ac:dyDescent="0.35">
      <c r="A746" t="s">
        <v>745</v>
      </c>
      <c r="B746" s="7" t="s">
        <v>1569</v>
      </c>
    </row>
    <row r="747" spans="1:2" hidden="1" x14ac:dyDescent="0.35">
      <c r="A747" t="s">
        <v>746</v>
      </c>
      <c r="B747" s="7" t="s">
        <v>1570</v>
      </c>
    </row>
    <row r="748" spans="1:2" hidden="1" x14ac:dyDescent="0.35">
      <c r="A748" t="s">
        <v>747</v>
      </c>
      <c r="B748" s="7" t="s">
        <v>1571</v>
      </c>
    </row>
    <row r="749" spans="1:2" hidden="1" x14ac:dyDescent="0.35">
      <c r="A749" t="s">
        <v>748</v>
      </c>
      <c r="B749" s="7" t="s">
        <v>1572</v>
      </c>
    </row>
    <row r="750" spans="1:2" hidden="1" x14ac:dyDescent="0.35">
      <c r="A750" t="s">
        <v>749</v>
      </c>
      <c r="B750" s="7" t="s">
        <v>1573</v>
      </c>
    </row>
    <row r="751" spans="1:2" hidden="1" x14ac:dyDescent="0.35">
      <c r="A751" t="s">
        <v>750</v>
      </c>
      <c r="B751" s="7" t="s">
        <v>1574</v>
      </c>
    </row>
    <row r="752" spans="1:2" hidden="1" x14ac:dyDescent="0.35">
      <c r="A752" t="s">
        <v>751</v>
      </c>
      <c r="B752" s="7" t="s">
        <v>1575</v>
      </c>
    </row>
    <row r="753" spans="1:2" hidden="1" x14ac:dyDescent="0.35">
      <c r="A753" t="s">
        <v>752</v>
      </c>
      <c r="B753" s="7" t="s">
        <v>1576</v>
      </c>
    </row>
    <row r="754" spans="1:2" hidden="1" x14ac:dyDescent="0.35">
      <c r="A754" t="s">
        <v>753</v>
      </c>
      <c r="B754" s="7" t="s">
        <v>1577</v>
      </c>
    </row>
    <row r="755" spans="1:2" hidden="1" x14ac:dyDescent="0.35">
      <c r="A755" t="s">
        <v>754</v>
      </c>
      <c r="B755" s="7" t="s">
        <v>1578</v>
      </c>
    </row>
    <row r="756" spans="1:2" hidden="1" x14ac:dyDescent="0.35">
      <c r="A756" t="s">
        <v>755</v>
      </c>
      <c r="B756" s="7" t="s">
        <v>1579</v>
      </c>
    </row>
    <row r="757" spans="1:2" hidden="1" x14ac:dyDescent="0.35">
      <c r="A757" t="s">
        <v>756</v>
      </c>
      <c r="B757" s="7" t="s">
        <v>1580</v>
      </c>
    </row>
    <row r="758" spans="1:2" hidden="1" x14ac:dyDescent="0.35">
      <c r="A758" t="s">
        <v>757</v>
      </c>
      <c r="B758" s="7" t="s">
        <v>1581</v>
      </c>
    </row>
    <row r="759" spans="1:2" hidden="1" x14ac:dyDescent="0.35">
      <c r="A759" t="s">
        <v>758</v>
      </c>
      <c r="B759" s="7" t="s">
        <v>1582</v>
      </c>
    </row>
    <row r="760" spans="1:2" hidden="1" x14ac:dyDescent="0.35">
      <c r="A760" t="s">
        <v>759</v>
      </c>
      <c r="B760" s="7" t="s">
        <v>1583</v>
      </c>
    </row>
    <row r="761" spans="1:2" hidden="1" x14ac:dyDescent="0.35">
      <c r="A761" t="s">
        <v>760</v>
      </c>
      <c r="B761" s="7" t="s">
        <v>1584</v>
      </c>
    </row>
    <row r="762" spans="1:2" hidden="1" x14ac:dyDescent="0.35">
      <c r="A762" t="s">
        <v>761</v>
      </c>
      <c r="B762" s="7" t="s">
        <v>1585</v>
      </c>
    </row>
    <row r="763" spans="1:2" hidden="1" x14ac:dyDescent="0.35">
      <c r="A763" t="s">
        <v>762</v>
      </c>
      <c r="B763" s="7" t="s">
        <v>1586</v>
      </c>
    </row>
    <row r="764" spans="1:2" hidden="1" x14ac:dyDescent="0.35">
      <c r="A764" t="s">
        <v>763</v>
      </c>
      <c r="B764" s="7" t="s">
        <v>1587</v>
      </c>
    </row>
    <row r="765" spans="1:2" hidden="1" x14ac:dyDescent="0.35">
      <c r="A765" t="s">
        <v>764</v>
      </c>
      <c r="B765" s="7" t="s">
        <v>1588</v>
      </c>
    </row>
    <row r="766" spans="1:2" hidden="1" x14ac:dyDescent="0.35">
      <c r="A766" t="s">
        <v>765</v>
      </c>
      <c r="B766" s="7" t="s">
        <v>1589</v>
      </c>
    </row>
    <row r="767" spans="1:2" hidden="1" x14ac:dyDescent="0.35">
      <c r="A767" t="s">
        <v>766</v>
      </c>
      <c r="B767" s="7" t="s">
        <v>1590</v>
      </c>
    </row>
    <row r="768" spans="1:2" hidden="1" x14ac:dyDescent="0.35">
      <c r="A768" t="s">
        <v>767</v>
      </c>
      <c r="B768" s="7" t="s">
        <v>1591</v>
      </c>
    </row>
    <row r="769" spans="1:2" hidden="1" x14ac:dyDescent="0.35">
      <c r="A769" t="s">
        <v>768</v>
      </c>
      <c r="B769" s="7" t="s">
        <v>1592</v>
      </c>
    </row>
    <row r="770" spans="1:2" hidden="1" x14ac:dyDescent="0.35">
      <c r="A770" t="s">
        <v>769</v>
      </c>
      <c r="B770" s="7" t="s">
        <v>1593</v>
      </c>
    </row>
    <row r="771" spans="1:2" hidden="1" x14ac:dyDescent="0.35">
      <c r="A771" t="s">
        <v>770</v>
      </c>
      <c r="B771" s="7" t="s">
        <v>1594</v>
      </c>
    </row>
    <row r="772" spans="1:2" hidden="1" x14ac:dyDescent="0.35">
      <c r="A772" t="s">
        <v>771</v>
      </c>
      <c r="B772" s="7" t="s">
        <v>1595</v>
      </c>
    </row>
    <row r="773" spans="1:2" hidden="1" x14ac:dyDescent="0.35">
      <c r="A773" t="s">
        <v>772</v>
      </c>
      <c r="B773" s="7" t="s">
        <v>1596</v>
      </c>
    </row>
    <row r="774" spans="1:2" hidden="1" x14ac:dyDescent="0.35">
      <c r="A774" t="s">
        <v>773</v>
      </c>
      <c r="B774" s="7" t="s">
        <v>1597</v>
      </c>
    </row>
    <row r="775" spans="1:2" hidden="1" x14ac:dyDescent="0.35">
      <c r="A775" t="s">
        <v>774</v>
      </c>
      <c r="B775" s="7" t="s">
        <v>1598</v>
      </c>
    </row>
    <row r="776" spans="1:2" hidden="1" x14ac:dyDescent="0.35">
      <c r="A776" t="s">
        <v>775</v>
      </c>
      <c r="B776" s="7" t="s">
        <v>1599</v>
      </c>
    </row>
    <row r="777" spans="1:2" hidden="1" x14ac:dyDescent="0.35">
      <c r="A777" t="s">
        <v>776</v>
      </c>
      <c r="B777" s="7" t="s">
        <v>1600</v>
      </c>
    </row>
    <row r="778" spans="1:2" hidden="1" x14ac:dyDescent="0.35">
      <c r="A778" t="s">
        <v>777</v>
      </c>
      <c r="B778" s="7" t="s">
        <v>1601</v>
      </c>
    </row>
    <row r="779" spans="1:2" hidden="1" x14ac:dyDescent="0.35">
      <c r="A779" t="s">
        <v>778</v>
      </c>
      <c r="B779" s="7" t="s">
        <v>854</v>
      </c>
    </row>
    <row r="780" spans="1:2" hidden="1" x14ac:dyDescent="0.35">
      <c r="A780" s="4" t="s">
        <v>779</v>
      </c>
      <c r="B780" s="7" t="s">
        <v>1602</v>
      </c>
    </row>
    <row r="781" spans="1:2" hidden="1" x14ac:dyDescent="0.35">
      <c r="A781" s="4" t="s">
        <v>451</v>
      </c>
      <c r="B781" t="s">
        <v>1603</v>
      </c>
    </row>
    <row r="782" spans="1:2" hidden="1" x14ac:dyDescent="0.35">
      <c r="A782" s="4" t="s">
        <v>780</v>
      </c>
      <c r="B782" s="7" t="s">
        <v>843</v>
      </c>
    </row>
    <row r="783" spans="1:2" hidden="1" x14ac:dyDescent="0.35">
      <c r="A783" t="s">
        <v>781</v>
      </c>
      <c r="B783" s="7" t="s">
        <v>1604</v>
      </c>
    </row>
    <row r="784" spans="1:2" hidden="1" x14ac:dyDescent="0.35">
      <c r="A784" s="5" t="s">
        <v>782</v>
      </c>
      <c r="B784" s="7" t="s">
        <v>1605</v>
      </c>
    </row>
    <row r="785" spans="1:2" hidden="1" x14ac:dyDescent="0.35">
      <c r="A785" t="s">
        <v>783</v>
      </c>
      <c r="B785" s="7" t="s">
        <v>1606</v>
      </c>
    </row>
    <row r="786" spans="1:2" hidden="1" x14ac:dyDescent="0.35">
      <c r="A786" t="s">
        <v>784</v>
      </c>
      <c r="B786" s="7" t="s">
        <v>1607</v>
      </c>
    </row>
    <row r="787" spans="1:2" hidden="1" x14ac:dyDescent="0.35">
      <c r="A787" t="s">
        <v>785</v>
      </c>
      <c r="B787" s="7" t="s">
        <v>1608</v>
      </c>
    </row>
    <row r="788" spans="1:2" hidden="1" x14ac:dyDescent="0.35">
      <c r="A788" t="s">
        <v>786</v>
      </c>
      <c r="B788" s="7" t="s">
        <v>1609</v>
      </c>
    </row>
    <row r="789" spans="1:2" hidden="1" x14ac:dyDescent="0.35">
      <c r="A789" s="6" t="s">
        <v>787</v>
      </c>
      <c r="B789" s="7" t="s">
        <v>1610</v>
      </c>
    </row>
    <row r="790" spans="1:2" hidden="1" x14ac:dyDescent="0.35">
      <c r="A790" s="6" t="s">
        <v>788</v>
      </c>
      <c r="B790" t="s">
        <v>1611</v>
      </c>
    </row>
    <row r="791" spans="1:2" hidden="1" x14ac:dyDescent="0.35">
      <c r="A791" t="s">
        <v>789</v>
      </c>
      <c r="B791" s="7" t="s">
        <v>1612</v>
      </c>
    </row>
    <row r="792" spans="1:2" hidden="1" x14ac:dyDescent="0.35">
      <c r="A792" t="s">
        <v>790</v>
      </c>
      <c r="B792" s="7" t="s">
        <v>1613</v>
      </c>
    </row>
    <row r="793" spans="1:2" hidden="1" x14ac:dyDescent="0.35">
      <c r="A793" t="s">
        <v>791</v>
      </c>
      <c r="B793" s="7" t="s">
        <v>1614</v>
      </c>
    </row>
    <row r="794" spans="1:2" hidden="1" x14ac:dyDescent="0.35">
      <c r="A794" s="6" t="s">
        <v>792</v>
      </c>
      <c r="B794" s="7" t="s">
        <v>1615</v>
      </c>
    </row>
    <row r="795" spans="1:2" hidden="1" x14ac:dyDescent="0.35">
      <c r="A795" s="4" t="s">
        <v>793</v>
      </c>
      <c r="B795" s="4" t="s">
        <v>1616</v>
      </c>
    </row>
    <row r="796" spans="1:2" hidden="1" x14ac:dyDescent="0.35">
      <c r="A796" t="s">
        <v>794</v>
      </c>
      <c r="B796" s="7" t="s">
        <v>1617</v>
      </c>
    </row>
    <row r="797" spans="1:2" hidden="1" x14ac:dyDescent="0.35">
      <c r="A797" t="s">
        <v>795</v>
      </c>
      <c r="B797" s="7" t="s">
        <v>1618</v>
      </c>
    </row>
    <row r="798" spans="1:2" hidden="1" x14ac:dyDescent="0.35">
      <c r="A798" t="s">
        <v>796</v>
      </c>
      <c r="B798" s="7" t="s">
        <v>1619</v>
      </c>
    </row>
    <row r="799" spans="1:2" hidden="1" x14ac:dyDescent="0.35">
      <c r="A799" s="6" t="s">
        <v>797</v>
      </c>
      <c r="B799" s="7" t="s">
        <v>1620</v>
      </c>
    </row>
    <row r="800" spans="1:2" hidden="1" x14ac:dyDescent="0.35">
      <c r="A800" t="s">
        <v>798</v>
      </c>
      <c r="B800" s="7" t="s">
        <v>1621</v>
      </c>
    </row>
    <row r="801" spans="1:2" hidden="1" x14ac:dyDescent="0.35">
      <c r="A801" t="s">
        <v>799</v>
      </c>
      <c r="B801" s="7" t="s">
        <v>1622</v>
      </c>
    </row>
    <row r="802" spans="1:2" hidden="1" x14ac:dyDescent="0.35">
      <c r="A802" t="s">
        <v>800</v>
      </c>
      <c r="B802" s="7" t="s">
        <v>1623</v>
      </c>
    </row>
    <row r="803" spans="1:2" hidden="1" x14ac:dyDescent="0.35">
      <c r="A803" t="s">
        <v>801</v>
      </c>
      <c r="B803" s="7" t="s">
        <v>1624</v>
      </c>
    </row>
    <row r="804" spans="1:2" hidden="1" x14ac:dyDescent="0.35">
      <c r="A804" t="s">
        <v>802</v>
      </c>
      <c r="B804" s="7" t="s">
        <v>1625</v>
      </c>
    </row>
    <row r="805" spans="1:2" hidden="1" x14ac:dyDescent="0.35">
      <c r="A805" t="s">
        <v>803</v>
      </c>
      <c r="B805" s="7" t="s">
        <v>1626</v>
      </c>
    </row>
    <row r="806" spans="1:2" hidden="1" x14ac:dyDescent="0.35">
      <c r="A806" t="s">
        <v>804</v>
      </c>
      <c r="B806" s="7" t="s">
        <v>1627</v>
      </c>
    </row>
    <row r="807" spans="1:2" hidden="1" x14ac:dyDescent="0.35">
      <c r="A807" t="s">
        <v>805</v>
      </c>
      <c r="B807" s="7" t="s">
        <v>1628</v>
      </c>
    </row>
    <row r="808" spans="1:2" hidden="1" x14ac:dyDescent="0.35">
      <c r="A808" t="s">
        <v>806</v>
      </c>
      <c r="B808" s="7" t="s">
        <v>1629</v>
      </c>
    </row>
    <row r="809" spans="1:2" hidden="1" x14ac:dyDescent="0.35">
      <c r="A809" t="s">
        <v>807</v>
      </c>
      <c r="B809" s="7" t="s">
        <v>1630</v>
      </c>
    </row>
    <row r="810" spans="1:2" hidden="1" x14ac:dyDescent="0.35">
      <c r="A810" s="4" t="s">
        <v>808</v>
      </c>
      <c r="B810" t="s">
        <v>1631</v>
      </c>
    </row>
    <row r="811" spans="1:2" hidden="1" x14ac:dyDescent="0.35">
      <c r="A811" t="s">
        <v>809</v>
      </c>
      <c r="B811" s="7" t="s">
        <v>1632</v>
      </c>
    </row>
    <row r="812" spans="1:2" hidden="1" x14ac:dyDescent="0.35">
      <c r="A812" t="s">
        <v>810</v>
      </c>
      <c r="B812" s="7" t="s">
        <v>1633</v>
      </c>
    </row>
    <row r="813" spans="1:2" hidden="1" x14ac:dyDescent="0.35">
      <c r="A813" t="s">
        <v>811</v>
      </c>
      <c r="B813" s="7" t="s">
        <v>1634</v>
      </c>
    </row>
    <row r="814" spans="1:2" hidden="1" x14ac:dyDescent="0.35">
      <c r="A814" s="6" t="s">
        <v>812</v>
      </c>
      <c r="B814" s="7" t="s">
        <v>1635</v>
      </c>
    </row>
    <row r="815" spans="1:2" hidden="1" x14ac:dyDescent="0.35">
      <c r="A815" t="s">
        <v>813</v>
      </c>
      <c r="B815" s="7" t="s">
        <v>1636</v>
      </c>
    </row>
    <row r="816" spans="1:2" hidden="1" x14ac:dyDescent="0.35">
      <c r="A816" t="s">
        <v>814</v>
      </c>
      <c r="B816" s="7" t="s">
        <v>1637</v>
      </c>
    </row>
    <row r="817" spans="1:9" hidden="1" x14ac:dyDescent="0.35">
      <c r="A817" t="s">
        <v>815</v>
      </c>
      <c r="B817" t="s">
        <v>1638</v>
      </c>
    </row>
    <row r="818" spans="1:9" hidden="1" x14ac:dyDescent="0.35">
      <c r="A818" s="6" t="s">
        <v>816</v>
      </c>
      <c r="B818" s="7" t="s">
        <v>1639</v>
      </c>
    </row>
    <row r="819" spans="1:9" hidden="1" x14ac:dyDescent="0.35">
      <c r="A819" s="6" t="s">
        <v>817</v>
      </c>
      <c r="B819" t="s">
        <v>1640</v>
      </c>
    </row>
    <row r="820" spans="1:9" hidden="1" x14ac:dyDescent="0.35">
      <c r="A820" t="s">
        <v>818</v>
      </c>
      <c r="B820" t="s">
        <v>1641</v>
      </c>
    </row>
    <row r="821" spans="1:9" hidden="1" x14ac:dyDescent="0.35">
      <c r="A821" t="s">
        <v>819</v>
      </c>
    </row>
    <row r="822" spans="1:9" hidden="1" x14ac:dyDescent="0.35">
      <c r="A822" t="s">
        <v>820</v>
      </c>
      <c r="B822" s="7" t="s">
        <v>1642</v>
      </c>
    </row>
    <row r="823" spans="1:9" hidden="1" x14ac:dyDescent="0.35">
      <c r="A823" s="6" t="s">
        <v>821</v>
      </c>
      <c r="B823" s="7" t="s">
        <v>1643</v>
      </c>
    </row>
    <row r="824" spans="1:9" hidden="1" x14ac:dyDescent="0.35">
      <c r="A824" t="s">
        <v>822</v>
      </c>
      <c r="B824" s="7" t="s">
        <v>1644</v>
      </c>
    </row>
    <row r="825" spans="1:9" hidden="1" x14ac:dyDescent="0.35">
      <c r="A825" t="s">
        <v>823</v>
      </c>
      <c r="B825" s="7" t="s">
        <v>1645</v>
      </c>
    </row>
    <row r="826" spans="1:9" hidden="1" x14ac:dyDescent="0.35">
      <c r="A826" t="s">
        <v>824</v>
      </c>
      <c r="B826" s="7" t="s">
        <v>1646</v>
      </c>
    </row>
    <row r="827" spans="1:9" hidden="1" x14ac:dyDescent="0.35">
      <c r="A827" s="4" t="s">
        <v>825</v>
      </c>
      <c r="B827" s="7" t="s">
        <v>1647</v>
      </c>
    </row>
    <row r="828" spans="1:9" x14ac:dyDescent="0.35">
      <c r="A828" t="s">
        <v>60</v>
      </c>
      <c r="B828" s="7" t="s">
        <v>889</v>
      </c>
      <c r="E828">
        <v>220</v>
      </c>
      <c r="F828" t="s">
        <v>3318</v>
      </c>
      <c r="G828" t="s">
        <v>3480</v>
      </c>
      <c r="H828" s="57">
        <v>44580</v>
      </c>
      <c r="I828" t="s">
        <v>1720</v>
      </c>
    </row>
    <row r="829" spans="1:9" hidden="1" x14ac:dyDescent="0.35">
      <c r="A829" s="4" t="s">
        <v>565</v>
      </c>
      <c r="B829" t="s">
        <v>1389</v>
      </c>
    </row>
    <row r="830" spans="1:9" x14ac:dyDescent="0.35">
      <c r="A830" t="s">
        <v>122</v>
      </c>
      <c r="B830" s="7" t="s">
        <v>951</v>
      </c>
      <c r="E830">
        <v>320</v>
      </c>
      <c r="F830" t="s">
        <v>3317</v>
      </c>
      <c r="G830" t="s">
        <v>3480</v>
      </c>
      <c r="H830" s="57">
        <v>44580</v>
      </c>
      <c r="I830" t="s">
        <v>1720</v>
      </c>
    </row>
    <row r="831" spans="1:9" hidden="1" x14ac:dyDescent="0.35">
      <c r="A831" t="s">
        <v>827</v>
      </c>
      <c r="B831" s="7" t="s">
        <v>1649</v>
      </c>
    </row>
    <row r="832" spans="1:9" s="26" customFormat="1" hidden="1" x14ac:dyDescent="0.35">
      <c r="A832" s="26" t="s">
        <v>3325</v>
      </c>
    </row>
    <row r="833" spans="1:2" s="26" customFormat="1" hidden="1" x14ac:dyDescent="0.35">
      <c r="A833" s="26" t="s">
        <v>3326</v>
      </c>
      <c r="B833" s="26" t="s">
        <v>3327</v>
      </c>
    </row>
    <row r="834" spans="1:2" s="26" customFormat="1" hidden="1" x14ac:dyDescent="0.35">
      <c r="A834" s="26" t="s">
        <v>3328</v>
      </c>
      <c r="B834" s="26" t="s">
        <v>3329</v>
      </c>
    </row>
    <row r="835" spans="1:2" s="26" customFormat="1" hidden="1" x14ac:dyDescent="0.35">
      <c r="A835" s="26" t="s">
        <v>3330</v>
      </c>
      <c r="B835" s="26" t="s">
        <v>3331</v>
      </c>
    </row>
    <row r="836" spans="1:2" s="26" customFormat="1" hidden="1" x14ac:dyDescent="0.35">
      <c r="A836" s="26" t="s">
        <v>3332</v>
      </c>
      <c r="B836" s="26" t="s">
        <v>3333</v>
      </c>
    </row>
    <row r="837" spans="1:2" s="26" customFormat="1" hidden="1" x14ac:dyDescent="0.35">
      <c r="A837" s="26" t="s">
        <v>3334</v>
      </c>
      <c r="B837" s="26" t="s">
        <v>867</v>
      </c>
    </row>
    <row r="838" spans="1:2" s="26" customFormat="1" hidden="1" x14ac:dyDescent="0.35">
      <c r="A838" s="26" t="s">
        <v>3335</v>
      </c>
      <c r="B838" s="26" t="s">
        <v>3336</v>
      </c>
    </row>
    <row r="839" spans="1:2" s="26" customFormat="1" hidden="1" x14ac:dyDescent="0.35">
      <c r="A839" s="26" t="s">
        <v>3337</v>
      </c>
      <c r="B839" s="26" t="s">
        <v>1397</v>
      </c>
    </row>
    <row r="840" spans="1:2" s="26" customFormat="1" hidden="1" x14ac:dyDescent="0.35">
      <c r="A840" s="26" t="s">
        <v>3338</v>
      </c>
      <c r="B840" s="26" t="s">
        <v>3339</v>
      </c>
    </row>
    <row r="841" spans="1:2" s="26" customFormat="1" hidden="1" x14ac:dyDescent="0.35">
      <c r="A841" s="26" t="s">
        <v>3340</v>
      </c>
      <c r="B841" s="26" t="s">
        <v>3341</v>
      </c>
    </row>
    <row r="842" spans="1:2" s="26" customFormat="1" hidden="1" x14ac:dyDescent="0.35">
      <c r="A842" s="26" t="s">
        <v>3342</v>
      </c>
      <c r="B842" s="26" t="s">
        <v>3343</v>
      </c>
    </row>
    <row r="843" spans="1:2" s="26" customFormat="1" hidden="1" x14ac:dyDescent="0.35">
      <c r="A843" s="26" t="s">
        <v>1879</v>
      </c>
      <c r="B843" s="26" t="s">
        <v>3344</v>
      </c>
    </row>
    <row r="844" spans="1:2" s="26" customFormat="1" hidden="1" x14ac:dyDescent="0.35">
      <c r="A844" s="26" t="s">
        <v>3345</v>
      </c>
      <c r="B844" s="26" t="s">
        <v>3346</v>
      </c>
    </row>
    <row r="845" spans="1:2" s="26" customFormat="1" hidden="1" x14ac:dyDescent="0.35">
      <c r="A845" s="26" t="s">
        <v>3347</v>
      </c>
      <c r="B845" s="26" t="s">
        <v>3348</v>
      </c>
    </row>
    <row r="846" spans="1:2" s="26" customFormat="1" hidden="1" x14ac:dyDescent="0.35">
      <c r="A846" s="26" t="s">
        <v>3349</v>
      </c>
      <c r="B846" s="26" t="s">
        <v>3350</v>
      </c>
    </row>
    <row r="847" spans="1:2" s="26" customFormat="1" hidden="1" x14ac:dyDescent="0.35">
      <c r="A847" s="26" t="s">
        <v>3351</v>
      </c>
      <c r="B847" s="26" t="s">
        <v>3352</v>
      </c>
    </row>
    <row r="848" spans="1:2" s="26" customFormat="1" hidden="1" x14ac:dyDescent="0.35">
      <c r="A848" s="26" t="s">
        <v>3353</v>
      </c>
      <c r="B848" s="26" t="s">
        <v>3354</v>
      </c>
    </row>
    <row r="849" spans="1:2" s="26" customFormat="1" hidden="1" x14ac:dyDescent="0.35">
      <c r="A849" s="26" t="s">
        <v>3355</v>
      </c>
      <c r="B849" s="26" t="s">
        <v>3356</v>
      </c>
    </row>
    <row r="850" spans="1:2" s="26" customFormat="1" hidden="1" x14ac:dyDescent="0.35">
      <c r="A850" s="26" t="s">
        <v>3357</v>
      </c>
      <c r="B850" s="26" t="s">
        <v>3358</v>
      </c>
    </row>
    <row r="851" spans="1:2" s="26" customFormat="1" hidden="1" x14ac:dyDescent="0.35">
      <c r="A851" s="26" t="s">
        <v>3359</v>
      </c>
      <c r="B851" s="26" t="s">
        <v>3360</v>
      </c>
    </row>
    <row r="852" spans="1:2" s="26" customFormat="1" hidden="1" x14ac:dyDescent="0.35">
      <c r="A852" s="26" t="s">
        <v>3361</v>
      </c>
      <c r="B852" s="26" t="s">
        <v>3362</v>
      </c>
    </row>
    <row r="853" spans="1:2" s="26" customFormat="1" hidden="1" x14ac:dyDescent="0.35">
      <c r="A853" s="26" t="s">
        <v>3363</v>
      </c>
      <c r="B853" s="26" t="s">
        <v>3364</v>
      </c>
    </row>
    <row r="854" spans="1:2" s="26" customFormat="1" hidden="1" x14ac:dyDescent="0.35">
      <c r="A854" s="26" t="s">
        <v>3365</v>
      </c>
      <c r="B854" s="26" t="s">
        <v>3366</v>
      </c>
    </row>
    <row r="855" spans="1:2" s="26" customFormat="1" hidden="1" x14ac:dyDescent="0.35">
      <c r="A855" s="26" t="s">
        <v>3367</v>
      </c>
      <c r="B855" s="26" t="s">
        <v>3368</v>
      </c>
    </row>
    <row r="856" spans="1:2" s="26" customFormat="1" hidden="1" x14ac:dyDescent="0.35">
      <c r="A856" s="26" t="s">
        <v>3369</v>
      </c>
      <c r="B856" s="26" t="s">
        <v>3370</v>
      </c>
    </row>
    <row r="857" spans="1:2" s="26" customFormat="1" hidden="1" x14ac:dyDescent="0.35">
      <c r="A857" s="26" t="s">
        <v>3371</v>
      </c>
      <c r="B857" s="26" t="s">
        <v>3372</v>
      </c>
    </row>
    <row r="858" spans="1:2" s="26" customFormat="1" hidden="1" x14ac:dyDescent="0.35">
      <c r="A858" s="26" t="s">
        <v>3373</v>
      </c>
      <c r="B858" s="26" t="s">
        <v>3374</v>
      </c>
    </row>
    <row r="859" spans="1:2" s="26" customFormat="1" hidden="1" x14ac:dyDescent="0.35">
      <c r="A859" s="26" t="s">
        <v>3375</v>
      </c>
      <c r="B859" s="26" t="s">
        <v>3376</v>
      </c>
    </row>
    <row r="860" spans="1:2" s="26" customFormat="1" hidden="1" x14ac:dyDescent="0.35">
      <c r="A860" s="26" t="s">
        <v>3377</v>
      </c>
      <c r="B860" s="26" t="s">
        <v>3339</v>
      </c>
    </row>
    <row r="861" spans="1:2" s="26" customFormat="1" hidden="1" x14ac:dyDescent="0.35">
      <c r="A861" s="26" t="s">
        <v>3378</v>
      </c>
      <c r="B861" s="26" t="s">
        <v>3341</v>
      </c>
    </row>
    <row r="862" spans="1:2" s="26" customFormat="1" hidden="1" x14ac:dyDescent="0.35">
      <c r="A862" s="26" t="s">
        <v>3379</v>
      </c>
      <c r="B862" s="26" t="s">
        <v>3380</v>
      </c>
    </row>
    <row r="863" spans="1:2" s="26" customFormat="1" hidden="1" x14ac:dyDescent="0.35">
      <c r="A863" s="26" t="s">
        <v>3381</v>
      </c>
      <c r="B863" s="26" t="s">
        <v>3382</v>
      </c>
    </row>
    <row r="864" spans="1:2" s="26" customFormat="1" hidden="1" x14ac:dyDescent="0.35">
      <c r="A864" s="26" t="s">
        <v>3383</v>
      </c>
      <c r="B864" s="26" t="s">
        <v>3384</v>
      </c>
    </row>
    <row r="865" spans="1:2" s="26" customFormat="1" hidden="1" x14ac:dyDescent="0.35">
      <c r="A865" s="26" t="s">
        <v>3385</v>
      </c>
      <c r="B865" s="26" t="s">
        <v>3386</v>
      </c>
    </row>
    <row r="866" spans="1:2" s="26" customFormat="1" hidden="1" x14ac:dyDescent="0.35">
      <c r="A866" s="26" t="s">
        <v>3387</v>
      </c>
      <c r="B866" s="26" t="s">
        <v>3388</v>
      </c>
    </row>
    <row r="867" spans="1:2" s="26" customFormat="1" hidden="1" x14ac:dyDescent="0.35">
      <c r="A867" s="26" t="s">
        <v>3389</v>
      </c>
      <c r="B867" s="26" t="s">
        <v>3390</v>
      </c>
    </row>
    <row r="868" spans="1:2" s="26" customFormat="1" hidden="1" x14ac:dyDescent="0.35">
      <c r="A868" s="26" t="s">
        <v>3391</v>
      </c>
      <c r="B868" s="26" t="s">
        <v>3392</v>
      </c>
    </row>
    <row r="869" spans="1:2" s="26" customFormat="1" hidden="1" x14ac:dyDescent="0.35">
      <c r="A869" s="26" t="s">
        <v>3393</v>
      </c>
      <c r="B869" s="26" t="s">
        <v>3348</v>
      </c>
    </row>
    <row r="870" spans="1:2" s="26" customFormat="1" hidden="1" x14ac:dyDescent="0.35">
      <c r="A870" s="26" t="s">
        <v>3394</v>
      </c>
      <c r="B870" s="26" t="s">
        <v>3395</v>
      </c>
    </row>
    <row r="871" spans="1:2" s="26" customFormat="1" hidden="1" x14ac:dyDescent="0.35">
      <c r="A871" s="26" t="s">
        <v>3396</v>
      </c>
      <c r="B871" s="26" t="s">
        <v>3397</v>
      </c>
    </row>
    <row r="872" spans="1:2" s="26" customFormat="1" hidden="1" x14ac:dyDescent="0.35">
      <c r="A872" s="26" t="s">
        <v>3398</v>
      </c>
      <c r="B872" s="26" t="s">
        <v>3352</v>
      </c>
    </row>
    <row r="873" spans="1:2" s="26" customFormat="1" hidden="1" x14ac:dyDescent="0.35">
      <c r="A873" s="26" t="s">
        <v>3399</v>
      </c>
      <c r="B873" s="26" t="s">
        <v>3400</v>
      </c>
    </row>
    <row r="874" spans="1:2" s="26" customFormat="1" hidden="1" x14ac:dyDescent="0.35">
      <c r="A874" s="26" t="s">
        <v>3401</v>
      </c>
      <c r="B874" s="26" t="s">
        <v>3402</v>
      </c>
    </row>
    <row r="875" spans="1:2" s="26" customFormat="1" hidden="1" x14ac:dyDescent="0.35">
      <c r="A875" s="26" t="s">
        <v>3403</v>
      </c>
      <c r="B875" s="26" t="s">
        <v>3404</v>
      </c>
    </row>
    <row r="876" spans="1:2" s="26" customFormat="1" hidden="1" x14ac:dyDescent="0.35">
      <c r="A876" s="26" t="s">
        <v>3405</v>
      </c>
      <c r="B876" s="26" t="s">
        <v>3406</v>
      </c>
    </row>
    <row r="877" spans="1:2" s="26" customFormat="1" hidden="1" x14ac:dyDescent="0.35">
      <c r="A877" s="26" t="s">
        <v>3407</v>
      </c>
      <c r="B877" s="26" t="s">
        <v>3415</v>
      </c>
    </row>
    <row r="878" spans="1:2" s="26" customFormat="1" hidden="1" x14ac:dyDescent="0.35">
      <c r="A878" s="26" t="s">
        <v>3408</v>
      </c>
      <c r="B878" s="26" t="s">
        <v>3416</v>
      </c>
    </row>
    <row r="879" spans="1:2" s="26" customFormat="1" hidden="1" x14ac:dyDescent="0.35">
      <c r="A879" s="26" t="s">
        <v>3409</v>
      </c>
    </row>
    <row r="880" spans="1:2" s="26" customFormat="1" hidden="1" x14ac:dyDescent="0.35">
      <c r="A880" s="26" t="s">
        <v>3410</v>
      </c>
    </row>
    <row r="881" spans="1:2" s="26" customFormat="1" hidden="1" x14ac:dyDescent="0.35">
      <c r="A881" s="26" t="s">
        <v>3411</v>
      </c>
    </row>
    <row r="882" spans="1:2" s="26" customFormat="1" hidden="1" x14ac:dyDescent="0.35">
      <c r="A882" s="26" t="s">
        <v>3412</v>
      </c>
      <c r="B882" s="26" t="s">
        <v>3417</v>
      </c>
    </row>
    <row r="883" spans="1:2" s="26" customFormat="1" hidden="1" x14ac:dyDescent="0.35">
      <c r="A883" s="26" t="s">
        <v>3413</v>
      </c>
      <c r="B883" s="26" t="s">
        <v>3418</v>
      </c>
    </row>
    <row r="884" spans="1:2" s="26" customFormat="1" hidden="1" x14ac:dyDescent="0.35">
      <c r="A884" s="26" t="s">
        <v>3414</v>
      </c>
      <c r="B884" s="26" t="s">
        <v>3419</v>
      </c>
    </row>
  </sheetData>
  <autoFilter ref="A1:I884" xr:uid="{3312049C-EA5C-4E49-8976-D99C6EF1B719}">
    <filterColumn colId="8">
      <customFilters>
        <customFilter operator="notEqual" val=" "/>
      </customFilters>
    </filterColumn>
    <sortState xmlns:xlrd2="http://schemas.microsoft.com/office/spreadsheetml/2017/richdata2" ref="A14:I830">
      <sortCondition ref="E1:E831"/>
    </sortState>
  </autoFilter>
  <hyperlinks>
    <hyperlink ref="A41" r:id="rId1" display="DTXSID5037523" xr:uid="{5B996BD7-D241-46DD-B2BF-3239CA33D579}"/>
    <hyperlink ref="A42" r:id="rId2" display="DTXSID1032482" xr:uid="{0E292B0F-21F2-4CE1-945F-A497C17D3267}"/>
    <hyperlink ref="A43" r:id="rId3" display="DTXSID4058499" xr:uid="{43A49D8C-51C7-41CA-A80E-B78AF6C7DB28}"/>
    <hyperlink ref="A44" r:id="rId4" display="DTXSID9037539" xr:uid="{3788B437-964F-48FA-B1F8-03D87E6234B8}"/>
    <hyperlink ref="A45" r:id="rId5" display="DTXSID1032640" xr:uid="{29FE6A06-5639-4912-B0A7-38A8EA900A28}"/>
    <hyperlink ref="A46" r:id="rId6" display="DTXSID2052736" xr:uid="{755CDC58-9937-4AA2-8F88-B965B64DC14D}"/>
    <hyperlink ref="A47" r:id="rId7" display="DTXSID6020147" xr:uid="{E4BB5C04-3342-4930-A113-EA7A10BE4622}"/>
    <hyperlink ref="A48" r:id="rId8" display="DTXSID5020819" xr:uid="{DF134A12-3B5C-4FB2-8982-B1D366632582}"/>
    <hyperlink ref="A351" r:id="rId9" display="DTXSID5037571" xr:uid="{96C407E6-49CF-408B-A899-2390E0824879}"/>
    <hyperlink ref="A50" r:id="rId10" display="DTXSID1023445" xr:uid="{FD37B585-C843-428A-BC0C-73516AF8C678}"/>
    <hyperlink ref="A51" r:id="rId11" display="DTXSID0020442" xr:uid="{8553EB0F-1852-43BA-BA2F-BD5F5346EBB4}"/>
    <hyperlink ref="A52" r:id="rId12" display="DTXSID4024195" xr:uid="{AE00BECA-7327-4A73-BD24-A939D2D829F6}"/>
    <hyperlink ref="A142" r:id="rId13" display="DTXSID2024113" xr:uid="{C0998738-E92F-49AB-9B5F-BC7973940920}"/>
    <hyperlink ref="A54" r:id="rId14" display="DTXSID9020322" xr:uid="{35D86AD8-58E2-44CF-9AE0-F32074F07128}"/>
    <hyperlink ref="A55" r:id="rId15" display="DTXSID9034868" xr:uid="{457AE34D-90DF-4614-AB27-5A2532237E4D}"/>
    <hyperlink ref="A56" r:id="rId16" display="DTXSID2020636" xr:uid="{0AAB5352-94DC-461A-83F4-73C2F9370BF2}"/>
    <hyperlink ref="A57" r:id="rId17" display="DTXSID9024194" xr:uid="{A1D936ED-3AD4-4666-8911-E05A4BD9E3EA}"/>
    <hyperlink ref="A58" r:id="rId18" display="DTXSID5040675" xr:uid="{50E98EBA-7E2F-4168-A55E-B124D4636CD1}"/>
    <hyperlink ref="A59" r:id="rId19" display="DTXSID8023975" xr:uid="{71B4EC18-22FA-44CF-B89D-3A3E7F3F8547}"/>
    <hyperlink ref="A60" r:id="rId20" display="DTXSID1024465" xr:uid="{2795172B-09EA-4C76-ADF6-B98A0FFF405F}"/>
    <hyperlink ref="A192" r:id="rId21" display="DTXSID6023737" xr:uid="{2BCD479B-71A2-4B22-825E-F9FC8C0CD250}"/>
    <hyperlink ref="A828" r:id="rId22" display="DTXSID40869118" xr:uid="{D1E0FEF4-6039-4842-AEC0-97EDB26E781F}"/>
    <hyperlink ref="A63" r:id="rId23" display="DTXSID5023114" xr:uid="{575D99AA-77BF-4045-846C-65B84CCBDCE9}"/>
    <hyperlink ref="A64" r:id="rId24" display="DTXSID4020161" xr:uid="{4B4C6CBE-AFC5-4555-A37B-B4472B92F825}"/>
    <hyperlink ref="A65" r:id="rId25" display="DTXSID4020878" xr:uid="{CE63ADAB-A8B0-47F4-BC06-903821D93F0B}"/>
    <hyperlink ref="A66" r:id="rId26" display="DTXSID4022658" xr:uid="{D7DBCBEA-595B-4585-992D-0AB4ECC54A12}"/>
    <hyperlink ref="A67" r:id="rId27" display="DTXSID8020913" xr:uid="{4BD5D6D3-F7BB-49AB-92B9-D58C35C2E1FC}"/>
    <hyperlink ref="A68" r:id="rId28" display="DTXSID0023955" xr:uid="{E54E8719-B56C-450B-8284-7A73CB99E0A4}"/>
    <hyperlink ref="A69" r:id="rId29" display="DTXSID9020877" xr:uid="{E38B5CEA-9E9B-47F9-8266-7EEFCCBE2056}"/>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449F1-B2D3-4F7F-80A0-6A6F36D3E9C3}">
  <dimension ref="A1:H885"/>
  <sheetViews>
    <sheetView workbookViewId="0">
      <pane ySplit="1" topLeftCell="A160" activePane="bottomLeft" state="frozen"/>
      <selection pane="bottomLeft" activeCell="I1" sqref="I1"/>
    </sheetView>
  </sheetViews>
  <sheetFormatPr defaultRowHeight="14.5" x14ac:dyDescent="0.35"/>
  <cols>
    <col min="1" max="1" width="12.54296875" customWidth="1"/>
    <col min="2" max="2" width="21.7265625" customWidth="1"/>
    <col min="3" max="3" width="20.81640625" customWidth="1"/>
    <col min="4" max="4" width="20.54296875" bestFit="1" customWidth="1"/>
    <col min="5" max="7" width="20.54296875" customWidth="1"/>
  </cols>
  <sheetData>
    <row r="1" spans="1:8" s="23" customFormat="1" x14ac:dyDescent="0.35">
      <c r="A1" s="22" t="s">
        <v>828</v>
      </c>
      <c r="B1" s="22" t="s">
        <v>1650</v>
      </c>
      <c r="C1" s="24" t="s">
        <v>1713</v>
      </c>
      <c r="D1" s="24" t="s">
        <v>1714</v>
      </c>
      <c r="E1" s="24" t="s">
        <v>3479</v>
      </c>
      <c r="F1" s="24" t="s">
        <v>4073</v>
      </c>
      <c r="G1" s="24" t="s">
        <v>4075</v>
      </c>
      <c r="H1" s="24" t="s">
        <v>1669</v>
      </c>
    </row>
    <row r="2" spans="1:8" x14ac:dyDescent="0.35">
      <c r="A2" t="s">
        <v>305</v>
      </c>
      <c r="B2" s="7" t="s">
        <v>1130</v>
      </c>
    </row>
    <row r="3" spans="1:8" x14ac:dyDescent="0.35">
      <c r="A3" t="s">
        <v>266</v>
      </c>
      <c r="B3" s="7" t="s">
        <v>1092</v>
      </c>
    </row>
    <row r="4" spans="1:8" x14ac:dyDescent="0.35">
      <c r="A4" t="s">
        <v>179</v>
      </c>
      <c r="B4" s="7" t="s">
        <v>1008</v>
      </c>
    </row>
    <row r="5" spans="1:8" x14ac:dyDescent="0.35">
      <c r="A5" t="s">
        <v>264</v>
      </c>
      <c r="B5" s="7" t="s">
        <v>1090</v>
      </c>
    </row>
    <row r="6" spans="1:8" x14ac:dyDescent="0.35">
      <c r="A6" s="4" t="s">
        <v>779</v>
      </c>
      <c r="B6" s="7" t="s">
        <v>1602</v>
      </c>
    </row>
    <row r="7" spans="1:8" x14ac:dyDescent="0.35">
      <c r="A7" t="s">
        <v>539</v>
      </c>
      <c r="B7" s="7" t="s">
        <v>1363</v>
      </c>
    </row>
    <row r="8" spans="1:8" x14ac:dyDescent="0.35">
      <c r="A8" t="s">
        <v>517</v>
      </c>
      <c r="B8" s="7" t="s">
        <v>1341</v>
      </c>
    </row>
    <row r="9" spans="1:8" x14ac:dyDescent="0.35">
      <c r="A9" t="s">
        <v>462</v>
      </c>
      <c r="B9" s="7" t="s">
        <v>1286</v>
      </c>
    </row>
    <row r="10" spans="1:8" x14ac:dyDescent="0.35">
      <c r="A10" t="s">
        <v>258</v>
      </c>
      <c r="B10" s="7" t="s">
        <v>1084</v>
      </c>
    </row>
    <row r="11" spans="1:8" x14ac:dyDescent="0.35">
      <c r="A11" t="s">
        <v>253</v>
      </c>
      <c r="B11" s="7" t="s">
        <v>1079</v>
      </c>
    </row>
    <row r="12" spans="1:8" x14ac:dyDescent="0.35">
      <c r="A12" t="s">
        <v>708</v>
      </c>
      <c r="B12" s="7" t="s">
        <v>1532</v>
      </c>
    </row>
    <row r="13" spans="1:8" x14ac:dyDescent="0.35">
      <c r="A13" t="s">
        <v>729</v>
      </c>
      <c r="B13" s="7" t="s">
        <v>1553</v>
      </c>
    </row>
    <row r="14" spans="1:8" x14ac:dyDescent="0.35">
      <c r="A14" t="s">
        <v>718</v>
      </c>
      <c r="B14" s="7" t="s">
        <v>1542</v>
      </c>
    </row>
    <row r="15" spans="1:8" x14ac:dyDescent="0.35">
      <c r="A15" t="s">
        <v>715</v>
      </c>
      <c r="B15" s="7" t="s">
        <v>1539</v>
      </c>
    </row>
    <row r="16" spans="1:8" x14ac:dyDescent="0.35">
      <c r="A16" t="s">
        <v>824</v>
      </c>
      <c r="B16" s="7" t="s">
        <v>1646</v>
      </c>
    </row>
    <row r="17" spans="1:2" x14ac:dyDescent="0.35">
      <c r="A17" t="s">
        <v>15</v>
      </c>
      <c r="B17" s="7" t="s">
        <v>844</v>
      </c>
    </row>
    <row r="18" spans="1:2" x14ac:dyDescent="0.35">
      <c r="A18" t="s">
        <v>707</v>
      </c>
      <c r="B18" s="7" t="s">
        <v>1531</v>
      </c>
    </row>
    <row r="19" spans="1:2" x14ac:dyDescent="0.35">
      <c r="A19" s="6" t="s">
        <v>817</v>
      </c>
      <c r="B19" t="s">
        <v>1640</v>
      </c>
    </row>
    <row r="20" spans="1:2" x14ac:dyDescent="0.35">
      <c r="A20" t="s">
        <v>813</v>
      </c>
      <c r="B20" s="7" t="s">
        <v>1636</v>
      </c>
    </row>
    <row r="21" spans="1:2" x14ac:dyDescent="0.35">
      <c r="A21" t="s">
        <v>795</v>
      </c>
      <c r="B21" s="7" t="s">
        <v>1618</v>
      </c>
    </row>
    <row r="22" spans="1:2" x14ac:dyDescent="0.35">
      <c r="A22" t="s">
        <v>227</v>
      </c>
      <c r="B22" s="7" t="s">
        <v>1054</v>
      </c>
    </row>
    <row r="23" spans="1:2" x14ac:dyDescent="0.35">
      <c r="A23" t="s">
        <v>319</v>
      </c>
      <c r="B23" s="7" t="s">
        <v>1144</v>
      </c>
    </row>
    <row r="24" spans="1:2" x14ac:dyDescent="0.35">
      <c r="A24" t="s">
        <v>457</v>
      </c>
      <c r="B24" s="7" t="s">
        <v>1281</v>
      </c>
    </row>
    <row r="25" spans="1:2" x14ac:dyDescent="0.35">
      <c r="A25" t="s">
        <v>132</v>
      </c>
      <c r="B25" s="7" t="s">
        <v>961</v>
      </c>
    </row>
    <row r="26" spans="1:2" x14ac:dyDescent="0.35">
      <c r="A26" t="s">
        <v>310</v>
      </c>
      <c r="B26" s="7" t="s">
        <v>1135</v>
      </c>
    </row>
    <row r="27" spans="1:2" x14ac:dyDescent="0.35">
      <c r="A27" t="s">
        <v>723</v>
      </c>
      <c r="B27" s="7" t="s">
        <v>1547</v>
      </c>
    </row>
    <row r="28" spans="1:2" x14ac:dyDescent="0.35">
      <c r="A28" t="s">
        <v>800</v>
      </c>
      <c r="B28" s="7" t="s">
        <v>1623</v>
      </c>
    </row>
    <row r="29" spans="1:2" x14ac:dyDescent="0.35">
      <c r="A29" t="s">
        <v>822</v>
      </c>
      <c r="B29" s="7" t="s">
        <v>1644</v>
      </c>
    </row>
    <row r="30" spans="1:2" x14ac:dyDescent="0.35">
      <c r="A30" t="s">
        <v>633</v>
      </c>
      <c r="B30" s="7" t="s">
        <v>1457</v>
      </c>
    </row>
    <row r="31" spans="1:2" x14ac:dyDescent="0.35">
      <c r="A31" t="s">
        <v>428</v>
      </c>
      <c r="B31" s="7" t="s">
        <v>1252</v>
      </c>
    </row>
    <row r="32" spans="1:2" x14ac:dyDescent="0.35">
      <c r="A32" t="s">
        <v>186</v>
      </c>
      <c r="B32" s="7" t="s">
        <v>1014</v>
      </c>
    </row>
    <row r="33" spans="1:2" x14ac:dyDescent="0.35">
      <c r="A33" t="s">
        <v>807</v>
      </c>
      <c r="B33" s="7" t="s">
        <v>1630</v>
      </c>
    </row>
    <row r="34" spans="1:2" x14ac:dyDescent="0.35">
      <c r="A34" t="s">
        <v>279</v>
      </c>
      <c r="B34" s="7" t="s">
        <v>1105</v>
      </c>
    </row>
    <row r="35" spans="1:2" x14ac:dyDescent="0.35">
      <c r="A35" t="s">
        <v>753</v>
      </c>
      <c r="B35" s="7" t="s">
        <v>1577</v>
      </c>
    </row>
    <row r="36" spans="1:2" x14ac:dyDescent="0.35">
      <c r="A36" t="s">
        <v>610</v>
      </c>
      <c r="B36" s="7" t="s">
        <v>1434</v>
      </c>
    </row>
    <row r="37" spans="1:2" x14ac:dyDescent="0.35">
      <c r="A37" t="s">
        <v>378</v>
      </c>
      <c r="B37" s="7" t="s">
        <v>1202</v>
      </c>
    </row>
    <row r="38" spans="1:2" x14ac:dyDescent="0.35">
      <c r="A38" t="s">
        <v>663</v>
      </c>
      <c r="B38" s="7" t="s">
        <v>1487</v>
      </c>
    </row>
    <row r="39" spans="1:2" x14ac:dyDescent="0.35">
      <c r="A39" t="s">
        <v>664</v>
      </c>
      <c r="B39" s="7" t="s">
        <v>1488</v>
      </c>
    </row>
    <row r="40" spans="1:2" x14ac:dyDescent="0.35">
      <c r="A40" t="s">
        <v>676</v>
      </c>
      <c r="B40" s="7" t="s">
        <v>1500</v>
      </c>
    </row>
    <row r="41" spans="1:2" x14ac:dyDescent="0.35">
      <c r="A41" t="s">
        <v>665</v>
      </c>
      <c r="B41" s="7" t="s">
        <v>1489</v>
      </c>
    </row>
    <row r="42" spans="1:2" x14ac:dyDescent="0.35">
      <c r="A42" t="s">
        <v>730</v>
      </c>
      <c r="B42" s="7" t="s">
        <v>1554</v>
      </c>
    </row>
    <row r="43" spans="1:2" x14ac:dyDescent="0.35">
      <c r="A43" t="s">
        <v>706</v>
      </c>
      <c r="B43" s="7" t="s">
        <v>1530</v>
      </c>
    </row>
    <row r="44" spans="1:2" x14ac:dyDescent="0.35">
      <c r="A44" t="s">
        <v>620</v>
      </c>
      <c r="B44" s="7" t="s">
        <v>1444</v>
      </c>
    </row>
    <row r="45" spans="1:2" x14ac:dyDescent="0.35">
      <c r="A45" t="s">
        <v>383</v>
      </c>
      <c r="B45" s="7" t="s">
        <v>1207</v>
      </c>
    </row>
    <row r="46" spans="1:2" x14ac:dyDescent="0.35">
      <c r="A46" t="s">
        <v>791</v>
      </c>
      <c r="B46" s="7" t="s">
        <v>1614</v>
      </c>
    </row>
    <row r="47" spans="1:2" x14ac:dyDescent="0.35">
      <c r="A47" t="s">
        <v>786</v>
      </c>
      <c r="B47" s="7" t="s">
        <v>1609</v>
      </c>
    </row>
    <row r="48" spans="1:2" x14ac:dyDescent="0.35">
      <c r="A48" t="s">
        <v>487</v>
      </c>
      <c r="B48" s="7" t="s">
        <v>1311</v>
      </c>
    </row>
    <row r="49" spans="1:2" x14ac:dyDescent="0.35">
      <c r="A49" t="s">
        <v>37</v>
      </c>
      <c r="B49" s="7" t="s">
        <v>866</v>
      </c>
    </row>
    <row r="50" spans="1:2" x14ac:dyDescent="0.35">
      <c r="A50" t="s">
        <v>789</v>
      </c>
      <c r="B50" s="7" t="s">
        <v>1612</v>
      </c>
    </row>
    <row r="51" spans="1:2" x14ac:dyDescent="0.35">
      <c r="A51" t="s">
        <v>640</v>
      </c>
      <c r="B51" s="7" t="s">
        <v>1464</v>
      </c>
    </row>
    <row r="52" spans="1:2" x14ac:dyDescent="0.35">
      <c r="A52" t="s">
        <v>717</v>
      </c>
      <c r="B52" s="7" t="s">
        <v>1541</v>
      </c>
    </row>
    <row r="53" spans="1:2" x14ac:dyDescent="0.35">
      <c r="A53" t="s">
        <v>447</v>
      </c>
      <c r="B53" s="7" t="s">
        <v>1271</v>
      </c>
    </row>
    <row r="54" spans="1:2" x14ac:dyDescent="0.35">
      <c r="A54" t="s">
        <v>481</v>
      </c>
      <c r="B54" s="7" t="s">
        <v>1305</v>
      </c>
    </row>
    <row r="55" spans="1:2" x14ac:dyDescent="0.35">
      <c r="A55" t="s">
        <v>149</v>
      </c>
      <c r="B55" s="7" t="s">
        <v>978</v>
      </c>
    </row>
    <row r="56" spans="1:2" x14ac:dyDescent="0.35">
      <c r="A56" t="s">
        <v>448</v>
      </c>
      <c r="B56" s="7" t="s">
        <v>1272</v>
      </c>
    </row>
    <row r="57" spans="1:2" x14ac:dyDescent="0.35">
      <c r="A57" t="s">
        <v>193</v>
      </c>
      <c r="B57" s="7" t="s">
        <v>1021</v>
      </c>
    </row>
    <row r="58" spans="1:2" x14ac:dyDescent="0.35">
      <c r="A58" t="s">
        <v>711</v>
      </c>
      <c r="B58" s="7" t="s">
        <v>1535</v>
      </c>
    </row>
    <row r="59" spans="1:2" x14ac:dyDescent="0.35">
      <c r="A59" t="s">
        <v>472</v>
      </c>
      <c r="B59" s="7" t="s">
        <v>1296</v>
      </c>
    </row>
    <row r="60" spans="1:2" x14ac:dyDescent="0.35">
      <c r="A60" t="s">
        <v>249</v>
      </c>
      <c r="B60" s="7" t="s">
        <v>1075</v>
      </c>
    </row>
    <row r="61" spans="1:2" x14ac:dyDescent="0.35">
      <c r="A61" t="s">
        <v>722</v>
      </c>
      <c r="B61" s="7" t="s">
        <v>1546</v>
      </c>
    </row>
    <row r="62" spans="1:2" x14ac:dyDescent="0.35">
      <c r="A62" t="s">
        <v>712</v>
      </c>
      <c r="B62" s="7" t="s">
        <v>1536</v>
      </c>
    </row>
    <row r="63" spans="1:2" x14ac:dyDescent="0.35">
      <c r="A63" t="s">
        <v>704</v>
      </c>
      <c r="B63" s="7" t="s">
        <v>1528</v>
      </c>
    </row>
    <row r="64" spans="1:2" x14ac:dyDescent="0.35">
      <c r="A64" t="s">
        <v>473</v>
      </c>
      <c r="B64" s="7" t="s">
        <v>1297</v>
      </c>
    </row>
    <row r="65" spans="1:2" x14ac:dyDescent="0.35">
      <c r="A65" t="s">
        <v>725</v>
      </c>
      <c r="B65" s="7" t="s">
        <v>1549</v>
      </c>
    </row>
    <row r="66" spans="1:2" x14ac:dyDescent="0.35">
      <c r="A66" t="s">
        <v>719</v>
      </c>
      <c r="B66" s="7" t="s">
        <v>1543</v>
      </c>
    </row>
    <row r="67" spans="1:2" x14ac:dyDescent="0.35">
      <c r="A67" t="s">
        <v>769</v>
      </c>
      <c r="B67" s="7" t="s">
        <v>1593</v>
      </c>
    </row>
    <row r="68" spans="1:2" x14ac:dyDescent="0.35">
      <c r="A68" t="s">
        <v>803</v>
      </c>
      <c r="B68" s="7" t="s">
        <v>1626</v>
      </c>
    </row>
    <row r="69" spans="1:2" x14ac:dyDescent="0.35">
      <c r="A69" t="s">
        <v>312</v>
      </c>
      <c r="B69" s="7" t="s">
        <v>1137</v>
      </c>
    </row>
    <row r="70" spans="1:2" x14ac:dyDescent="0.35">
      <c r="A70" t="s">
        <v>774</v>
      </c>
      <c r="B70" s="7" t="s">
        <v>1598</v>
      </c>
    </row>
    <row r="71" spans="1:2" x14ac:dyDescent="0.35">
      <c r="A71" t="s">
        <v>810</v>
      </c>
      <c r="B71" s="7" t="s">
        <v>1633</v>
      </c>
    </row>
    <row r="72" spans="1:2" x14ac:dyDescent="0.35">
      <c r="A72" t="s">
        <v>81</v>
      </c>
      <c r="B72" s="7" t="s">
        <v>910</v>
      </c>
    </row>
    <row r="73" spans="1:2" x14ac:dyDescent="0.35">
      <c r="A73" s="6" t="s">
        <v>812</v>
      </c>
      <c r="B73" s="7" t="s">
        <v>1635</v>
      </c>
    </row>
    <row r="74" spans="1:2" x14ac:dyDescent="0.35">
      <c r="A74" t="s">
        <v>713</v>
      </c>
      <c r="B74" s="7" t="s">
        <v>1537</v>
      </c>
    </row>
    <row r="75" spans="1:2" x14ac:dyDescent="0.35">
      <c r="A75" t="s">
        <v>724</v>
      </c>
      <c r="B75" s="7" t="s">
        <v>1548</v>
      </c>
    </row>
    <row r="76" spans="1:2" x14ac:dyDescent="0.35">
      <c r="A76" t="s">
        <v>19</v>
      </c>
      <c r="B76" s="7" t="s">
        <v>848</v>
      </c>
    </row>
    <row r="77" spans="1:2" x14ac:dyDescent="0.35">
      <c r="A77" t="s">
        <v>809</v>
      </c>
      <c r="B77" s="7" t="s">
        <v>1632</v>
      </c>
    </row>
    <row r="78" spans="1:2" x14ac:dyDescent="0.35">
      <c r="A78" t="s">
        <v>216</v>
      </c>
      <c r="B78" s="7" t="s">
        <v>1043</v>
      </c>
    </row>
    <row r="79" spans="1:2" x14ac:dyDescent="0.35">
      <c r="A79" t="s">
        <v>814</v>
      </c>
      <c r="B79" s="7" t="s">
        <v>1637</v>
      </c>
    </row>
    <row r="80" spans="1:2" x14ac:dyDescent="0.35">
      <c r="A80" t="s">
        <v>185</v>
      </c>
      <c r="B80" s="7" t="s">
        <v>1013</v>
      </c>
    </row>
    <row r="81" spans="1:2" x14ac:dyDescent="0.35">
      <c r="A81" t="s">
        <v>772</v>
      </c>
      <c r="B81" s="7" t="s">
        <v>1596</v>
      </c>
    </row>
    <row r="82" spans="1:2" x14ac:dyDescent="0.35">
      <c r="A82" t="s">
        <v>455</v>
      </c>
      <c r="B82" s="7" t="s">
        <v>1279</v>
      </c>
    </row>
    <row r="83" spans="1:2" x14ac:dyDescent="0.35">
      <c r="A83" t="s">
        <v>420</v>
      </c>
      <c r="B83" s="7" t="s">
        <v>1244</v>
      </c>
    </row>
    <row r="84" spans="1:2" x14ac:dyDescent="0.35">
      <c r="A84" t="s">
        <v>28</v>
      </c>
      <c r="B84" s="7" t="s">
        <v>857</v>
      </c>
    </row>
    <row r="85" spans="1:2" x14ac:dyDescent="0.35">
      <c r="A85" t="s">
        <v>366</v>
      </c>
      <c r="B85" s="7" t="s">
        <v>1190</v>
      </c>
    </row>
    <row r="86" spans="1:2" x14ac:dyDescent="0.35">
      <c r="A86" t="s">
        <v>147</v>
      </c>
      <c r="B86" s="7" t="s">
        <v>976</v>
      </c>
    </row>
    <row r="87" spans="1:2" x14ac:dyDescent="0.35">
      <c r="A87" t="s">
        <v>740</v>
      </c>
      <c r="B87" s="7" t="s">
        <v>1564</v>
      </c>
    </row>
    <row r="88" spans="1:2" x14ac:dyDescent="0.35">
      <c r="A88" t="s">
        <v>438</v>
      </c>
      <c r="B88" s="7" t="s">
        <v>1262</v>
      </c>
    </row>
    <row r="89" spans="1:2" x14ac:dyDescent="0.35">
      <c r="A89" t="s">
        <v>678</v>
      </c>
      <c r="B89" s="7" t="s">
        <v>1502</v>
      </c>
    </row>
    <row r="90" spans="1:2" x14ac:dyDescent="0.35">
      <c r="A90" t="s">
        <v>389</v>
      </c>
      <c r="B90" s="7" t="s">
        <v>1213</v>
      </c>
    </row>
    <row r="91" spans="1:2" x14ac:dyDescent="0.35">
      <c r="A91" t="s">
        <v>394</v>
      </c>
      <c r="B91" s="7" t="s">
        <v>1218</v>
      </c>
    </row>
    <row r="92" spans="1:2" x14ac:dyDescent="0.35">
      <c r="A92" s="6" t="s">
        <v>792</v>
      </c>
      <c r="B92" s="7" t="s">
        <v>1615</v>
      </c>
    </row>
    <row r="93" spans="1:2" x14ac:dyDescent="0.35">
      <c r="A93" s="5" t="s">
        <v>782</v>
      </c>
      <c r="B93" s="7" t="s">
        <v>1605</v>
      </c>
    </row>
    <row r="94" spans="1:2" x14ac:dyDescent="0.35">
      <c r="A94" t="s">
        <v>33</v>
      </c>
      <c r="B94" s="7" t="s">
        <v>862</v>
      </c>
    </row>
    <row r="95" spans="1:2" x14ac:dyDescent="0.35">
      <c r="A95" t="s">
        <v>406</v>
      </c>
      <c r="B95" s="7" t="s">
        <v>1230</v>
      </c>
    </row>
    <row r="96" spans="1:2" x14ac:dyDescent="0.35">
      <c r="A96" t="s">
        <v>529</v>
      </c>
      <c r="B96" s="7" t="s">
        <v>1353</v>
      </c>
    </row>
    <row r="97" spans="1:2" x14ac:dyDescent="0.35">
      <c r="A97" t="s">
        <v>657</v>
      </c>
      <c r="B97" s="7" t="s">
        <v>1481</v>
      </c>
    </row>
    <row r="98" spans="1:2" x14ac:dyDescent="0.35">
      <c r="A98" t="s">
        <v>595</v>
      </c>
      <c r="B98" s="7" t="s">
        <v>1419</v>
      </c>
    </row>
    <row r="99" spans="1:2" x14ac:dyDescent="0.35">
      <c r="A99" t="s">
        <v>705</v>
      </c>
      <c r="B99" s="7" t="s">
        <v>1529</v>
      </c>
    </row>
    <row r="100" spans="1:2" x14ac:dyDescent="0.35">
      <c r="A100" t="s">
        <v>649</v>
      </c>
      <c r="B100" s="7" t="s">
        <v>1473</v>
      </c>
    </row>
    <row r="101" spans="1:2" x14ac:dyDescent="0.35">
      <c r="A101" t="s">
        <v>418</v>
      </c>
      <c r="B101" s="7" t="s">
        <v>1242</v>
      </c>
    </row>
    <row r="102" spans="1:2" x14ac:dyDescent="0.35">
      <c r="A102" t="s">
        <v>230</v>
      </c>
      <c r="B102" s="7" t="s">
        <v>1057</v>
      </c>
    </row>
    <row r="103" spans="1:2" x14ac:dyDescent="0.35">
      <c r="A103" t="s">
        <v>508</v>
      </c>
      <c r="B103" s="7" t="s">
        <v>1332</v>
      </c>
    </row>
    <row r="104" spans="1:2" x14ac:dyDescent="0.35">
      <c r="A104" t="s">
        <v>168</v>
      </c>
      <c r="B104" s="7" t="s">
        <v>997</v>
      </c>
    </row>
    <row r="105" spans="1:2" x14ac:dyDescent="0.35">
      <c r="A105" t="s">
        <v>365</v>
      </c>
      <c r="B105" s="7" t="s">
        <v>1189</v>
      </c>
    </row>
    <row r="106" spans="1:2" x14ac:dyDescent="0.35">
      <c r="A106" t="s">
        <v>494</v>
      </c>
      <c r="B106" s="7" t="s">
        <v>1318</v>
      </c>
    </row>
    <row r="107" spans="1:2" x14ac:dyDescent="0.35">
      <c r="A107" t="s">
        <v>781</v>
      </c>
      <c r="B107" s="7" t="s">
        <v>1604</v>
      </c>
    </row>
    <row r="108" spans="1:2" x14ac:dyDescent="0.35">
      <c r="A108" t="s">
        <v>74</v>
      </c>
      <c r="B108" s="7" t="s">
        <v>903</v>
      </c>
    </row>
    <row r="109" spans="1:2" x14ac:dyDescent="0.35">
      <c r="A109" t="s">
        <v>323</v>
      </c>
      <c r="B109" s="7" t="s">
        <v>1148</v>
      </c>
    </row>
    <row r="110" spans="1:2" x14ac:dyDescent="0.35">
      <c r="A110" t="s">
        <v>537</v>
      </c>
      <c r="B110" s="7" t="s">
        <v>1361</v>
      </c>
    </row>
    <row r="111" spans="1:2" x14ac:dyDescent="0.35">
      <c r="A111" t="s">
        <v>710</v>
      </c>
      <c r="B111" s="7" t="s">
        <v>1534</v>
      </c>
    </row>
    <row r="112" spans="1:2" x14ac:dyDescent="0.35">
      <c r="A112" t="s">
        <v>441</v>
      </c>
      <c r="B112" s="7" t="s">
        <v>1265</v>
      </c>
    </row>
    <row r="113" spans="1:2" x14ac:dyDescent="0.35">
      <c r="A113" t="s">
        <v>799</v>
      </c>
      <c r="B113" s="7" t="s">
        <v>1622</v>
      </c>
    </row>
    <row r="114" spans="1:2" x14ac:dyDescent="0.35">
      <c r="A114" t="s">
        <v>662</v>
      </c>
      <c r="B114" s="7" t="s">
        <v>1486</v>
      </c>
    </row>
    <row r="115" spans="1:2" x14ac:dyDescent="0.35">
      <c r="A115" t="s">
        <v>285</v>
      </c>
      <c r="B115" s="7" t="s">
        <v>1110</v>
      </c>
    </row>
    <row r="116" spans="1:2" x14ac:dyDescent="0.35">
      <c r="A116" t="s">
        <v>46</v>
      </c>
      <c r="B116" s="7" t="s">
        <v>875</v>
      </c>
    </row>
    <row r="117" spans="1:2" x14ac:dyDescent="0.35">
      <c r="A117" t="s">
        <v>650</v>
      </c>
      <c r="B117" s="7" t="s">
        <v>1474</v>
      </c>
    </row>
    <row r="118" spans="1:2" x14ac:dyDescent="0.35">
      <c r="A118" t="s">
        <v>27</v>
      </c>
      <c r="B118" s="7" t="s">
        <v>856</v>
      </c>
    </row>
    <row r="119" spans="1:2" x14ac:dyDescent="0.35">
      <c r="A119" t="s">
        <v>199</v>
      </c>
      <c r="B119" s="7" t="s">
        <v>1027</v>
      </c>
    </row>
    <row r="120" spans="1:2" x14ac:dyDescent="0.35">
      <c r="A120" t="s">
        <v>679</v>
      </c>
      <c r="B120" s="7" t="s">
        <v>1503</v>
      </c>
    </row>
    <row r="121" spans="1:2" x14ac:dyDescent="0.35">
      <c r="A121" t="s">
        <v>680</v>
      </c>
      <c r="B121" s="7" t="s">
        <v>1504</v>
      </c>
    </row>
    <row r="122" spans="1:2" x14ac:dyDescent="0.35">
      <c r="A122" t="s">
        <v>681</v>
      </c>
      <c r="B122" s="7" t="s">
        <v>1505</v>
      </c>
    </row>
    <row r="123" spans="1:2" x14ac:dyDescent="0.35">
      <c r="A123" t="s">
        <v>387</v>
      </c>
      <c r="B123" s="7" t="s">
        <v>1211</v>
      </c>
    </row>
    <row r="124" spans="1:2" x14ac:dyDescent="0.35">
      <c r="A124" t="s">
        <v>371</v>
      </c>
      <c r="B124" s="7" t="s">
        <v>1195</v>
      </c>
    </row>
    <row r="125" spans="1:2" x14ac:dyDescent="0.35">
      <c r="A125" s="6" t="s">
        <v>788</v>
      </c>
      <c r="B125" t="s">
        <v>1611</v>
      </c>
    </row>
    <row r="126" spans="1:2" x14ac:dyDescent="0.35">
      <c r="A126" t="s">
        <v>482</v>
      </c>
      <c r="B126" s="7" t="s">
        <v>1306</v>
      </c>
    </row>
    <row r="127" spans="1:2" x14ac:dyDescent="0.35">
      <c r="A127" t="s">
        <v>172</v>
      </c>
      <c r="B127" s="7" t="s">
        <v>1001</v>
      </c>
    </row>
    <row r="128" spans="1:2" x14ac:dyDescent="0.35">
      <c r="A128" t="s">
        <v>226</v>
      </c>
      <c r="B128" s="7" t="s">
        <v>1053</v>
      </c>
    </row>
    <row r="129" spans="1:2" x14ac:dyDescent="0.35">
      <c r="A129" t="s">
        <v>498</v>
      </c>
      <c r="B129" s="7" t="s">
        <v>1322</v>
      </c>
    </row>
    <row r="130" spans="1:2" x14ac:dyDescent="0.35">
      <c r="A130" t="s">
        <v>667</v>
      </c>
      <c r="B130" s="7" t="s">
        <v>1491</v>
      </c>
    </row>
    <row r="131" spans="1:2" x14ac:dyDescent="0.35">
      <c r="A131" t="s">
        <v>445</v>
      </c>
      <c r="B131" s="7" t="s">
        <v>1269</v>
      </c>
    </row>
    <row r="132" spans="1:2" x14ac:dyDescent="0.35">
      <c r="A132" t="s">
        <v>41</v>
      </c>
      <c r="B132" s="7" t="s">
        <v>870</v>
      </c>
    </row>
    <row r="133" spans="1:2" x14ac:dyDescent="0.35">
      <c r="A133" t="s">
        <v>281</v>
      </c>
      <c r="B133" s="7" t="s">
        <v>1107</v>
      </c>
    </row>
    <row r="134" spans="1:2" x14ac:dyDescent="0.35">
      <c r="A134" t="s">
        <v>273</v>
      </c>
      <c r="B134" s="7" t="s">
        <v>1099</v>
      </c>
    </row>
    <row r="135" spans="1:2" x14ac:dyDescent="0.35">
      <c r="A135" t="s">
        <v>256</v>
      </c>
      <c r="B135" s="7" t="s">
        <v>1082</v>
      </c>
    </row>
    <row r="136" spans="1:2" x14ac:dyDescent="0.35">
      <c r="A136" t="s">
        <v>549</v>
      </c>
      <c r="B136" s="7" t="s">
        <v>1373</v>
      </c>
    </row>
    <row r="137" spans="1:2" x14ac:dyDescent="0.35">
      <c r="A137" t="s">
        <v>783</v>
      </c>
      <c r="B137" s="7" t="s">
        <v>1606</v>
      </c>
    </row>
    <row r="138" spans="1:2" x14ac:dyDescent="0.35">
      <c r="A138" t="s">
        <v>342</v>
      </c>
      <c r="B138" s="7" t="s">
        <v>1166</v>
      </c>
    </row>
    <row r="139" spans="1:2" x14ac:dyDescent="0.35">
      <c r="A139" t="s">
        <v>796</v>
      </c>
      <c r="B139" s="7" t="s">
        <v>1619</v>
      </c>
    </row>
    <row r="140" spans="1:2" x14ac:dyDescent="0.35">
      <c r="A140" t="s">
        <v>798</v>
      </c>
      <c r="B140" s="7" t="s">
        <v>1621</v>
      </c>
    </row>
    <row r="141" spans="1:2" x14ac:dyDescent="0.35">
      <c r="A141" t="s">
        <v>811</v>
      </c>
      <c r="B141" s="7" t="s">
        <v>1634</v>
      </c>
    </row>
    <row r="142" spans="1:2" x14ac:dyDescent="0.35">
      <c r="A142" t="s">
        <v>805</v>
      </c>
      <c r="B142" s="7" t="s">
        <v>1628</v>
      </c>
    </row>
    <row r="143" spans="1:2" x14ac:dyDescent="0.35">
      <c r="A143" t="s">
        <v>443</v>
      </c>
      <c r="B143" s="7" t="s">
        <v>1267</v>
      </c>
    </row>
    <row r="144" spans="1:2" x14ac:dyDescent="0.35">
      <c r="A144" t="s">
        <v>784</v>
      </c>
      <c r="B144" s="7" t="s">
        <v>1607</v>
      </c>
    </row>
    <row r="145" spans="1:2" x14ac:dyDescent="0.35">
      <c r="A145" t="s">
        <v>815</v>
      </c>
      <c r="B145" t="s">
        <v>1638</v>
      </c>
    </row>
    <row r="146" spans="1:2" x14ac:dyDescent="0.35">
      <c r="A146" t="s">
        <v>806</v>
      </c>
      <c r="B146" s="7" t="s">
        <v>1629</v>
      </c>
    </row>
    <row r="147" spans="1:2" x14ac:dyDescent="0.35">
      <c r="A147" t="s">
        <v>802</v>
      </c>
      <c r="B147" s="7" t="s">
        <v>1625</v>
      </c>
    </row>
    <row r="148" spans="1:2" x14ac:dyDescent="0.35">
      <c r="A148" t="s">
        <v>526</v>
      </c>
      <c r="B148" s="7" t="s">
        <v>1350</v>
      </c>
    </row>
    <row r="149" spans="1:2" x14ac:dyDescent="0.35">
      <c r="A149" t="s">
        <v>101</v>
      </c>
      <c r="B149" s="7" t="s">
        <v>930</v>
      </c>
    </row>
    <row r="150" spans="1:2" x14ac:dyDescent="0.35">
      <c r="A150" t="s">
        <v>552</v>
      </c>
      <c r="B150" s="7" t="s">
        <v>1376</v>
      </c>
    </row>
    <row r="151" spans="1:2" x14ac:dyDescent="0.35">
      <c r="A151" t="s">
        <v>39</v>
      </c>
      <c r="B151" s="7" t="s">
        <v>868</v>
      </c>
    </row>
    <row r="152" spans="1:2" x14ac:dyDescent="0.35">
      <c r="A152" t="s">
        <v>75</v>
      </c>
      <c r="B152" s="7" t="s">
        <v>904</v>
      </c>
    </row>
    <row r="153" spans="1:2" x14ac:dyDescent="0.35">
      <c r="A153" t="s">
        <v>446</v>
      </c>
      <c r="B153" s="7" t="s">
        <v>1270</v>
      </c>
    </row>
    <row r="154" spans="1:2" x14ac:dyDescent="0.35">
      <c r="A154" t="s">
        <v>363</v>
      </c>
      <c r="B154" s="7" t="s">
        <v>1187</v>
      </c>
    </row>
    <row r="155" spans="1:2" x14ac:dyDescent="0.35">
      <c r="A155" t="s">
        <v>345</v>
      </c>
      <c r="B155" s="7" t="s">
        <v>1169</v>
      </c>
    </row>
    <row r="156" spans="1:2" x14ac:dyDescent="0.35">
      <c r="A156" t="s">
        <v>353</v>
      </c>
      <c r="B156" s="7" t="s">
        <v>1177</v>
      </c>
    </row>
    <row r="157" spans="1:2" x14ac:dyDescent="0.35">
      <c r="A157" t="s">
        <v>198</v>
      </c>
      <c r="B157" s="7" t="s">
        <v>1026</v>
      </c>
    </row>
    <row r="158" spans="1:2" x14ac:dyDescent="0.35">
      <c r="A158" t="s">
        <v>641</v>
      </c>
      <c r="B158" s="7" t="s">
        <v>1465</v>
      </c>
    </row>
    <row r="159" spans="1:2" x14ac:dyDescent="0.35">
      <c r="A159" t="s">
        <v>204</v>
      </c>
      <c r="B159" s="7" t="s">
        <v>1031</v>
      </c>
    </row>
    <row r="160" spans="1:2" x14ac:dyDescent="0.35">
      <c r="A160" t="s">
        <v>339</v>
      </c>
      <c r="B160" s="7" t="s">
        <v>1163</v>
      </c>
    </row>
    <row r="161" spans="1:8" x14ac:dyDescent="0.35">
      <c r="A161" t="s">
        <v>475</v>
      </c>
      <c r="B161" s="7" t="s">
        <v>1299</v>
      </c>
    </row>
    <row r="162" spans="1:8" x14ac:dyDescent="0.35">
      <c r="A162" t="s">
        <v>464</v>
      </c>
      <c r="B162" s="7" t="s">
        <v>1288</v>
      </c>
    </row>
    <row r="163" spans="1:8" x14ac:dyDescent="0.35">
      <c r="A163" t="s">
        <v>182</v>
      </c>
      <c r="B163" s="7" t="s">
        <v>1011</v>
      </c>
    </row>
    <row r="164" spans="1:8" x14ac:dyDescent="0.35">
      <c r="A164" t="s">
        <v>6</v>
      </c>
      <c r="B164" s="7" t="s">
        <v>835</v>
      </c>
    </row>
    <row r="165" spans="1:8" x14ac:dyDescent="0.35">
      <c r="A165" t="s">
        <v>1</v>
      </c>
      <c r="B165" s="7" t="s">
        <v>830</v>
      </c>
    </row>
    <row r="166" spans="1:8" x14ac:dyDescent="0.35">
      <c r="A166" t="s">
        <v>205</v>
      </c>
      <c r="B166" s="7" t="s">
        <v>1032</v>
      </c>
    </row>
    <row r="167" spans="1:8" x14ac:dyDescent="0.35">
      <c r="A167" t="s">
        <v>505</v>
      </c>
      <c r="B167" s="7" t="s">
        <v>1329</v>
      </c>
    </row>
    <row r="168" spans="1:8" x14ac:dyDescent="0.35">
      <c r="A168" t="s">
        <v>531</v>
      </c>
      <c r="B168" s="7" t="s">
        <v>1355</v>
      </c>
    </row>
    <row r="169" spans="1:8" x14ac:dyDescent="0.35">
      <c r="A169" t="s">
        <v>489</v>
      </c>
      <c r="B169" s="7" t="s">
        <v>1313</v>
      </c>
    </row>
    <row r="170" spans="1:8" x14ac:dyDescent="0.35">
      <c r="A170" t="s">
        <v>294</v>
      </c>
      <c r="B170" s="7" t="s">
        <v>1119</v>
      </c>
    </row>
    <row r="171" spans="1:8" x14ac:dyDescent="0.35">
      <c r="A171" t="s">
        <v>479</v>
      </c>
      <c r="B171" s="7" t="s">
        <v>1303</v>
      </c>
    </row>
    <row r="172" spans="1:8" x14ac:dyDescent="0.35">
      <c r="A172" t="s">
        <v>609</v>
      </c>
      <c r="B172" s="7" t="s">
        <v>1433</v>
      </c>
    </row>
    <row r="173" spans="1:8" x14ac:dyDescent="0.35">
      <c r="A173" t="s">
        <v>497</v>
      </c>
      <c r="B173" s="7" t="s">
        <v>1321</v>
      </c>
    </row>
    <row r="174" spans="1:8" x14ac:dyDescent="0.35">
      <c r="A174" t="s">
        <v>496</v>
      </c>
      <c r="B174" s="7" t="s">
        <v>1320</v>
      </c>
    </row>
    <row r="175" spans="1:8" x14ac:dyDescent="0.35">
      <c r="A175" s="26" t="s">
        <v>3326</v>
      </c>
      <c r="B175" s="26" t="s">
        <v>3327</v>
      </c>
      <c r="C175" s="26">
        <v>28</v>
      </c>
      <c r="D175" s="26">
        <v>6.6</v>
      </c>
      <c r="E175" s="26" t="s">
        <v>3480</v>
      </c>
      <c r="F175" s="26" t="s">
        <v>1879</v>
      </c>
      <c r="G175" s="48">
        <v>44573</v>
      </c>
      <c r="H175" s="26" t="s">
        <v>1720</v>
      </c>
    </row>
    <row r="176" spans="1:8" x14ac:dyDescent="0.35">
      <c r="A176" t="s">
        <v>356</v>
      </c>
      <c r="B176" s="7" t="s">
        <v>1180</v>
      </c>
    </row>
    <row r="177" spans="1:2" x14ac:dyDescent="0.35">
      <c r="A177" t="s">
        <v>325</v>
      </c>
      <c r="B177" s="7" t="s">
        <v>1150</v>
      </c>
    </row>
    <row r="178" spans="1:2" x14ac:dyDescent="0.35">
      <c r="A178" t="s">
        <v>382</v>
      </c>
      <c r="B178" s="7" t="s">
        <v>1206</v>
      </c>
    </row>
    <row r="179" spans="1:2" x14ac:dyDescent="0.35">
      <c r="A179" t="s">
        <v>243</v>
      </c>
      <c r="B179" s="7" t="s">
        <v>1069</v>
      </c>
    </row>
    <row r="180" spans="1:2" x14ac:dyDescent="0.35">
      <c r="A180" t="s">
        <v>73</v>
      </c>
      <c r="B180" s="7" t="s">
        <v>902</v>
      </c>
    </row>
    <row r="181" spans="1:2" x14ac:dyDescent="0.35">
      <c r="A181" t="s">
        <v>397</v>
      </c>
      <c r="B181" s="7" t="s">
        <v>1221</v>
      </c>
    </row>
    <row r="182" spans="1:2" x14ac:dyDescent="0.35">
      <c r="A182" t="s">
        <v>463</v>
      </c>
      <c r="B182" s="7" t="s">
        <v>1287</v>
      </c>
    </row>
    <row r="183" spans="1:2" x14ac:dyDescent="0.35">
      <c r="A183" t="s">
        <v>283</v>
      </c>
      <c r="B183" s="7" t="s">
        <v>1109</v>
      </c>
    </row>
    <row r="184" spans="1:2" x14ac:dyDescent="0.35">
      <c r="A184" t="s">
        <v>45</v>
      </c>
      <c r="B184" s="7" t="s">
        <v>874</v>
      </c>
    </row>
    <row r="185" spans="1:2" x14ac:dyDescent="0.35">
      <c r="A185" t="s">
        <v>224</v>
      </c>
      <c r="B185" s="7" t="s">
        <v>1051</v>
      </c>
    </row>
    <row r="186" spans="1:2" x14ac:dyDescent="0.35">
      <c r="A186" t="s">
        <v>370</v>
      </c>
      <c r="B186" s="7" t="s">
        <v>1194</v>
      </c>
    </row>
    <row r="187" spans="1:2" x14ac:dyDescent="0.35">
      <c r="A187" t="s">
        <v>682</v>
      </c>
      <c r="B187" s="7" t="s">
        <v>1506</v>
      </c>
    </row>
    <row r="188" spans="1:2" x14ac:dyDescent="0.35">
      <c r="A188" t="s">
        <v>666</v>
      </c>
      <c r="B188" s="7" t="s">
        <v>1490</v>
      </c>
    </row>
    <row r="189" spans="1:2" x14ac:dyDescent="0.35">
      <c r="A189" t="s">
        <v>683</v>
      </c>
      <c r="B189" s="7" t="s">
        <v>1507</v>
      </c>
    </row>
    <row r="190" spans="1:2" x14ac:dyDescent="0.35">
      <c r="A190" t="s">
        <v>684</v>
      </c>
      <c r="B190" s="7" t="s">
        <v>1508</v>
      </c>
    </row>
    <row r="191" spans="1:2" x14ac:dyDescent="0.35">
      <c r="A191" t="s">
        <v>598</v>
      </c>
      <c r="B191" s="7" t="s">
        <v>1422</v>
      </c>
    </row>
    <row r="192" spans="1:2" x14ac:dyDescent="0.35">
      <c r="A192" s="6" t="s">
        <v>821</v>
      </c>
      <c r="B192" s="7" t="s">
        <v>1643</v>
      </c>
    </row>
    <row r="193" spans="1:8" x14ac:dyDescent="0.35">
      <c r="A193" t="s">
        <v>61</v>
      </c>
      <c r="B193" s="7" t="s">
        <v>890</v>
      </c>
    </row>
    <row r="194" spans="1:8" x14ac:dyDescent="0.35">
      <c r="A194" t="s">
        <v>574</v>
      </c>
      <c r="B194" s="7" t="s">
        <v>1398</v>
      </c>
    </row>
    <row r="195" spans="1:8" x14ac:dyDescent="0.35">
      <c r="A195" t="s">
        <v>426</v>
      </c>
      <c r="B195" s="7" t="s">
        <v>1250</v>
      </c>
    </row>
    <row r="196" spans="1:8" x14ac:dyDescent="0.35">
      <c r="A196" t="s">
        <v>530</v>
      </c>
      <c r="B196" s="7" t="s">
        <v>1354</v>
      </c>
    </row>
    <row r="197" spans="1:8" x14ac:dyDescent="0.35">
      <c r="A197" t="s">
        <v>280</v>
      </c>
      <c r="B197" s="7" t="s">
        <v>1106</v>
      </c>
    </row>
    <row r="198" spans="1:8" x14ac:dyDescent="0.35">
      <c r="A198" t="s">
        <v>348</v>
      </c>
      <c r="B198" s="7" t="s">
        <v>1172</v>
      </c>
    </row>
    <row r="199" spans="1:8" x14ac:dyDescent="0.35">
      <c r="A199" t="s">
        <v>380</v>
      </c>
      <c r="B199" s="7" t="s">
        <v>1204</v>
      </c>
    </row>
    <row r="200" spans="1:8" x14ac:dyDescent="0.35">
      <c r="A200" t="s">
        <v>559</v>
      </c>
      <c r="B200" s="7" t="s">
        <v>1383</v>
      </c>
    </row>
    <row r="201" spans="1:8" x14ac:dyDescent="0.35">
      <c r="A201" t="s">
        <v>470</v>
      </c>
      <c r="B201" s="7" t="s">
        <v>1294</v>
      </c>
    </row>
    <row r="202" spans="1:8" x14ac:dyDescent="0.35">
      <c r="A202" t="s">
        <v>763</v>
      </c>
      <c r="B202" s="7" t="s">
        <v>1587</v>
      </c>
      <c r="C202">
        <v>3</v>
      </c>
      <c r="E202" t="s">
        <v>3480</v>
      </c>
      <c r="F202" t="s">
        <v>4074</v>
      </c>
      <c r="G202" s="48">
        <v>44573</v>
      </c>
      <c r="H202" t="s">
        <v>1720</v>
      </c>
    </row>
    <row r="203" spans="1:8" x14ac:dyDescent="0.35">
      <c r="A203" t="s">
        <v>11</v>
      </c>
      <c r="B203" s="7" t="s">
        <v>840</v>
      </c>
    </row>
    <row r="204" spans="1:8" x14ac:dyDescent="0.35">
      <c r="A204" t="s">
        <v>67</v>
      </c>
      <c r="B204" s="7" t="s">
        <v>896</v>
      </c>
    </row>
    <row r="205" spans="1:8" x14ac:dyDescent="0.35">
      <c r="A205" t="s">
        <v>568</v>
      </c>
      <c r="B205" s="7" t="s">
        <v>1392</v>
      </c>
    </row>
    <row r="206" spans="1:8" x14ac:dyDescent="0.35">
      <c r="A206" t="s">
        <v>85</v>
      </c>
      <c r="B206" s="7" t="s">
        <v>914</v>
      </c>
    </row>
    <row r="207" spans="1:8" x14ac:dyDescent="0.35">
      <c r="A207" t="s">
        <v>714</v>
      </c>
      <c r="B207" s="7" t="s">
        <v>1538</v>
      </c>
    </row>
    <row r="208" spans="1:8" x14ac:dyDescent="0.35">
      <c r="A208" t="s">
        <v>716</v>
      </c>
      <c r="B208" s="7" t="s">
        <v>1540</v>
      </c>
    </row>
    <row r="209" spans="1:2" x14ac:dyDescent="0.35">
      <c r="A209" t="s">
        <v>720</v>
      </c>
      <c r="B209" s="7" t="s">
        <v>1544</v>
      </c>
    </row>
    <row r="210" spans="1:2" x14ac:dyDescent="0.35">
      <c r="A210" t="s">
        <v>721</v>
      </c>
      <c r="B210" s="7" t="s">
        <v>1545</v>
      </c>
    </row>
    <row r="211" spans="1:2" x14ac:dyDescent="0.35">
      <c r="A211" t="s">
        <v>709</v>
      </c>
      <c r="B211" s="7" t="s">
        <v>1533</v>
      </c>
    </row>
    <row r="212" spans="1:2" x14ac:dyDescent="0.35">
      <c r="A212" t="s">
        <v>726</v>
      </c>
      <c r="B212" s="7" t="s">
        <v>1550</v>
      </c>
    </row>
    <row r="213" spans="1:2" x14ac:dyDescent="0.35">
      <c r="A213" t="s">
        <v>727</v>
      </c>
      <c r="B213" s="7" t="s">
        <v>1551</v>
      </c>
    </row>
    <row r="214" spans="1:2" x14ac:dyDescent="0.35">
      <c r="A214" t="s">
        <v>728</v>
      </c>
      <c r="B214" s="7" t="s">
        <v>1552</v>
      </c>
    </row>
    <row r="215" spans="1:2" x14ac:dyDescent="0.35">
      <c r="A215" t="s">
        <v>130</v>
      </c>
      <c r="B215" s="7" t="s">
        <v>959</v>
      </c>
    </row>
    <row r="216" spans="1:2" x14ac:dyDescent="0.35">
      <c r="A216" t="s">
        <v>407</v>
      </c>
      <c r="B216" s="7" t="s">
        <v>1231</v>
      </c>
    </row>
    <row r="217" spans="1:2" x14ac:dyDescent="0.35">
      <c r="A217" t="s">
        <v>233</v>
      </c>
      <c r="B217" s="7" t="s">
        <v>1060</v>
      </c>
    </row>
    <row r="218" spans="1:2" x14ac:dyDescent="0.35">
      <c r="A218" t="s">
        <v>703</v>
      </c>
      <c r="B218" s="7" t="s">
        <v>1527</v>
      </c>
    </row>
    <row r="219" spans="1:2" x14ac:dyDescent="0.35">
      <c r="A219" t="s">
        <v>286</v>
      </c>
      <c r="B219" s="7" t="s">
        <v>1111</v>
      </c>
    </row>
    <row r="220" spans="1:2" x14ac:dyDescent="0.35">
      <c r="A220" t="s">
        <v>451</v>
      </c>
      <c r="B220" s="7" t="s">
        <v>1275</v>
      </c>
    </row>
    <row r="221" spans="1:2" x14ac:dyDescent="0.35">
      <c r="A221" t="s">
        <v>790</v>
      </c>
      <c r="B221" s="7" t="s">
        <v>1613</v>
      </c>
    </row>
    <row r="222" spans="1:2" x14ac:dyDescent="0.35">
      <c r="A222" t="s">
        <v>794</v>
      </c>
      <c r="B222" s="7" t="s">
        <v>1617</v>
      </c>
    </row>
    <row r="223" spans="1:2" x14ac:dyDescent="0.35">
      <c r="A223" t="s">
        <v>467</v>
      </c>
      <c r="B223" s="7" t="s">
        <v>1291</v>
      </c>
    </row>
    <row r="224" spans="1:2" x14ac:dyDescent="0.35">
      <c r="A224" t="s">
        <v>469</v>
      </c>
      <c r="B224" s="7" t="s">
        <v>1293</v>
      </c>
    </row>
    <row r="225" spans="1:2" x14ac:dyDescent="0.35">
      <c r="A225" t="s">
        <v>449</v>
      </c>
      <c r="B225" s="7" t="s">
        <v>1273</v>
      </c>
    </row>
    <row r="226" spans="1:2" x14ac:dyDescent="0.35">
      <c r="A226" t="s">
        <v>414</v>
      </c>
      <c r="B226" s="7" t="s">
        <v>1238</v>
      </c>
    </row>
    <row r="227" spans="1:2" x14ac:dyDescent="0.35">
      <c r="A227" t="s">
        <v>827</v>
      </c>
      <c r="B227" s="7" t="s">
        <v>1649</v>
      </c>
    </row>
    <row r="228" spans="1:2" x14ac:dyDescent="0.35">
      <c r="A228" t="s">
        <v>804</v>
      </c>
      <c r="B228" s="7" t="s">
        <v>1627</v>
      </c>
    </row>
    <row r="229" spans="1:2" x14ac:dyDescent="0.35">
      <c r="A229" s="4" t="s">
        <v>451</v>
      </c>
      <c r="B229" t="s">
        <v>1603</v>
      </c>
    </row>
    <row r="230" spans="1:2" x14ac:dyDescent="0.35">
      <c r="A230" t="s">
        <v>603</v>
      </c>
      <c r="B230" s="7" t="s">
        <v>1427</v>
      </c>
    </row>
    <row r="231" spans="1:2" x14ac:dyDescent="0.35">
      <c r="A231" t="s">
        <v>14</v>
      </c>
      <c r="B231" s="7" t="s">
        <v>843</v>
      </c>
    </row>
    <row r="232" spans="1:2" x14ac:dyDescent="0.35">
      <c r="A232" s="4" t="s">
        <v>780</v>
      </c>
      <c r="B232" s="7" t="s">
        <v>843</v>
      </c>
    </row>
    <row r="233" spans="1:2" x14ac:dyDescent="0.35">
      <c r="A233" t="s">
        <v>773</v>
      </c>
      <c r="B233" s="7" t="s">
        <v>1597</v>
      </c>
    </row>
    <row r="234" spans="1:2" x14ac:dyDescent="0.35">
      <c r="A234" t="s">
        <v>34</v>
      </c>
      <c r="B234" s="7" t="s">
        <v>863</v>
      </c>
    </row>
    <row r="235" spans="1:2" x14ac:dyDescent="0.35">
      <c r="A235" t="s">
        <v>55</v>
      </c>
      <c r="B235" s="7" t="s">
        <v>884</v>
      </c>
    </row>
    <row r="236" spans="1:2" x14ac:dyDescent="0.35">
      <c r="A236" t="s">
        <v>355</v>
      </c>
      <c r="B236" s="7" t="s">
        <v>1179</v>
      </c>
    </row>
    <row r="237" spans="1:2" x14ac:dyDescent="0.35">
      <c r="A237" t="s">
        <v>322</v>
      </c>
      <c r="B237" s="7" t="s">
        <v>1147</v>
      </c>
    </row>
    <row r="238" spans="1:2" x14ac:dyDescent="0.35">
      <c r="A238" t="s">
        <v>72</v>
      </c>
      <c r="B238" s="7" t="s">
        <v>901</v>
      </c>
    </row>
    <row r="239" spans="1:2" x14ac:dyDescent="0.35">
      <c r="A239" t="s">
        <v>309</v>
      </c>
      <c r="B239" s="7" t="s">
        <v>1134</v>
      </c>
    </row>
    <row r="240" spans="1:2" x14ac:dyDescent="0.35">
      <c r="A240" t="s">
        <v>77</v>
      </c>
      <c r="B240" s="7" t="s">
        <v>906</v>
      </c>
    </row>
    <row r="241" spans="1:2" x14ac:dyDescent="0.35">
      <c r="A241" t="s">
        <v>32</v>
      </c>
      <c r="B241" s="7" t="s">
        <v>861</v>
      </c>
    </row>
    <row r="242" spans="1:2" x14ac:dyDescent="0.35">
      <c r="A242" t="s">
        <v>87</v>
      </c>
      <c r="B242" s="7" t="s">
        <v>916</v>
      </c>
    </row>
    <row r="243" spans="1:2" x14ac:dyDescent="0.35">
      <c r="A243" t="s">
        <v>360</v>
      </c>
      <c r="B243" s="7" t="s">
        <v>1184</v>
      </c>
    </row>
    <row r="244" spans="1:2" x14ac:dyDescent="0.35">
      <c r="A244" t="s">
        <v>122</v>
      </c>
      <c r="B244" s="7" t="s">
        <v>951</v>
      </c>
    </row>
    <row r="245" spans="1:2" x14ac:dyDescent="0.35">
      <c r="A245" t="s">
        <v>492</v>
      </c>
      <c r="B245" s="7" t="s">
        <v>1316</v>
      </c>
    </row>
    <row r="246" spans="1:2" x14ac:dyDescent="0.35">
      <c r="A246" t="s">
        <v>386</v>
      </c>
      <c r="B246" s="7" t="s">
        <v>1210</v>
      </c>
    </row>
    <row r="247" spans="1:2" x14ac:dyDescent="0.35">
      <c r="A247" t="s">
        <v>336</v>
      </c>
      <c r="B247" s="7" t="s">
        <v>1161</v>
      </c>
    </row>
    <row r="248" spans="1:2" x14ac:dyDescent="0.35">
      <c r="A248" t="s">
        <v>337</v>
      </c>
      <c r="B248" s="7" t="s">
        <v>1161</v>
      </c>
    </row>
    <row r="249" spans="1:2" x14ac:dyDescent="0.35">
      <c r="A249" t="s">
        <v>754</v>
      </c>
      <c r="B249" s="7" t="s">
        <v>1578</v>
      </c>
    </row>
    <row r="250" spans="1:2" x14ac:dyDescent="0.35">
      <c r="A250" t="s">
        <v>584</v>
      </c>
      <c r="B250" s="7" t="s">
        <v>1408</v>
      </c>
    </row>
    <row r="251" spans="1:2" x14ac:dyDescent="0.35">
      <c r="A251" t="s">
        <v>104</v>
      </c>
      <c r="B251" s="7" t="s">
        <v>933</v>
      </c>
    </row>
    <row r="252" spans="1:2" x14ac:dyDescent="0.35">
      <c r="A252" t="s">
        <v>346</v>
      </c>
      <c r="B252" s="7" t="s">
        <v>1170</v>
      </c>
    </row>
    <row r="253" spans="1:2" x14ac:dyDescent="0.35">
      <c r="A253" t="s">
        <v>456</v>
      </c>
      <c r="B253" s="7" t="s">
        <v>1280</v>
      </c>
    </row>
    <row r="254" spans="1:2" x14ac:dyDescent="0.35">
      <c r="A254" s="4" t="s">
        <v>793</v>
      </c>
      <c r="B254" s="4" t="s">
        <v>1616</v>
      </c>
    </row>
    <row r="255" spans="1:2" x14ac:dyDescent="0.35">
      <c r="A255" t="s">
        <v>217</v>
      </c>
      <c r="B255" s="7" t="s">
        <v>1044</v>
      </c>
    </row>
    <row r="256" spans="1:2" x14ac:dyDescent="0.35">
      <c r="A256" t="s">
        <v>118</v>
      </c>
      <c r="B256" s="7" t="s">
        <v>947</v>
      </c>
    </row>
    <row r="257" spans="1:8" x14ac:dyDescent="0.35">
      <c r="A257" t="s">
        <v>764</v>
      </c>
      <c r="B257" s="7" t="s">
        <v>1588</v>
      </c>
    </row>
    <row r="258" spans="1:8" x14ac:dyDescent="0.35">
      <c r="A258" t="s">
        <v>755</v>
      </c>
      <c r="B258" s="7" t="s">
        <v>1579</v>
      </c>
    </row>
    <row r="259" spans="1:8" x14ac:dyDescent="0.35">
      <c r="A259" t="s">
        <v>372</v>
      </c>
      <c r="B259" s="7" t="s">
        <v>1196</v>
      </c>
    </row>
    <row r="260" spans="1:8" x14ac:dyDescent="0.35">
      <c r="A260" t="s">
        <v>326</v>
      </c>
      <c r="B260" s="7" t="s">
        <v>1151</v>
      </c>
    </row>
    <row r="261" spans="1:8" x14ac:dyDescent="0.35">
      <c r="A261" t="s">
        <v>52</v>
      </c>
      <c r="B261" s="7" t="s">
        <v>881</v>
      </c>
      <c r="D261">
        <v>0.01</v>
      </c>
      <c r="E261" t="s">
        <v>3480</v>
      </c>
      <c r="F261" t="s">
        <v>1879</v>
      </c>
      <c r="G261" s="57">
        <v>44573</v>
      </c>
      <c r="H261" t="s">
        <v>1720</v>
      </c>
    </row>
    <row r="262" spans="1:8" x14ac:dyDescent="0.35">
      <c r="A262" t="s">
        <v>50</v>
      </c>
      <c r="B262" s="7" t="s">
        <v>879</v>
      </c>
    </row>
    <row r="263" spans="1:8" x14ac:dyDescent="0.35">
      <c r="A263" t="s">
        <v>636</v>
      </c>
      <c r="B263" s="7" t="s">
        <v>1460</v>
      </c>
    </row>
    <row r="264" spans="1:8" x14ac:dyDescent="0.35">
      <c r="A264" t="s">
        <v>510</v>
      </c>
      <c r="B264" s="7" t="s">
        <v>1334</v>
      </c>
    </row>
    <row r="265" spans="1:8" x14ac:dyDescent="0.35">
      <c r="A265" t="s">
        <v>157</v>
      </c>
      <c r="B265" s="7" t="s">
        <v>986</v>
      </c>
    </row>
    <row r="266" spans="1:8" x14ac:dyDescent="0.35">
      <c r="A266" t="s">
        <v>97</v>
      </c>
      <c r="B266" s="7" t="s">
        <v>926</v>
      </c>
    </row>
    <row r="267" spans="1:8" x14ac:dyDescent="0.35">
      <c r="A267" t="s">
        <v>254</v>
      </c>
      <c r="B267" s="7" t="s">
        <v>1080</v>
      </c>
    </row>
    <row r="268" spans="1:8" x14ac:dyDescent="0.35">
      <c r="A268" t="s">
        <v>246</v>
      </c>
      <c r="B268" s="7" t="s">
        <v>1072</v>
      </c>
    </row>
    <row r="269" spans="1:8" x14ac:dyDescent="0.35">
      <c r="A269" t="s">
        <v>491</v>
      </c>
      <c r="B269" s="7" t="s">
        <v>1315</v>
      </c>
    </row>
    <row r="270" spans="1:8" x14ac:dyDescent="0.35">
      <c r="A270" t="s">
        <v>569</v>
      </c>
      <c r="B270" s="7" t="s">
        <v>1393</v>
      </c>
    </row>
    <row r="271" spans="1:8" x14ac:dyDescent="0.35">
      <c r="A271" t="s">
        <v>524</v>
      </c>
      <c r="B271" s="7" t="s">
        <v>1348</v>
      </c>
    </row>
    <row r="272" spans="1:8" x14ac:dyDescent="0.35">
      <c r="A272" t="s">
        <v>69</v>
      </c>
      <c r="B272" s="7" t="s">
        <v>898</v>
      </c>
    </row>
    <row r="273" spans="1:8" x14ac:dyDescent="0.35">
      <c r="A273" t="s">
        <v>658</v>
      </c>
      <c r="B273" s="7" t="s">
        <v>1482</v>
      </c>
    </row>
    <row r="274" spans="1:8" x14ac:dyDescent="0.35">
      <c r="A274" t="s">
        <v>229</v>
      </c>
      <c r="B274" s="7" t="s">
        <v>1056</v>
      </c>
    </row>
    <row r="275" spans="1:8" x14ac:dyDescent="0.35">
      <c r="A275" t="s">
        <v>36</v>
      </c>
      <c r="B275" s="7" t="s">
        <v>865</v>
      </c>
    </row>
    <row r="276" spans="1:8" x14ac:dyDescent="0.35">
      <c r="A276" t="s">
        <v>573</v>
      </c>
      <c r="B276" t="s">
        <v>1397</v>
      </c>
    </row>
    <row r="277" spans="1:8" x14ac:dyDescent="0.35">
      <c r="A277" t="s">
        <v>775</v>
      </c>
      <c r="B277" s="7" t="s">
        <v>1599</v>
      </c>
    </row>
    <row r="278" spans="1:8" x14ac:dyDescent="0.35">
      <c r="A278" t="s">
        <v>210</v>
      </c>
      <c r="B278" s="7" t="s">
        <v>1037</v>
      </c>
    </row>
    <row r="279" spans="1:8" x14ac:dyDescent="0.35">
      <c r="A279" t="s">
        <v>566</v>
      </c>
      <c r="B279" s="7" t="s">
        <v>1390</v>
      </c>
    </row>
    <row r="280" spans="1:8" x14ac:dyDescent="0.35">
      <c r="A280" t="s">
        <v>22</v>
      </c>
      <c r="B280" s="7" t="s">
        <v>851</v>
      </c>
    </row>
    <row r="281" spans="1:8" x14ac:dyDescent="0.35">
      <c r="A281" t="s">
        <v>175</v>
      </c>
      <c r="B281" s="7" t="s">
        <v>1004</v>
      </c>
      <c r="C281">
        <v>2.1</v>
      </c>
      <c r="D281">
        <v>2.1</v>
      </c>
      <c r="E281" t="s">
        <v>3480</v>
      </c>
      <c r="F281" t="s">
        <v>1879</v>
      </c>
      <c r="G281" s="48">
        <v>44573</v>
      </c>
      <c r="H281" t="s">
        <v>1720</v>
      </c>
    </row>
    <row r="282" spans="1:8" x14ac:dyDescent="0.35">
      <c r="A282" t="s">
        <v>242</v>
      </c>
      <c r="B282" s="7" t="s">
        <v>1068</v>
      </c>
    </row>
    <row r="283" spans="1:8" x14ac:dyDescent="0.35">
      <c r="A283" t="s">
        <v>776</v>
      </c>
      <c r="B283" s="7" t="s">
        <v>1600</v>
      </c>
    </row>
    <row r="284" spans="1:8" x14ac:dyDescent="0.35">
      <c r="A284" t="s">
        <v>169</v>
      </c>
      <c r="B284" s="7" t="s">
        <v>998</v>
      </c>
    </row>
    <row r="285" spans="1:8" x14ac:dyDescent="0.35">
      <c r="A285" t="s">
        <v>477</v>
      </c>
      <c r="B285" s="7" t="s">
        <v>1301</v>
      </c>
    </row>
    <row r="286" spans="1:8" x14ac:dyDescent="0.35">
      <c r="A286" t="s">
        <v>103</v>
      </c>
      <c r="B286" s="7" t="s">
        <v>932</v>
      </c>
    </row>
    <row r="287" spans="1:8" x14ac:dyDescent="0.35">
      <c r="A287" t="s">
        <v>42</v>
      </c>
      <c r="B287" s="7" t="s">
        <v>871</v>
      </c>
    </row>
    <row r="288" spans="1:8" x14ac:dyDescent="0.35">
      <c r="A288" t="s">
        <v>218</v>
      </c>
      <c r="B288" s="7" t="s">
        <v>1045</v>
      </c>
    </row>
    <row r="289" spans="1:2" x14ac:dyDescent="0.35">
      <c r="A289" t="s">
        <v>435</v>
      </c>
      <c r="B289" s="7" t="s">
        <v>1259</v>
      </c>
    </row>
    <row r="290" spans="1:2" x14ac:dyDescent="0.35">
      <c r="A290" t="s">
        <v>818</v>
      </c>
      <c r="B290" t="s">
        <v>1641</v>
      </c>
    </row>
    <row r="291" spans="1:2" x14ac:dyDescent="0.35">
      <c r="A291" t="s">
        <v>126</v>
      </c>
      <c r="B291" s="7" t="s">
        <v>955</v>
      </c>
    </row>
    <row r="292" spans="1:2" x14ac:dyDescent="0.35">
      <c r="A292" t="s">
        <v>269</v>
      </c>
      <c r="B292" s="7" t="s">
        <v>1095</v>
      </c>
    </row>
    <row r="293" spans="1:2" x14ac:dyDescent="0.35">
      <c r="A293" t="s">
        <v>56</v>
      </c>
      <c r="B293" s="7" t="s">
        <v>885</v>
      </c>
    </row>
    <row r="294" spans="1:2" x14ac:dyDescent="0.35">
      <c r="A294" t="s">
        <v>277</v>
      </c>
      <c r="B294" s="7" t="s">
        <v>1103</v>
      </c>
    </row>
    <row r="295" spans="1:2" x14ac:dyDescent="0.35">
      <c r="A295" t="s">
        <v>276</v>
      </c>
      <c r="B295" s="7" t="s">
        <v>1102</v>
      </c>
    </row>
    <row r="296" spans="1:2" x14ac:dyDescent="0.35">
      <c r="A296" t="s">
        <v>202</v>
      </c>
      <c r="B296" s="7" t="s">
        <v>1030</v>
      </c>
    </row>
    <row r="297" spans="1:2" x14ac:dyDescent="0.35">
      <c r="A297" t="s">
        <v>685</v>
      </c>
      <c r="B297" s="7" t="s">
        <v>1509</v>
      </c>
    </row>
    <row r="298" spans="1:2" x14ac:dyDescent="0.35">
      <c r="A298" t="s">
        <v>686</v>
      </c>
      <c r="B298" s="7" t="s">
        <v>1510</v>
      </c>
    </row>
    <row r="299" spans="1:2" x14ac:dyDescent="0.35">
      <c r="A299" t="s">
        <v>480</v>
      </c>
      <c r="B299" s="7" t="s">
        <v>1304</v>
      </c>
    </row>
    <row r="300" spans="1:2" x14ac:dyDescent="0.35">
      <c r="A300" t="s">
        <v>429</v>
      </c>
      <c r="B300" s="7" t="s">
        <v>1253</v>
      </c>
    </row>
    <row r="301" spans="1:2" x14ac:dyDescent="0.35">
      <c r="A301" t="s">
        <v>44</v>
      </c>
      <c r="B301" s="7" t="s">
        <v>873</v>
      </c>
    </row>
    <row r="302" spans="1:2" x14ac:dyDescent="0.35">
      <c r="A302" t="s">
        <v>308</v>
      </c>
      <c r="B302" s="7" t="s">
        <v>1133</v>
      </c>
    </row>
    <row r="303" spans="1:2" x14ac:dyDescent="0.35">
      <c r="A303" t="s">
        <v>173</v>
      </c>
      <c r="B303" s="7" t="s">
        <v>1002</v>
      </c>
    </row>
    <row r="304" spans="1:2" x14ac:dyDescent="0.35">
      <c r="A304" t="s">
        <v>618</v>
      </c>
      <c r="B304" s="7" t="s">
        <v>1442</v>
      </c>
    </row>
    <row r="305" spans="1:2" x14ac:dyDescent="0.35">
      <c r="A305" t="s">
        <v>416</v>
      </c>
      <c r="B305" s="7" t="s">
        <v>1240</v>
      </c>
    </row>
    <row r="306" spans="1:2" x14ac:dyDescent="0.35">
      <c r="A306" t="s">
        <v>756</v>
      </c>
      <c r="B306" s="7" t="s">
        <v>1580</v>
      </c>
    </row>
    <row r="307" spans="1:2" x14ac:dyDescent="0.35">
      <c r="A307" t="s">
        <v>219</v>
      </c>
      <c r="B307" s="7" t="s">
        <v>1046</v>
      </c>
    </row>
    <row r="308" spans="1:2" x14ac:dyDescent="0.35">
      <c r="A308" t="s">
        <v>687</v>
      </c>
      <c r="B308" s="7" t="s">
        <v>1511</v>
      </c>
    </row>
    <row r="309" spans="1:2" x14ac:dyDescent="0.35">
      <c r="A309" t="s">
        <v>113</v>
      </c>
      <c r="B309" s="7" t="s">
        <v>942</v>
      </c>
    </row>
    <row r="310" spans="1:2" x14ac:dyDescent="0.35">
      <c r="A310" t="s">
        <v>688</v>
      </c>
      <c r="B310" s="7" t="s">
        <v>1512</v>
      </c>
    </row>
    <row r="311" spans="1:2" x14ac:dyDescent="0.35">
      <c r="A311" t="s">
        <v>330</v>
      </c>
      <c r="B311" s="7" t="s">
        <v>1155</v>
      </c>
    </row>
    <row r="312" spans="1:2" x14ac:dyDescent="0.35">
      <c r="A312" t="s">
        <v>260</v>
      </c>
      <c r="B312" s="7" t="s">
        <v>1086</v>
      </c>
    </row>
    <row r="313" spans="1:2" x14ac:dyDescent="0.35">
      <c r="A313" t="s">
        <v>295</v>
      </c>
      <c r="B313" s="7" t="s">
        <v>1120</v>
      </c>
    </row>
    <row r="314" spans="1:2" x14ac:dyDescent="0.35">
      <c r="A314" t="s">
        <v>194</v>
      </c>
      <c r="B314" s="7" t="s">
        <v>1022</v>
      </c>
    </row>
    <row r="315" spans="1:2" x14ac:dyDescent="0.35">
      <c r="A315" t="s">
        <v>2</v>
      </c>
      <c r="B315" s="7" t="s">
        <v>831</v>
      </c>
    </row>
    <row r="316" spans="1:2" x14ac:dyDescent="0.35">
      <c r="A316" t="s">
        <v>436</v>
      </c>
      <c r="B316" s="7" t="s">
        <v>1260</v>
      </c>
    </row>
    <row r="317" spans="1:2" x14ac:dyDescent="0.35">
      <c r="A317" t="s">
        <v>654</v>
      </c>
      <c r="B317" s="7" t="s">
        <v>1478</v>
      </c>
    </row>
    <row r="318" spans="1:2" x14ac:dyDescent="0.35">
      <c r="A318" t="s">
        <v>591</v>
      </c>
      <c r="B318" s="7" t="s">
        <v>1415</v>
      </c>
    </row>
    <row r="319" spans="1:2" x14ac:dyDescent="0.35">
      <c r="A319" s="1" t="s">
        <v>7</v>
      </c>
      <c r="B319" s="7" t="s">
        <v>836</v>
      </c>
    </row>
    <row r="320" spans="1:2" x14ac:dyDescent="0.35">
      <c r="A320" t="s">
        <v>290</v>
      </c>
      <c r="B320" s="7" t="s">
        <v>1115</v>
      </c>
    </row>
    <row r="321" spans="1:2" x14ac:dyDescent="0.35">
      <c r="A321" t="s">
        <v>152</v>
      </c>
      <c r="B321" s="7" t="s">
        <v>981</v>
      </c>
    </row>
    <row r="322" spans="1:2" x14ac:dyDescent="0.35">
      <c r="A322" t="s">
        <v>427</v>
      </c>
      <c r="B322" s="7" t="s">
        <v>1251</v>
      </c>
    </row>
    <row r="323" spans="1:2" x14ac:dyDescent="0.35">
      <c r="A323" t="s">
        <v>689</v>
      </c>
      <c r="B323" s="7" t="s">
        <v>1513</v>
      </c>
    </row>
    <row r="324" spans="1:2" x14ac:dyDescent="0.35">
      <c r="A324" t="s">
        <v>785</v>
      </c>
      <c r="B324" s="7" t="s">
        <v>1608</v>
      </c>
    </row>
    <row r="325" spans="1:2" x14ac:dyDescent="0.35">
      <c r="A325" s="4" t="s">
        <v>825</v>
      </c>
      <c r="B325" s="7" t="s">
        <v>1647</v>
      </c>
    </row>
    <row r="326" spans="1:2" x14ac:dyDescent="0.35">
      <c r="A326" t="s">
        <v>581</v>
      </c>
      <c r="B326" s="7" t="s">
        <v>1405</v>
      </c>
    </row>
    <row r="327" spans="1:2" x14ac:dyDescent="0.35">
      <c r="A327" t="s">
        <v>558</v>
      </c>
      <c r="B327" s="7" t="s">
        <v>1382</v>
      </c>
    </row>
    <row r="328" spans="1:2" x14ac:dyDescent="0.35">
      <c r="A328" t="s">
        <v>180</v>
      </c>
      <c r="B328" s="7" t="s">
        <v>1009</v>
      </c>
    </row>
    <row r="329" spans="1:2" x14ac:dyDescent="0.35">
      <c r="A329" t="s">
        <v>656</v>
      </c>
      <c r="B329" s="7" t="s">
        <v>1480</v>
      </c>
    </row>
    <row r="330" spans="1:2" x14ac:dyDescent="0.35">
      <c r="A330" t="s">
        <v>354</v>
      </c>
      <c r="B330" s="7" t="s">
        <v>1178</v>
      </c>
    </row>
    <row r="331" spans="1:2" x14ac:dyDescent="0.35">
      <c r="A331" t="s">
        <v>734</v>
      </c>
      <c r="B331" s="7" t="s">
        <v>1558</v>
      </c>
    </row>
    <row r="332" spans="1:2" x14ac:dyDescent="0.35">
      <c r="A332" t="s">
        <v>579</v>
      </c>
      <c r="B332" s="7" t="s">
        <v>1403</v>
      </c>
    </row>
    <row r="333" spans="1:2" x14ac:dyDescent="0.35">
      <c r="A333" t="s">
        <v>306</v>
      </c>
      <c r="B333" s="7" t="s">
        <v>1131</v>
      </c>
    </row>
    <row r="334" spans="1:2" x14ac:dyDescent="0.35">
      <c r="A334" t="s">
        <v>177</v>
      </c>
      <c r="B334" s="7" t="s">
        <v>1006</v>
      </c>
    </row>
    <row r="335" spans="1:2" x14ac:dyDescent="0.35">
      <c r="A335" t="s">
        <v>630</v>
      </c>
      <c r="B335" s="7" t="s">
        <v>1454</v>
      </c>
    </row>
    <row r="336" spans="1:2" x14ac:dyDescent="0.35">
      <c r="A336" t="s">
        <v>417</v>
      </c>
      <c r="B336" s="7" t="s">
        <v>1241</v>
      </c>
    </row>
    <row r="337" spans="1:8" x14ac:dyDescent="0.35">
      <c r="A337" t="s">
        <v>48</v>
      </c>
      <c r="B337" s="7" t="s">
        <v>877</v>
      </c>
    </row>
    <row r="338" spans="1:8" x14ac:dyDescent="0.35">
      <c r="A338" t="s">
        <v>625</v>
      </c>
      <c r="B338" s="7" t="s">
        <v>1449</v>
      </c>
    </row>
    <row r="339" spans="1:8" x14ac:dyDescent="0.35">
      <c r="A339" t="s">
        <v>292</v>
      </c>
      <c r="B339" s="7" t="s">
        <v>1117</v>
      </c>
    </row>
    <row r="340" spans="1:8" x14ac:dyDescent="0.35">
      <c r="A340" t="s">
        <v>583</v>
      </c>
      <c r="B340" s="7" t="s">
        <v>1407</v>
      </c>
    </row>
    <row r="341" spans="1:8" x14ac:dyDescent="0.35">
      <c r="A341" t="s">
        <v>606</v>
      </c>
      <c r="B341" s="7" t="s">
        <v>1430</v>
      </c>
    </row>
    <row r="342" spans="1:8" x14ac:dyDescent="0.35">
      <c r="A342" t="s">
        <v>301</v>
      </c>
      <c r="B342" s="7" t="s">
        <v>1126</v>
      </c>
    </row>
    <row r="343" spans="1:8" x14ac:dyDescent="0.35">
      <c r="A343" t="s">
        <v>379</v>
      </c>
      <c r="B343" s="7" t="s">
        <v>1203</v>
      </c>
      <c r="C343">
        <v>8.3000000000000004E-2</v>
      </c>
      <c r="D343">
        <v>4.1000000000000002E-2</v>
      </c>
      <c r="E343" t="s">
        <v>3480</v>
      </c>
      <c r="F343" t="s">
        <v>1879</v>
      </c>
      <c r="G343" s="57">
        <v>44573</v>
      </c>
      <c r="H343" t="s">
        <v>1720</v>
      </c>
    </row>
    <row r="344" spans="1:8" x14ac:dyDescent="0.35">
      <c r="A344" t="s">
        <v>9</v>
      </c>
      <c r="B344" s="7" t="s">
        <v>838</v>
      </c>
    </row>
    <row r="345" spans="1:8" x14ac:dyDescent="0.35">
      <c r="A345" t="s">
        <v>255</v>
      </c>
      <c r="B345" s="7" t="s">
        <v>1081</v>
      </c>
    </row>
    <row r="346" spans="1:8" x14ac:dyDescent="0.35">
      <c r="A346" s="6" t="s">
        <v>787</v>
      </c>
      <c r="B346" s="7" t="s">
        <v>1610</v>
      </c>
    </row>
    <row r="347" spans="1:8" x14ac:dyDescent="0.35">
      <c r="A347" s="4" t="s">
        <v>826</v>
      </c>
      <c r="B347" s="7" t="s">
        <v>1648</v>
      </c>
    </row>
    <row r="348" spans="1:8" x14ac:dyDescent="0.35">
      <c r="A348" t="s">
        <v>565</v>
      </c>
      <c r="B348" s="7" t="s">
        <v>1389</v>
      </c>
    </row>
    <row r="349" spans="1:8" x14ac:dyDescent="0.35">
      <c r="A349" s="4" t="s">
        <v>565</v>
      </c>
      <c r="B349" t="s">
        <v>1389</v>
      </c>
    </row>
    <row r="350" spans="1:8" x14ac:dyDescent="0.35">
      <c r="A350" t="s">
        <v>468</v>
      </c>
      <c r="B350" s="7" t="s">
        <v>1292</v>
      </c>
    </row>
    <row r="351" spans="1:8" x14ac:dyDescent="0.35">
      <c r="A351" t="s">
        <v>349</v>
      </c>
      <c r="B351" s="7" t="s">
        <v>1173</v>
      </c>
      <c r="C351">
        <v>0.17</v>
      </c>
      <c r="D351">
        <v>0.17</v>
      </c>
      <c r="E351" t="s">
        <v>3480</v>
      </c>
      <c r="F351" t="s">
        <v>1879</v>
      </c>
      <c r="G351" s="57">
        <v>44573</v>
      </c>
      <c r="H351" t="s">
        <v>1720</v>
      </c>
    </row>
    <row r="352" spans="1:8" x14ac:dyDescent="0.35">
      <c r="A352" t="s">
        <v>596</v>
      </c>
      <c r="B352" s="7" t="s">
        <v>1420</v>
      </c>
    </row>
    <row r="353" spans="1:8" x14ac:dyDescent="0.35">
      <c r="A353" t="s">
        <v>777</v>
      </c>
      <c r="B353" s="7" t="s">
        <v>1601</v>
      </c>
    </row>
    <row r="354" spans="1:8" x14ac:dyDescent="0.35">
      <c r="A354" t="s">
        <v>176</v>
      </c>
      <c r="B354" s="7" t="s">
        <v>1005</v>
      </c>
    </row>
    <row r="355" spans="1:8" x14ac:dyDescent="0.35">
      <c r="A355" t="s">
        <v>516</v>
      </c>
      <c r="B355" s="7" t="s">
        <v>1340</v>
      </c>
    </row>
    <row r="356" spans="1:8" x14ac:dyDescent="0.35">
      <c r="A356" t="s">
        <v>534</v>
      </c>
      <c r="B356" s="7" t="s">
        <v>1358</v>
      </c>
    </row>
    <row r="357" spans="1:8" x14ac:dyDescent="0.35">
      <c r="A357" t="s">
        <v>287</v>
      </c>
      <c r="B357" s="7" t="s">
        <v>1112</v>
      </c>
      <c r="C357">
        <v>1.1000000000000001</v>
      </c>
      <c r="D357">
        <v>1E-3</v>
      </c>
      <c r="E357" t="s">
        <v>3480</v>
      </c>
      <c r="F357" t="s">
        <v>1879</v>
      </c>
      <c r="G357" s="57">
        <v>44573</v>
      </c>
      <c r="H357" t="s">
        <v>1720</v>
      </c>
    </row>
    <row r="358" spans="1:8" x14ac:dyDescent="0.35">
      <c r="A358" t="s">
        <v>60</v>
      </c>
      <c r="B358" s="7" t="s">
        <v>889</v>
      </c>
    </row>
    <row r="359" spans="1:8" x14ac:dyDescent="0.35">
      <c r="A359" t="s">
        <v>675</v>
      </c>
      <c r="B359" s="7" t="s">
        <v>1499</v>
      </c>
    </row>
    <row r="360" spans="1:8" x14ac:dyDescent="0.35">
      <c r="A360" t="s">
        <v>333</v>
      </c>
      <c r="B360" s="7" t="s">
        <v>1158</v>
      </c>
    </row>
    <row r="361" spans="1:8" x14ac:dyDescent="0.35">
      <c r="A361" t="s">
        <v>628</v>
      </c>
      <c r="B361" s="7" t="s">
        <v>1452</v>
      </c>
    </row>
    <row r="362" spans="1:8" x14ac:dyDescent="0.35">
      <c r="A362" t="s">
        <v>690</v>
      </c>
      <c r="B362" s="7" t="s">
        <v>1514</v>
      </c>
    </row>
    <row r="363" spans="1:8" x14ac:dyDescent="0.35">
      <c r="A363" t="s">
        <v>234</v>
      </c>
      <c r="B363" s="7" t="s">
        <v>1061</v>
      </c>
    </row>
    <row r="364" spans="1:8" x14ac:dyDescent="0.35">
      <c r="A364" t="s">
        <v>49</v>
      </c>
      <c r="B364" s="7" t="s">
        <v>878</v>
      </c>
    </row>
    <row r="365" spans="1:8" x14ac:dyDescent="0.35">
      <c r="A365" t="s">
        <v>452</v>
      </c>
      <c r="B365" s="7" t="s">
        <v>1276</v>
      </c>
    </row>
    <row r="366" spans="1:8" x14ac:dyDescent="0.35">
      <c r="A366" t="s">
        <v>191</v>
      </c>
      <c r="B366" s="7" t="s">
        <v>1019</v>
      </c>
    </row>
    <row r="367" spans="1:8" x14ac:dyDescent="0.35">
      <c r="A367" t="s">
        <v>154</v>
      </c>
      <c r="B367" s="7" t="s">
        <v>983</v>
      </c>
    </row>
    <row r="368" spans="1:8" x14ac:dyDescent="0.35">
      <c r="A368" t="s">
        <v>213</v>
      </c>
      <c r="B368" s="7" t="s">
        <v>1040</v>
      </c>
    </row>
    <row r="369" spans="1:8" x14ac:dyDescent="0.35">
      <c r="A369" t="s">
        <v>522</v>
      </c>
      <c r="B369" s="7" t="s">
        <v>1346</v>
      </c>
    </row>
    <row r="370" spans="1:8" x14ac:dyDescent="0.35">
      <c r="A370" t="s">
        <v>374</v>
      </c>
      <c r="B370" s="7" t="s">
        <v>1198</v>
      </c>
    </row>
    <row r="371" spans="1:8" x14ac:dyDescent="0.35">
      <c r="A371" t="s">
        <v>409</v>
      </c>
      <c r="B371" s="7" t="s">
        <v>1233</v>
      </c>
    </row>
    <row r="372" spans="1:8" x14ac:dyDescent="0.35">
      <c r="A372" t="s">
        <v>352</v>
      </c>
      <c r="B372" s="7" t="s">
        <v>1176</v>
      </c>
    </row>
    <row r="373" spans="1:8" x14ac:dyDescent="0.35">
      <c r="A373" t="s">
        <v>201</v>
      </c>
      <c r="B373" s="7" t="s">
        <v>1029</v>
      </c>
    </row>
    <row r="374" spans="1:8" x14ac:dyDescent="0.35">
      <c r="A374" t="s">
        <v>40</v>
      </c>
      <c r="B374" s="7" t="s">
        <v>869</v>
      </c>
    </row>
    <row r="375" spans="1:8" x14ac:dyDescent="0.35">
      <c r="A375" t="s">
        <v>419</v>
      </c>
      <c r="B375" s="7" t="s">
        <v>1243</v>
      </c>
    </row>
    <row r="376" spans="1:8" x14ac:dyDescent="0.35">
      <c r="A376" t="s">
        <v>735</v>
      </c>
      <c r="B376" s="7" t="s">
        <v>1559</v>
      </c>
    </row>
    <row r="377" spans="1:8" x14ac:dyDescent="0.35">
      <c r="A377" t="s">
        <v>608</v>
      </c>
      <c r="B377" s="7" t="s">
        <v>1432</v>
      </c>
    </row>
    <row r="378" spans="1:8" x14ac:dyDescent="0.35">
      <c r="A378" t="s">
        <v>553</v>
      </c>
      <c r="B378" s="7" t="s">
        <v>1377</v>
      </c>
    </row>
    <row r="379" spans="1:8" x14ac:dyDescent="0.35">
      <c r="A379" t="s">
        <v>511</v>
      </c>
      <c r="B379" s="7" t="s">
        <v>1335</v>
      </c>
    </row>
    <row r="380" spans="1:8" x14ac:dyDescent="0.35">
      <c r="A380" t="s">
        <v>133</v>
      </c>
      <c r="B380" s="7" t="s">
        <v>962</v>
      </c>
    </row>
    <row r="381" spans="1:8" x14ac:dyDescent="0.35">
      <c r="A381" t="s">
        <v>120</v>
      </c>
      <c r="B381" s="7" t="s">
        <v>949</v>
      </c>
    </row>
    <row r="382" spans="1:8" x14ac:dyDescent="0.35">
      <c r="A382" t="s">
        <v>117</v>
      </c>
      <c r="B382" s="7" t="s">
        <v>946</v>
      </c>
    </row>
    <row r="383" spans="1:8" x14ac:dyDescent="0.35">
      <c r="A383" t="s">
        <v>190</v>
      </c>
      <c r="B383" s="7" t="s">
        <v>1018</v>
      </c>
      <c r="C383">
        <v>0.24</v>
      </c>
      <c r="D383">
        <v>5.6000000000000001E-2</v>
      </c>
      <c r="E383" t="s">
        <v>3480</v>
      </c>
      <c r="F383" t="s">
        <v>4078</v>
      </c>
      <c r="G383" s="57">
        <v>44573</v>
      </c>
      <c r="H383" t="s">
        <v>1720</v>
      </c>
    </row>
    <row r="384" spans="1:8" x14ac:dyDescent="0.35">
      <c r="A384" t="s">
        <v>12</v>
      </c>
      <c r="B384" s="7" t="s">
        <v>841</v>
      </c>
      <c r="C384">
        <v>0.22</v>
      </c>
      <c r="D384">
        <v>5.6000000000000001E-2</v>
      </c>
      <c r="E384" t="s">
        <v>3480</v>
      </c>
      <c r="F384" t="s">
        <v>4076</v>
      </c>
      <c r="G384" s="57">
        <v>44573</v>
      </c>
      <c r="H384" t="s">
        <v>1720</v>
      </c>
    </row>
    <row r="385" spans="1:8" x14ac:dyDescent="0.35">
      <c r="A385" t="s">
        <v>643</v>
      </c>
      <c r="B385" s="7" t="s">
        <v>1467</v>
      </c>
    </row>
    <row r="386" spans="1:8" x14ac:dyDescent="0.35">
      <c r="A386" t="s">
        <v>350</v>
      </c>
      <c r="B386" s="7" t="s">
        <v>1174</v>
      </c>
      <c r="C386">
        <v>0.22</v>
      </c>
      <c r="D386">
        <v>5.6000000000000001E-2</v>
      </c>
      <c r="E386" t="s">
        <v>3480</v>
      </c>
      <c r="F386" t="s">
        <v>4077</v>
      </c>
      <c r="G386" s="57">
        <v>44573</v>
      </c>
      <c r="H386" t="s">
        <v>1720</v>
      </c>
    </row>
    <row r="387" spans="1:8" x14ac:dyDescent="0.35">
      <c r="A387" t="s">
        <v>765</v>
      </c>
      <c r="B387" s="7" t="s">
        <v>1589</v>
      </c>
    </row>
    <row r="388" spans="1:8" x14ac:dyDescent="0.35">
      <c r="A388" t="s">
        <v>691</v>
      </c>
      <c r="B388" s="7" t="s">
        <v>1515</v>
      </c>
    </row>
    <row r="389" spans="1:8" x14ac:dyDescent="0.35">
      <c r="A389" t="s">
        <v>668</v>
      </c>
      <c r="B389" s="7" t="s">
        <v>1492</v>
      </c>
    </row>
    <row r="390" spans="1:8" x14ac:dyDescent="0.35">
      <c r="A390" t="s">
        <v>119</v>
      </c>
      <c r="B390" s="7" t="s">
        <v>948</v>
      </c>
    </row>
    <row r="391" spans="1:8" x14ac:dyDescent="0.35">
      <c r="A391" t="s">
        <v>669</v>
      </c>
      <c r="B391" s="7" t="s">
        <v>1493</v>
      </c>
    </row>
    <row r="392" spans="1:8" x14ac:dyDescent="0.35">
      <c r="A392" t="s">
        <v>677</v>
      </c>
      <c r="B392" s="7" t="s">
        <v>1501</v>
      </c>
    </row>
    <row r="393" spans="1:8" x14ac:dyDescent="0.35">
      <c r="A393" t="s">
        <v>617</v>
      </c>
      <c r="B393" s="7" t="s">
        <v>1441</v>
      </c>
    </row>
    <row r="394" spans="1:8" x14ac:dyDescent="0.35">
      <c r="A394" t="s">
        <v>434</v>
      </c>
      <c r="B394" s="7" t="s">
        <v>1258</v>
      </c>
    </row>
    <row r="395" spans="1:8" x14ac:dyDescent="0.35">
      <c r="A395" t="s">
        <v>670</v>
      </c>
      <c r="B395" s="7" t="s">
        <v>1494</v>
      </c>
    </row>
    <row r="396" spans="1:8" x14ac:dyDescent="0.35">
      <c r="A396" t="s">
        <v>671</v>
      </c>
      <c r="B396" s="7" t="s">
        <v>1495</v>
      </c>
    </row>
    <row r="397" spans="1:8" x14ac:dyDescent="0.35">
      <c r="A397" t="s">
        <v>215</v>
      </c>
      <c r="B397" s="7" t="s">
        <v>1042</v>
      </c>
    </row>
    <row r="398" spans="1:8" x14ac:dyDescent="0.35">
      <c r="A398" t="s">
        <v>547</v>
      </c>
      <c r="B398" s="7" t="s">
        <v>1371</v>
      </c>
    </row>
    <row r="399" spans="1:8" x14ac:dyDescent="0.35">
      <c r="A399" t="s">
        <v>567</v>
      </c>
      <c r="B399" s="7" t="s">
        <v>1391</v>
      </c>
    </row>
    <row r="400" spans="1:8" x14ac:dyDescent="0.35">
      <c r="A400" t="s">
        <v>484</v>
      </c>
      <c r="B400" s="7" t="s">
        <v>1308</v>
      </c>
    </row>
    <row r="401" spans="1:2" x14ac:dyDescent="0.35">
      <c r="A401" t="s">
        <v>771</v>
      </c>
      <c r="B401" s="7" t="s">
        <v>1595</v>
      </c>
    </row>
    <row r="402" spans="1:2" x14ac:dyDescent="0.35">
      <c r="A402" t="s">
        <v>311</v>
      </c>
      <c r="B402" s="7" t="s">
        <v>1136</v>
      </c>
    </row>
    <row r="403" spans="1:2" x14ac:dyDescent="0.35">
      <c r="A403" t="s">
        <v>692</v>
      </c>
      <c r="B403" s="7" t="s">
        <v>1516</v>
      </c>
    </row>
    <row r="404" spans="1:2" x14ac:dyDescent="0.35">
      <c r="A404" t="s">
        <v>513</v>
      </c>
      <c r="B404" s="7" t="s">
        <v>1337</v>
      </c>
    </row>
    <row r="405" spans="1:2" x14ac:dyDescent="0.35">
      <c r="A405" t="s">
        <v>501</v>
      </c>
      <c r="B405" s="7" t="s">
        <v>1325</v>
      </c>
    </row>
    <row r="406" spans="1:2" x14ac:dyDescent="0.35">
      <c r="A406" t="s">
        <v>645</v>
      </c>
      <c r="B406" s="7" t="s">
        <v>1469</v>
      </c>
    </row>
    <row r="407" spans="1:2" x14ac:dyDescent="0.35">
      <c r="A407" t="s">
        <v>109</v>
      </c>
      <c r="B407" s="7" t="s">
        <v>938</v>
      </c>
    </row>
    <row r="408" spans="1:2" x14ac:dyDescent="0.35">
      <c r="A408" t="s">
        <v>430</v>
      </c>
      <c r="B408" s="7" t="s">
        <v>1254</v>
      </c>
    </row>
    <row r="409" spans="1:2" x14ac:dyDescent="0.35">
      <c r="A409" t="s">
        <v>357</v>
      </c>
      <c r="B409" s="7" t="s">
        <v>1181</v>
      </c>
    </row>
    <row r="410" spans="1:2" x14ac:dyDescent="0.35">
      <c r="A410" t="s">
        <v>358</v>
      </c>
      <c r="B410" s="7" t="s">
        <v>1182</v>
      </c>
    </row>
    <row r="411" spans="1:2" x14ac:dyDescent="0.35">
      <c r="A411" t="s">
        <v>562</v>
      </c>
      <c r="B411" s="7" t="s">
        <v>1386</v>
      </c>
    </row>
    <row r="412" spans="1:2" x14ac:dyDescent="0.35">
      <c r="A412" t="s">
        <v>293</v>
      </c>
      <c r="B412" s="7" t="s">
        <v>1118</v>
      </c>
    </row>
    <row r="413" spans="1:2" x14ac:dyDescent="0.35">
      <c r="A413" t="s">
        <v>376</v>
      </c>
      <c r="B413" s="7" t="s">
        <v>1200</v>
      </c>
    </row>
    <row r="414" spans="1:2" x14ac:dyDescent="0.35">
      <c r="A414" t="s">
        <v>302</v>
      </c>
      <c r="B414" s="7" t="s">
        <v>1127</v>
      </c>
    </row>
    <row r="415" spans="1:2" x14ac:dyDescent="0.35">
      <c r="A415" t="s">
        <v>156</v>
      </c>
      <c r="B415" s="7" t="s">
        <v>985</v>
      </c>
    </row>
    <row r="416" spans="1:2" x14ac:dyDescent="0.35">
      <c r="A416" t="s">
        <v>70</v>
      </c>
      <c r="B416" s="7" t="s">
        <v>899</v>
      </c>
    </row>
    <row r="417" spans="1:2" x14ac:dyDescent="0.35">
      <c r="A417" t="s">
        <v>3</v>
      </c>
      <c r="B417" s="7" t="s">
        <v>832</v>
      </c>
    </row>
    <row r="418" spans="1:2" x14ac:dyDescent="0.35">
      <c r="A418" t="s">
        <v>599</v>
      </c>
      <c r="B418" s="7" t="s">
        <v>1423</v>
      </c>
    </row>
    <row r="419" spans="1:2" x14ac:dyDescent="0.35">
      <c r="A419" t="s">
        <v>453</v>
      </c>
      <c r="B419" s="7" t="s">
        <v>1277</v>
      </c>
    </row>
    <row r="420" spans="1:2" x14ac:dyDescent="0.35">
      <c r="A420" t="s">
        <v>601</v>
      </c>
      <c r="B420" s="7" t="s">
        <v>1425</v>
      </c>
    </row>
    <row r="421" spans="1:2" x14ac:dyDescent="0.35">
      <c r="A421" t="s">
        <v>600</v>
      </c>
      <c r="B421" s="7" t="s">
        <v>1424</v>
      </c>
    </row>
    <row r="422" spans="1:2" x14ac:dyDescent="0.35">
      <c r="A422" t="s">
        <v>454</v>
      </c>
      <c r="B422" s="7" t="s">
        <v>1278</v>
      </c>
    </row>
    <row r="423" spans="1:2" x14ac:dyDescent="0.35">
      <c r="A423" t="s">
        <v>251</v>
      </c>
      <c r="B423" s="7" t="s">
        <v>1077</v>
      </c>
    </row>
    <row r="424" spans="1:2" x14ac:dyDescent="0.35">
      <c r="A424" t="s">
        <v>131</v>
      </c>
      <c r="B424" s="7" t="s">
        <v>960</v>
      </c>
    </row>
    <row r="425" spans="1:2" x14ac:dyDescent="0.35">
      <c r="A425" t="s">
        <v>392</v>
      </c>
      <c r="B425" s="7" t="s">
        <v>1216</v>
      </c>
    </row>
    <row r="426" spans="1:2" x14ac:dyDescent="0.35">
      <c r="A426" t="s">
        <v>54</v>
      </c>
      <c r="B426" s="7" t="s">
        <v>883</v>
      </c>
    </row>
    <row r="427" spans="1:2" x14ac:dyDescent="0.35">
      <c r="A427" t="s">
        <v>693</v>
      </c>
      <c r="B427" s="7" t="s">
        <v>1517</v>
      </c>
    </row>
    <row r="428" spans="1:2" x14ac:dyDescent="0.35">
      <c r="A428" t="s">
        <v>0</v>
      </c>
      <c r="B428" s="7" t="s">
        <v>829</v>
      </c>
    </row>
    <row r="429" spans="1:2" x14ac:dyDescent="0.35">
      <c r="A429" t="s">
        <v>320</v>
      </c>
      <c r="B429" s="7" t="s">
        <v>1145</v>
      </c>
    </row>
    <row r="430" spans="1:2" x14ac:dyDescent="0.35">
      <c r="A430" t="s">
        <v>437</v>
      </c>
      <c r="B430" s="7" t="s">
        <v>1261</v>
      </c>
    </row>
    <row r="431" spans="1:2" x14ac:dyDescent="0.35">
      <c r="A431" t="s">
        <v>450</v>
      </c>
      <c r="B431" s="7" t="s">
        <v>1274</v>
      </c>
    </row>
    <row r="432" spans="1:2" x14ac:dyDescent="0.35">
      <c r="A432" t="s">
        <v>347</v>
      </c>
      <c r="B432" s="7" t="s">
        <v>1171</v>
      </c>
    </row>
    <row r="433" spans="1:2" x14ac:dyDescent="0.35">
      <c r="A433" t="s">
        <v>801</v>
      </c>
      <c r="B433" s="7" t="s">
        <v>1624</v>
      </c>
    </row>
    <row r="434" spans="1:2" x14ac:dyDescent="0.35">
      <c r="A434" t="s">
        <v>51</v>
      </c>
      <c r="B434" s="7" t="s">
        <v>880</v>
      </c>
    </row>
    <row r="435" spans="1:2" x14ac:dyDescent="0.35">
      <c r="A435" t="s">
        <v>247</v>
      </c>
      <c r="B435" s="7" t="s">
        <v>1073</v>
      </c>
    </row>
    <row r="436" spans="1:2" x14ac:dyDescent="0.35">
      <c r="A436" t="s">
        <v>274</v>
      </c>
      <c r="B436" s="7" t="s">
        <v>1100</v>
      </c>
    </row>
    <row r="437" spans="1:2" x14ac:dyDescent="0.35">
      <c r="A437" t="s">
        <v>564</v>
      </c>
      <c r="B437" s="7" t="s">
        <v>1388</v>
      </c>
    </row>
    <row r="438" spans="1:2" x14ac:dyDescent="0.35">
      <c r="A438" t="s">
        <v>86</v>
      </c>
      <c r="B438" s="7" t="s">
        <v>915</v>
      </c>
    </row>
    <row r="439" spans="1:2" x14ac:dyDescent="0.35">
      <c r="A439" t="s">
        <v>767</v>
      </c>
      <c r="B439" s="7" t="s">
        <v>1591</v>
      </c>
    </row>
    <row r="440" spans="1:2" x14ac:dyDescent="0.35">
      <c r="A440" t="s">
        <v>24</v>
      </c>
      <c r="B440" s="7" t="s">
        <v>853</v>
      </c>
    </row>
    <row r="441" spans="1:2" x14ac:dyDescent="0.35">
      <c r="A441" t="s">
        <v>248</v>
      </c>
      <c r="B441" s="7" t="s">
        <v>1074</v>
      </c>
    </row>
    <row r="442" spans="1:2" x14ac:dyDescent="0.35">
      <c r="A442" t="s">
        <v>21</v>
      </c>
      <c r="B442" s="7" t="s">
        <v>850</v>
      </c>
    </row>
    <row r="443" spans="1:2" x14ac:dyDescent="0.35">
      <c r="A443" t="s">
        <v>250</v>
      </c>
      <c r="B443" s="7" t="s">
        <v>1076</v>
      </c>
    </row>
    <row r="444" spans="1:2" x14ac:dyDescent="0.35">
      <c r="A444" t="s">
        <v>197</v>
      </c>
      <c r="B444" s="7" t="s">
        <v>1025</v>
      </c>
    </row>
    <row r="445" spans="1:2" x14ac:dyDescent="0.35">
      <c r="A445" t="s">
        <v>404</v>
      </c>
      <c r="B445" s="7" t="s">
        <v>1228</v>
      </c>
    </row>
    <row r="446" spans="1:2" x14ac:dyDescent="0.35">
      <c r="A446" t="s">
        <v>442</v>
      </c>
      <c r="B446" s="7" t="s">
        <v>1266</v>
      </c>
    </row>
    <row r="447" spans="1:2" x14ac:dyDescent="0.35">
      <c r="A447" t="s">
        <v>26</v>
      </c>
      <c r="B447" s="7" t="s">
        <v>855</v>
      </c>
    </row>
    <row r="448" spans="1:2" x14ac:dyDescent="0.35">
      <c r="A448" t="s">
        <v>381</v>
      </c>
      <c r="B448" s="7" t="s">
        <v>1205</v>
      </c>
    </row>
    <row r="449" spans="1:8" x14ac:dyDescent="0.35">
      <c r="A449" t="s">
        <v>648</v>
      </c>
      <c r="B449" s="7" t="s">
        <v>1472</v>
      </c>
    </row>
    <row r="450" spans="1:8" x14ac:dyDescent="0.35">
      <c r="A450" t="s">
        <v>582</v>
      </c>
      <c r="B450" s="7" t="s">
        <v>1406</v>
      </c>
    </row>
    <row r="451" spans="1:8" x14ac:dyDescent="0.35">
      <c r="A451" t="s">
        <v>31</v>
      </c>
      <c r="B451" s="7" t="s">
        <v>860</v>
      </c>
    </row>
    <row r="452" spans="1:8" x14ac:dyDescent="0.35">
      <c r="A452" t="s">
        <v>532</v>
      </c>
      <c r="B452" s="7" t="s">
        <v>1356</v>
      </c>
    </row>
    <row r="453" spans="1:8" x14ac:dyDescent="0.35">
      <c r="A453" t="s">
        <v>655</v>
      </c>
      <c r="B453" s="7" t="s">
        <v>1479</v>
      </c>
    </row>
    <row r="454" spans="1:8" x14ac:dyDescent="0.35">
      <c r="A454" t="s">
        <v>142</v>
      </c>
      <c r="B454" s="7" t="s">
        <v>971</v>
      </c>
      <c r="C454">
        <v>8.5999999999999993E-2</v>
      </c>
      <c r="D454">
        <v>3.5999999999999997E-2</v>
      </c>
      <c r="E454" t="s">
        <v>3480</v>
      </c>
      <c r="F454" t="s">
        <v>1879</v>
      </c>
      <c r="G454" s="57">
        <v>44573</v>
      </c>
      <c r="H454" t="s">
        <v>1720</v>
      </c>
    </row>
    <row r="455" spans="1:8" x14ac:dyDescent="0.35">
      <c r="A455" t="s">
        <v>115</v>
      </c>
      <c r="B455" s="7" t="s">
        <v>944</v>
      </c>
      <c r="C455">
        <v>0.52</v>
      </c>
      <c r="D455">
        <v>3.8E-3</v>
      </c>
      <c r="E455" t="s">
        <v>3480</v>
      </c>
      <c r="F455" t="s">
        <v>4080</v>
      </c>
      <c r="G455" s="57">
        <v>44573</v>
      </c>
      <c r="H455" t="s">
        <v>1720</v>
      </c>
    </row>
    <row r="456" spans="1:8" x14ac:dyDescent="0.35">
      <c r="A456" t="s">
        <v>605</v>
      </c>
      <c r="B456" s="7" t="s">
        <v>1429</v>
      </c>
    </row>
    <row r="457" spans="1:8" x14ac:dyDescent="0.35">
      <c r="A457" t="s">
        <v>271</v>
      </c>
      <c r="B457" s="7" t="s">
        <v>1097</v>
      </c>
    </row>
    <row r="458" spans="1:8" x14ac:dyDescent="0.35">
      <c r="A458" t="s">
        <v>137</v>
      </c>
      <c r="B458" s="7" t="s">
        <v>966</v>
      </c>
    </row>
    <row r="459" spans="1:8" x14ac:dyDescent="0.35">
      <c r="A459" t="s">
        <v>232</v>
      </c>
      <c r="B459" s="7" t="s">
        <v>1059</v>
      </c>
    </row>
    <row r="460" spans="1:8" x14ac:dyDescent="0.35">
      <c r="A460" t="s">
        <v>135</v>
      </c>
      <c r="B460" s="7" t="s">
        <v>964</v>
      </c>
    </row>
    <row r="461" spans="1:8" x14ac:dyDescent="0.35">
      <c r="A461" t="s">
        <v>368</v>
      </c>
      <c r="B461" s="7" t="s">
        <v>1192</v>
      </c>
    </row>
    <row r="462" spans="1:8" x14ac:dyDescent="0.35">
      <c r="A462" t="s">
        <v>136</v>
      </c>
      <c r="B462" s="7" t="s">
        <v>965</v>
      </c>
    </row>
    <row r="463" spans="1:8" x14ac:dyDescent="0.35">
      <c r="A463" s="4" t="s">
        <v>808</v>
      </c>
      <c r="B463" t="s">
        <v>1631</v>
      </c>
    </row>
    <row r="464" spans="1:8" x14ac:dyDescent="0.35">
      <c r="A464" t="s">
        <v>211</v>
      </c>
      <c r="B464" s="7" t="s">
        <v>1038</v>
      </c>
    </row>
    <row r="465" spans="1:2" x14ac:dyDescent="0.35">
      <c r="A465" t="s">
        <v>585</v>
      </c>
      <c r="B465" s="7" t="s">
        <v>1409</v>
      </c>
    </row>
    <row r="466" spans="1:2" x14ac:dyDescent="0.35">
      <c r="A466" t="s">
        <v>289</v>
      </c>
      <c r="B466" s="7" t="s">
        <v>1114</v>
      </c>
    </row>
    <row r="467" spans="1:2" x14ac:dyDescent="0.35">
      <c r="A467" t="s">
        <v>555</v>
      </c>
      <c r="B467" s="7" t="s">
        <v>1379</v>
      </c>
    </row>
    <row r="468" spans="1:2" x14ac:dyDescent="0.35">
      <c r="A468" t="s">
        <v>331</v>
      </c>
      <c r="B468" s="7" t="s">
        <v>1156</v>
      </c>
    </row>
    <row r="469" spans="1:2" x14ac:dyDescent="0.35">
      <c r="A469" t="s">
        <v>231</v>
      </c>
      <c r="B469" s="7" t="s">
        <v>1058</v>
      </c>
    </row>
    <row r="470" spans="1:2" x14ac:dyDescent="0.35">
      <c r="A470" t="s">
        <v>399</v>
      </c>
      <c r="B470" s="7" t="s">
        <v>1223</v>
      </c>
    </row>
    <row r="471" spans="1:2" x14ac:dyDescent="0.35">
      <c r="A471" t="s">
        <v>148</v>
      </c>
      <c r="B471" s="7" t="s">
        <v>977</v>
      </c>
    </row>
    <row r="472" spans="1:2" x14ac:dyDescent="0.35">
      <c r="A472" t="s">
        <v>509</v>
      </c>
      <c r="B472" s="7" t="s">
        <v>1333</v>
      </c>
    </row>
    <row r="473" spans="1:2" x14ac:dyDescent="0.35">
      <c r="A473" t="s">
        <v>615</v>
      </c>
      <c r="B473" s="7" t="s">
        <v>1439</v>
      </c>
    </row>
    <row r="474" spans="1:2" x14ac:dyDescent="0.35">
      <c r="A474" t="s">
        <v>80</v>
      </c>
      <c r="B474" s="7" t="s">
        <v>909</v>
      </c>
    </row>
    <row r="475" spans="1:2" x14ac:dyDescent="0.35">
      <c r="A475" t="s">
        <v>79</v>
      </c>
      <c r="B475" s="7" t="s">
        <v>908</v>
      </c>
    </row>
    <row r="476" spans="1:2" x14ac:dyDescent="0.35">
      <c r="A476" t="s">
        <v>544</v>
      </c>
      <c r="B476" s="7" t="s">
        <v>1368</v>
      </c>
    </row>
    <row r="477" spans="1:2" x14ac:dyDescent="0.35">
      <c r="A477" t="s">
        <v>405</v>
      </c>
      <c r="B477" s="7" t="s">
        <v>1229</v>
      </c>
    </row>
    <row r="478" spans="1:2" x14ac:dyDescent="0.35">
      <c r="A478" t="s">
        <v>395</v>
      </c>
      <c r="B478" s="7" t="s">
        <v>1219</v>
      </c>
    </row>
    <row r="479" spans="1:2" x14ac:dyDescent="0.35">
      <c r="A479" t="s">
        <v>466</v>
      </c>
      <c r="B479" s="7" t="s">
        <v>1290</v>
      </c>
    </row>
    <row r="480" spans="1:2" x14ac:dyDescent="0.35">
      <c r="A480" t="s">
        <v>597</v>
      </c>
      <c r="B480" s="7" t="s">
        <v>1421</v>
      </c>
    </row>
    <row r="481" spans="1:2" x14ac:dyDescent="0.35">
      <c r="A481" t="s">
        <v>486</v>
      </c>
      <c r="B481" s="7" t="s">
        <v>1310</v>
      </c>
    </row>
    <row r="482" spans="1:2" x14ac:dyDescent="0.35">
      <c r="A482" t="s">
        <v>161</v>
      </c>
      <c r="B482" s="7" t="s">
        <v>990</v>
      </c>
    </row>
    <row r="483" spans="1:2" x14ac:dyDescent="0.35">
      <c r="A483" t="s">
        <v>196</v>
      </c>
      <c r="B483" s="7" t="s">
        <v>1024</v>
      </c>
    </row>
    <row r="484" spans="1:2" x14ac:dyDescent="0.35">
      <c r="A484" t="s">
        <v>739</v>
      </c>
      <c r="B484" s="7" t="s">
        <v>1563</v>
      </c>
    </row>
    <row r="485" spans="1:2" x14ac:dyDescent="0.35">
      <c r="A485" t="s">
        <v>543</v>
      </c>
      <c r="B485" s="7" t="s">
        <v>1367</v>
      </c>
    </row>
    <row r="486" spans="1:2" x14ac:dyDescent="0.35">
      <c r="A486" t="s">
        <v>588</v>
      </c>
      <c r="B486" s="7" t="s">
        <v>1412</v>
      </c>
    </row>
    <row r="487" spans="1:2" x14ac:dyDescent="0.35">
      <c r="A487" t="s">
        <v>94</v>
      </c>
      <c r="B487" s="7" t="s">
        <v>923</v>
      </c>
    </row>
    <row r="488" spans="1:2" x14ac:dyDescent="0.35">
      <c r="A488" t="s">
        <v>602</v>
      </c>
      <c r="B488" s="7" t="s">
        <v>1426</v>
      </c>
    </row>
    <row r="489" spans="1:2" x14ac:dyDescent="0.35">
      <c r="A489" t="s">
        <v>536</v>
      </c>
      <c r="B489" s="7" t="s">
        <v>1360</v>
      </c>
    </row>
    <row r="490" spans="1:2" x14ac:dyDescent="0.35">
      <c r="A490" t="s">
        <v>153</v>
      </c>
      <c r="B490" s="7" t="s">
        <v>982</v>
      </c>
    </row>
    <row r="491" spans="1:2" x14ac:dyDescent="0.35">
      <c r="A491" t="s">
        <v>166</v>
      </c>
      <c r="B491" s="7" t="s">
        <v>995</v>
      </c>
    </row>
    <row r="492" spans="1:2" x14ac:dyDescent="0.35">
      <c r="A492" t="s">
        <v>433</v>
      </c>
      <c r="B492" s="7" t="s">
        <v>1257</v>
      </c>
    </row>
    <row r="493" spans="1:2" x14ac:dyDescent="0.35">
      <c r="A493" t="s">
        <v>125</v>
      </c>
      <c r="B493" s="7" t="s">
        <v>954</v>
      </c>
    </row>
    <row r="494" spans="1:2" x14ac:dyDescent="0.35">
      <c r="A494" t="s">
        <v>528</v>
      </c>
      <c r="B494" s="7" t="s">
        <v>1352</v>
      </c>
    </row>
    <row r="495" spans="1:2" x14ac:dyDescent="0.35">
      <c r="A495" t="s">
        <v>102</v>
      </c>
      <c r="B495" s="7" t="s">
        <v>931</v>
      </c>
    </row>
    <row r="496" spans="1:2" x14ac:dyDescent="0.35">
      <c r="A496" t="s">
        <v>557</v>
      </c>
      <c r="B496" s="7" t="s">
        <v>1381</v>
      </c>
    </row>
    <row r="497" spans="1:8" x14ac:dyDescent="0.35">
      <c r="A497" t="s">
        <v>65</v>
      </c>
      <c r="B497" s="7" t="s">
        <v>894</v>
      </c>
    </row>
    <row r="498" spans="1:8" x14ac:dyDescent="0.35">
      <c r="A498" t="s">
        <v>563</v>
      </c>
      <c r="B498" s="7" t="s">
        <v>1387</v>
      </c>
    </row>
    <row r="499" spans="1:8" x14ac:dyDescent="0.35">
      <c r="A499" t="s">
        <v>644</v>
      </c>
      <c r="B499" s="7" t="s">
        <v>1468</v>
      </c>
    </row>
    <row r="500" spans="1:8" x14ac:dyDescent="0.35">
      <c r="A500" t="s">
        <v>652</v>
      </c>
      <c r="B500" s="7" t="s">
        <v>1476</v>
      </c>
    </row>
    <row r="501" spans="1:8" x14ac:dyDescent="0.35">
      <c r="A501" t="s">
        <v>268</v>
      </c>
      <c r="B501" s="7" t="s">
        <v>1094</v>
      </c>
    </row>
    <row r="502" spans="1:8" x14ac:dyDescent="0.35">
      <c r="A502" t="s">
        <v>546</v>
      </c>
      <c r="B502" s="7" t="s">
        <v>1370</v>
      </c>
    </row>
    <row r="503" spans="1:8" x14ac:dyDescent="0.35">
      <c r="A503" t="s">
        <v>58</v>
      </c>
      <c r="B503" s="7" t="s">
        <v>887</v>
      </c>
    </row>
    <row r="504" spans="1:8" x14ac:dyDescent="0.35">
      <c r="A504" t="s">
        <v>512</v>
      </c>
      <c r="B504" s="7" t="s">
        <v>1336</v>
      </c>
    </row>
    <row r="505" spans="1:8" x14ac:dyDescent="0.35">
      <c r="A505" t="s">
        <v>647</v>
      </c>
      <c r="B505" s="7" t="s">
        <v>1471</v>
      </c>
      <c r="C505">
        <v>0.52</v>
      </c>
      <c r="D505">
        <v>3.8E-3</v>
      </c>
      <c r="E505" t="s">
        <v>3480</v>
      </c>
      <c r="F505" t="s">
        <v>4080</v>
      </c>
      <c r="G505" s="57">
        <v>44573</v>
      </c>
      <c r="H505" t="s">
        <v>1720</v>
      </c>
    </row>
    <row r="506" spans="1:8" x14ac:dyDescent="0.35">
      <c r="A506" t="s">
        <v>351</v>
      </c>
      <c r="B506" s="7" t="s">
        <v>1175</v>
      </c>
    </row>
    <row r="507" spans="1:8" x14ac:dyDescent="0.35">
      <c r="A507" t="s">
        <v>114</v>
      </c>
      <c r="B507" s="7" t="s">
        <v>943</v>
      </c>
    </row>
    <row r="508" spans="1:8" x14ac:dyDescent="0.35">
      <c r="A508" t="s">
        <v>736</v>
      </c>
      <c r="B508" s="7" t="s">
        <v>1560</v>
      </c>
    </row>
    <row r="509" spans="1:8" x14ac:dyDescent="0.35">
      <c r="A509" t="s">
        <v>259</v>
      </c>
      <c r="B509" s="7" t="s">
        <v>1085</v>
      </c>
    </row>
    <row r="510" spans="1:8" x14ac:dyDescent="0.35">
      <c r="A510" t="s">
        <v>89</v>
      </c>
      <c r="B510" s="7" t="s">
        <v>918</v>
      </c>
    </row>
    <row r="511" spans="1:8" x14ac:dyDescent="0.35">
      <c r="A511" t="s">
        <v>63</v>
      </c>
      <c r="B511" s="7" t="s">
        <v>892</v>
      </c>
    </row>
    <row r="512" spans="1:8" x14ac:dyDescent="0.35">
      <c r="A512" t="s">
        <v>614</v>
      </c>
      <c r="B512" s="7" t="s">
        <v>1438</v>
      </c>
    </row>
    <row r="513" spans="1:8" x14ac:dyDescent="0.35">
      <c r="A513" t="s">
        <v>121</v>
      </c>
      <c r="B513" s="7" t="s">
        <v>950</v>
      </c>
    </row>
    <row r="514" spans="1:8" x14ac:dyDescent="0.35">
      <c r="A514" t="s">
        <v>123</v>
      </c>
      <c r="B514" s="7" t="s">
        <v>952</v>
      </c>
    </row>
    <row r="515" spans="1:8" x14ac:dyDescent="0.35">
      <c r="A515" t="s">
        <v>500</v>
      </c>
      <c r="B515" s="7" t="s">
        <v>1324</v>
      </c>
    </row>
    <row r="516" spans="1:8" x14ac:dyDescent="0.35">
      <c r="A516" t="s">
        <v>212</v>
      </c>
      <c r="B516" s="7" t="s">
        <v>1039</v>
      </c>
      <c r="C516">
        <v>0.95</v>
      </c>
      <c r="E516" t="s">
        <v>3480</v>
      </c>
      <c r="F516" t="s">
        <v>4079</v>
      </c>
      <c r="G516" s="57">
        <v>44573</v>
      </c>
      <c r="H516" t="s">
        <v>1720</v>
      </c>
    </row>
    <row r="517" spans="1:8" x14ac:dyDescent="0.35">
      <c r="A517" t="s">
        <v>20</v>
      </c>
      <c r="B517" s="7" t="s">
        <v>849</v>
      </c>
    </row>
    <row r="518" spans="1:8" x14ac:dyDescent="0.35">
      <c r="A518" t="s">
        <v>171</v>
      </c>
      <c r="B518" s="7" t="s">
        <v>1000</v>
      </c>
    </row>
    <row r="519" spans="1:8" x14ac:dyDescent="0.35">
      <c r="A519" t="s">
        <v>25</v>
      </c>
      <c r="B519" s="7" t="s">
        <v>854</v>
      </c>
    </row>
    <row r="520" spans="1:8" x14ac:dyDescent="0.35">
      <c r="A520" t="s">
        <v>778</v>
      </c>
      <c r="B520" s="7" t="s">
        <v>854</v>
      </c>
    </row>
    <row r="521" spans="1:8" x14ac:dyDescent="0.35">
      <c r="A521" t="s">
        <v>183</v>
      </c>
      <c r="B521" s="7" t="s">
        <v>1012</v>
      </c>
    </row>
    <row r="522" spans="1:8" x14ac:dyDescent="0.35">
      <c r="A522" t="s">
        <v>143</v>
      </c>
      <c r="B522" s="7" t="s">
        <v>972</v>
      </c>
    </row>
    <row r="523" spans="1:8" x14ac:dyDescent="0.35">
      <c r="A523" t="s">
        <v>694</v>
      </c>
      <c r="B523" s="7" t="s">
        <v>1518</v>
      </c>
    </row>
    <row r="524" spans="1:8" x14ac:dyDescent="0.35">
      <c r="A524" t="s">
        <v>458</v>
      </c>
      <c r="B524" s="7" t="s">
        <v>1282</v>
      </c>
    </row>
    <row r="525" spans="1:8" x14ac:dyDescent="0.35">
      <c r="A525" t="s">
        <v>225</v>
      </c>
      <c r="B525" s="7" t="s">
        <v>1052</v>
      </c>
    </row>
    <row r="526" spans="1:8" x14ac:dyDescent="0.35">
      <c r="A526" t="s">
        <v>222</v>
      </c>
      <c r="B526" s="7" t="s">
        <v>1049</v>
      </c>
    </row>
    <row r="527" spans="1:8" x14ac:dyDescent="0.35">
      <c r="A527" t="s">
        <v>672</v>
      </c>
      <c r="B527" s="7" t="s">
        <v>1496</v>
      </c>
    </row>
    <row r="528" spans="1:8" x14ac:dyDescent="0.35">
      <c r="A528" t="s">
        <v>220</v>
      </c>
      <c r="B528" s="7" t="s">
        <v>1047</v>
      </c>
    </row>
    <row r="529" spans="1:8" x14ac:dyDescent="0.35">
      <c r="A529" t="s">
        <v>282</v>
      </c>
      <c r="B529" s="7" t="s">
        <v>1108</v>
      </c>
    </row>
    <row r="530" spans="1:8" x14ac:dyDescent="0.35">
      <c r="A530" t="s">
        <v>495</v>
      </c>
      <c r="B530" s="7" t="s">
        <v>1319</v>
      </c>
    </row>
    <row r="531" spans="1:8" x14ac:dyDescent="0.35">
      <c r="A531" t="s">
        <v>586</v>
      </c>
      <c r="B531" s="7" t="s">
        <v>1410</v>
      </c>
    </row>
    <row r="532" spans="1:8" x14ac:dyDescent="0.35">
      <c r="A532" t="s">
        <v>163</v>
      </c>
      <c r="B532" s="7" t="s">
        <v>992</v>
      </c>
    </row>
    <row r="533" spans="1:8" x14ac:dyDescent="0.35">
      <c r="A533" t="s">
        <v>105</v>
      </c>
      <c r="B533" s="7" t="s">
        <v>934</v>
      </c>
    </row>
    <row r="534" spans="1:8" x14ac:dyDescent="0.35">
      <c r="A534" t="s">
        <v>627</v>
      </c>
      <c r="B534" s="7" t="s">
        <v>1451</v>
      </c>
    </row>
    <row r="535" spans="1:8" x14ac:dyDescent="0.35">
      <c r="A535" t="s">
        <v>646</v>
      </c>
      <c r="B535" s="7" t="s">
        <v>1470</v>
      </c>
    </row>
    <row r="536" spans="1:8" x14ac:dyDescent="0.35">
      <c r="A536" t="s">
        <v>244</v>
      </c>
      <c r="B536" s="7" t="s">
        <v>1070</v>
      </c>
    </row>
    <row r="537" spans="1:8" x14ac:dyDescent="0.35">
      <c r="A537" t="s">
        <v>653</v>
      </c>
      <c r="B537" s="7" t="s">
        <v>1477</v>
      </c>
    </row>
    <row r="538" spans="1:8" x14ac:dyDescent="0.35">
      <c r="A538" t="s">
        <v>16</v>
      </c>
      <c r="B538" s="7" t="s">
        <v>845</v>
      </c>
    </row>
    <row r="539" spans="1:8" x14ac:dyDescent="0.35">
      <c r="A539" t="s">
        <v>257</v>
      </c>
      <c r="B539" s="7" t="s">
        <v>1083</v>
      </c>
    </row>
    <row r="540" spans="1:8" x14ac:dyDescent="0.35">
      <c r="A540" t="s">
        <v>493</v>
      </c>
      <c r="B540" s="7" t="s">
        <v>1317</v>
      </c>
    </row>
    <row r="541" spans="1:8" x14ac:dyDescent="0.35">
      <c r="A541" t="s">
        <v>207</v>
      </c>
      <c r="B541" s="7" t="s">
        <v>1034</v>
      </c>
    </row>
    <row r="542" spans="1:8" x14ac:dyDescent="0.35">
      <c r="A542" t="s">
        <v>593</v>
      </c>
      <c r="B542" s="7" t="s">
        <v>1417</v>
      </c>
      <c r="D542">
        <v>0.1</v>
      </c>
      <c r="E542" t="s">
        <v>3480</v>
      </c>
      <c r="F542" t="s">
        <v>1879</v>
      </c>
      <c r="G542" s="57">
        <v>44573</v>
      </c>
      <c r="H542" t="s">
        <v>1720</v>
      </c>
    </row>
    <row r="543" spans="1:8" x14ac:dyDescent="0.35">
      <c r="A543" t="s">
        <v>502</v>
      </c>
      <c r="B543" s="7" t="s">
        <v>1326</v>
      </c>
    </row>
    <row r="544" spans="1:8" x14ac:dyDescent="0.35">
      <c r="A544" t="s">
        <v>556</v>
      </c>
      <c r="B544" s="7" t="s">
        <v>1380</v>
      </c>
    </row>
    <row r="545" spans="1:2" x14ac:dyDescent="0.35">
      <c r="A545" t="s">
        <v>604</v>
      </c>
      <c r="B545" s="7" t="s">
        <v>1428</v>
      </c>
    </row>
    <row r="546" spans="1:2" x14ac:dyDescent="0.35">
      <c r="A546" t="s">
        <v>299</v>
      </c>
      <c r="B546" s="7" t="s">
        <v>1124</v>
      </c>
    </row>
    <row r="547" spans="1:2" x14ac:dyDescent="0.35">
      <c r="A547" t="s">
        <v>17</v>
      </c>
      <c r="B547" s="7" t="s">
        <v>846</v>
      </c>
    </row>
    <row r="548" spans="1:2" x14ac:dyDescent="0.35">
      <c r="A548" t="s">
        <v>619</v>
      </c>
      <c r="B548" s="7" t="s">
        <v>1443</v>
      </c>
    </row>
    <row r="549" spans="1:2" x14ac:dyDescent="0.35">
      <c r="A549" t="s">
        <v>757</v>
      </c>
      <c r="B549" s="7" t="s">
        <v>1581</v>
      </c>
    </row>
    <row r="550" spans="1:2" x14ac:dyDescent="0.35">
      <c r="A550" t="s">
        <v>631</v>
      </c>
      <c r="B550" s="7" t="s">
        <v>1455</v>
      </c>
    </row>
    <row r="551" spans="1:2" x14ac:dyDescent="0.35">
      <c r="A551" t="s">
        <v>272</v>
      </c>
      <c r="B551" s="7" t="s">
        <v>1098</v>
      </c>
    </row>
    <row r="552" spans="1:2" x14ac:dyDescent="0.35">
      <c r="A552" t="s">
        <v>490</v>
      </c>
      <c r="B552" s="7" t="s">
        <v>1314</v>
      </c>
    </row>
    <row r="553" spans="1:2" x14ac:dyDescent="0.35">
      <c r="A553" t="s">
        <v>518</v>
      </c>
      <c r="B553" s="7" t="s">
        <v>1342</v>
      </c>
    </row>
    <row r="554" spans="1:2" x14ac:dyDescent="0.35">
      <c r="A554" t="s">
        <v>270</v>
      </c>
      <c r="B554" s="7" t="s">
        <v>1096</v>
      </c>
    </row>
    <row r="555" spans="1:2" x14ac:dyDescent="0.35">
      <c r="A555" t="s">
        <v>444</v>
      </c>
      <c r="B555" s="7" t="s">
        <v>1268</v>
      </c>
    </row>
    <row r="556" spans="1:2" x14ac:dyDescent="0.35">
      <c r="A556" t="s">
        <v>335</v>
      </c>
      <c r="B556" s="7" t="s">
        <v>1160</v>
      </c>
    </row>
    <row r="557" spans="1:2" x14ac:dyDescent="0.35">
      <c r="A557" t="s">
        <v>265</v>
      </c>
      <c r="B557" s="7" t="s">
        <v>1091</v>
      </c>
    </row>
    <row r="558" spans="1:2" x14ac:dyDescent="0.35">
      <c r="A558" t="s">
        <v>695</v>
      </c>
      <c r="B558" s="7" t="s">
        <v>1519</v>
      </c>
    </row>
    <row r="559" spans="1:2" x14ac:dyDescent="0.35">
      <c r="A559" t="s">
        <v>129</v>
      </c>
      <c r="B559" s="7" t="s">
        <v>958</v>
      </c>
    </row>
    <row r="560" spans="1:2" x14ac:dyDescent="0.35">
      <c r="A560" t="s">
        <v>425</v>
      </c>
      <c r="B560" s="7" t="s">
        <v>1249</v>
      </c>
    </row>
    <row r="561" spans="1:8" x14ac:dyDescent="0.35">
      <c r="A561" t="s">
        <v>696</v>
      </c>
      <c r="B561" s="7" t="s">
        <v>1520</v>
      </c>
    </row>
    <row r="562" spans="1:8" x14ac:dyDescent="0.35">
      <c r="A562" t="s">
        <v>140</v>
      </c>
      <c r="B562" s="7" t="s">
        <v>969</v>
      </c>
      <c r="D562">
        <v>0.03</v>
      </c>
      <c r="E562" t="s">
        <v>3480</v>
      </c>
      <c r="F562" t="s">
        <v>1879</v>
      </c>
      <c r="G562" s="57">
        <v>44573</v>
      </c>
      <c r="H562" t="s">
        <v>1720</v>
      </c>
    </row>
    <row r="563" spans="1:8" x14ac:dyDescent="0.35">
      <c r="A563" t="s">
        <v>57</v>
      </c>
      <c r="B563" s="7" t="s">
        <v>886</v>
      </c>
    </row>
    <row r="564" spans="1:8" x14ac:dyDescent="0.35">
      <c r="A564" t="s">
        <v>432</v>
      </c>
      <c r="B564" s="7" t="s">
        <v>1256</v>
      </c>
    </row>
    <row r="565" spans="1:8" x14ac:dyDescent="0.35">
      <c r="A565" t="s">
        <v>639</v>
      </c>
      <c r="B565" s="7" t="s">
        <v>1463</v>
      </c>
    </row>
    <row r="566" spans="1:8" x14ac:dyDescent="0.35">
      <c r="A566" t="s">
        <v>506</v>
      </c>
      <c r="B566" s="7" t="s">
        <v>1330</v>
      </c>
    </row>
    <row r="567" spans="1:8" x14ac:dyDescent="0.35">
      <c r="A567" t="s">
        <v>228</v>
      </c>
      <c r="B567" s="7" t="s">
        <v>1055</v>
      </c>
    </row>
    <row r="568" spans="1:8" x14ac:dyDescent="0.35">
      <c r="A568" t="s">
        <v>697</v>
      </c>
      <c r="B568" s="7" t="s">
        <v>1521</v>
      </c>
    </row>
    <row r="569" spans="1:8" x14ac:dyDescent="0.35">
      <c r="A569" t="s">
        <v>71</v>
      </c>
      <c r="B569" s="7" t="s">
        <v>900</v>
      </c>
    </row>
    <row r="570" spans="1:8" x14ac:dyDescent="0.35">
      <c r="A570" t="s">
        <v>82</v>
      </c>
      <c r="B570" s="7" t="s">
        <v>911</v>
      </c>
    </row>
    <row r="571" spans="1:8" x14ac:dyDescent="0.35">
      <c r="A571" t="s">
        <v>43</v>
      </c>
      <c r="B571" s="7" t="s">
        <v>872</v>
      </c>
    </row>
    <row r="572" spans="1:8" x14ac:dyDescent="0.35">
      <c r="A572" t="s">
        <v>412</v>
      </c>
      <c r="B572" s="7" t="s">
        <v>1236</v>
      </c>
    </row>
    <row r="573" spans="1:8" x14ac:dyDescent="0.35">
      <c r="A573" t="s">
        <v>478</v>
      </c>
      <c r="B573" s="7" t="s">
        <v>1302</v>
      </c>
    </row>
    <row r="574" spans="1:8" x14ac:dyDescent="0.35">
      <c r="A574" t="s">
        <v>570</v>
      </c>
      <c r="B574" s="7" t="s">
        <v>1394</v>
      </c>
    </row>
    <row r="575" spans="1:8" x14ac:dyDescent="0.35">
      <c r="A575" t="s">
        <v>332</v>
      </c>
      <c r="B575" s="7" t="s">
        <v>1157</v>
      </c>
    </row>
    <row r="576" spans="1:8" x14ac:dyDescent="0.35">
      <c r="A576" t="s">
        <v>554</v>
      </c>
      <c r="B576" s="7" t="s">
        <v>1378</v>
      </c>
    </row>
    <row r="577" spans="1:2" x14ac:dyDescent="0.35">
      <c r="A577" t="s">
        <v>440</v>
      </c>
      <c r="B577" s="7" t="s">
        <v>1264</v>
      </c>
    </row>
    <row r="578" spans="1:2" x14ac:dyDescent="0.35">
      <c r="A578" t="s">
        <v>307</v>
      </c>
      <c r="B578" s="7" t="s">
        <v>1132</v>
      </c>
    </row>
    <row r="579" spans="1:2" x14ac:dyDescent="0.35">
      <c r="A579" t="s">
        <v>369</v>
      </c>
      <c r="B579" s="7" t="s">
        <v>1193</v>
      </c>
    </row>
    <row r="580" spans="1:2" x14ac:dyDescent="0.35">
      <c r="A580" t="s">
        <v>35</v>
      </c>
      <c r="B580" s="7" t="s">
        <v>864</v>
      </c>
    </row>
    <row r="581" spans="1:2" x14ac:dyDescent="0.35">
      <c r="A581" s="4" t="s">
        <v>35</v>
      </c>
      <c r="B581" t="s">
        <v>864</v>
      </c>
    </row>
    <row r="582" spans="1:2" x14ac:dyDescent="0.35">
      <c r="A582" t="s">
        <v>820</v>
      </c>
      <c r="B582" s="7" t="s">
        <v>1642</v>
      </c>
    </row>
    <row r="583" spans="1:2" x14ac:dyDescent="0.35">
      <c r="A583" s="6" t="s">
        <v>797</v>
      </c>
      <c r="B583" s="7" t="s">
        <v>1620</v>
      </c>
    </row>
    <row r="584" spans="1:2" x14ac:dyDescent="0.35">
      <c r="A584" t="s">
        <v>431</v>
      </c>
      <c r="B584" s="7" t="s">
        <v>1255</v>
      </c>
    </row>
    <row r="585" spans="1:2" x14ac:dyDescent="0.35">
      <c r="A585" t="s">
        <v>329</v>
      </c>
      <c r="B585" s="7" t="s">
        <v>1154</v>
      </c>
    </row>
    <row r="586" spans="1:2" x14ac:dyDescent="0.35">
      <c r="A586" t="s">
        <v>324</v>
      </c>
      <c r="B586" s="7" t="s">
        <v>1149</v>
      </c>
    </row>
    <row r="587" spans="1:2" x14ac:dyDescent="0.35">
      <c r="A587" t="s">
        <v>187</v>
      </c>
      <c r="B587" s="7" t="s">
        <v>1015</v>
      </c>
    </row>
    <row r="588" spans="1:2" x14ac:dyDescent="0.35">
      <c r="A588" t="s">
        <v>53</v>
      </c>
      <c r="B588" s="7" t="s">
        <v>882</v>
      </c>
    </row>
    <row r="589" spans="1:2" x14ac:dyDescent="0.35">
      <c r="A589" t="s">
        <v>766</v>
      </c>
      <c r="B589" s="7" t="s">
        <v>1590</v>
      </c>
    </row>
    <row r="590" spans="1:2" x14ac:dyDescent="0.35">
      <c r="A590" t="s">
        <v>575</v>
      </c>
      <c r="B590" s="7" t="s">
        <v>1399</v>
      </c>
    </row>
    <row r="591" spans="1:2" x14ac:dyDescent="0.35">
      <c r="A591" t="s">
        <v>623</v>
      </c>
      <c r="B591" s="7" t="s">
        <v>1447</v>
      </c>
    </row>
    <row r="592" spans="1:2" x14ac:dyDescent="0.35">
      <c r="A592" t="s">
        <v>252</v>
      </c>
      <c r="B592" s="7" t="s">
        <v>1078</v>
      </c>
    </row>
    <row r="593" spans="1:2" x14ac:dyDescent="0.35">
      <c r="A593" t="s">
        <v>300</v>
      </c>
      <c r="B593" s="7" t="s">
        <v>1125</v>
      </c>
    </row>
    <row r="594" spans="1:2" x14ac:dyDescent="0.35">
      <c r="A594" t="s">
        <v>267</v>
      </c>
      <c r="B594" s="7" t="s">
        <v>1093</v>
      </c>
    </row>
    <row r="595" spans="1:2" x14ac:dyDescent="0.35">
      <c r="A595" t="s">
        <v>162</v>
      </c>
      <c r="B595" s="7" t="s">
        <v>991</v>
      </c>
    </row>
    <row r="596" spans="1:2" x14ac:dyDescent="0.35">
      <c r="A596" t="s">
        <v>523</v>
      </c>
      <c r="B596" s="7" t="s">
        <v>1347</v>
      </c>
    </row>
    <row r="597" spans="1:2" x14ac:dyDescent="0.35">
      <c r="A597" t="s">
        <v>318</v>
      </c>
      <c r="B597" s="7" t="s">
        <v>1143</v>
      </c>
    </row>
    <row r="598" spans="1:2" x14ac:dyDescent="0.35">
      <c r="A598" t="s">
        <v>106</v>
      </c>
      <c r="B598" s="7" t="s">
        <v>935</v>
      </c>
    </row>
    <row r="599" spans="1:2" x14ac:dyDescent="0.35">
      <c r="A599" t="s">
        <v>150</v>
      </c>
      <c r="B599" s="7" t="s">
        <v>979</v>
      </c>
    </row>
    <row r="600" spans="1:2" x14ac:dyDescent="0.35">
      <c r="A600" t="s">
        <v>504</v>
      </c>
      <c r="B600" s="7" t="s">
        <v>1328</v>
      </c>
    </row>
    <row r="601" spans="1:2" x14ac:dyDescent="0.35">
      <c r="A601" t="s">
        <v>698</v>
      </c>
      <c r="B601" s="7" t="s">
        <v>1522</v>
      </c>
    </row>
    <row r="602" spans="1:2" x14ac:dyDescent="0.35">
      <c r="A602" t="s">
        <v>68</v>
      </c>
      <c r="B602" s="7" t="s">
        <v>897</v>
      </c>
    </row>
    <row r="603" spans="1:2" x14ac:dyDescent="0.35">
      <c r="A603" t="s">
        <v>237</v>
      </c>
      <c r="B603" s="7" t="s">
        <v>897</v>
      </c>
    </row>
    <row r="604" spans="1:2" x14ac:dyDescent="0.35">
      <c r="A604" t="s">
        <v>390</v>
      </c>
      <c r="B604" s="7" t="s">
        <v>1214</v>
      </c>
    </row>
    <row r="605" spans="1:2" x14ac:dyDescent="0.35">
      <c r="A605" t="s">
        <v>334</v>
      </c>
      <c r="B605" s="7" t="s">
        <v>1159</v>
      </c>
    </row>
    <row r="606" spans="1:2" x14ac:dyDescent="0.35">
      <c r="A606" t="s">
        <v>344</v>
      </c>
      <c r="B606" s="7" t="s">
        <v>1168</v>
      </c>
    </row>
    <row r="607" spans="1:2" x14ac:dyDescent="0.35">
      <c r="A607" t="s">
        <v>223</v>
      </c>
      <c r="B607" s="7" t="s">
        <v>1050</v>
      </c>
    </row>
    <row r="608" spans="1:2" x14ac:dyDescent="0.35">
      <c r="A608" t="s">
        <v>155</v>
      </c>
      <c r="B608" s="7" t="s">
        <v>984</v>
      </c>
    </row>
    <row r="609" spans="1:2" x14ac:dyDescent="0.35">
      <c r="A609" t="s">
        <v>607</v>
      </c>
      <c r="B609" s="7" t="s">
        <v>1431</v>
      </c>
    </row>
    <row r="610" spans="1:2" x14ac:dyDescent="0.35">
      <c r="A610" t="s">
        <v>236</v>
      </c>
      <c r="B610" s="7" t="s">
        <v>1063</v>
      </c>
    </row>
    <row r="611" spans="1:2" x14ac:dyDescent="0.35">
      <c r="A611" t="s">
        <v>410</v>
      </c>
      <c r="B611" s="7" t="s">
        <v>1234</v>
      </c>
    </row>
    <row r="612" spans="1:2" x14ac:dyDescent="0.35">
      <c r="A612" t="s">
        <v>411</v>
      </c>
      <c r="B612" s="7" t="s">
        <v>1235</v>
      </c>
    </row>
    <row r="613" spans="1:2" x14ac:dyDescent="0.35">
      <c r="A613" t="s">
        <v>340</v>
      </c>
      <c r="B613" s="7" t="s">
        <v>1164</v>
      </c>
    </row>
    <row r="614" spans="1:2" x14ac:dyDescent="0.35">
      <c r="A614" t="s">
        <v>93</v>
      </c>
      <c r="B614" s="7" t="s">
        <v>922</v>
      </c>
    </row>
    <row r="615" spans="1:2" x14ac:dyDescent="0.35">
      <c r="A615" t="s">
        <v>30</v>
      </c>
      <c r="B615" s="7" t="s">
        <v>859</v>
      </c>
    </row>
    <row r="616" spans="1:2" x14ac:dyDescent="0.35">
      <c r="A616" t="s">
        <v>107</v>
      </c>
      <c r="B616" s="7" t="s">
        <v>936</v>
      </c>
    </row>
    <row r="617" spans="1:2" x14ac:dyDescent="0.35">
      <c r="A617" t="s">
        <v>108</v>
      </c>
      <c r="B617" s="7" t="s">
        <v>937</v>
      </c>
    </row>
    <row r="618" spans="1:2" x14ac:dyDescent="0.35">
      <c r="A618" t="s">
        <v>362</v>
      </c>
      <c r="B618" s="7" t="s">
        <v>1186</v>
      </c>
    </row>
    <row r="619" spans="1:2" x14ac:dyDescent="0.35">
      <c r="A619" t="s">
        <v>699</v>
      </c>
      <c r="B619" s="7" t="s">
        <v>1523</v>
      </c>
    </row>
    <row r="620" spans="1:2" x14ac:dyDescent="0.35">
      <c r="A620" t="s">
        <v>128</v>
      </c>
      <c r="B620" s="7" t="s">
        <v>957</v>
      </c>
    </row>
    <row r="621" spans="1:2" x14ac:dyDescent="0.35">
      <c r="A621" t="s">
        <v>626</v>
      </c>
      <c r="B621" s="7" t="s">
        <v>1450</v>
      </c>
    </row>
    <row r="622" spans="1:2" x14ac:dyDescent="0.35">
      <c r="A622" t="s">
        <v>700</v>
      </c>
      <c r="B622" s="7" t="s">
        <v>1524</v>
      </c>
    </row>
    <row r="623" spans="1:2" x14ac:dyDescent="0.35">
      <c r="A623" t="s">
        <v>66</v>
      </c>
      <c r="B623" s="7" t="s">
        <v>895</v>
      </c>
    </row>
    <row r="624" spans="1:2" x14ac:dyDescent="0.35">
      <c r="A624" t="s">
        <v>439</v>
      </c>
      <c r="B624" s="7" t="s">
        <v>1263</v>
      </c>
    </row>
    <row r="625" spans="1:2" x14ac:dyDescent="0.35">
      <c r="A625" t="s">
        <v>471</v>
      </c>
      <c r="B625" s="7" t="s">
        <v>1295</v>
      </c>
    </row>
    <row r="626" spans="1:2" x14ac:dyDescent="0.35">
      <c r="A626" t="s">
        <v>461</v>
      </c>
      <c r="B626" s="7" t="s">
        <v>1285</v>
      </c>
    </row>
    <row r="627" spans="1:2" x14ac:dyDescent="0.35">
      <c r="A627" t="s">
        <v>474</v>
      </c>
      <c r="B627" s="7" t="s">
        <v>1298</v>
      </c>
    </row>
    <row r="628" spans="1:2" x14ac:dyDescent="0.35">
      <c r="A628" t="s">
        <v>422</v>
      </c>
      <c r="B628" s="7" t="s">
        <v>1246</v>
      </c>
    </row>
    <row r="629" spans="1:2" x14ac:dyDescent="0.35">
      <c r="A629" t="s">
        <v>364</v>
      </c>
      <c r="B629" s="7" t="s">
        <v>1188</v>
      </c>
    </row>
    <row r="630" spans="1:2" x14ac:dyDescent="0.35">
      <c r="A630" t="s">
        <v>192</v>
      </c>
      <c r="B630" s="7" t="s">
        <v>1020</v>
      </c>
    </row>
    <row r="631" spans="1:2" x14ac:dyDescent="0.35">
      <c r="A631" t="s">
        <v>385</v>
      </c>
      <c r="B631" s="7" t="s">
        <v>1209</v>
      </c>
    </row>
    <row r="632" spans="1:2" x14ac:dyDescent="0.35">
      <c r="A632" t="s">
        <v>701</v>
      </c>
      <c r="B632" s="7" t="s">
        <v>1525</v>
      </c>
    </row>
    <row r="633" spans="1:2" x14ac:dyDescent="0.35">
      <c r="A633" t="s">
        <v>391</v>
      </c>
      <c r="B633" s="7" t="s">
        <v>1215</v>
      </c>
    </row>
    <row r="634" spans="1:2" x14ac:dyDescent="0.35">
      <c r="A634" t="s">
        <v>116</v>
      </c>
      <c r="B634" s="7" t="s">
        <v>945</v>
      </c>
    </row>
    <row r="635" spans="1:2" x14ac:dyDescent="0.35">
      <c r="A635" s="3" t="s">
        <v>408</v>
      </c>
      <c r="B635" s="7" t="s">
        <v>1232</v>
      </c>
    </row>
    <row r="636" spans="1:2" x14ac:dyDescent="0.35">
      <c r="A636" t="s">
        <v>304</v>
      </c>
      <c r="B636" s="7" t="s">
        <v>1129</v>
      </c>
    </row>
    <row r="637" spans="1:2" x14ac:dyDescent="0.35">
      <c r="A637" t="s">
        <v>576</v>
      </c>
      <c r="B637" s="7" t="s">
        <v>1400</v>
      </c>
    </row>
    <row r="638" spans="1:2" x14ac:dyDescent="0.35">
      <c r="A638" t="s">
        <v>702</v>
      </c>
      <c r="B638" s="7" t="s">
        <v>1526</v>
      </c>
    </row>
    <row r="639" spans="1:2" x14ac:dyDescent="0.35">
      <c r="A639" t="s">
        <v>139</v>
      </c>
      <c r="B639" s="7" t="s">
        <v>968</v>
      </c>
    </row>
    <row r="640" spans="1:2" x14ac:dyDescent="0.35">
      <c r="A640" t="s">
        <v>138</v>
      </c>
      <c r="B640" s="7" t="s">
        <v>967</v>
      </c>
    </row>
    <row r="641" spans="1:8" x14ac:dyDescent="0.35">
      <c r="A641" t="s">
        <v>361</v>
      </c>
      <c r="B641" s="7" t="s">
        <v>1185</v>
      </c>
    </row>
    <row r="642" spans="1:8" x14ac:dyDescent="0.35">
      <c r="A642" t="s">
        <v>181</v>
      </c>
      <c r="B642" s="7" t="s">
        <v>1010</v>
      </c>
    </row>
    <row r="643" spans="1:8" x14ac:dyDescent="0.35">
      <c r="A643" t="s">
        <v>634</v>
      </c>
      <c r="B643" s="7" t="s">
        <v>1458</v>
      </c>
    </row>
    <row r="644" spans="1:8" x14ac:dyDescent="0.35">
      <c r="A644" t="s">
        <v>315</v>
      </c>
      <c r="B644" s="7" t="s">
        <v>1140</v>
      </c>
    </row>
    <row r="645" spans="1:8" x14ac:dyDescent="0.35">
      <c r="A645" t="s">
        <v>314</v>
      </c>
      <c r="B645" s="7" t="s">
        <v>1139</v>
      </c>
    </row>
    <row r="646" spans="1:8" x14ac:dyDescent="0.35">
      <c r="A646" t="s">
        <v>758</v>
      </c>
      <c r="B646" s="7" t="s">
        <v>1582</v>
      </c>
    </row>
    <row r="647" spans="1:8" x14ac:dyDescent="0.35">
      <c r="A647" t="s">
        <v>759</v>
      </c>
      <c r="B647" s="7" t="s">
        <v>1583</v>
      </c>
    </row>
    <row r="648" spans="1:8" x14ac:dyDescent="0.35">
      <c r="A648" t="s">
        <v>731</v>
      </c>
      <c r="B648" s="7" t="s">
        <v>1555</v>
      </c>
    </row>
    <row r="649" spans="1:8" x14ac:dyDescent="0.35">
      <c r="A649" t="s">
        <v>262</v>
      </c>
      <c r="B649" s="7" t="s">
        <v>1088</v>
      </c>
    </row>
    <row r="650" spans="1:8" x14ac:dyDescent="0.35">
      <c r="A650" t="s">
        <v>768</v>
      </c>
      <c r="B650" s="7" t="s">
        <v>1592</v>
      </c>
    </row>
    <row r="651" spans="1:8" x14ac:dyDescent="0.35">
      <c r="A651" t="s">
        <v>415</v>
      </c>
      <c r="B651" s="7" t="s">
        <v>1239</v>
      </c>
      <c r="D651">
        <v>1E-3</v>
      </c>
      <c r="E651" t="s">
        <v>3480</v>
      </c>
      <c r="F651" t="s">
        <v>1879</v>
      </c>
      <c r="G651" s="57">
        <v>44573</v>
      </c>
      <c r="H651" t="s">
        <v>1720</v>
      </c>
    </row>
    <row r="652" spans="1:8" x14ac:dyDescent="0.35">
      <c r="A652" t="s">
        <v>111</v>
      </c>
      <c r="B652" s="7" t="s">
        <v>940</v>
      </c>
    </row>
    <row r="653" spans="1:8" x14ac:dyDescent="0.35">
      <c r="A653" t="s">
        <v>742</v>
      </c>
      <c r="B653" s="7" t="s">
        <v>1566</v>
      </c>
    </row>
    <row r="654" spans="1:8" x14ac:dyDescent="0.35">
      <c r="A654" t="s">
        <v>743</v>
      </c>
      <c r="B654" s="7" t="s">
        <v>1567</v>
      </c>
    </row>
    <row r="655" spans="1:8" x14ac:dyDescent="0.35">
      <c r="A655" t="s">
        <v>744</v>
      </c>
      <c r="B655" s="7" t="s">
        <v>1568</v>
      </c>
    </row>
    <row r="656" spans="1:8" x14ac:dyDescent="0.35">
      <c r="A656" t="s">
        <v>745</v>
      </c>
      <c r="B656" s="7" t="s">
        <v>1569</v>
      </c>
    </row>
    <row r="657" spans="1:2" x14ac:dyDescent="0.35">
      <c r="A657" t="s">
        <v>746</v>
      </c>
      <c r="B657" s="7" t="s">
        <v>1570</v>
      </c>
    </row>
    <row r="658" spans="1:2" x14ac:dyDescent="0.35">
      <c r="A658" t="s">
        <v>747</v>
      </c>
      <c r="B658" s="7" t="s">
        <v>1571</v>
      </c>
    </row>
    <row r="659" spans="1:2" x14ac:dyDescent="0.35">
      <c r="A659" t="s">
        <v>748</v>
      </c>
      <c r="B659" s="7" t="s">
        <v>1572</v>
      </c>
    </row>
    <row r="660" spans="1:2" x14ac:dyDescent="0.35">
      <c r="A660" t="s">
        <v>749</v>
      </c>
      <c r="B660" s="7" t="s">
        <v>1573</v>
      </c>
    </row>
    <row r="661" spans="1:2" x14ac:dyDescent="0.35">
      <c r="A661" t="s">
        <v>750</v>
      </c>
      <c r="B661" s="7" t="s">
        <v>1574</v>
      </c>
    </row>
    <row r="662" spans="1:2" x14ac:dyDescent="0.35">
      <c r="A662" t="s">
        <v>751</v>
      </c>
      <c r="B662" s="7" t="s">
        <v>1575</v>
      </c>
    </row>
    <row r="663" spans="1:2" x14ac:dyDescent="0.35">
      <c r="A663" t="s">
        <v>741</v>
      </c>
      <c r="B663" s="7" t="s">
        <v>1565</v>
      </c>
    </row>
    <row r="664" spans="1:2" x14ac:dyDescent="0.35">
      <c r="A664" t="s">
        <v>752</v>
      </c>
      <c r="B664" s="7" t="s">
        <v>1576</v>
      </c>
    </row>
    <row r="665" spans="1:2" x14ac:dyDescent="0.35">
      <c r="A665" t="s">
        <v>76</v>
      </c>
      <c r="B665" s="7" t="s">
        <v>905</v>
      </c>
    </row>
    <row r="666" spans="1:2" x14ac:dyDescent="0.35">
      <c r="A666" t="s">
        <v>459</v>
      </c>
      <c r="B666" s="7" t="s">
        <v>1283</v>
      </c>
    </row>
    <row r="667" spans="1:2" x14ac:dyDescent="0.35">
      <c r="A667" t="s">
        <v>514</v>
      </c>
      <c r="B667" s="7" t="s">
        <v>1338</v>
      </c>
    </row>
    <row r="668" spans="1:2" x14ac:dyDescent="0.35">
      <c r="A668" t="s">
        <v>59</v>
      </c>
      <c r="B668" s="7" t="s">
        <v>888</v>
      </c>
    </row>
    <row r="669" spans="1:2" x14ac:dyDescent="0.35">
      <c r="A669" t="s">
        <v>823</v>
      </c>
      <c r="B669" s="7" t="s">
        <v>1645</v>
      </c>
    </row>
    <row r="670" spans="1:2" x14ac:dyDescent="0.35">
      <c r="A670" t="s">
        <v>189</v>
      </c>
      <c r="B670" s="7" t="s">
        <v>1017</v>
      </c>
    </row>
    <row r="671" spans="1:2" x14ac:dyDescent="0.35">
      <c r="A671" t="s">
        <v>18</v>
      </c>
      <c r="B671" s="7" t="s">
        <v>847</v>
      </c>
    </row>
    <row r="672" spans="1:2" x14ac:dyDescent="0.35">
      <c r="A672" t="s">
        <v>174</v>
      </c>
      <c r="B672" s="7" t="s">
        <v>1003</v>
      </c>
    </row>
    <row r="673" spans="1:2" x14ac:dyDescent="0.35">
      <c r="A673" t="s">
        <v>291</v>
      </c>
      <c r="B673" s="7" t="s">
        <v>1116</v>
      </c>
    </row>
    <row r="674" spans="1:2" x14ac:dyDescent="0.35">
      <c r="A674" t="s">
        <v>629</v>
      </c>
      <c r="B674" s="7" t="s">
        <v>1453</v>
      </c>
    </row>
    <row r="675" spans="1:2" x14ac:dyDescent="0.35">
      <c r="A675" s="2" t="s">
        <v>483</v>
      </c>
      <c r="B675" t="s">
        <v>1307</v>
      </c>
    </row>
    <row r="676" spans="1:2" x14ac:dyDescent="0.35">
      <c r="A676" t="s">
        <v>375</v>
      </c>
      <c r="B676" s="7" t="s">
        <v>1199</v>
      </c>
    </row>
    <row r="677" spans="1:2" x14ac:dyDescent="0.35">
      <c r="A677" t="s">
        <v>398</v>
      </c>
      <c r="B677" s="7" t="s">
        <v>1222</v>
      </c>
    </row>
    <row r="678" spans="1:2" x14ac:dyDescent="0.35">
      <c r="A678" t="s">
        <v>401</v>
      </c>
      <c r="B678" s="7" t="s">
        <v>1225</v>
      </c>
    </row>
    <row r="679" spans="1:2" x14ac:dyDescent="0.35">
      <c r="A679" t="s">
        <v>402</v>
      </c>
      <c r="B679" s="7" t="s">
        <v>1226</v>
      </c>
    </row>
    <row r="680" spans="1:2" x14ac:dyDescent="0.35">
      <c r="A680" t="s">
        <v>403</v>
      </c>
      <c r="B680" s="7" t="s">
        <v>1227</v>
      </c>
    </row>
    <row r="681" spans="1:2" x14ac:dyDescent="0.35">
      <c r="A681" t="s">
        <v>400</v>
      </c>
      <c r="B681" s="7" t="s">
        <v>1224</v>
      </c>
    </row>
    <row r="682" spans="1:2" x14ac:dyDescent="0.35">
      <c r="A682" t="s">
        <v>373</v>
      </c>
      <c r="B682" s="7" t="s">
        <v>1197</v>
      </c>
    </row>
    <row r="683" spans="1:2" x14ac:dyDescent="0.35">
      <c r="A683" t="s">
        <v>278</v>
      </c>
      <c r="B683" s="7" t="s">
        <v>1104</v>
      </c>
    </row>
    <row r="684" spans="1:2" x14ac:dyDescent="0.35">
      <c r="A684" t="s">
        <v>327</v>
      </c>
      <c r="B684" s="7" t="s">
        <v>1152</v>
      </c>
    </row>
    <row r="685" spans="1:2" x14ac:dyDescent="0.35">
      <c r="A685" t="s">
        <v>521</v>
      </c>
      <c r="B685" s="7" t="s">
        <v>1345</v>
      </c>
    </row>
    <row r="686" spans="1:2" x14ac:dyDescent="0.35">
      <c r="A686" t="s">
        <v>561</v>
      </c>
      <c r="B686" s="7" t="s">
        <v>1385</v>
      </c>
    </row>
    <row r="687" spans="1:2" x14ac:dyDescent="0.35">
      <c r="A687" t="s">
        <v>338</v>
      </c>
      <c r="B687" s="7" t="s">
        <v>1162</v>
      </c>
    </row>
    <row r="688" spans="1:2" x14ac:dyDescent="0.35">
      <c r="A688" t="s">
        <v>83</v>
      </c>
      <c r="B688" s="7" t="s">
        <v>912</v>
      </c>
    </row>
    <row r="689" spans="1:2" x14ac:dyDescent="0.35">
      <c r="A689" t="s">
        <v>288</v>
      </c>
      <c r="B689" s="7" t="s">
        <v>1113</v>
      </c>
    </row>
    <row r="690" spans="1:2" x14ac:dyDescent="0.35">
      <c r="A690" t="s">
        <v>261</v>
      </c>
      <c r="B690" s="7" t="s">
        <v>1087</v>
      </c>
    </row>
    <row r="691" spans="1:2" x14ac:dyDescent="0.35">
      <c r="A691" t="s">
        <v>520</v>
      </c>
      <c r="B691" s="7" t="s">
        <v>1344</v>
      </c>
    </row>
    <row r="692" spans="1:2" x14ac:dyDescent="0.35">
      <c r="A692" t="s">
        <v>659</v>
      </c>
      <c r="B692" s="7" t="s">
        <v>1483</v>
      </c>
    </row>
    <row r="693" spans="1:2" x14ac:dyDescent="0.35">
      <c r="A693" t="s">
        <v>221</v>
      </c>
      <c r="B693" s="7" t="s">
        <v>1048</v>
      </c>
    </row>
    <row r="694" spans="1:2" x14ac:dyDescent="0.35">
      <c r="A694" t="s">
        <v>313</v>
      </c>
      <c r="B694" s="7" t="s">
        <v>1138</v>
      </c>
    </row>
    <row r="695" spans="1:2" x14ac:dyDescent="0.35">
      <c r="A695" t="s">
        <v>673</v>
      </c>
      <c r="B695" s="7" t="s">
        <v>1497</v>
      </c>
    </row>
    <row r="696" spans="1:2" x14ac:dyDescent="0.35">
      <c r="A696" t="s">
        <v>160</v>
      </c>
      <c r="B696" s="7" t="s">
        <v>989</v>
      </c>
    </row>
    <row r="697" spans="1:2" x14ac:dyDescent="0.35">
      <c r="A697" t="s">
        <v>188</v>
      </c>
      <c r="B697" s="7" t="s">
        <v>1016</v>
      </c>
    </row>
    <row r="698" spans="1:2" x14ac:dyDescent="0.35">
      <c r="A698" t="s">
        <v>503</v>
      </c>
      <c r="B698" s="7" t="s">
        <v>1327</v>
      </c>
    </row>
    <row r="699" spans="1:2" x14ac:dyDescent="0.35">
      <c r="A699" t="s">
        <v>134</v>
      </c>
      <c r="B699" s="7" t="s">
        <v>963</v>
      </c>
    </row>
    <row r="700" spans="1:2" x14ac:dyDescent="0.35">
      <c r="A700" t="s">
        <v>145</v>
      </c>
      <c r="B700" s="7" t="s">
        <v>974</v>
      </c>
    </row>
    <row r="701" spans="1:2" x14ac:dyDescent="0.35">
      <c r="A701" t="s">
        <v>423</v>
      </c>
      <c r="B701" s="7" t="s">
        <v>1247</v>
      </c>
    </row>
    <row r="702" spans="1:2" x14ac:dyDescent="0.35">
      <c r="A702" t="s">
        <v>541</v>
      </c>
      <c r="B702" s="7" t="s">
        <v>1365</v>
      </c>
    </row>
    <row r="703" spans="1:2" x14ac:dyDescent="0.35">
      <c r="A703" t="s">
        <v>195</v>
      </c>
      <c r="B703" s="7" t="s">
        <v>1023</v>
      </c>
    </row>
    <row r="704" spans="1:2" x14ac:dyDescent="0.35">
      <c r="A704" t="s">
        <v>660</v>
      </c>
      <c r="B704" s="7" t="s">
        <v>1484</v>
      </c>
    </row>
    <row r="705" spans="1:2" x14ac:dyDescent="0.35">
      <c r="A705" t="s">
        <v>616</v>
      </c>
      <c r="B705" s="7" t="s">
        <v>1440</v>
      </c>
    </row>
    <row r="706" spans="1:2" x14ac:dyDescent="0.35">
      <c r="A706" t="s">
        <v>298</v>
      </c>
      <c r="B706" s="7" t="s">
        <v>1123</v>
      </c>
    </row>
    <row r="707" spans="1:2" x14ac:dyDescent="0.35">
      <c r="A707" t="s">
        <v>263</v>
      </c>
      <c r="B707" s="7" t="s">
        <v>1089</v>
      </c>
    </row>
    <row r="708" spans="1:2" x14ac:dyDescent="0.35">
      <c r="A708" t="s">
        <v>359</v>
      </c>
      <c r="B708" s="7" t="s">
        <v>1183</v>
      </c>
    </row>
    <row r="709" spans="1:2" x14ac:dyDescent="0.35">
      <c r="A709" t="s">
        <v>413</v>
      </c>
      <c r="B709" s="7" t="s">
        <v>1237</v>
      </c>
    </row>
    <row r="710" spans="1:2" x14ac:dyDescent="0.35">
      <c r="A710" t="s">
        <v>23</v>
      </c>
      <c r="B710" s="7" t="s">
        <v>852</v>
      </c>
    </row>
    <row r="711" spans="1:2" x14ac:dyDescent="0.35">
      <c r="A711" t="s">
        <v>485</v>
      </c>
      <c r="B711" s="7" t="s">
        <v>1309</v>
      </c>
    </row>
    <row r="712" spans="1:2" x14ac:dyDescent="0.35">
      <c r="A712" t="s">
        <v>577</v>
      </c>
      <c r="B712" s="7" t="s">
        <v>1401</v>
      </c>
    </row>
    <row r="713" spans="1:2" x14ac:dyDescent="0.35">
      <c r="A713" t="s">
        <v>8</v>
      </c>
      <c r="B713" s="7" t="s">
        <v>837</v>
      </c>
    </row>
    <row r="714" spans="1:2" x14ac:dyDescent="0.35">
      <c r="A714" t="s">
        <v>13</v>
      </c>
      <c r="B714" s="7" t="s">
        <v>842</v>
      </c>
    </row>
    <row r="715" spans="1:2" x14ac:dyDescent="0.35">
      <c r="A715" t="s">
        <v>144</v>
      </c>
      <c r="B715" s="7" t="s">
        <v>973</v>
      </c>
    </row>
    <row r="716" spans="1:2" x14ac:dyDescent="0.35">
      <c r="A716" t="s">
        <v>624</v>
      </c>
      <c r="B716" s="7" t="s">
        <v>1448</v>
      </c>
    </row>
    <row r="717" spans="1:2" x14ac:dyDescent="0.35">
      <c r="A717" t="s">
        <v>571</v>
      </c>
      <c r="B717" s="7" t="s">
        <v>1395</v>
      </c>
    </row>
    <row r="718" spans="1:2" x14ac:dyDescent="0.35">
      <c r="A718" s="1" t="s">
        <v>38</v>
      </c>
      <c r="B718" s="7" t="s">
        <v>867</v>
      </c>
    </row>
    <row r="719" spans="1:2" x14ac:dyDescent="0.35">
      <c r="A719" t="s">
        <v>4</v>
      </c>
      <c r="B719" s="7" t="s">
        <v>833</v>
      </c>
    </row>
    <row r="720" spans="1:2" x14ac:dyDescent="0.35">
      <c r="A720" t="s">
        <v>64</v>
      </c>
      <c r="B720" s="7" t="s">
        <v>893</v>
      </c>
    </row>
    <row r="721" spans="1:2" x14ac:dyDescent="0.35">
      <c r="A721" t="s">
        <v>159</v>
      </c>
      <c r="B721" s="7" t="s">
        <v>988</v>
      </c>
    </row>
    <row r="722" spans="1:2" x14ac:dyDescent="0.35">
      <c r="A722" t="s">
        <v>635</v>
      </c>
      <c r="B722" s="7" t="s">
        <v>1459</v>
      </c>
    </row>
    <row r="723" spans="1:2" x14ac:dyDescent="0.35">
      <c r="A723" t="s">
        <v>384</v>
      </c>
      <c r="B723" s="7" t="s">
        <v>1208</v>
      </c>
    </row>
    <row r="724" spans="1:2" x14ac:dyDescent="0.35">
      <c r="A724" t="s">
        <v>527</v>
      </c>
      <c r="B724" s="7" t="s">
        <v>1351</v>
      </c>
    </row>
    <row r="725" spans="1:2" x14ac:dyDescent="0.35">
      <c r="A725" t="s">
        <v>84</v>
      </c>
      <c r="B725" s="7" t="s">
        <v>913</v>
      </c>
    </row>
    <row r="726" spans="1:2" x14ac:dyDescent="0.35">
      <c r="A726" t="s">
        <v>165</v>
      </c>
      <c r="B726" s="7" t="s">
        <v>994</v>
      </c>
    </row>
    <row r="727" spans="1:2" x14ac:dyDescent="0.35">
      <c r="A727" t="s">
        <v>146</v>
      </c>
      <c r="B727" s="7" t="s">
        <v>975</v>
      </c>
    </row>
    <row r="728" spans="1:2" x14ac:dyDescent="0.35">
      <c r="A728" t="s">
        <v>737</v>
      </c>
      <c r="B728" s="7" t="s">
        <v>1561</v>
      </c>
    </row>
    <row r="729" spans="1:2" x14ac:dyDescent="0.35">
      <c r="A729" t="s">
        <v>112</v>
      </c>
      <c r="B729" s="7" t="s">
        <v>941</v>
      </c>
    </row>
    <row r="730" spans="1:2" x14ac:dyDescent="0.35">
      <c r="A730" t="s">
        <v>90</v>
      </c>
      <c r="B730" s="7" t="s">
        <v>919</v>
      </c>
    </row>
    <row r="731" spans="1:2" x14ac:dyDescent="0.35">
      <c r="A731" t="s">
        <v>91</v>
      </c>
      <c r="B731" s="7" t="s">
        <v>920</v>
      </c>
    </row>
    <row r="732" spans="1:2" x14ac:dyDescent="0.35">
      <c r="A732" t="s">
        <v>167</v>
      </c>
      <c r="B732" s="7" t="s">
        <v>996</v>
      </c>
    </row>
    <row r="733" spans="1:2" x14ac:dyDescent="0.35">
      <c r="A733" t="s">
        <v>158</v>
      </c>
      <c r="B733" s="7" t="s">
        <v>987</v>
      </c>
    </row>
    <row r="734" spans="1:2" x14ac:dyDescent="0.35">
      <c r="A734" t="s">
        <v>460</v>
      </c>
      <c r="B734" s="7" t="s">
        <v>1284</v>
      </c>
    </row>
    <row r="735" spans="1:2" x14ac:dyDescent="0.35">
      <c r="A735" t="s">
        <v>540</v>
      </c>
      <c r="B735" s="7" t="s">
        <v>1364</v>
      </c>
    </row>
    <row r="736" spans="1:2" x14ac:dyDescent="0.35">
      <c r="A736" t="s">
        <v>590</v>
      </c>
      <c r="B736" s="7" t="s">
        <v>1414</v>
      </c>
    </row>
    <row r="737" spans="1:2" x14ac:dyDescent="0.35">
      <c r="A737" t="s">
        <v>88</v>
      </c>
      <c r="B737" s="7" t="s">
        <v>917</v>
      </c>
    </row>
    <row r="738" spans="1:2" x14ac:dyDescent="0.35">
      <c r="A738" t="s">
        <v>594</v>
      </c>
      <c r="B738" s="7" t="s">
        <v>1418</v>
      </c>
    </row>
    <row r="739" spans="1:2" x14ac:dyDescent="0.35">
      <c r="A739" t="s">
        <v>296</v>
      </c>
      <c r="B739" s="7" t="s">
        <v>1121</v>
      </c>
    </row>
    <row r="740" spans="1:2" x14ac:dyDescent="0.35">
      <c r="A740" t="s">
        <v>164</v>
      </c>
      <c r="B740" s="7" t="s">
        <v>993</v>
      </c>
    </row>
    <row r="741" spans="1:2" x14ac:dyDescent="0.35">
      <c r="A741" t="s">
        <v>297</v>
      </c>
      <c r="B741" s="7" t="s">
        <v>1122</v>
      </c>
    </row>
    <row r="742" spans="1:2" x14ac:dyDescent="0.35">
      <c r="A742" t="s">
        <v>465</v>
      </c>
      <c r="B742" s="7" t="s">
        <v>1289</v>
      </c>
    </row>
    <row r="743" spans="1:2" x14ac:dyDescent="0.35">
      <c r="A743" t="s">
        <v>241</v>
      </c>
      <c r="B743" s="7" t="s">
        <v>1067</v>
      </c>
    </row>
    <row r="744" spans="1:2" x14ac:dyDescent="0.35">
      <c r="A744" t="s">
        <v>738</v>
      </c>
      <c r="B744" s="7" t="s">
        <v>1562</v>
      </c>
    </row>
    <row r="745" spans="1:2" x14ac:dyDescent="0.35">
      <c r="A745" t="s">
        <v>592</v>
      </c>
      <c r="B745" s="7" t="s">
        <v>1416</v>
      </c>
    </row>
    <row r="746" spans="1:2" x14ac:dyDescent="0.35">
      <c r="A746" t="s">
        <v>760</v>
      </c>
      <c r="B746" s="7" t="s">
        <v>1584</v>
      </c>
    </row>
    <row r="747" spans="1:2" x14ac:dyDescent="0.35">
      <c r="A747" t="s">
        <v>525</v>
      </c>
      <c r="B747" s="7" t="s">
        <v>1349</v>
      </c>
    </row>
    <row r="748" spans="1:2" x14ac:dyDescent="0.35">
      <c r="A748" t="s">
        <v>141</v>
      </c>
      <c r="B748" s="7" t="s">
        <v>970</v>
      </c>
    </row>
    <row r="749" spans="1:2" x14ac:dyDescent="0.35">
      <c r="A749" t="s">
        <v>589</v>
      </c>
      <c r="B749" s="7" t="s">
        <v>1413</v>
      </c>
    </row>
    <row r="750" spans="1:2" x14ac:dyDescent="0.35">
      <c r="A750" t="s">
        <v>124</v>
      </c>
      <c r="B750" s="7" t="s">
        <v>953</v>
      </c>
    </row>
    <row r="751" spans="1:2" x14ac:dyDescent="0.35">
      <c r="A751" t="s">
        <v>533</v>
      </c>
      <c r="B751" s="7" t="s">
        <v>1357</v>
      </c>
    </row>
    <row r="752" spans="1:2" x14ac:dyDescent="0.35">
      <c r="A752" t="s">
        <v>321</v>
      </c>
      <c r="B752" s="7" t="s">
        <v>1146</v>
      </c>
    </row>
    <row r="753" spans="1:2" x14ac:dyDescent="0.35">
      <c r="A753" t="s">
        <v>642</v>
      </c>
      <c r="B753" s="7" t="s">
        <v>1466</v>
      </c>
    </row>
    <row r="754" spans="1:2" x14ac:dyDescent="0.35">
      <c r="A754" t="s">
        <v>488</v>
      </c>
      <c r="B754" s="7" t="s">
        <v>1312</v>
      </c>
    </row>
    <row r="755" spans="1:2" x14ac:dyDescent="0.35">
      <c r="A755" t="s">
        <v>770</v>
      </c>
      <c r="B755" s="7" t="s">
        <v>1594</v>
      </c>
    </row>
    <row r="756" spans="1:2" x14ac:dyDescent="0.35">
      <c r="A756" t="s">
        <v>638</v>
      </c>
      <c r="B756" s="7" t="s">
        <v>1462</v>
      </c>
    </row>
    <row r="757" spans="1:2" x14ac:dyDescent="0.35">
      <c r="A757" t="s">
        <v>632</v>
      </c>
      <c r="B757" s="7" t="s">
        <v>1456</v>
      </c>
    </row>
    <row r="758" spans="1:2" x14ac:dyDescent="0.35">
      <c r="A758" t="s">
        <v>621</v>
      </c>
      <c r="B758" s="7" t="s">
        <v>1445</v>
      </c>
    </row>
    <row r="759" spans="1:2" x14ac:dyDescent="0.35">
      <c r="A759" t="s">
        <v>10</v>
      </c>
      <c r="B759" s="7" t="s">
        <v>839</v>
      </c>
    </row>
    <row r="760" spans="1:2" x14ac:dyDescent="0.35">
      <c r="A760" t="s">
        <v>341</v>
      </c>
      <c r="B760" s="7" t="s">
        <v>1165</v>
      </c>
    </row>
    <row r="761" spans="1:2" x14ac:dyDescent="0.35">
      <c r="A761" t="s">
        <v>92</v>
      </c>
      <c r="B761" s="7" t="s">
        <v>921</v>
      </c>
    </row>
    <row r="762" spans="1:2" x14ac:dyDescent="0.35">
      <c r="A762" t="s">
        <v>62</v>
      </c>
      <c r="B762" s="7" t="s">
        <v>891</v>
      </c>
    </row>
    <row r="763" spans="1:2" x14ac:dyDescent="0.35">
      <c r="A763" t="s">
        <v>732</v>
      </c>
      <c r="B763" s="7" t="s">
        <v>1556</v>
      </c>
    </row>
    <row r="764" spans="1:2" x14ac:dyDescent="0.35">
      <c r="A764" t="s">
        <v>208</v>
      </c>
      <c r="B764" s="7" t="s">
        <v>1035</v>
      </c>
    </row>
    <row r="765" spans="1:2" x14ac:dyDescent="0.35">
      <c r="A765" t="s">
        <v>572</v>
      </c>
      <c r="B765" s="7" t="s">
        <v>1396</v>
      </c>
    </row>
    <row r="766" spans="1:2" x14ac:dyDescent="0.35">
      <c r="A766" t="s">
        <v>239</v>
      </c>
      <c r="B766" s="7" t="s">
        <v>1065</v>
      </c>
    </row>
    <row r="767" spans="1:2" x14ac:dyDescent="0.35">
      <c r="A767" t="s">
        <v>240</v>
      </c>
      <c r="B767" s="7" t="s">
        <v>1066</v>
      </c>
    </row>
    <row r="768" spans="1:2" x14ac:dyDescent="0.35">
      <c r="A768" t="s">
        <v>238</v>
      </c>
      <c r="B768" s="7" t="s">
        <v>1064</v>
      </c>
    </row>
    <row r="769" spans="1:2" x14ac:dyDescent="0.35">
      <c r="A769" t="s">
        <v>637</v>
      </c>
      <c r="B769" s="7" t="s">
        <v>1461</v>
      </c>
    </row>
    <row r="770" spans="1:2" x14ac:dyDescent="0.35">
      <c r="A770" t="s">
        <v>206</v>
      </c>
      <c r="B770" s="7" t="s">
        <v>1033</v>
      </c>
    </row>
    <row r="771" spans="1:2" x14ac:dyDescent="0.35">
      <c r="A771" t="s">
        <v>674</v>
      </c>
      <c r="B771" s="7" t="s">
        <v>1498</v>
      </c>
    </row>
    <row r="772" spans="1:2" x14ac:dyDescent="0.35">
      <c r="A772" t="s">
        <v>578</v>
      </c>
      <c r="B772" s="7" t="s">
        <v>1402</v>
      </c>
    </row>
    <row r="773" spans="1:2" x14ac:dyDescent="0.35">
      <c r="A773" t="s">
        <v>622</v>
      </c>
      <c r="B773" s="7" t="s">
        <v>1446</v>
      </c>
    </row>
    <row r="774" spans="1:2" x14ac:dyDescent="0.35">
      <c r="A774" t="s">
        <v>214</v>
      </c>
      <c r="B774" s="7" t="s">
        <v>1041</v>
      </c>
    </row>
    <row r="775" spans="1:2" x14ac:dyDescent="0.35">
      <c r="A775" t="s">
        <v>519</v>
      </c>
      <c r="B775" s="7" t="s">
        <v>1343</v>
      </c>
    </row>
    <row r="776" spans="1:2" x14ac:dyDescent="0.35">
      <c r="A776" t="s">
        <v>515</v>
      </c>
      <c r="B776" s="7" t="s">
        <v>1339</v>
      </c>
    </row>
    <row r="777" spans="1:2" x14ac:dyDescent="0.35">
      <c r="A777" t="s">
        <v>388</v>
      </c>
      <c r="B777" s="7" t="s">
        <v>1212</v>
      </c>
    </row>
    <row r="778" spans="1:2" x14ac:dyDescent="0.35">
      <c r="A778" t="s">
        <v>110</v>
      </c>
      <c r="B778" s="7" t="s">
        <v>939</v>
      </c>
    </row>
    <row r="779" spans="1:2" x14ac:dyDescent="0.35">
      <c r="A779" t="s">
        <v>661</v>
      </c>
      <c r="B779" s="7" t="s">
        <v>1485</v>
      </c>
    </row>
    <row r="780" spans="1:2" x14ac:dyDescent="0.35">
      <c r="A780" t="s">
        <v>476</v>
      </c>
      <c r="B780" s="7" t="s">
        <v>1300</v>
      </c>
    </row>
    <row r="781" spans="1:2" x14ac:dyDescent="0.35">
      <c r="A781" t="s">
        <v>613</v>
      </c>
      <c r="B781" s="7" t="s">
        <v>1437</v>
      </c>
    </row>
    <row r="782" spans="1:2" x14ac:dyDescent="0.35">
      <c r="A782" t="s">
        <v>170</v>
      </c>
      <c r="B782" s="7" t="s">
        <v>999</v>
      </c>
    </row>
    <row r="783" spans="1:2" x14ac:dyDescent="0.35">
      <c r="A783" t="s">
        <v>548</v>
      </c>
      <c r="B783" s="7" t="s">
        <v>1372</v>
      </c>
    </row>
    <row r="784" spans="1:2" x14ac:dyDescent="0.35">
      <c r="A784" t="s">
        <v>396</v>
      </c>
      <c r="B784" s="7" t="s">
        <v>1220</v>
      </c>
    </row>
    <row r="785" spans="1:2" x14ac:dyDescent="0.35">
      <c r="A785" t="s">
        <v>377</v>
      </c>
      <c r="B785" s="7" t="s">
        <v>1201</v>
      </c>
    </row>
    <row r="786" spans="1:2" x14ac:dyDescent="0.35">
      <c r="A786" t="s">
        <v>5</v>
      </c>
      <c r="B786" s="7" t="s">
        <v>834</v>
      </c>
    </row>
    <row r="787" spans="1:2" x14ac:dyDescent="0.35">
      <c r="A787" t="s">
        <v>235</v>
      </c>
      <c r="B787" s="7" t="s">
        <v>1062</v>
      </c>
    </row>
    <row r="788" spans="1:2" x14ac:dyDescent="0.35">
      <c r="A788" t="s">
        <v>393</v>
      </c>
      <c r="B788" s="7" t="s">
        <v>1217</v>
      </c>
    </row>
    <row r="789" spans="1:2" x14ac:dyDescent="0.35">
      <c r="A789" t="s">
        <v>328</v>
      </c>
      <c r="B789" s="7" t="s">
        <v>1153</v>
      </c>
    </row>
    <row r="790" spans="1:2" x14ac:dyDescent="0.35">
      <c r="A790" t="s">
        <v>209</v>
      </c>
      <c r="B790" s="7" t="s">
        <v>1036</v>
      </c>
    </row>
    <row r="791" spans="1:2" x14ac:dyDescent="0.35">
      <c r="A791" t="s">
        <v>275</v>
      </c>
      <c r="B791" s="7" t="s">
        <v>1101</v>
      </c>
    </row>
    <row r="792" spans="1:2" x14ac:dyDescent="0.35">
      <c r="A792" t="s">
        <v>316</v>
      </c>
      <c r="B792" s="7" t="s">
        <v>1141</v>
      </c>
    </row>
    <row r="793" spans="1:2" x14ac:dyDescent="0.35">
      <c r="A793" t="s">
        <v>178</v>
      </c>
      <c r="B793" s="7" t="s">
        <v>1007</v>
      </c>
    </row>
    <row r="794" spans="1:2" x14ac:dyDescent="0.35">
      <c r="A794" t="s">
        <v>151</v>
      </c>
      <c r="B794" s="7" t="s">
        <v>980</v>
      </c>
    </row>
    <row r="795" spans="1:2" x14ac:dyDescent="0.35">
      <c r="A795" t="s">
        <v>761</v>
      </c>
      <c r="B795" s="7" t="s">
        <v>1585</v>
      </c>
    </row>
    <row r="796" spans="1:2" x14ac:dyDescent="0.35">
      <c r="A796" t="s">
        <v>424</v>
      </c>
      <c r="B796" s="7" t="s">
        <v>1248</v>
      </c>
    </row>
    <row r="797" spans="1:2" x14ac:dyDescent="0.35">
      <c r="A797" t="s">
        <v>317</v>
      </c>
      <c r="B797" s="7" t="s">
        <v>1142</v>
      </c>
    </row>
    <row r="798" spans="1:2" x14ac:dyDescent="0.35">
      <c r="A798" t="s">
        <v>96</v>
      </c>
      <c r="B798" s="7" t="s">
        <v>925</v>
      </c>
    </row>
    <row r="799" spans="1:2" x14ac:dyDescent="0.35">
      <c r="A799" t="s">
        <v>580</v>
      </c>
      <c r="B799" s="7" t="s">
        <v>1404</v>
      </c>
    </row>
    <row r="800" spans="1:2" x14ac:dyDescent="0.35">
      <c r="A800" t="s">
        <v>560</v>
      </c>
      <c r="B800" s="7" t="s">
        <v>1384</v>
      </c>
    </row>
    <row r="801" spans="1:2" x14ac:dyDescent="0.35">
      <c r="A801" t="s">
        <v>651</v>
      </c>
      <c r="B801" s="7" t="s">
        <v>1475</v>
      </c>
    </row>
    <row r="802" spans="1:2" x14ac:dyDescent="0.35">
      <c r="A802" t="s">
        <v>245</v>
      </c>
      <c r="B802" s="7" t="s">
        <v>1071</v>
      </c>
    </row>
    <row r="803" spans="1:2" x14ac:dyDescent="0.35">
      <c r="A803" t="s">
        <v>343</v>
      </c>
      <c r="B803" s="7" t="s">
        <v>1167</v>
      </c>
    </row>
    <row r="804" spans="1:2" x14ac:dyDescent="0.35">
      <c r="A804" t="s">
        <v>100</v>
      </c>
      <c r="B804" s="7" t="s">
        <v>929</v>
      </c>
    </row>
    <row r="805" spans="1:2" x14ac:dyDescent="0.35">
      <c r="A805" t="s">
        <v>99</v>
      </c>
      <c r="B805" s="7" t="s">
        <v>928</v>
      </c>
    </row>
    <row r="806" spans="1:2" x14ac:dyDescent="0.35">
      <c r="A806" t="s">
        <v>535</v>
      </c>
      <c r="B806" s="7" t="s">
        <v>1359</v>
      </c>
    </row>
    <row r="807" spans="1:2" x14ac:dyDescent="0.35">
      <c r="A807" t="s">
        <v>507</v>
      </c>
      <c r="B807" s="7" t="s">
        <v>1331</v>
      </c>
    </row>
    <row r="808" spans="1:2" x14ac:dyDescent="0.35">
      <c r="A808" t="s">
        <v>127</v>
      </c>
      <c r="B808" s="7" t="s">
        <v>956</v>
      </c>
    </row>
    <row r="809" spans="1:2" x14ac:dyDescent="0.35">
      <c r="A809" s="6" t="s">
        <v>816</v>
      </c>
      <c r="B809" s="7" t="s">
        <v>1639</v>
      </c>
    </row>
    <row r="810" spans="1:2" x14ac:dyDescent="0.35">
      <c r="A810" t="s">
        <v>612</v>
      </c>
      <c r="B810" s="7" t="s">
        <v>1436</v>
      </c>
    </row>
    <row r="811" spans="1:2" x14ac:dyDescent="0.35">
      <c r="A811" t="s">
        <v>550</v>
      </c>
      <c r="B811" s="7" t="s">
        <v>1374</v>
      </c>
    </row>
    <row r="812" spans="1:2" x14ac:dyDescent="0.35">
      <c r="A812" t="s">
        <v>95</v>
      </c>
      <c r="B812" s="7" t="s">
        <v>924</v>
      </c>
    </row>
    <row r="813" spans="1:2" x14ac:dyDescent="0.35">
      <c r="A813" t="s">
        <v>611</v>
      </c>
      <c r="B813" s="7" t="s">
        <v>1435</v>
      </c>
    </row>
    <row r="814" spans="1:2" x14ac:dyDescent="0.35">
      <c r="A814" t="s">
        <v>551</v>
      </c>
      <c r="B814" s="7" t="s">
        <v>1375</v>
      </c>
    </row>
    <row r="815" spans="1:2" x14ac:dyDescent="0.35">
      <c r="A815" t="s">
        <v>98</v>
      </c>
      <c r="B815" s="7" t="s">
        <v>927</v>
      </c>
    </row>
    <row r="816" spans="1:2" x14ac:dyDescent="0.35">
      <c r="A816" t="s">
        <v>421</v>
      </c>
      <c r="B816" s="7" t="s">
        <v>1245</v>
      </c>
    </row>
    <row r="817" spans="1:2" x14ac:dyDescent="0.35">
      <c r="A817" t="s">
        <v>762</v>
      </c>
      <c r="B817" s="7" t="s">
        <v>1586</v>
      </c>
    </row>
    <row r="818" spans="1:2" x14ac:dyDescent="0.35">
      <c r="A818" t="s">
        <v>200</v>
      </c>
      <c r="B818" s="7" t="s">
        <v>1028</v>
      </c>
    </row>
    <row r="819" spans="1:2" x14ac:dyDescent="0.35">
      <c r="A819" t="s">
        <v>367</v>
      </c>
      <c r="B819" s="7" t="s">
        <v>1191</v>
      </c>
    </row>
    <row r="820" spans="1:2" x14ac:dyDescent="0.35">
      <c r="A820" t="s">
        <v>587</v>
      </c>
      <c r="B820" s="7" t="s">
        <v>1411</v>
      </c>
    </row>
    <row r="821" spans="1:2" x14ac:dyDescent="0.35">
      <c r="A821" t="s">
        <v>545</v>
      </c>
      <c r="B821" s="7" t="s">
        <v>1369</v>
      </c>
    </row>
    <row r="822" spans="1:2" x14ac:dyDescent="0.35">
      <c r="A822" t="s">
        <v>538</v>
      </c>
      <c r="B822" s="7" t="s">
        <v>1362</v>
      </c>
    </row>
    <row r="823" spans="1:2" x14ac:dyDescent="0.35">
      <c r="A823" t="s">
        <v>29</v>
      </c>
      <c r="B823" s="7" t="s">
        <v>858</v>
      </c>
    </row>
    <row r="824" spans="1:2" x14ac:dyDescent="0.35">
      <c r="A824" s="2" t="s">
        <v>499</v>
      </c>
      <c r="B824" s="7" t="s">
        <v>1323</v>
      </c>
    </row>
    <row r="825" spans="1:2" x14ac:dyDescent="0.35">
      <c r="A825" t="s">
        <v>733</v>
      </c>
      <c r="B825" s="7" t="s">
        <v>1557</v>
      </c>
    </row>
    <row r="826" spans="1:2" x14ac:dyDescent="0.35">
      <c r="A826" t="s">
        <v>78</v>
      </c>
      <c r="B826" s="7" t="s">
        <v>907</v>
      </c>
    </row>
    <row r="827" spans="1:2" x14ac:dyDescent="0.35">
      <c r="A827" t="s">
        <v>542</v>
      </c>
      <c r="B827" s="7" t="s">
        <v>1366</v>
      </c>
    </row>
    <row r="828" spans="1:2" x14ac:dyDescent="0.35">
      <c r="A828" t="s">
        <v>303</v>
      </c>
      <c r="B828" s="7" t="s">
        <v>1128</v>
      </c>
    </row>
    <row r="829" spans="1:2" x14ac:dyDescent="0.35">
      <c r="A829" s="2" t="s">
        <v>184</v>
      </c>
    </row>
    <row r="830" spans="1:2" x14ac:dyDescent="0.35">
      <c r="A830" s="2" t="s">
        <v>203</v>
      </c>
    </row>
    <row r="831" spans="1:2" x14ac:dyDescent="0.35">
      <c r="A831" s="2" t="s">
        <v>284</v>
      </c>
    </row>
    <row r="832" spans="1:2" x14ac:dyDescent="0.35">
      <c r="A832" t="s">
        <v>819</v>
      </c>
    </row>
    <row r="833" spans="1:8" s="26" customFormat="1" x14ac:dyDescent="0.35">
      <c r="A833" s="26" t="s">
        <v>3325</v>
      </c>
    </row>
    <row r="834" spans="1:8" s="26" customFormat="1" x14ac:dyDescent="0.35">
      <c r="A834" s="26" t="s">
        <v>3375</v>
      </c>
      <c r="B834" s="26" t="s">
        <v>3376</v>
      </c>
      <c r="C834" s="26">
        <v>6.5000000000000002E-2</v>
      </c>
      <c r="D834" s="26">
        <v>1.2999999999999999E-2</v>
      </c>
      <c r="E834" s="26" t="s">
        <v>3480</v>
      </c>
      <c r="F834" s="26" t="s">
        <v>1879</v>
      </c>
      <c r="G834" s="48">
        <v>44573</v>
      </c>
      <c r="H834" s="26" t="s">
        <v>1720</v>
      </c>
    </row>
    <row r="835" spans="1:8" s="26" customFormat="1" x14ac:dyDescent="0.35">
      <c r="A835" s="26" t="s">
        <v>3328</v>
      </c>
      <c r="B835" s="26" t="s">
        <v>3329</v>
      </c>
    </row>
    <row r="836" spans="1:8" s="26" customFormat="1" x14ac:dyDescent="0.35">
      <c r="A836" s="26" t="s">
        <v>3330</v>
      </c>
      <c r="B836" s="26" t="s">
        <v>3331</v>
      </c>
    </row>
    <row r="837" spans="1:8" s="26" customFormat="1" x14ac:dyDescent="0.35">
      <c r="A837" s="26" t="s">
        <v>3332</v>
      </c>
      <c r="B837" s="26" t="s">
        <v>3333</v>
      </c>
    </row>
    <row r="838" spans="1:8" s="26" customFormat="1" x14ac:dyDescent="0.35">
      <c r="A838" s="26" t="s">
        <v>3334</v>
      </c>
      <c r="B838" s="26" t="s">
        <v>867</v>
      </c>
    </row>
    <row r="839" spans="1:8" s="26" customFormat="1" x14ac:dyDescent="0.35">
      <c r="A839" s="26" t="s">
        <v>3335</v>
      </c>
      <c r="B839" s="26" t="s">
        <v>3336</v>
      </c>
    </row>
    <row r="840" spans="1:8" s="26" customFormat="1" x14ac:dyDescent="0.35">
      <c r="A840" s="26" t="s">
        <v>3337</v>
      </c>
      <c r="B840" s="26" t="s">
        <v>1397</v>
      </c>
    </row>
    <row r="841" spans="1:8" s="26" customFormat="1" x14ac:dyDescent="0.35">
      <c r="A841" s="26" t="s">
        <v>3338</v>
      </c>
      <c r="B841" s="26" t="s">
        <v>3339</v>
      </c>
    </row>
    <row r="842" spans="1:8" s="26" customFormat="1" x14ac:dyDescent="0.35">
      <c r="A842" s="26" t="s">
        <v>3340</v>
      </c>
      <c r="B842" s="26" t="s">
        <v>3341</v>
      </c>
    </row>
    <row r="843" spans="1:8" s="26" customFormat="1" x14ac:dyDescent="0.35">
      <c r="A843" s="26" t="s">
        <v>3342</v>
      </c>
      <c r="B843" s="26" t="s">
        <v>3343</v>
      </c>
    </row>
    <row r="844" spans="1:8" s="26" customFormat="1" x14ac:dyDescent="0.35">
      <c r="A844" s="26" t="s">
        <v>1879</v>
      </c>
      <c r="B844" s="26" t="s">
        <v>3344</v>
      </c>
    </row>
    <row r="845" spans="1:8" s="26" customFormat="1" x14ac:dyDescent="0.35">
      <c r="A845" s="26" t="s">
        <v>3345</v>
      </c>
      <c r="B845" s="26" t="s">
        <v>3346</v>
      </c>
    </row>
    <row r="846" spans="1:8" s="26" customFormat="1" x14ac:dyDescent="0.35">
      <c r="A846" s="26" t="s">
        <v>3347</v>
      </c>
      <c r="B846" s="26" t="s">
        <v>3348</v>
      </c>
    </row>
    <row r="847" spans="1:8" s="26" customFormat="1" x14ac:dyDescent="0.35">
      <c r="A847" s="26" t="s">
        <v>3349</v>
      </c>
      <c r="B847" s="26" t="s">
        <v>3350</v>
      </c>
    </row>
    <row r="848" spans="1:8" s="26" customFormat="1" x14ac:dyDescent="0.35">
      <c r="A848" s="26" t="s">
        <v>3351</v>
      </c>
      <c r="B848" s="26" t="s">
        <v>3352</v>
      </c>
    </row>
    <row r="849" spans="1:8" s="26" customFormat="1" x14ac:dyDescent="0.35">
      <c r="A849" s="26" t="s">
        <v>3353</v>
      </c>
      <c r="B849" s="26" t="s">
        <v>3354</v>
      </c>
    </row>
    <row r="850" spans="1:8" s="26" customFormat="1" x14ac:dyDescent="0.35">
      <c r="A850" s="26" t="s">
        <v>3355</v>
      </c>
      <c r="B850" s="26" t="s">
        <v>3356</v>
      </c>
    </row>
    <row r="851" spans="1:8" s="26" customFormat="1" x14ac:dyDescent="0.35">
      <c r="A851" s="26" t="s">
        <v>3357</v>
      </c>
      <c r="B851" s="26" t="s">
        <v>3358</v>
      </c>
    </row>
    <row r="852" spans="1:8" s="26" customFormat="1" x14ac:dyDescent="0.35">
      <c r="A852" s="26" t="s">
        <v>3359</v>
      </c>
      <c r="B852" s="26" t="s">
        <v>3360</v>
      </c>
    </row>
    <row r="853" spans="1:8" s="26" customFormat="1" x14ac:dyDescent="0.35">
      <c r="A853" s="26" t="s">
        <v>3361</v>
      </c>
      <c r="B853" s="26" t="s">
        <v>3362</v>
      </c>
    </row>
    <row r="854" spans="1:8" s="26" customFormat="1" x14ac:dyDescent="0.35">
      <c r="A854" s="26" t="s">
        <v>3363</v>
      </c>
      <c r="B854" s="26" t="s">
        <v>3364</v>
      </c>
    </row>
    <row r="855" spans="1:8" s="26" customFormat="1" x14ac:dyDescent="0.35">
      <c r="A855" s="26" t="s">
        <v>3365</v>
      </c>
      <c r="B855" s="26" t="s">
        <v>3366</v>
      </c>
    </row>
    <row r="856" spans="1:8" s="26" customFormat="1" x14ac:dyDescent="0.35">
      <c r="A856" s="26" t="s">
        <v>3367</v>
      </c>
      <c r="B856" s="26" t="s">
        <v>3368</v>
      </c>
    </row>
    <row r="857" spans="1:8" s="26" customFormat="1" x14ac:dyDescent="0.35">
      <c r="A857" s="26" t="s">
        <v>3369</v>
      </c>
      <c r="B857" s="26" t="s">
        <v>3370</v>
      </c>
    </row>
    <row r="858" spans="1:8" s="26" customFormat="1" x14ac:dyDescent="0.35">
      <c r="A858" s="26" t="s">
        <v>3371</v>
      </c>
      <c r="B858" s="26" t="s">
        <v>3372</v>
      </c>
    </row>
    <row r="859" spans="1:8" s="26" customFormat="1" x14ac:dyDescent="0.35">
      <c r="A859" s="26" t="s">
        <v>3373</v>
      </c>
      <c r="B859" s="26" t="s">
        <v>3374</v>
      </c>
    </row>
    <row r="860" spans="1:8" s="26" customFormat="1" x14ac:dyDescent="0.35">
      <c r="A860" t="s">
        <v>47</v>
      </c>
      <c r="B860" s="7" t="s">
        <v>876</v>
      </c>
      <c r="C860">
        <v>19</v>
      </c>
      <c r="D860">
        <v>15</v>
      </c>
      <c r="E860" t="s">
        <v>3480</v>
      </c>
      <c r="F860" t="s">
        <v>1879</v>
      </c>
      <c r="G860" s="57">
        <v>44573</v>
      </c>
      <c r="H860" t="s">
        <v>1720</v>
      </c>
    </row>
    <row r="861" spans="1:8" s="26" customFormat="1" x14ac:dyDescent="0.35">
      <c r="A861" s="26" t="s">
        <v>3377</v>
      </c>
      <c r="B861" s="26" t="s">
        <v>3339</v>
      </c>
    </row>
    <row r="862" spans="1:8" s="26" customFormat="1" x14ac:dyDescent="0.35">
      <c r="A862" s="26" t="s">
        <v>3378</v>
      </c>
      <c r="B862" s="26" t="s">
        <v>3341</v>
      </c>
    </row>
    <row r="863" spans="1:8" s="26" customFormat="1" x14ac:dyDescent="0.35">
      <c r="A863" s="26" t="s">
        <v>3379</v>
      </c>
      <c r="B863" s="26" t="s">
        <v>3380</v>
      </c>
    </row>
    <row r="864" spans="1:8" s="26" customFormat="1" x14ac:dyDescent="0.35">
      <c r="A864" s="26" t="s">
        <v>3381</v>
      </c>
      <c r="B864" s="26" t="s">
        <v>3382</v>
      </c>
    </row>
    <row r="865" spans="1:2" s="26" customFormat="1" x14ac:dyDescent="0.35">
      <c r="A865" s="26" t="s">
        <v>3383</v>
      </c>
      <c r="B865" s="26" t="s">
        <v>3384</v>
      </c>
    </row>
    <row r="866" spans="1:2" s="26" customFormat="1" x14ac:dyDescent="0.35">
      <c r="A866" s="26" t="s">
        <v>3385</v>
      </c>
      <c r="B866" s="26" t="s">
        <v>3386</v>
      </c>
    </row>
    <row r="867" spans="1:2" s="26" customFormat="1" x14ac:dyDescent="0.35">
      <c r="A867" s="26" t="s">
        <v>3387</v>
      </c>
      <c r="B867" s="26" t="s">
        <v>3388</v>
      </c>
    </row>
    <row r="868" spans="1:2" s="26" customFormat="1" x14ac:dyDescent="0.35">
      <c r="A868" s="26" t="s">
        <v>3389</v>
      </c>
      <c r="B868" s="26" t="s">
        <v>3390</v>
      </c>
    </row>
    <row r="869" spans="1:2" s="26" customFormat="1" x14ac:dyDescent="0.35">
      <c r="A869" s="26" t="s">
        <v>3391</v>
      </c>
      <c r="B869" s="26" t="s">
        <v>3392</v>
      </c>
    </row>
    <row r="870" spans="1:2" s="26" customFormat="1" x14ac:dyDescent="0.35">
      <c r="A870" s="26" t="s">
        <v>3393</v>
      </c>
      <c r="B870" s="26" t="s">
        <v>3348</v>
      </c>
    </row>
    <row r="871" spans="1:2" s="26" customFormat="1" x14ac:dyDescent="0.35">
      <c r="A871" s="26" t="s">
        <v>3394</v>
      </c>
      <c r="B871" s="26" t="s">
        <v>3395</v>
      </c>
    </row>
    <row r="872" spans="1:2" s="26" customFormat="1" x14ac:dyDescent="0.35">
      <c r="A872" s="26" t="s">
        <v>3396</v>
      </c>
      <c r="B872" s="26" t="s">
        <v>3397</v>
      </c>
    </row>
    <row r="873" spans="1:2" s="26" customFormat="1" x14ac:dyDescent="0.35">
      <c r="A873" s="26" t="s">
        <v>3398</v>
      </c>
      <c r="B873" s="26" t="s">
        <v>3352</v>
      </c>
    </row>
    <row r="874" spans="1:2" s="26" customFormat="1" x14ac:dyDescent="0.35">
      <c r="A874" s="26" t="s">
        <v>3399</v>
      </c>
      <c r="B874" s="26" t="s">
        <v>3400</v>
      </c>
    </row>
    <row r="875" spans="1:2" s="26" customFormat="1" x14ac:dyDescent="0.35">
      <c r="A875" s="26" t="s">
        <v>3401</v>
      </c>
      <c r="B875" s="26" t="s">
        <v>3402</v>
      </c>
    </row>
    <row r="876" spans="1:2" s="26" customFormat="1" x14ac:dyDescent="0.35">
      <c r="A876" s="26" t="s">
        <v>3403</v>
      </c>
      <c r="B876" s="26" t="s">
        <v>3404</v>
      </c>
    </row>
    <row r="877" spans="1:2" s="26" customFormat="1" x14ac:dyDescent="0.35">
      <c r="A877" s="26" t="s">
        <v>3405</v>
      </c>
      <c r="B877" s="26" t="s">
        <v>3406</v>
      </c>
    </row>
    <row r="878" spans="1:2" s="26" customFormat="1" x14ac:dyDescent="0.35">
      <c r="A878" s="26" t="s">
        <v>3407</v>
      </c>
      <c r="B878" s="26" t="s">
        <v>3415</v>
      </c>
    </row>
    <row r="879" spans="1:2" s="26" customFormat="1" x14ac:dyDescent="0.35">
      <c r="A879" s="26" t="s">
        <v>3408</v>
      </c>
      <c r="B879" s="26" t="s">
        <v>3416</v>
      </c>
    </row>
    <row r="880" spans="1:2" s="26" customFormat="1" x14ac:dyDescent="0.35">
      <c r="A880" s="26" t="s">
        <v>3409</v>
      </c>
    </row>
    <row r="881" spans="1:2" s="26" customFormat="1" x14ac:dyDescent="0.35">
      <c r="A881" s="26" t="s">
        <v>3410</v>
      </c>
    </row>
    <row r="882" spans="1:2" s="26" customFormat="1" x14ac:dyDescent="0.35">
      <c r="A882" s="26" t="s">
        <v>3411</v>
      </c>
    </row>
    <row r="883" spans="1:2" s="26" customFormat="1" x14ac:dyDescent="0.35">
      <c r="A883" s="26" t="s">
        <v>3412</v>
      </c>
      <c r="B883" s="26" t="s">
        <v>3417</v>
      </c>
    </row>
    <row r="884" spans="1:2" s="26" customFormat="1" x14ac:dyDescent="0.35">
      <c r="A884" s="26" t="s">
        <v>3413</v>
      </c>
      <c r="B884" s="26" t="s">
        <v>3418</v>
      </c>
    </row>
    <row r="885" spans="1:2" s="26" customFormat="1" x14ac:dyDescent="0.35">
      <c r="A885" s="26" t="s">
        <v>3414</v>
      </c>
      <c r="B885" s="26" t="s">
        <v>3419</v>
      </c>
    </row>
  </sheetData>
  <autoFilter ref="A1:H885" xr:uid="{FC911C23-10E6-4B5A-BDE1-0962D3C56E37}">
    <sortState xmlns:xlrd2="http://schemas.microsoft.com/office/spreadsheetml/2017/richdata2" ref="A175:H860">
      <sortCondition ref="B1:B885"/>
    </sortState>
  </autoFilter>
  <hyperlinks>
    <hyperlink ref="A151" r:id="rId1" display="DTXSID5037523" xr:uid="{4D3D7651-2E81-42AA-9958-F434E7FC0E14}"/>
    <hyperlink ref="A374" r:id="rId2" display="DTXSID1032482" xr:uid="{BFAC57DD-CB84-4A68-81C2-07F6D0EBF6C2}"/>
    <hyperlink ref="A132" r:id="rId3" display="DTXSID4058499" xr:uid="{77834828-2905-41F6-8036-D334D598ED63}"/>
    <hyperlink ref="A287" r:id="rId4" display="DTXSID9037539" xr:uid="{D7600678-711A-4ACD-9ABF-98FC84094039}"/>
    <hyperlink ref="A571" r:id="rId5" display="DTXSID1032640" xr:uid="{2C5525E2-4B0B-4C06-BC61-2448CAC1172D}"/>
    <hyperlink ref="A301" r:id="rId6" display="DTXSID2052736" xr:uid="{5045AF16-A518-4AB3-A453-D5BE892ECD86}"/>
    <hyperlink ref="A184" r:id="rId7" display="DTXSID6020147" xr:uid="{70FED715-D9A3-40D4-AB60-2F76806CB2E3}"/>
    <hyperlink ref="A116" r:id="rId8" display="DTXSID5020819" xr:uid="{49B132DD-81B8-413F-A5E2-AC3A561F82ED}"/>
    <hyperlink ref="A860" r:id="rId9" display="DTXSID5037571" xr:uid="{1133DF19-FA08-47CF-821D-AB803C05A37E}"/>
    <hyperlink ref="A337" r:id="rId10" display="DTXSID1023445" xr:uid="{9303D127-8C54-4CBE-94DF-5079884FA6FA}"/>
    <hyperlink ref="A364" r:id="rId11" display="DTXSID0020442" xr:uid="{6AE944D5-1588-41F2-B715-1CFC68C3044C}"/>
    <hyperlink ref="A262" r:id="rId12" display="DTXSID4024195" xr:uid="{004D58A4-2A20-481C-8D52-89F9CA628EE2}"/>
    <hyperlink ref="A434" r:id="rId13" display="DTXSID2024113" xr:uid="{54767B7A-1B61-48C8-B746-667FA2816D52}"/>
    <hyperlink ref="A261" r:id="rId14" display="DTXSID9020322" xr:uid="{94B6AEA6-2DD5-4534-B4A6-1159FE9F0328}"/>
    <hyperlink ref="A588" r:id="rId15" display="DTXSID9034868" xr:uid="{4C4820E6-D586-4C6C-BC91-1F5CB8776C3F}"/>
    <hyperlink ref="A426" r:id="rId16" display="DTXSID2020636" xr:uid="{5305654D-7AA7-4AED-ADB8-B8BB4D62828D}"/>
    <hyperlink ref="A235" r:id="rId17" display="DTXSID9024194" xr:uid="{0F86781C-B539-42CA-A62A-EAF63E60CC67}"/>
    <hyperlink ref="A293" r:id="rId18" display="DTXSID5040675" xr:uid="{8A772BB5-0812-4772-B9D1-39157BCD4F49}"/>
    <hyperlink ref="A563" r:id="rId19" display="DTXSID8023975" xr:uid="{6385C44D-C017-41D7-851C-054FE421C3A4}"/>
    <hyperlink ref="A503" r:id="rId20" display="DTXSID1024465" xr:uid="{FCB6035C-6216-4C2B-972D-D2F443E6B27F}"/>
    <hyperlink ref="A668" r:id="rId21" display="DTXSID6023737" xr:uid="{75771AB6-4C52-4FC1-8C0F-CAB3718EBF2B}"/>
    <hyperlink ref="A358" r:id="rId22" display="DTXSID40869118" xr:uid="{7EFAD457-7F4E-4120-A0CA-080872B2B966}"/>
    <hyperlink ref="A193" r:id="rId23" display="DTXSID5023114" xr:uid="{69024101-9634-48DA-BDA1-975F8B858D74}"/>
    <hyperlink ref="A762" r:id="rId24" display="DTXSID4020161" xr:uid="{33E58C72-5BA6-471F-A3EB-4DF9F094AB8C}"/>
    <hyperlink ref="A511" r:id="rId25" display="DTXSID4020878" xr:uid="{6115F06C-7A02-4D73-BC1F-809B65136B51}"/>
    <hyperlink ref="A720" r:id="rId26" display="DTXSID4022658" xr:uid="{911C478C-C3A2-4445-9FF3-6E9C3D966CA8}"/>
    <hyperlink ref="A497" r:id="rId27" display="DTXSID8020913" xr:uid="{B8BD7177-971B-45E4-BF1C-B0F4A591346C}"/>
    <hyperlink ref="A623" r:id="rId28" display="DTXSID0023955" xr:uid="{0B2D450C-8F61-4D95-A03C-12A057C7B158}"/>
    <hyperlink ref="A204" r:id="rId29" display="DTXSID9020877" xr:uid="{78FB091C-1CAC-4A39-8C53-3C09AF403172}"/>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5FA66-81D0-4EA0-AB2E-11B665D2A7CF}">
  <dimension ref="A1:K884"/>
  <sheetViews>
    <sheetView workbookViewId="0">
      <pane ySplit="1" topLeftCell="A837" activePane="bottomLeft" state="frozen"/>
      <selection pane="bottomLeft" activeCell="B870" sqref="B870"/>
    </sheetView>
  </sheetViews>
  <sheetFormatPr defaultRowHeight="14.5" x14ac:dyDescent="0.35"/>
  <cols>
    <col min="1" max="1" width="22.54296875" bestFit="1" customWidth="1"/>
    <col min="2" max="2" width="32.54296875" customWidth="1"/>
    <col min="3" max="3" width="16.6328125" bestFit="1" customWidth="1"/>
    <col min="4" max="4" width="38.08984375" customWidth="1"/>
    <col min="5" max="5" width="9.08984375" customWidth="1"/>
    <col min="6" max="6" width="25.7265625" bestFit="1" customWidth="1"/>
    <col min="7" max="7" width="25.7265625" customWidth="1"/>
    <col min="8" max="10" width="18.08984375" customWidth="1"/>
    <col min="11" max="11" width="8.7265625" customWidth="1"/>
  </cols>
  <sheetData>
    <row r="1" spans="1:11" x14ac:dyDescent="0.35">
      <c r="A1" s="46" t="s">
        <v>2103</v>
      </c>
      <c r="B1" s="46" t="s">
        <v>1650</v>
      </c>
      <c r="C1" s="46" t="s">
        <v>2568</v>
      </c>
      <c r="D1" s="46" t="s">
        <v>2569</v>
      </c>
      <c r="E1" s="46" t="s">
        <v>2570</v>
      </c>
      <c r="F1" s="46" t="s">
        <v>2571</v>
      </c>
      <c r="G1" s="46" t="s">
        <v>1660</v>
      </c>
      <c r="H1" s="46" t="s">
        <v>2572</v>
      </c>
      <c r="I1" s="46" t="s">
        <v>3479</v>
      </c>
      <c r="J1" s="46" t="s">
        <v>4022</v>
      </c>
      <c r="K1" s="2" t="s">
        <v>3475</v>
      </c>
    </row>
    <row r="2" spans="1:11" x14ac:dyDescent="0.35">
      <c r="A2" t="s">
        <v>305</v>
      </c>
      <c r="B2" t="s">
        <v>1130</v>
      </c>
      <c r="C2" t="s">
        <v>4581</v>
      </c>
      <c r="D2" t="s">
        <v>4575</v>
      </c>
      <c r="E2">
        <v>1000</v>
      </c>
      <c r="F2" t="s">
        <v>2113</v>
      </c>
      <c r="G2" t="s">
        <v>2099</v>
      </c>
      <c r="H2">
        <v>0.56000000000000005</v>
      </c>
      <c r="I2" t="s">
        <v>3481</v>
      </c>
      <c r="J2" s="57">
        <v>44634</v>
      </c>
      <c r="K2" t="s">
        <v>1947</v>
      </c>
    </row>
    <row r="3" spans="1:11" x14ac:dyDescent="0.35">
      <c r="A3" t="s">
        <v>266</v>
      </c>
      <c r="B3" t="s">
        <v>1092</v>
      </c>
      <c r="C3" t="s">
        <v>4597</v>
      </c>
      <c r="D3" t="s">
        <v>4572</v>
      </c>
      <c r="E3">
        <v>1000</v>
      </c>
      <c r="F3" t="s">
        <v>2113</v>
      </c>
      <c r="G3" t="s">
        <v>2099</v>
      </c>
      <c r="H3">
        <v>1.1999999999999999E-3</v>
      </c>
      <c r="I3" t="s">
        <v>3481</v>
      </c>
      <c r="J3" s="57">
        <v>44634</v>
      </c>
      <c r="K3" t="s">
        <v>1947</v>
      </c>
    </row>
    <row r="4" spans="1:11" x14ac:dyDescent="0.35">
      <c r="A4" t="s">
        <v>179</v>
      </c>
      <c r="B4" t="s">
        <v>1008</v>
      </c>
      <c r="H4" t="s">
        <v>1879</v>
      </c>
    </row>
    <row r="5" spans="1:11" x14ac:dyDescent="0.35">
      <c r="A5" t="s">
        <v>264</v>
      </c>
      <c r="B5" t="s">
        <v>1090</v>
      </c>
      <c r="C5" t="s">
        <v>2839</v>
      </c>
      <c r="D5" t="s">
        <v>2632</v>
      </c>
      <c r="E5">
        <v>100</v>
      </c>
      <c r="F5" t="s">
        <v>2608</v>
      </c>
      <c r="G5" t="s">
        <v>2099</v>
      </c>
      <c r="H5">
        <v>2.5299999999999998</v>
      </c>
      <c r="I5" t="s">
        <v>3480</v>
      </c>
      <c r="J5" s="57">
        <v>44572</v>
      </c>
      <c r="K5" t="s">
        <v>3460</v>
      </c>
    </row>
    <row r="6" spans="1:11" x14ac:dyDescent="0.35">
      <c r="A6" t="s">
        <v>779</v>
      </c>
      <c r="B6" t="s">
        <v>1602</v>
      </c>
      <c r="H6" t="s">
        <v>1879</v>
      </c>
    </row>
    <row r="7" spans="1:11" x14ac:dyDescent="0.35">
      <c r="A7" t="s">
        <v>539</v>
      </c>
      <c r="B7" t="s">
        <v>1363</v>
      </c>
      <c r="H7" t="s">
        <v>1879</v>
      </c>
    </row>
    <row r="8" spans="1:11" x14ac:dyDescent="0.35">
      <c r="A8" t="s">
        <v>517</v>
      </c>
      <c r="B8" t="s">
        <v>1341</v>
      </c>
      <c r="C8" t="s">
        <v>3047</v>
      </c>
      <c r="D8" t="s">
        <v>2581</v>
      </c>
      <c r="E8">
        <v>1000</v>
      </c>
      <c r="F8" t="s">
        <v>2113</v>
      </c>
      <c r="G8" t="s">
        <v>2099</v>
      </c>
      <c r="H8">
        <v>21.2</v>
      </c>
      <c r="I8" t="s">
        <v>3481</v>
      </c>
      <c r="J8" s="57">
        <v>44572</v>
      </c>
      <c r="K8" t="s">
        <v>1947</v>
      </c>
    </row>
    <row r="9" spans="1:11" x14ac:dyDescent="0.35">
      <c r="A9" t="s">
        <v>462</v>
      </c>
      <c r="B9" t="s">
        <v>1286</v>
      </c>
      <c r="H9" t="s">
        <v>1879</v>
      </c>
    </row>
    <row r="10" spans="1:11" x14ac:dyDescent="0.35">
      <c r="A10" t="s">
        <v>258</v>
      </c>
      <c r="B10" t="s">
        <v>1084</v>
      </c>
      <c r="C10" t="s">
        <v>2833</v>
      </c>
      <c r="D10" t="s">
        <v>2574</v>
      </c>
      <c r="E10">
        <v>0</v>
      </c>
      <c r="F10" t="s">
        <v>2599</v>
      </c>
      <c r="G10" t="s">
        <v>3464</v>
      </c>
      <c r="H10">
        <v>3.8999999999999998E-3</v>
      </c>
      <c r="I10" t="s">
        <v>3480</v>
      </c>
      <c r="J10" s="57">
        <v>44572</v>
      </c>
      <c r="K10" t="s">
        <v>3460</v>
      </c>
    </row>
    <row r="11" spans="1:11" x14ac:dyDescent="0.35">
      <c r="A11" t="s">
        <v>253</v>
      </c>
      <c r="B11" t="s">
        <v>1079</v>
      </c>
      <c r="C11" t="s">
        <v>2829</v>
      </c>
      <c r="D11" t="s">
        <v>2581</v>
      </c>
      <c r="E11">
        <v>1000</v>
      </c>
      <c r="F11" t="s">
        <v>2113</v>
      </c>
      <c r="G11" t="s">
        <v>2099</v>
      </c>
      <c r="H11">
        <v>0.18</v>
      </c>
      <c r="I11" t="s">
        <v>3481</v>
      </c>
      <c r="J11" s="57">
        <v>44572</v>
      </c>
      <c r="K11" t="s">
        <v>1947</v>
      </c>
    </row>
    <row r="12" spans="1:11" x14ac:dyDescent="0.35">
      <c r="A12" t="s">
        <v>708</v>
      </c>
      <c r="B12" t="s">
        <v>1532</v>
      </c>
      <c r="H12" t="s">
        <v>1879</v>
      </c>
    </row>
    <row r="13" spans="1:11" x14ac:dyDescent="0.35">
      <c r="A13" t="s">
        <v>729</v>
      </c>
      <c r="B13" t="s">
        <v>1553</v>
      </c>
      <c r="H13" t="s">
        <v>1879</v>
      </c>
    </row>
    <row r="14" spans="1:11" x14ac:dyDescent="0.35">
      <c r="A14" t="s">
        <v>718</v>
      </c>
      <c r="B14" t="s">
        <v>1542</v>
      </c>
      <c r="C14" t="s">
        <v>3220</v>
      </c>
      <c r="D14" t="s">
        <v>2642</v>
      </c>
      <c r="E14">
        <v>10</v>
      </c>
      <c r="F14" t="s">
        <v>2594</v>
      </c>
      <c r="G14" t="s">
        <v>3467</v>
      </c>
      <c r="H14">
        <v>0.2</v>
      </c>
      <c r="I14" t="s">
        <v>3480</v>
      </c>
      <c r="J14" s="57">
        <v>44572</v>
      </c>
      <c r="K14" t="s">
        <v>3460</v>
      </c>
    </row>
    <row r="15" spans="1:11" x14ac:dyDescent="0.35">
      <c r="A15" t="s">
        <v>715</v>
      </c>
      <c r="B15" t="s">
        <v>1539</v>
      </c>
      <c r="C15" t="s">
        <v>3219</v>
      </c>
      <c r="D15" t="s">
        <v>2629</v>
      </c>
      <c r="E15">
        <v>1000</v>
      </c>
      <c r="F15" t="s">
        <v>2113</v>
      </c>
      <c r="G15" t="s">
        <v>2099</v>
      </c>
      <c r="H15">
        <v>1.1000000000000001E-3</v>
      </c>
      <c r="I15" t="s">
        <v>3481</v>
      </c>
      <c r="J15" s="57">
        <v>44572</v>
      </c>
      <c r="K15" t="s">
        <v>1947</v>
      </c>
    </row>
    <row r="16" spans="1:11" x14ac:dyDescent="0.35">
      <c r="A16" t="s">
        <v>824</v>
      </c>
      <c r="B16" t="s">
        <v>1646</v>
      </c>
      <c r="H16" t="s">
        <v>1879</v>
      </c>
    </row>
    <row r="17" spans="1:11" x14ac:dyDescent="0.35">
      <c r="A17" t="s">
        <v>15</v>
      </c>
      <c r="B17" t="s">
        <v>844</v>
      </c>
      <c r="C17" t="s">
        <v>2597</v>
      </c>
      <c r="D17" t="s">
        <v>2583</v>
      </c>
      <c r="E17">
        <v>1000</v>
      </c>
      <c r="F17" t="s">
        <v>2113</v>
      </c>
      <c r="G17" t="s">
        <v>2099</v>
      </c>
      <c r="H17">
        <v>7.77</v>
      </c>
      <c r="I17" t="s">
        <v>3481</v>
      </c>
      <c r="J17" s="57">
        <v>44572</v>
      </c>
      <c r="K17" t="s">
        <v>1947</v>
      </c>
    </row>
    <row r="18" spans="1:11" x14ac:dyDescent="0.35">
      <c r="A18" t="s">
        <v>707</v>
      </c>
      <c r="B18" t="s">
        <v>1531</v>
      </c>
      <c r="H18" t="s">
        <v>1879</v>
      </c>
    </row>
    <row r="19" spans="1:11" x14ac:dyDescent="0.35">
      <c r="A19" t="s">
        <v>817</v>
      </c>
      <c r="B19" t="s">
        <v>1640</v>
      </c>
      <c r="H19" t="s">
        <v>1879</v>
      </c>
    </row>
    <row r="20" spans="1:11" x14ac:dyDescent="0.35">
      <c r="A20" t="s">
        <v>813</v>
      </c>
      <c r="B20" t="s">
        <v>1636</v>
      </c>
      <c r="H20" t="s">
        <v>1879</v>
      </c>
    </row>
    <row r="21" spans="1:11" x14ac:dyDescent="0.35">
      <c r="A21" t="s">
        <v>795</v>
      </c>
      <c r="B21" t="s">
        <v>1618</v>
      </c>
      <c r="H21" t="s">
        <v>1879</v>
      </c>
    </row>
    <row r="22" spans="1:11" x14ac:dyDescent="0.35">
      <c r="A22" t="s">
        <v>227</v>
      </c>
      <c r="B22" t="s">
        <v>1054</v>
      </c>
      <c r="C22" t="s">
        <v>2807</v>
      </c>
      <c r="D22" t="s">
        <v>2581</v>
      </c>
      <c r="E22">
        <v>1000</v>
      </c>
      <c r="F22" t="s">
        <v>2113</v>
      </c>
      <c r="G22" t="s">
        <v>2099</v>
      </c>
      <c r="H22">
        <v>0.87</v>
      </c>
      <c r="I22" t="s">
        <v>3481</v>
      </c>
      <c r="J22" s="57">
        <v>44572</v>
      </c>
      <c r="K22" t="s">
        <v>1947</v>
      </c>
    </row>
    <row r="23" spans="1:11" x14ac:dyDescent="0.35">
      <c r="A23" t="s">
        <v>319</v>
      </c>
      <c r="B23" t="s">
        <v>1144</v>
      </c>
      <c r="C23" t="s">
        <v>2883</v>
      </c>
      <c r="D23" t="s">
        <v>2577</v>
      </c>
      <c r="E23">
        <v>1000</v>
      </c>
      <c r="F23" t="s">
        <v>2113</v>
      </c>
      <c r="G23" t="s">
        <v>2099</v>
      </c>
      <c r="H23">
        <v>5.94</v>
      </c>
      <c r="I23" t="s">
        <v>3481</v>
      </c>
      <c r="J23" s="57">
        <v>44572</v>
      </c>
      <c r="K23" t="s">
        <v>1947</v>
      </c>
    </row>
    <row r="24" spans="1:11" x14ac:dyDescent="0.35">
      <c r="A24" t="s">
        <v>457</v>
      </c>
      <c r="B24" t="s">
        <v>1281</v>
      </c>
      <c r="C24" t="s">
        <v>2992</v>
      </c>
      <c r="D24" t="s">
        <v>2583</v>
      </c>
      <c r="E24">
        <v>1000</v>
      </c>
      <c r="F24" t="s">
        <v>2113</v>
      </c>
      <c r="G24" t="s">
        <v>2099</v>
      </c>
      <c r="H24">
        <v>0.67</v>
      </c>
      <c r="I24" t="s">
        <v>3481</v>
      </c>
      <c r="J24" s="57">
        <v>44572</v>
      </c>
      <c r="K24" t="s">
        <v>1947</v>
      </c>
    </row>
    <row r="25" spans="1:11" x14ac:dyDescent="0.35">
      <c r="A25" t="s">
        <v>132</v>
      </c>
      <c r="B25" t="s">
        <v>961</v>
      </c>
      <c r="H25" t="s">
        <v>1879</v>
      </c>
    </row>
    <row r="26" spans="1:11" x14ac:dyDescent="0.35">
      <c r="A26" t="s">
        <v>310</v>
      </c>
      <c r="B26" t="s">
        <v>1135</v>
      </c>
      <c r="H26" t="s">
        <v>1879</v>
      </c>
    </row>
    <row r="27" spans="1:11" x14ac:dyDescent="0.35">
      <c r="A27" t="s">
        <v>723</v>
      </c>
      <c r="B27" t="s">
        <v>1547</v>
      </c>
      <c r="H27" t="s">
        <v>1879</v>
      </c>
    </row>
    <row r="28" spans="1:11" x14ac:dyDescent="0.35">
      <c r="A28" t="s">
        <v>800</v>
      </c>
      <c r="B28" t="s">
        <v>1623</v>
      </c>
      <c r="H28" t="s">
        <v>1879</v>
      </c>
    </row>
    <row r="29" spans="1:11" x14ac:dyDescent="0.35">
      <c r="A29" t="s">
        <v>822</v>
      </c>
      <c r="B29" t="s">
        <v>1644</v>
      </c>
      <c r="H29" t="s">
        <v>1879</v>
      </c>
    </row>
    <row r="30" spans="1:11" x14ac:dyDescent="0.35">
      <c r="A30" t="s">
        <v>633</v>
      </c>
      <c r="B30" t="s">
        <v>1457</v>
      </c>
      <c r="C30" t="s">
        <v>3159</v>
      </c>
      <c r="D30" t="s">
        <v>2574</v>
      </c>
      <c r="E30">
        <v>0</v>
      </c>
      <c r="F30" t="s">
        <v>3095</v>
      </c>
      <c r="G30" t="s">
        <v>3464</v>
      </c>
      <c r="H30">
        <v>6.9</v>
      </c>
      <c r="I30" t="s">
        <v>3480</v>
      </c>
      <c r="J30" s="57">
        <v>44572</v>
      </c>
      <c r="K30" t="s">
        <v>3460</v>
      </c>
    </row>
    <row r="31" spans="1:11" x14ac:dyDescent="0.35">
      <c r="A31" t="s">
        <v>428</v>
      </c>
      <c r="B31" t="s">
        <v>1252</v>
      </c>
      <c r="C31" t="s">
        <v>2965</v>
      </c>
      <c r="D31" t="s">
        <v>2581</v>
      </c>
      <c r="E31">
        <v>1000</v>
      </c>
      <c r="F31" t="s">
        <v>2113</v>
      </c>
      <c r="G31" t="s">
        <v>2099</v>
      </c>
      <c r="H31">
        <v>0.45</v>
      </c>
      <c r="I31" t="s">
        <v>3481</v>
      </c>
      <c r="J31" s="57">
        <v>44572</v>
      </c>
      <c r="K31" t="s">
        <v>1947</v>
      </c>
    </row>
    <row r="32" spans="1:11" x14ac:dyDescent="0.35">
      <c r="A32" t="s">
        <v>186</v>
      </c>
      <c r="B32" t="s">
        <v>1014</v>
      </c>
      <c r="C32" t="s">
        <v>2769</v>
      </c>
      <c r="D32" t="s">
        <v>2581</v>
      </c>
      <c r="E32">
        <v>1000</v>
      </c>
      <c r="F32" t="s">
        <v>2113</v>
      </c>
      <c r="G32" t="s">
        <v>2099</v>
      </c>
      <c r="H32">
        <v>21.4</v>
      </c>
      <c r="I32" t="s">
        <v>3481</v>
      </c>
      <c r="J32" s="57">
        <v>44572</v>
      </c>
      <c r="K32" t="s">
        <v>1947</v>
      </c>
    </row>
    <row r="33" spans="1:11" x14ac:dyDescent="0.35">
      <c r="A33" t="s">
        <v>807</v>
      </c>
      <c r="B33" t="s">
        <v>1630</v>
      </c>
      <c r="C33" t="s">
        <v>3268</v>
      </c>
      <c r="D33" t="s">
        <v>2581</v>
      </c>
      <c r="E33">
        <v>1000</v>
      </c>
      <c r="F33" t="s">
        <v>2113</v>
      </c>
      <c r="G33" t="s">
        <v>2099</v>
      </c>
      <c r="H33">
        <v>0.11</v>
      </c>
      <c r="I33" t="s">
        <v>3481</v>
      </c>
      <c r="J33" s="57">
        <v>44572</v>
      </c>
      <c r="K33" t="s">
        <v>1947</v>
      </c>
    </row>
    <row r="34" spans="1:11" x14ac:dyDescent="0.35">
      <c r="A34" t="s">
        <v>279</v>
      </c>
      <c r="B34" t="s">
        <v>1105</v>
      </c>
      <c r="H34" t="s">
        <v>1879</v>
      </c>
    </row>
    <row r="35" spans="1:11" x14ac:dyDescent="0.35">
      <c r="A35" t="s">
        <v>753</v>
      </c>
      <c r="B35" t="s">
        <v>1577</v>
      </c>
      <c r="H35" t="s">
        <v>1879</v>
      </c>
    </row>
    <row r="36" spans="1:11" x14ac:dyDescent="0.35">
      <c r="A36" t="s">
        <v>610</v>
      </c>
      <c r="B36" t="s">
        <v>1434</v>
      </c>
      <c r="C36" t="s">
        <v>4574</v>
      </c>
      <c r="D36" t="s">
        <v>4575</v>
      </c>
      <c r="E36">
        <v>1000</v>
      </c>
      <c r="F36" t="s">
        <v>2113</v>
      </c>
      <c r="G36" t="s">
        <v>2099</v>
      </c>
      <c r="H36">
        <v>0.16</v>
      </c>
      <c r="I36" s="26" t="s">
        <v>3481</v>
      </c>
      <c r="J36" s="57">
        <v>44634</v>
      </c>
      <c r="K36" s="26" t="s">
        <v>1947</v>
      </c>
    </row>
    <row r="37" spans="1:11" x14ac:dyDescent="0.35">
      <c r="A37" s="26" t="s">
        <v>3403</v>
      </c>
      <c r="B37" s="26" t="s">
        <v>3404</v>
      </c>
      <c r="C37" s="26" t="s">
        <v>4008</v>
      </c>
      <c r="D37" s="26" t="s">
        <v>4009</v>
      </c>
      <c r="E37" s="26">
        <v>1000</v>
      </c>
      <c r="F37" s="26" t="s">
        <v>2113</v>
      </c>
      <c r="G37" s="26" t="s">
        <v>2099</v>
      </c>
      <c r="H37" s="26">
        <v>0.35</v>
      </c>
      <c r="I37" s="26" t="s">
        <v>3481</v>
      </c>
      <c r="J37" s="57">
        <v>44572</v>
      </c>
      <c r="K37" s="26" t="s">
        <v>1947</v>
      </c>
    </row>
    <row r="38" spans="1:11" x14ac:dyDescent="0.35">
      <c r="A38" t="s">
        <v>378</v>
      </c>
      <c r="B38" t="s">
        <v>1202</v>
      </c>
      <c r="C38" t="s">
        <v>2926</v>
      </c>
      <c r="D38" t="s">
        <v>2583</v>
      </c>
      <c r="E38">
        <v>1000</v>
      </c>
      <c r="F38" t="s">
        <v>2113</v>
      </c>
      <c r="G38" t="s">
        <v>2099</v>
      </c>
      <c r="H38">
        <v>4.03</v>
      </c>
      <c r="I38" t="s">
        <v>3481</v>
      </c>
      <c r="J38" s="57">
        <v>44572</v>
      </c>
      <c r="K38" t="s">
        <v>1947</v>
      </c>
    </row>
    <row r="39" spans="1:11" x14ac:dyDescent="0.35">
      <c r="A39" t="s">
        <v>663</v>
      </c>
      <c r="B39" t="s">
        <v>1487</v>
      </c>
      <c r="C39" t="s">
        <v>3186</v>
      </c>
      <c r="D39" t="s">
        <v>2577</v>
      </c>
      <c r="E39">
        <v>1000</v>
      </c>
      <c r="F39" t="s">
        <v>2113</v>
      </c>
      <c r="G39" t="s">
        <v>2099</v>
      </c>
      <c r="H39">
        <v>18.600000000000001</v>
      </c>
      <c r="I39" t="s">
        <v>3481</v>
      </c>
      <c r="J39" s="57">
        <v>44572</v>
      </c>
      <c r="K39" t="s">
        <v>1947</v>
      </c>
    </row>
    <row r="40" spans="1:11" x14ac:dyDescent="0.35">
      <c r="A40" t="s">
        <v>664</v>
      </c>
      <c r="B40" t="s">
        <v>1488</v>
      </c>
      <c r="C40" t="s">
        <v>4568</v>
      </c>
      <c r="D40" t="s">
        <v>2577</v>
      </c>
      <c r="E40">
        <v>1000</v>
      </c>
      <c r="F40" t="s">
        <v>2113</v>
      </c>
      <c r="G40" t="s">
        <v>2099</v>
      </c>
      <c r="H40">
        <v>4.0599999999999996</v>
      </c>
      <c r="I40" t="s">
        <v>3481</v>
      </c>
      <c r="J40" s="57">
        <v>44606</v>
      </c>
      <c r="K40" t="s">
        <v>1947</v>
      </c>
    </row>
    <row r="41" spans="1:11" x14ac:dyDescent="0.35">
      <c r="A41" t="s">
        <v>676</v>
      </c>
      <c r="B41" t="s">
        <v>1500</v>
      </c>
      <c r="C41" t="s">
        <v>3197</v>
      </c>
      <c r="D41" t="s">
        <v>2644</v>
      </c>
      <c r="E41">
        <v>2</v>
      </c>
      <c r="F41" t="s">
        <v>2139</v>
      </c>
      <c r="G41" t="s">
        <v>3468</v>
      </c>
      <c r="H41">
        <v>3.4999999999999997E-5</v>
      </c>
      <c r="I41" t="s">
        <v>3480</v>
      </c>
      <c r="J41" s="57">
        <v>44572</v>
      </c>
      <c r="K41" t="s">
        <v>3460</v>
      </c>
    </row>
    <row r="42" spans="1:11" x14ac:dyDescent="0.35">
      <c r="A42" t="s">
        <v>665</v>
      </c>
      <c r="B42" t="s">
        <v>1489</v>
      </c>
      <c r="C42" t="s">
        <v>3187</v>
      </c>
      <c r="D42" t="s">
        <v>2574</v>
      </c>
      <c r="E42">
        <v>0</v>
      </c>
      <c r="F42" t="s">
        <v>2137</v>
      </c>
      <c r="G42" t="s">
        <v>3463</v>
      </c>
      <c r="H42">
        <v>1E-4</v>
      </c>
      <c r="I42" t="s">
        <v>3480</v>
      </c>
      <c r="J42" s="57">
        <v>44572</v>
      </c>
      <c r="K42" t="s">
        <v>3460</v>
      </c>
    </row>
    <row r="43" spans="1:11" x14ac:dyDescent="0.35">
      <c r="A43" t="s">
        <v>730</v>
      </c>
      <c r="B43" t="s">
        <v>1554</v>
      </c>
      <c r="H43" t="s">
        <v>1879</v>
      </c>
    </row>
    <row r="44" spans="1:11" x14ac:dyDescent="0.35">
      <c r="A44" t="s">
        <v>706</v>
      </c>
      <c r="B44" t="s">
        <v>1530</v>
      </c>
      <c r="H44" t="s">
        <v>1879</v>
      </c>
    </row>
    <row r="45" spans="1:11" x14ac:dyDescent="0.35">
      <c r="A45" t="s">
        <v>620</v>
      </c>
      <c r="B45" t="s">
        <v>1444</v>
      </c>
      <c r="C45" t="s">
        <v>3148</v>
      </c>
      <c r="D45" t="s">
        <v>2581</v>
      </c>
      <c r="E45">
        <v>1000</v>
      </c>
      <c r="F45" t="s">
        <v>2113</v>
      </c>
      <c r="G45" t="s">
        <v>2099</v>
      </c>
      <c r="H45">
        <v>0.76</v>
      </c>
      <c r="I45" t="s">
        <v>3481</v>
      </c>
      <c r="J45" s="57">
        <v>44572</v>
      </c>
      <c r="K45" t="s">
        <v>1947</v>
      </c>
    </row>
    <row r="46" spans="1:11" x14ac:dyDescent="0.35">
      <c r="A46" t="s">
        <v>383</v>
      </c>
      <c r="B46" t="s">
        <v>1207</v>
      </c>
      <c r="C46" t="s">
        <v>2931</v>
      </c>
      <c r="D46" t="s">
        <v>2574</v>
      </c>
      <c r="E46">
        <v>0</v>
      </c>
      <c r="F46" t="s">
        <v>2623</v>
      </c>
      <c r="G46" t="s">
        <v>3463</v>
      </c>
      <c r="H46">
        <v>64</v>
      </c>
      <c r="I46" t="s">
        <v>3480</v>
      </c>
      <c r="J46" s="57">
        <v>44572</v>
      </c>
      <c r="K46" t="s">
        <v>3460</v>
      </c>
    </row>
    <row r="47" spans="1:11" x14ac:dyDescent="0.35">
      <c r="A47" t="s">
        <v>791</v>
      </c>
      <c r="B47" t="s">
        <v>1614</v>
      </c>
      <c r="C47" t="s">
        <v>3263</v>
      </c>
      <c r="D47" t="s">
        <v>2581</v>
      </c>
      <c r="E47">
        <v>1000</v>
      </c>
      <c r="F47" t="s">
        <v>2113</v>
      </c>
      <c r="G47" t="s">
        <v>2099</v>
      </c>
      <c r="H47">
        <v>0.14000000000000001</v>
      </c>
      <c r="I47" t="s">
        <v>3481</v>
      </c>
      <c r="J47" s="57">
        <v>44572</v>
      </c>
      <c r="K47" t="s">
        <v>1947</v>
      </c>
    </row>
    <row r="48" spans="1:11" x14ac:dyDescent="0.35">
      <c r="A48" t="s">
        <v>786</v>
      </c>
      <c r="B48" t="s">
        <v>1609</v>
      </c>
      <c r="H48" t="s">
        <v>1879</v>
      </c>
    </row>
    <row r="49" spans="1:11" x14ac:dyDescent="0.35">
      <c r="A49" t="s">
        <v>487</v>
      </c>
      <c r="B49" t="s">
        <v>1311</v>
      </c>
      <c r="C49" t="s">
        <v>3020</v>
      </c>
      <c r="D49" t="s">
        <v>2581</v>
      </c>
      <c r="E49">
        <v>1000</v>
      </c>
      <c r="F49" t="s">
        <v>2113</v>
      </c>
      <c r="G49" t="s">
        <v>2099</v>
      </c>
      <c r="H49">
        <v>0.38</v>
      </c>
      <c r="I49" t="s">
        <v>3481</v>
      </c>
      <c r="J49" s="57">
        <v>44572</v>
      </c>
      <c r="K49" t="s">
        <v>1947</v>
      </c>
    </row>
    <row r="50" spans="1:11" x14ac:dyDescent="0.35">
      <c r="A50" t="s">
        <v>37</v>
      </c>
      <c r="B50" t="s">
        <v>866</v>
      </c>
      <c r="C50" t="s">
        <v>2626</v>
      </c>
      <c r="D50" t="s">
        <v>2574</v>
      </c>
      <c r="E50">
        <v>0</v>
      </c>
      <c r="F50" t="s">
        <v>3462</v>
      </c>
      <c r="G50" t="s">
        <v>3463</v>
      </c>
      <c r="H50">
        <v>0.12</v>
      </c>
      <c r="I50" t="s">
        <v>3480</v>
      </c>
      <c r="J50" s="57">
        <v>44572</v>
      </c>
      <c r="K50" t="s">
        <v>3460</v>
      </c>
    </row>
    <row r="51" spans="1:11" x14ac:dyDescent="0.35">
      <c r="A51" t="s">
        <v>789</v>
      </c>
      <c r="B51" t="s">
        <v>1612</v>
      </c>
      <c r="C51" t="s">
        <v>3262</v>
      </c>
      <c r="D51" t="s">
        <v>2581</v>
      </c>
      <c r="E51">
        <v>1000</v>
      </c>
      <c r="F51" t="s">
        <v>2113</v>
      </c>
      <c r="G51" t="s">
        <v>2099</v>
      </c>
      <c r="H51">
        <v>2.5000000000000001E-2</v>
      </c>
      <c r="I51" t="s">
        <v>3481</v>
      </c>
      <c r="J51" s="57">
        <v>44572</v>
      </c>
      <c r="K51" t="s">
        <v>1947</v>
      </c>
    </row>
    <row r="52" spans="1:11" x14ac:dyDescent="0.35">
      <c r="A52" t="s">
        <v>640</v>
      </c>
      <c r="B52" t="s">
        <v>1464</v>
      </c>
      <c r="C52" t="s">
        <v>3166</v>
      </c>
      <c r="D52" t="s">
        <v>2629</v>
      </c>
      <c r="E52">
        <v>1000</v>
      </c>
      <c r="F52" t="s">
        <v>2113</v>
      </c>
      <c r="G52" t="s">
        <v>2099</v>
      </c>
      <c r="H52">
        <v>0.64</v>
      </c>
      <c r="I52" t="s">
        <v>3481</v>
      </c>
      <c r="J52" s="57">
        <v>44572</v>
      </c>
      <c r="K52" t="s">
        <v>1947</v>
      </c>
    </row>
    <row r="53" spans="1:11" x14ac:dyDescent="0.35">
      <c r="A53" t="s">
        <v>717</v>
      </c>
      <c r="B53" t="s">
        <v>1541</v>
      </c>
      <c r="H53" t="s">
        <v>1879</v>
      </c>
    </row>
    <row r="54" spans="1:11" x14ac:dyDescent="0.35">
      <c r="A54" t="s">
        <v>447</v>
      </c>
      <c r="B54" t="s">
        <v>1271</v>
      </c>
      <c r="C54" t="s">
        <v>2982</v>
      </c>
      <c r="D54" t="s">
        <v>2629</v>
      </c>
      <c r="E54">
        <v>1000</v>
      </c>
      <c r="F54" t="s">
        <v>2113</v>
      </c>
      <c r="G54" t="s">
        <v>2099</v>
      </c>
      <c r="H54">
        <v>2.8999999999999998E-3</v>
      </c>
      <c r="I54" t="s">
        <v>3481</v>
      </c>
      <c r="J54" s="57">
        <v>44572</v>
      </c>
      <c r="K54" t="s">
        <v>1947</v>
      </c>
    </row>
    <row r="55" spans="1:11" x14ac:dyDescent="0.35">
      <c r="A55" t="s">
        <v>481</v>
      </c>
      <c r="B55" t="s">
        <v>1305</v>
      </c>
      <c r="C55" t="s">
        <v>3015</v>
      </c>
      <c r="D55" t="s">
        <v>2629</v>
      </c>
      <c r="E55">
        <v>1000</v>
      </c>
      <c r="F55" t="s">
        <v>2113</v>
      </c>
      <c r="G55" t="s">
        <v>2099</v>
      </c>
      <c r="H55">
        <v>8.9999999999999993E-3</v>
      </c>
      <c r="I55" t="s">
        <v>3481</v>
      </c>
      <c r="J55" s="57">
        <v>44572</v>
      </c>
      <c r="K55" t="s">
        <v>1947</v>
      </c>
    </row>
    <row r="56" spans="1:11" x14ac:dyDescent="0.35">
      <c r="A56" t="s">
        <v>149</v>
      </c>
      <c r="B56" t="s">
        <v>978</v>
      </c>
      <c r="C56" t="s">
        <v>2740</v>
      </c>
      <c r="D56" t="s">
        <v>2741</v>
      </c>
      <c r="E56">
        <v>10</v>
      </c>
      <c r="F56" t="s">
        <v>2139</v>
      </c>
      <c r="G56" t="s">
        <v>3468</v>
      </c>
      <c r="H56">
        <v>4.9000000000000002E-2</v>
      </c>
      <c r="I56" t="s">
        <v>3480</v>
      </c>
      <c r="J56" s="57">
        <v>44572</v>
      </c>
      <c r="K56" t="s">
        <v>3460</v>
      </c>
    </row>
    <row r="57" spans="1:11" x14ac:dyDescent="0.35">
      <c r="A57" t="s">
        <v>448</v>
      </c>
      <c r="B57" t="s">
        <v>1272</v>
      </c>
      <c r="C57" t="s">
        <v>2983</v>
      </c>
      <c r="D57" t="s">
        <v>2741</v>
      </c>
      <c r="E57">
        <v>10</v>
      </c>
      <c r="F57" t="s">
        <v>2139</v>
      </c>
      <c r="G57" t="s">
        <v>3468</v>
      </c>
      <c r="H57">
        <v>4.9000000000000002E-2</v>
      </c>
      <c r="I57" t="s">
        <v>3480</v>
      </c>
      <c r="J57" s="57">
        <v>44572</v>
      </c>
      <c r="K57" t="s">
        <v>3460</v>
      </c>
    </row>
    <row r="58" spans="1:11" x14ac:dyDescent="0.35">
      <c r="A58" t="s">
        <v>193</v>
      </c>
      <c r="B58" t="s">
        <v>1021</v>
      </c>
      <c r="C58" t="s">
        <v>2777</v>
      </c>
      <c r="D58" t="s">
        <v>2741</v>
      </c>
      <c r="E58">
        <v>10</v>
      </c>
      <c r="F58" t="s">
        <v>2139</v>
      </c>
      <c r="G58" t="s">
        <v>3468</v>
      </c>
      <c r="H58">
        <v>4.9000000000000002E-2</v>
      </c>
      <c r="I58" t="s">
        <v>3480</v>
      </c>
      <c r="J58" s="57">
        <v>44572</v>
      </c>
      <c r="K58" t="s">
        <v>3460</v>
      </c>
    </row>
    <row r="59" spans="1:11" x14ac:dyDescent="0.35">
      <c r="A59" t="s">
        <v>711</v>
      </c>
      <c r="B59" t="s">
        <v>1535</v>
      </c>
      <c r="H59" t="s">
        <v>1879</v>
      </c>
    </row>
    <row r="60" spans="1:11" x14ac:dyDescent="0.35">
      <c r="A60" t="s">
        <v>472</v>
      </c>
      <c r="B60" t="s">
        <v>1296</v>
      </c>
      <c r="C60" t="s">
        <v>3006</v>
      </c>
      <c r="D60" t="s">
        <v>2741</v>
      </c>
      <c r="E60">
        <v>10</v>
      </c>
      <c r="F60" t="s">
        <v>2139</v>
      </c>
      <c r="G60" t="s">
        <v>3468</v>
      </c>
      <c r="H60">
        <v>4.9000000000000002E-2</v>
      </c>
      <c r="I60" t="s">
        <v>3480</v>
      </c>
      <c r="J60" s="57">
        <v>44572</v>
      </c>
      <c r="K60" t="s">
        <v>3460</v>
      </c>
    </row>
    <row r="61" spans="1:11" x14ac:dyDescent="0.35">
      <c r="A61" t="s">
        <v>249</v>
      </c>
      <c r="B61" t="s">
        <v>1075</v>
      </c>
      <c r="C61" t="s">
        <v>2824</v>
      </c>
      <c r="D61" t="s">
        <v>2741</v>
      </c>
      <c r="E61">
        <v>10</v>
      </c>
      <c r="F61" t="s">
        <v>2139</v>
      </c>
      <c r="G61" t="s">
        <v>3468</v>
      </c>
      <c r="H61">
        <v>4.9000000000000002E-2</v>
      </c>
      <c r="I61" t="s">
        <v>3480</v>
      </c>
      <c r="J61" s="57">
        <v>44572</v>
      </c>
      <c r="K61" t="s">
        <v>3460</v>
      </c>
    </row>
    <row r="62" spans="1:11" x14ac:dyDescent="0.35">
      <c r="A62" t="s">
        <v>722</v>
      </c>
      <c r="B62" t="s">
        <v>1546</v>
      </c>
      <c r="H62" t="s">
        <v>1879</v>
      </c>
    </row>
    <row r="63" spans="1:11" x14ac:dyDescent="0.35">
      <c r="A63" t="s">
        <v>712</v>
      </c>
      <c r="B63" t="s">
        <v>1536</v>
      </c>
      <c r="H63" t="s">
        <v>1879</v>
      </c>
    </row>
    <row r="64" spans="1:11" x14ac:dyDescent="0.35">
      <c r="A64" t="s">
        <v>704</v>
      </c>
      <c r="B64" t="s">
        <v>1528</v>
      </c>
      <c r="H64" t="s">
        <v>1879</v>
      </c>
    </row>
    <row r="65" spans="1:11" x14ac:dyDescent="0.35">
      <c r="A65" t="s">
        <v>473</v>
      </c>
      <c r="B65" t="s">
        <v>1297</v>
      </c>
      <c r="C65" t="s">
        <v>3007</v>
      </c>
      <c r="D65" t="s">
        <v>2629</v>
      </c>
      <c r="E65">
        <v>1000</v>
      </c>
      <c r="F65" t="s">
        <v>2113</v>
      </c>
      <c r="G65" t="s">
        <v>2099</v>
      </c>
      <c r="H65">
        <v>1.9E-2</v>
      </c>
      <c r="I65" t="s">
        <v>3481</v>
      </c>
      <c r="J65" s="57">
        <v>44572</v>
      </c>
      <c r="K65" t="s">
        <v>1947</v>
      </c>
    </row>
    <row r="66" spans="1:11" x14ac:dyDescent="0.35">
      <c r="A66" t="s">
        <v>725</v>
      </c>
      <c r="B66" t="s">
        <v>1549</v>
      </c>
      <c r="H66" t="s">
        <v>1879</v>
      </c>
    </row>
    <row r="67" spans="1:11" x14ac:dyDescent="0.35">
      <c r="A67" t="s">
        <v>719</v>
      </c>
      <c r="B67" t="s">
        <v>1543</v>
      </c>
      <c r="H67" t="s">
        <v>1879</v>
      </c>
    </row>
    <row r="68" spans="1:11" x14ac:dyDescent="0.35">
      <c r="A68" t="s">
        <v>769</v>
      </c>
      <c r="B68" t="s">
        <v>1593</v>
      </c>
      <c r="C68" t="s">
        <v>3252</v>
      </c>
      <c r="D68" t="s">
        <v>2577</v>
      </c>
      <c r="E68">
        <v>1000</v>
      </c>
      <c r="F68" t="s">
        <v>2113</v>
      </c>
      <c r="G68" t="s">
        <v>2099</v>
      </c>
      <c r="H68">
        <v>0.28999999999999998</v>
      </c>
      <c r="I68" t="s">
        <v>3481</v>
      </c>
      <c r="J68" s="57">
        <v>44572</v>
      </c>
      <c r="K68" t="s">
        <v>1947</v>
      </c>
    </row>
    <row r="69" spans="1:11" x14ac:dyDescent="0.35">
      <c r="A69" t="s">
        <v>803</v>
      </c>
      <c r="B69" t="s">
        <v>1626</v>
      </c>
      <c r="H69" t="s">
        <v>1879</v>
      </c>
    </row>
    <row r="70" spans="1:11" x14ac:dyDescent="0.35">
      <c r="A70" t="s">
        <v>312</v>
      </c>
      <c r="B70" t="s">
        <v>1137</v>
      </c>
      <c r="C70" t="s">
        <v>2877</v>
      </c>
      <c r="D70" t="s">
        <v>2741</v>
      </c>
      <c r="E70">
        <v>10</v>
      </c>
      <c r="F70" t="s">
        <v>2139</v>
      </c>
      <c r="G70" t="s">
        <v>3468</v>
      </c>
      <c r="H70">
        <v>4.9000000000000002E-2</v>
      </c>
      <c r="I70" t="s">
        <v>3480</v>
      </c>
      <c r="J70" s="57">
        <v>44572</v>
      </c>
      <c r="K70" t="s">
        <v>3460</v>
      </c>
    </row>
    <row r="71" spans="1:11" x14ac:dyDescent="0.35">
      <c r="A71" t="s">
        <v>774</v>
      </c>
      <c r="B71" t="s">
        <v>1598</v>
      </c>
      <c r="C71" t="s">
        <v>3255</v>
      </c>
      <c r="D71" t="s">
        <v>2574</v>
      </c>
      <c r="E71">
        <v>0</v>
      </c>
      <c r="F71" t="s">
        <v>2728</v>
      </c>
      <c r="G71" t="s">
        <v>3464</v>
      </c>
      <c r="H71">
        <v>9</v>
      </c>
      <c r="I71" t="s">
        <v>3480</v>
      </c>
      <c r="J71" s="57">
        <v>44572</v>
      </c>
      <c r="K71" t="s">
        <v>3460</v>
      </c>
    </row>
    <row r="72" spans="1:11" x14ac:dyDescent="0.35">
      <c r="A72" t="s">
        <v>810</v>
      </c>
      <c r="B72" t="s">
        <v>1633</v>
      </c>
      <c r="H72" t="s">
        <v>1879</v>
      </c>
    </row>
    <row r="73" spans="1:11" x14ac:dyDescent="0.35">
      <c r="A73" t="s">
        <v>81</v>
      </c>
      <c r="B73" t="s">
        <v>910</v>
      </c>
      <c r="C73" t="s">
        <v>2672</v>
      </c>
      <c r="D73" t="s">
        <v>2574</v>
      </c>
      <c r="E73">
        <v>0</v>
      </c>
      <c r="F73" t="s">
        <v>2137</v>
      </c>
      <c r="G73" t="s">
        <v>3463</v>
      </c>
      <c r="H73">
        <v>0.11</v>
      </c>
      <c r="I73" t="s">
        <v>3480</v>
      </c>
      <c r="J73" s="57">
        <v>44572</v>
      </c>
      <c r="K73" t="s">
        <v>3460</v>
      </c>
    </row>
    <row r="74" spans="1:11" x14ac:dyDescent="0.35">
      <c r="A74" t="s">
        <v>812</v>
      </c>
      <c r="B74" t="s">
        <v>1635</v>
      </c>
      <c r="H74" t="s">
        <v>1879</v>
      </c>
    </row>
    <row r="75" spans="1:11" x14ac:dyDescent="0.35">
      <c r="A75" t="s">
        <v>713</v>
      </c>
      <c r="B75" t="s">
        <v>1537</v>
      </c>
      <c r="H75" t="s">
        <v>1879</v>
      </c>
    </row>
    <row r="76" spans="1:11" x14ac:dyDescent="0.35">
      <c r="A76" t="s">
        <v>724</v>
      </c>
      <c r="B76" t="s">
        <v>1548</v>
      </c>
      <c r="H76" t="s">
        <v>1879</v>
      </c>
    </row>
    <row r="77" spans="1:11" x14ac:dyDescent="0.35">
      <c r="A77" t="s">
        <v>19</v>
      </c>
      <c r="B77" t="s">
        <v>848</v>
      </c>
      <c r="C77" t="s">
        <v>2602</v>
      </c>
      <c r="D77" t="s">
        <v>2574</v>
      </c>
      <c r="E77">
        <v>0</v>
      </c>
      <c r="F77" t="s">
        <v>2680</v>
      </c>
      <c r="G77" t="s">
        <v>3465</v>
      </c>
      <c r="H77">
        <v>0.6</v>
      </c>
      <c r="I77" t="s">
        <v>3480</v>
      </c>
      <c r="J77" s="57">
        <v>44572</v>
      </c>
      <c r="K77" t="s">
        <v>3460</v>
      </c>
    </row>
    <row r="78" spans="1:11" x14ac:dyDescent="0.35">
      <c r="A78" t="s">
        <v>809</v>
      </c>
      <c r="B78" t="s">
        <v>1632</v>
      </c>
      <c r="H78" t="s">
        <v>1879</v>
      </c>
    </row>
    <row r="79" spans="1:11" x14ac:dyDescent="0.35">
      <c r="A79" t="s">
        <v>216</v>
      </c>
      <c r="B79" t="s">
        <v>1043</v>
      </c>
      <c r="C79" t="s">
        <v>2797</v>
      </c>
      <c r="D79" t="s">
        <v>2581</v>
      </c>
      <c r="E79">
        <v>1000</v>
      </c>
      <c r="F79" t="s">
        <v>2113</v>
      </c>
      <c r="G79" t="s">
        <v>2099</v>
      </c>
      <c r="H79">
        <v>0.88</v>
      </c>
      <c r="I79" t="s">
        <v>3481</v>
      </c>
      <c r="J79" s="57">
        <v>44572</v>
      </c>
      <c r="K79" t="s">
        <v>1947</v>
      </c>
    </row>
    <row r="80" spans="1:11" x14ac:dyDescent="0.35">
      <c r="A80" t="s">
        <v>814</v>
      </c>
      <c r="B80" t="s">
        <v>1637</v>
      </c>
      <c r="H80" t="s">
        <v>1879</v>
      </c>
    </row>
    <row r="81" spans="1:11" x14ac:dyDescent="0.35">
      <c r="A81" t="s">
        <v>185</v>
      </c>
      <c r="B81" t="s">
        <v>1013</v>
      </c>
      <c r="C81" t="s">
        <v>2768</v>
      </c>
      <c r="D81" t="s">
        <v>2581</v>
      </c>
      <c r="E81">
        <v>1000</v>
      </c>
      <c r="F81" t="s">
        <v>2113</v>
      </c>
      <c r="G81" t="s">
        <v>2099</v>
      </c>
      <c r="H81">
        <v>7.38</v>
      </c>
      <c r="I81" t="s">
        <v>3481</v>
      </c>
      <c r="J81" s="57">
        <v>44572</v>
      </c>
      <c r="K81" t="s">
        <v>1947</v>
      </c>
    </row>
    <row r="82" spans="1:11" x14ac:dyDescent="0.35">
      <c r="A82" t="s">
        <v>772</v>
      </c>
      <c r="B82" t="s">
        <v>1596</v>
      </c>
      <c r="C82" t="s">
        <v>3254</v>
      </c>
      <c r="D82" t="s">
        <v>2581</v>
      </c>
      <c r="E82">
        <v>1000</v>
      </c>
      <c r="F82" t="s">
        <v>2113</v>
      </c>
      <c r="G82" t="s">
        <v>2099</v>
      </c>
      <c r="H82">
        <v>0.38</v>
      </c>
      <c r="I82" t="s">
        <v>3481</v>
      </c>
      <c r="J82" s="57">
        <v>44572</v>
      </c>
      <c r="K82" t="s">
        <v>1947</v>
      </c>
    </row>
    <row r="83" spans="1:11" x14ac:dyDescent="0.35">
      <c r="A83" t="s">
        <v>455</v>
      </c>
      <c r="B83" t="s">
        <v>1279</v>
      </c>
      <c r="C83" t="s">
        <v>2990</v>
      </c>
      <c r="D83" t="s">
        <v>2583</v>
      </c>
      <c r="E83">
        <v>1000</v>
      </c>
      <c r="F83" t="s">
        <v>2113</v>
      </c>
      <c r="G83" t="s">
        <v>2099</v>
      </c>
      <c r="H83">
        <v>0.37</v>
      </c>
      <c r="I83" t="s">
        <v>3481</v>
      </c>
      <c r="J83" s="57">
        <v>44572</v>
      </c>
      <c r="K83" t="s">
        <v>1947</v>
      </c>
    </row>
    <row r="84" spans="1:11" x14ac:dyDescent="0.35">
      <c r="A84" t="s">
        <v>420</v>
      </c>
      <c r="B84" t="s">
        <v>1244</v>
      </c>
      <c r="C84" t="s">
        <v>2957</v>
      </c>
      <c r="D84" t="s">
        <v>2583</v>
      </c>
      <c r="E84">
        <v>1000</v>
      </c>
      <c r="F84" t="s">
        <v>2113</v>
      </c>
      <c r="G84" t="s">
        <v>2099</v>
      </c>
      <c r="H84">
        <v>0.9</v>
      </c>
      <c r="I84" t="s">
        <v>3481</v>
      </c>
      <c r="J84" s="57">
        <v>44572</v>
      </c>
      <c r="K84" t="s">
        <v>1947</v>
      </c>
    </row>
    <row r="85" spans="1:11" x14ac:dyDescent="0.35">
      <c r="A85" t="s">
        <v>28</v>
      </c>
      <c r="B85" t="s">
        <v>857</v>
      </c>
      <c r="C85" t="s">
        <v>2615</v>
      </c>
      <c r="D85" t="s">
        <v>2583</v>
      </c>
      <c r="E85">
        <v>1000</v>
      </c>
      <c r="F85" t="s">
        <v>2113</v>
      </c>
      <c r="G85" t="s">
        <v>2099</v>
      </c>
      <c r="H85">
        <v>2.31</v>
      </c>
      <c r="I85" t="s">
        <v>3481</v>
      </c>
      <c r="J85" s="57">
        <v>44572</v>
      </c>
      <c r="K85" t="s">
        <v>1947</v>
      </c>
    </row>
    <row r="86" spans="1:11" x14ac:dyDescent="0.35">
      <c r="A86" t="s">
        <v>366</v>
      </c>
      <c r="B86" t="s">
        <v>1190</v>
      </c>
      <c r="C86" t="s">
        <v>2918</v>
      </c>
      <c r="D86" t="s">
        <v>2581</v>
      </c>
      <c r="E86">
        <v>1000</v>
      </c>
      <c r="F86" t="s">
        <v>2113</v>
      </c>
      <c r="G86" t="s">
        <v>2099</v>
      </c>
      <c r="H86">
        <v>5.45</v>
      </c>
      <c r="I86" t="s">
        <v>3481</v>
      </c>
      <c r="J86" s="57">
        <v>44572</v>
      </c>
      <c r="K86" t="s">
        <v>1947</v>
      </c>
    </row>
    <row r="87" spans="1:11" x14ac:dyDescent="0.35">
      <c r="A87" t="s">
        <v>147</v>
      </c>
      <c r="B87" t="s">
        <v>976</v>
      </c>
      <c r="H87" t="s">
        <v>1879</v>
      </c>
    </row>
    <row r="88" spans="1:11" x14ac:dyDescent="0.35">
      <c r="A88" t="s">
        <v>740</v>
      </c>
      <c r="B88" t="s">
        <v>1564</v>
      </c>
      <c r="C88" t="s">
        <v>3229</v>
      </c>
      <c r="D88" t="s">
        <v>2629</v>
      </c>
      <c r="E88">
        <v>1000</v>
      </c>
      <c r="F88" t="s">
        <v>2113</v>
      </c>
      <c r="G88" t="s">
        <v>2099</v>
      </c>
      <c r="H88">
        <v>1.54</v>
      </c>
      <c r="I88" t="s">
        <v>3481</v>
      </c>
      <c r="J88" s="57">
        <v>44572</v>
      </c>
      <c r="K88" t="s">
        <v>1947</v>
      </c>
    </row>
    <row r="89" spans="1:11" x14ac:dyDescent="0.35">
      <c r="A89" t="s">
        <v>438</v>
      </c>
      <c r="B89" t="s">
        <v>1262</v>
      </c>
      <c r="C89" t="s">
        <v>2974</v>
      </c>
      <c r="D89" t="s">
        <v>2975</v>
      </c>
      <c r="E89">
        <v>1000</v>
      </c>
      <c r="F89" t="s">
        <v>2143</v>
      </c>
      <c r="G89" t="s">
        <v>2099</v>
      </c>
      <c r="H89">
        <v>10</v>
      </c>
      <c r="I89" t="s">
        <v>3480</v>
      </c>
      <c r="J89" s="57">
        <v>44572</v>
      </c>
      <c r="K89" t="s">
        <v>3460</v>
      </c>
    </row>
    <row r="90" spans="1:11" x14ac:dyDescent="0.35">
      <c r="A90" t="s">
        <v>678</v>
      </c>
      <c r="B90" t="s">
        <v>1502</v>
      </c>
      <c r="C90" t="s">
        <v>3199</v>
      </c>
      <c r="D90" t="s">
        <v>2629</v>
      </c>
      <c r="E90">
        <v>1000</v>
      </c>
      <c r="F90" t="s">
        <v>2113</v>
      </c>
      <c r="G90" t="s">
        <v>2099</v>
      </c>
      <c r="H90">
        <v>7.88</v>
      </c>
      <c r="I90" t="s">
        <v>3481</v>
      </c>
      <c r="J90" s="57">
        <v>44572</v>
      </c>
      <c r="K90" t="s">
        <v>1947</v>
      </c>
    </row>
    <row r="91" spans="1:11" x14ac:dyDescent="0.35">
      <c r="A91" t="s">
        <v>389</v>
      </c>
      <c r="B91" t="s">
        <v>1213</v>
      </c>
      <c r="C91" t="s">
        <v>2937</v>
      </c>
      <c r="D91" t="s">
        <v>2581</v>
      </c>
      <c r="E91">
        <v>1000</v>
      </c>
      <c r="F91" t="s">
        <v>2113</v>
      </c>
      <c r="G91" t="s">
        <v>2099</v>
      </c>
      <c r="H91">
        <v>27.8</v>
      </c>
      <c r="I91" t="s">
        <v>3481</v>
      </c>
      <c r="J91" s="57">
        <v>44572</v>
      </c>
      <c r="K91" t="s">
        <v>1947</v>
      </c>
    </row>
    <row r="92" spans="1:11" x14ac:dyDescent="0.35">
      <c r="A92" t="s">
        <v>394</v>
      </c>
      <c r="B92" t="s">
        <v>1218</v>
      </c>
      <c r="C92" t="s">
        <v>2941</v>
      </c>
      <c r="D92" t="s">
        <v>2577</v>
      </c>
      <c r="E92">
        <v>1000</v>
      </c>
      <c r="F92" t="s">
        <v>2113</v>
      </c>
      <c r="G92" t="s">
        <v>2099</v>
      </c>
      <c r="H92">
        <v>9.75</v>
      </c>
      <c r="I92" t="s">
        <v>3481</v>
      </c>
      <c r="J92" s="57">
        <v>44572</v>
      </c>
      <c r="K92" t="s">
        <v>1947</v>
      </c>
    </row>
    <row r="93" spans="1:11" x14ac:dyDescent="0.35">
      <c r="A93" t="s">
        <v>792</v>
      </c>
      <c r="B93" t="s">
        <v>1615</v>
      </c>
      <c r="C93" t="s">
        <v>3264</v>
      </c>
      <c r="D93" t="s">
        <v>2581</v>
      </c>
      <c r="E93">
        <v>1000</v>
      </c>
      <c r="F93" t="s">
        <v>2113</v>
      </c>
      <c r="G93" t="s">
        <v>2099</v>
      </c>
      <c r="H93">
        <v>0.14000000000000001</v>
      </c>
      <c r="I93" t="s">
        <v>3481</v>
      </c>
      <c r="J93" s="57">
        <v>44572</v>
      </c>
      <c r="K93" t="s">
        <v>1947</v>
      </c>
    </row>
    <row r="94" spans="1:11" x14ac:dyDescent="0.35">
      <c r="A94" t="s">
        <v>782</v>
      </c>
      <c r="B94" t="s">
        <v>1605</v>
      </c>
      <c r="C94" t="s">
        <v>3260</v>
      </c>
      <c r="D94" t="s">
        <v>2581</v>
      </c>
      <c r="E94">
        <v>1000</v>
      </c>
      <c r="F94" t="s">
        <v>2113</v>
      </c>
      <c r="G94" t="s">
        <v>2099</v>
      </c>
      <c r="H94">
        <v>1.4</v>
      </c>
      <c r="I94" t="s">
        <v>3481</v>
      </c>
      <c r="J94" s="57">
        <v>44572</v>
      </c>
      <c r="K94" t="s">
        <v>1947</v>
      </c>
    </row>
    <row r="95" spans="1:11" x14ac:dyDescent="0.35">
      <c r="A95" t="s">
        <v>33</v>
      </c>
      <c r="B95" t="s">
        <v>862</v>
      </c>
      <c r="C95" t="s">
        <v>2622</v>
      </c>
      <c r="D95" t="s">
        <v>2574</v>
      </c>
      <c r="E95">
        <v>0</v>
      </c>
      <c r="F95" t="s">
        <v>2623</v>
      </c>
      <c r="G95" t="s">
        <v>3463</v>
      </c>
      <c r="H95">
        <v>0.12</v>
      </c>
      <c r="I95" t="s">
        <v>3480</v>
      </c>
      <c r="J95" s="57">
        <v>44572</v>
      </c>
      <c r="K95" t="s">
        <v>3460</v>
      </c>
    </row>
    <row r="96" spans="1:11" x14ac:dyDescent="0.35">
      <c r="A96" t="s">
        <v>406</v>
      </c>
      <c r="B96" t="s">
        <v>1230</v>
      </c>
      <c r="C96" t="s">
        <v>2948</v>
      </c>
      <c r="D96" t="s">
        <v>2581</v>
      </c>
      <c r="E96">
        <v>1000</v>
      </c>
      <c r="F96" t="s">
        <v>2113</v>
      </c>
      <c r="G96" t="s">
        <v>2099</v>
      </c>
      <c r="H96">
        <v>0.14000000000000001</v>
      </c>
      <c r="I96" t="s">
        <v>3481</v>
      </c>
      <c r="J96" s="57">
        <v>44572</v>
      </c>
      <c r="K96" t="s">
        <v>1947</v>
      </c>
    </row>
    <row r="97" spans="1:11" x14ac:dyDescent="0.35">
      <c r="A97" t="s">
        <v>529</v>
      </c>
      <c r="B97" t="s">
        <v>1353</v>
      </c>
      <c r="H97" t="s">
        <v>1879</v>
      </c>
    </row>
    <row r="98" spans="1:11" x14ac:dyDescent="0.35">
      <c r="A98" t="s">
        <v>657</v>
      </c>
      <c r="B98" t="s">
        <v>1481</v>
      </c>
      <c r="C98" t="s">
        <v>4569</v>
      </c>
      <c r="D98" t="s">
        <v>4570</v>
      </c>
      <c r="E98">
        <v>1000</v>
      </c>
      <c r="F98" t="s">
        <v>2113</v>
      </c>
      <c r="G98" t="s">
        <v>2099</v>
      </c>
      <c r="H98">
        <v>12.5</v>
      </c>
      <c r="I98" t="s">
        <v>3481</v>
      </c>
      <c r="J98" s="57">
        <v>44634</v>
      </c>
      <c r="K98" t="s">
        <v>1947</v>
      </c>
    </row>
    <row r="99" spans="1:11" x14ac:dyDescent="0.35">
      <c r="A99" t="s">
        <v>595</v>
      </c>
      <c r="B99" t="s">
        <v>1419</v>
      </c>
      <c r="C99" t="s">
        <v>3121</v>
      </c>
      <c r="D99" t="s">
        <v>2629</v>
      </c>
      <c r="E99">
        <v>1000</v>
      </c>
      <c r="F99" t="s">
        <v>2113</v>
      </c>
      <c r="G99" t="s">
        <v>2099</v>
      </c>
      <c r="H99">
        <v>4.53</v>
      </c>
      <c r="I99" t="s">
        <v>3481</v>
      </c>
      <c r="J99" s="57">
        <v>44572</v>
      </c>
      <c r="K99" t="s">
        <v>1947</v>
      </c>
    </row>
    <row r="100" spans="1:11" x14ac:dyDescent="0.35">
      <c r="A100" t="s">
        <v>705</v>
      </c>
      <c r="B100" t="s">
        <v>1529</v>
      </c>
      <c r="H100" t="s">
        <v>1879</v>
      </c>
    </row>
    <row r="101" spans="1:11" x14ac:dyDescent="0.35">
      <c r="A101" t="s">
        <v>649</v>
      </c>
      <c r="B101" t="s">
        <v>1473</v>
      </c>
      <c r="C101" t="s">
        <v>3175</v>
      </c>
      <c r="D101" t="s">
        <v>2629</v>
      </c>
      <c r="E101">
        <v>1000</v>
      </c>
      <c r="F101" t="s">
        <v>2113</v>
      </c>
      <c r="G101" t="s">
        <v>2099</v>
      </c>
      <c r="H101">
        <v>8.3000000000000004E-2</v>
      </c>
      <c r="I101" t="s">
        <v>3481</v>
      </c>
      <c r="J101" s="57">
        <v>44572</v>
      </c>
      <c r="K101" t="s">
        <v>1947</v>
      </c>
    </row>
    <row r="102" spans="1:11" x14ac:dyDescent="0.35">
      <c r="A102" t="s">
        <v>418</v>
      </c>
      <c r="B102" t="s">
        <v>1242</v>
      </c>
      <c r="C102" t="s">
        <v>4010</v>
      </c>
      <c r="D102" t="s">
        <v>4004</v>
      </c>
      <c r="E102">
        <v>1000</v>
      </c>
      <c r="F102" t="s">
        <v>2113</v>
      </c>
      <c r="G102" t="s">
        <v>2099</v>
      </c>
      <c r="H102">
        <v>2.42</v>
      </c>
      <c r="I102" t="s">
        <v>3481</v>
      </c>
      <c r="J102" s="57">
        <v>44572</v>
      </c>
      <c r="K102" t="s">
        <v>1947</v>
      </c>
    </row>
    <row r="103" spans="1:11" x14ac:dyDescent="0.35">
      <c r="A103" t="s">
        <v>230</v>
      </c>
      <c r="B103" t="s">
        <v>1057</v>
      </c>
      <c r="H103" t="s">
        <v>1879</v>
      </c>
    </row>
    <row r="104" spans="1:11" x14ac:dyDescent="0.35">
      <c r="A104" t="s">
        <v>508</v>
      </c>
      <c r="B104" t="s">
        <v>1332</v>
      </c>
      <c r="C104" t="s">
        <v>3039</v>
      </c>
      <c r="D104" t="s">
        <v>2581</v>
      </c>
      <c r="E104">
        <v>1000</v>
      </c>
      <c r="F104" t="s">
        <v>2113</v>
      </c>
      <c r="G104" t="s">
        <v>2099</v>
      </c>
      <c r="H104">
        <v>0.11</v>
      </c>
      <c r="I104" t="s">
        <v>3481</v>
      </c>
      <c r="J104" s="57">
        <v>44572</v>
      </c>
      <c r="K104" t="s">
        <v>1947</v>
      </c>
    </row>
    <row r="105" spans="1:11" x14ac:dyDescent="0.35">
      <c r="A105" t="s">
        <v>168</v>
      </c>
      <c r="B105" t="s">
        <v>997</v>
      </c>
      <c r="C105" t="s">
        <v>4011</v>
      </c>
      <c r="D105" t="s">
        <v>4012</v>
      </c>
      <c r="E105">
        <v>1000</v>
      </c>
      <c r="F105" t="s">
        <v>2113</v>
      </c>
      <c r="G105" t="s">
        <v>2099</v>
      </c>
      <c r="H105">
        <v>6.02</v>
      </c>
      <c r="I105" t="s">
        <v>3481</v>
      </c>
      <c r="J105" s="57">
        <v>44572</v>
      </c>
      <c r="K105" t="s">
        <v>1947</v>
      </c>
    </row>
    <row r="106" spans="1:11" x14ac:dyDescent="0.35">
      <c r="A106" t="s">
        <v>365</v>
      </c>
      <c r="B106" t="s">
        <v>1189</v>
      </c>
      <c r="C106" t="s">
        <v>2917</v>
      </c>
      <c r="D106" t="s">
        <v>2583</v>
      </c>
      <c r="E106">
        <v>1000</v>
      </c>
      <c r="F106" t="s">
        <v>2113</v>
      </c>
      <c r="G106" t="s">
        <v>2099</v>
      </c>
      <c r="H106">
        <v>4.71</v>
      </c>
      <c r="I106" t="s">
        <v>3481</v>
      </c>
      <c r="J106" s="57">
        <v>44572</v>
      </c>
      <c r="K106" t="s">
        <v>1947</v>
      </c>
    </row>
    <row r="107" spans="1:11" x14ac:dyDescent="0.35">
      <c r="A107" t="s">
        <v>494</v>
      </c>
      <c r="B107" t="s">
        <v>1318</v>
      </c>
      <c r="C107" t="s">
        <v>3027</v>
      </c>
      <c r="D107" t="s">
        <v>2574</v>
      </c>
      <c r="E107">
        <v>0</v>
      </c>
      <c r="F107" t="s">
        <v>2599</v>
      </c>
      <c r="G107" t="s">
        <v>3464</v>
      </c>
      <c r="H107">
        <v>4.3</v>
      </c>
      <c r="I107" t="s">
        <v>3480</v>
      </c>
      <c r="J107" s="57">
        <v>44572</v>
      </c>
      <c r="K107" t="s">
        <v>3460</v>
      </c>
    </row>
    <row r="108" spans="1:11" x14ac:dyDescent="0.35">
      <c r="A108" t="s">
        <v>781</v>
      </c>
      <c r="B108" t="s">
        <v>1604</v>
      </c>
      <c r="C108" t="s">
        <v>3259</v>
      </c>
      <c r="D108" t="s">
        <v>2581</v>
      </c>
      <c r="E108">
        <v>1000</v>
      </c>
      <c r="F108" t="s">
        <v>2113</v>
      </c>
      <c r="G108" t="s">
        <v>2099</v>
      </c>
      <c r="H108">
        <v>1.45</v>
      </c>
      <c r="I108" t="s">
        <v>3481</v>
      </c>
      <c r="J108" s="57">
        <v>44572</v>
      </c>
      <c r="K108" t="s">
        <v>1947</v>
      </c>
    </row>
    <row r="109" spans="1:11" x14ac:dyDescent="0.35">
      <c r="A109" t="s">
        <v>74</v>
      </c>
      <c r="B109" t="s">
        <v>903</v>
      </c>
      <c r="C109" t="s">
        <v>2668</v>
      </c>
      <c r="D109" t="s">
        <v>2577</v>
      </c>
      <c r="E109">
        <v>1000</v>
      </c>
      <c r="F109" t="s">
        <v>2113</v>
      </c>
      <c r="G109" t="s">
        <v>2099</v>
      </c>
      <c r="H109">
        <v>3.14</v>
      </c>
      <c r="I109" t="s">
        <v>3481</v>
      </c>
      <c r="J109" s="57">
        <v>44572</v>
      </c>
      <c r="K109" t="s">
        <v>1947</v>
      </c>
    </row>
    <row r="110" spans="1:11" x14ac:dyDescent="0.35">
      <c r="A110" t="s">
        <v>323</v>
      </c>
      <c r="B110" t="s">
        <v>1148</v>
      </c>
      <c r="C110" t="s">
        <v>2886</v>
      </c>
      <c r="D110" t="s">
        <v>2581</v>
      </c>
      <c r="E110">
        <v>1000</v>
      </c>
      <c r="F110" t="s">
        <v>2113</v>
      </c>
      <c r="G110" t="s">
        <v>2099</v>
      </c>
      <c r="H110">
        <v>3.66</v>
      </c>
      <c r="I110" t="s">
        <v>3481</v>
      </c>
      <c r="J110" s="57">
        <v>44572</v>
      </c>
      <c r="K110" t="s">
        <v>1947</v>
      </c>
    </row>
    <row r="111" spans="1:11" x14ac:dyDescent="0.35">
      <c r="A111" t="s">
        <v>537</v>
      </c>
      <c r="B111" t="s">
        <v>1361</v>
      </c>
      <c r="C111" t="s">
        <v>3064</v>
      </c>
      <c r="D111" t="s">
        <v>2574</v>
      </c>
      <c r="E111">
        <v>0</v>
      </c>
      <c r="F111" t="s">
        <v>2139</v>
      </c>
      <c r="G111" t="s">
        <v>3468</v>
      </c>
      <c r="H111">
        <v>0.1</v>
      </c>
      <c r="I111" t="s">
        <v>3480</v>
      </c>
      <c r="J111" s="57">
        <v>44572</v>
      </c>
      <c r="K111" t="s">
        <v>3460</v>
      </c>
    </row>
    <row r="112" spans="1:11" x14ac:dyDescent="0.35">
      <c r="A112" t="s">
        <v>710</v>
      </c>
      <c r="B112" t="s">
        <v>1534</v>
      </c>
      <c r="C112" t="s">
        <v>3218</v>
      </c>
      <c r="D112" t="s">
        <v>2629</v>
      </c>
      <c r="E112">
        <v>1000</v>
      </c>
      <c r="F112" t="s">
        <v>2113</v>
      </c>
      <c r="G112" t="s">
        <v>2099</v>
      </c>
      <c r="H112">
        <v>0.15</v>
      </c>
      <c r="I112" t="s">
        <v>3481</v>
      </c>
      <c r="J112" s="57">
        <v>44572</v>
      </c>
      <c r="K112" t="s">
        <v>1947</v>
      </c>
    </row>
    <row r="113" spans="1:11" x14ac:dyDescent="0.35">
      <c r="A113" t="s">
        <v>441</v>
      </c>
      <c r="B113" t="s">
        <v>1265</v>
      </c>
      <c r="C113" t="s">
        <v>2978</v>
      </c>
      <c r="D113" t="s">
        <v>2581</v>
      </c>
      <c r="E113">
        <v>1000</v>
      </c>
      <c r="F113" t="s">
        <v>2113</v>
      </c>
      <c r="G113" t="s">
        <v>2099</v>
      </c>
      <c r="H113">
        <v>0.54</v>
      </c>
      <c r="I113" t="s">
        <v>3481</v>
      </c>
      <c r="J113" s="57">
        <v>44572</v>
      </c>
      <c r="K113" t="s">
        <v>1947</v>
      </c>
    </row>
    <row r="114" spans="1:11" x14ac:dyDescent="0.35">
      <c r="A114" t="s">
        <v>799</v>
      </c>
      <c r="B114" t="s">
        <v>1622</v>
      </c>
      <c r="C114" t="s">
        <v>3266</v>
      </c>
      <c r="D114" t="s">
        <v>2581</v>
      </c>
      <c r="E114">
        <v>1000</v>
      </c>
      <c r="F114" t="s">
        <v>2113</v>
      </c>
      <c r="G114" t="s">
        <v>2099</v>
      </c>
      <c r="H114">
        <v>0.21</v>
      </c>
      <c r="I114" t="s">
        <v>3481</v>
      </c>
      <c r="J114" s="57">
        <v>44572</v>
      </c>
      <c r="K114" t="s">
        <v>1947</v>
      </c>
    </row>
    <row r="115" spans="1:11" x14ac:dyDescent="0.35">
      <c r="A115" t="s">
        <v>662</v>
      </c>
      <c r="B115" t="s">
        <v>1486</v>
      </c>
      <c r="C115" t="s">
        <v>3185</v>
      </c>
      <c r="D115" t="s">
        <v>2574</v>
      </c>
      <c r="E115">
        <v>1000</v>
      </c>
      <c r="F115" t="s">
        <v>2575</v>
      </c>
      <c r="G115" t="s">
        <v>2566</v>
      </c>
      <c r="H115">
        <v>9</v>
      </c>
      <c r="I115" t="s">
        <v>3480</v>
      </c>
      <c r="J115" s="57">
        <v>44572</v>
      </c>
      <c r="K115" t="s">
        <v>3460</v>
      </c>
    </row>
    <row r="116" spans="1:11" x14ac:dyDescent="0.35">
      <c r="A116" t="s">
        <v>285</v>
      </c>
      <c r="B116" t="s">
        <v>1110</v>
      </c>
      <c r="C116" t="s">
        <v>2853</v>
      </c>
      <c r="D116" t="s">
        <v>2583</v>
      </c>
      <c r="E116">
        <v>1000</v>
      </c>
      <c r="F116" t="s">
        <v>2113</v>
      </c>
      <c r="G116" t="s">
        <v>2099</v>
      </c>
      <c r="H116">
        <v>1.0900000000000001</v>
      </c>
      <c r="I116" t="s">
        <v>3481</v>
      </c>
      <c r="J116" s="57">
        <v>44572</v>
      </c>
      <c r="K116" t="s">
        <v>1947</v>
      </c>
    </row>
    <row r="117" spans="1:11" x14ac:dyDescent="0.35">
      <c r="A117" t="s">
        <v>46</v>
      </c>
      <c r="B117" t="s">
        <v>875</v>
      </c>
      <c r="C117" t="s">
        <v>2636</v>
      </c>
      <c r="D117" t="s">
        <v>2581</v>
      </c>
      <c r="E117">
        <v>1000</v>
      </c>
      <c r="F117" t="s">
        <v>2113</v>
      </c>
      <c r="G117" t="s">
        <v>2099</v>
      </c>
      <c r="H117">
        <v>7.05</v>
      </c>
      <c r="I117" t="s">
        <v>3481</v>
      </c>
      <c r="J117" s="57">
        <v>44572</v>
      </c>
      <c r="K117" t="s">
        <v>1947</v>
      </c>
    </row>
    <row r="118" spans="1:11" x14ac:dyDescent="0.35">
      <c r="A118" t="s">
        <v>650</v>
      </c>
      <c r="B118" t="s">
        <v>1474</v>
      </c>
      <c r="H118" t="s">
        <v>1879</v>
      </c>
    </row>
    <row r="119" spans="1:11" x14ac:dyDescent="0.35">
      <c r="A119" s="26" t="s">
        <v>3335</v>
      </c>
      <c r="B119" s="26" t="s">
        <v>3336</v>
      </c>
      <c r="C119" s="26"/>
      <c r="D119" s="26"/>
      <c r="E119" s="26"/>
      <c r="F119" s="26"/>
      <c r="G119" s="26"/>
      <c r="H119" t="s">
        <v>1879</v>
      </c>
      <c r="I119" s="26"/>
      <c r="J119" s="26"/>
      <c r="K119" s="26"/>
    </row>
    <row r="120" spans="1:11" x14ac:dyDescent="0.35">
      <c r="A120" t="s">
        <v>27</v>
      </c>
      <c r="B120" t="s">
        <v>856</v>
      </c>
      <c r="C120" t="s">
        <v>2614</v>
      </c>
      <c r="D120" t="s">
        <v>2577</v>
      </c>
      <c r="E120">
        <v>1000</v>
      </c>
      <c r="F120" t="s">
        <v>2113</v>
      </c>
      <c r="G120" t="s">
        <v>2099</v>
      </c>
      <c r="H120">
        <v>4.75</v>
      </c>
      <c r="I120" t="s">
        <v>3481</v>
      </c>
      <c r="J120" s="57">
        <v>44572</v>
      </c>
      <c r="K120" t="s">
        <v>1947</v>
      </c>
    </row>
    <row r="121" spans="1:11" x14ac:dyDescent="0.35">
      <c r="A121" t="s">
        <v>199</v>
      </c>
      <c r="B121" t="s">
        <v>1027</v>
      </c>
      <c r="C121" t="s">
        <v>2783</v>
      </c>
      <c r="D121" t="s">
        <v>2581</v>
      </c>
      <c r="E121">
        <v>1000</v>
      </c>
      <c r="F121" t="s">
        <v>2113</v>
      </c>
      <c r="G121" t="s">
        <v>2099</v>
      </c>
      <c r="H121">
        <v>0.79</v>
      </c>
      <c r="I121" t="s">
        <v>3481</v>
      </c>
      <c r="J121" s="57">
        <v>44572</v>
      </c>
      <c r="K121" t="s">
        <v>1947</v>
      </c>
    </row>
    <row r="122" spans="1:11" x14ac:dyDescent="0.35">
      <c r="A122" t="s">
        <v>679</v>
      </c>
      <c r="B122" t="s">
        <v>1503</v>
      </c>
      <c r="C122" t="s">
        <v>3200</v>
      </c>
      <c r="D122" t="s">
        <v>2581</v>
      </c>
      <c r="E122">
        <v>1000</v>
      </c>
      <c r="F122" t="s">
        <v>2113</v>
      </c>
      <c r="G122" t="s">
        <v>2099</v>
      </c>
      <c r="H122">
        <v>0.05</v>
      </c>
      <c r="I122" t="s">
        <v>3481</v>
      </c>
      <c r="J122" s="57">
        <v>44572</v>
      </c>
      <c r="K122" t="s">
        <v>1947</v>
      </c>
    </row>
    <row r="123" spans="1:11" x14ac:dyDescent="0.35">
      <c r="A123" t="s">
        <v>680</v>
      </c>
      <c r="B123" t="s">
        <v>1504</v>
      </c>
      <c r="C123" t="s">
        <v>3201</v>
      </c>
      <c r="D123" t="s">
        <v>2581</v>
      </c>
      <c r="E123">
        <v>1000</v>
      </c>
      <c r="F123" t="s">
        <v>2113</v>
      </c>
      <c r="G123" t="s">
        <v>2099</v>
      </c>
      <c r="H123">
        <v>0.1</v>
      </c>
      <c r="I123" t="s">
        <v>3481</v>
      </c>
      <c r="J123" s="57">
        <v>44572</v>
      </c>
      <c r="K123" t="s">
        <v>1947</v>
      </c>
    </row>
    <row r="124" spans="1:11" x14ac:dyDescent="0.35">
      <c r="A124" t="s">
        <v>681</v>
      </c>
      <c r="B124" t="s">
        <v>1505</v>
      </c>
      <c r="H124" t="s">
        <v>1879</v>
      </c>
    </row>
    <row r="125" spans="1:11" x14ac:dyDescent="0.35">
      <c r="A125" t="s">
        <v>387</v>
      </c>
      <c r="B125" t="s">
        <v>1211</v>
      </c>
      <c r="C125" t="s">
        <v>2935</v>
      </c>
      <c r="D125" t="s">
        <v>2629</v>
      </c>
      <c r="E125">
        <v>1000</v>
      </c>
      <c r="F125" t="s">
        <v>2113</v>
      </c>
      <c r="G125" t="s">
        <v>2099</v>
      </c>
      <c r="H125">
        <v>0.47</v>
      </c>
      <c r="I125" t="s">
        <v>3481</v>
      </c>
      <c r="J125" s="57">
        <v>44572</v>
      </c>
      <c r="K125" t="s">
        <v>1947</v>
      </c>
    </row>
    <row r="126" spans="1:11" x14ac:dyDescent="0.35">
      <c r="A126" s="26" t="s">
        <v>3387</v>
      </c>
      <c r="B126" s="26" t="s">
        <v>3388</v>
      </c>
      <c r="C126" s="26"/>
      <c r="D126" s="26"/>
      <c r="E126" s="26"/>
      <c r="F126" s="26"/>
      <c r="G126" s="26"/>
      <c r="H126" t="s">
        <v>1879</v>
      </c>
      <c r="I126" s="26"/>
      <c r="J126" s="26"/>
      <c r="K126" s="26"/>
    </row>
    <row r="127" spans="1:11" x14ac:dyDescent="0.35">
      <c r="A127" t="s">
        <v>371</v>
      </c>
      <c r="B127" t="s">
        <v>1195</v>
      </c>
      <c r="H127" t="s">
        <v>1879</v>
      </c>
    </row>
    <row r="128" spans="1:11" x14ac:dyDescent="0.35">
      <c r="A128" t="s">
        <v>788</v>
      </c>
      <c r="B128" t="s">
        <v>1611</v>
      </c>
      <c r="H128" t="s">
        <v>1879</v>
      </c>
    </row>
    <row r="129" spans="1:11" x14ac:dyDescent="0.35">
      <c r="A129" s="26" t="s">
        <v>3326</v>
      </c>
      <c r="B129" s="26" t="s">
        <v>3327</v>
      </c>
      <c r="C129" s="26" t="s">
        <v>4013</v>
      </c>
      <c r="D129" s="26" t="s">
        <v>4014</v>
      </c>
      <c r="E129" s="26"/>
      <c r="F129" s="26" t="s">
        <v>2139</v>
      </c>
      <c r="G129" s="26" t="s">
        <v>3468</v>
      </c>
      <c r="H129" s="26">
        <v>0.3</v>
      </c>
      <c r="I129" s="26" t="s">
        <v>3480</v>
      </c>
      <c r="J129" s="57">
        <v>44572</v>
      </c>
      <c r="K129" s="26" t="s">
        <v>3460</v>
      </c>
    </row>
    <row r="130" spans="1:11" x14ac:dyDescent="0.35">
      <c r="A130" s="26" t="s">
        <v>3405</v>
      </c>
      <c r="B130" s="26" t="s">
        <v>3406</v>
      </c>
      <c r="C130" s="26"/>
      <c r="D130" s="26"/>
      <c r="E130" s="26"/>
      <c r="F130" s="26"/>
      <c r="G130" s="26"/>
      <c r="H130" s="26" t="s">
        <v>1879</v>
      </c>
      <c r="I130" s="26"/>
      <c r="J130" s="26"/>
      <c r="K130" s="26"/>
    </row>
    <row r="131" spans="1:11" x14ac:dyDescent="0.35">
      <c r="A131" t="s">
        <v>482</v>
      </c>
      <c r="B131" t="s">
        <v>1306</v>
      </c>
      <c r="C131" t="s">
        <v>3016</v>
      </c>
      <c r="D131" t="s">
        <v>2574</v>
      </c>
      <c r="E131">
        <v>0</v>
      </c>
      <c r="F131" t="s">
        <v>2139</v>
      </c>
      <c r="G131" t="s">
        <v>3468</v>
      </c>
      <c r="H131">
        <v>0.1</v>
      </c>
      <c r="I131" t="s">
        <v>3480</v>
      </c>
      <c r="J131" s="57">
        <v>44572</v>
      </c>
      <c r="K131" t="s">
        <v>3460</v>
      </c>
    </row>
    <row r="132" spans="1:11" x14ac:dyDescent="0.35">
      <c r="A132" t="s">
        <v>172</v>
      </c>
      <c r="B132" t="s">
        <v>1001</v>
      </c>
      <c r="C132" t="s">
        <v>2758</v>
      </c>
      <c r="D132" t="s">
        <v>2581</v>
      </c>
      <c r="E132">
        <v>1000</v>
      </c>
      <c r="F132" t="s">
        <v>2113</v>
      </c>
      <c r="G132" t="s">
        <v>2099</v>
      </c>
      <c r="H132">
        <v>0.66</v>
      </c>
      <c r="I132" t="s">
        <v>3481</v>
      </c>
      <c r="J132" s="57">
        <v>44572</v>
      </c>
      <c r="K132" t="s">
        <v>1947</v>
      </c>
    </row>
    <row r="133" spans="1:11" x14ac:dyDescent="0.35">
      <c r="A133" t="s">
        <v>226</v>
      </c>
      <c r="B133" t="s">
        <v>1053</v>
      </c>
      <c r="C133" t="s">
        <v>2806</v>
      </c>
      <c r="D133" t="s">
        <v>2581</v>
      </c>
      <c r="E133">
        <v>1000</v>
      </c>
      <c r="F133" t="s">
        <v>2113</v>
      </c>
      <c r="G133" t="s">
        <v>2099</v>
      </c>
      <c r="H133">
        <v>0.87</v>
      </c>
      <c r="I133" t="s">
        <v>3481</v>
      </c>
      <c r="J133" s="57">
        <v>44572</v>
      </c>
      <c r="K133" t="s">
        <v>1947</v>
      </c>
    </row>
    <row r="134" spans="1:11" x14ac:dyDescent="0.35">
      <c r="A134" t="s">
        <v>498</v>
      </c>
      <c r="B134" t="s">
        <v>1322</v>
      </c>
      <c r="H134" t="s">
        <v>1879</v>
      </c>
    </row>
    <row r="135" spans="1:11" x14ac:dyDescent="0.35">
      <c r="A135" t="s">
        <v>667</v>
      </c>
      <c r="B135" t="s">
        <v>1491</v>
      </c>
      <c r="C135" t="s">
        <v>3189</v>
      </c>
      <c r="D135" t="s">
        <v>2577</v>
      </c>
      <c r="E135">
        <v>1000</v>
      </c>
      <c r="F135" t="s">
        <v>2113</v>
      </c>
      <c r="G135" t="s">
        <v>2099</v>
      </c>
      <c r="H135">
        <v>2.6</v>
      </c>
      <c r="I135" t="s">
        <v>3481</v>
      </c>
      <c r="J135" s="57">
        <v>44572</v>
      </c>
      <c r="K135" t="s">
        <v>1947</v>
      </c>
    </row>
    <row r="136" spans="1:11" x14ac:dyDescent="0.35">
      <c r="A136" t="s">
        <v>445</v>
      </c>
      <c r="B136" t="s">
        <v>1269</v>
      </c>
      <c r="H136" t="s">
        <v>1879</v>
      </c>
    </row>
    <row r="137" spans="1:11" x14ac:dyDescent="0.35">
      <c r="A137" t="s">
        <v>41</v>
      </c>
      <c r="B137" t="s">
        <v>870</v>
      </c>
      <c r="C137" t="s">
        <v>2630</v>
      </c>
      <c r="D137" t="s">
        <v>2574</v>
      </c>
      <c r="E137">
        <v>10</v>
      </c>
      <c r="F137" t="s">
        <v>2575</v>
      </c>
      <c r="G137" t="s">
        <v>2566</v>
      </c>
      <c r="H137">
        <v>570</v>
      </c>
      <c r="I137" t="s">
        <v>3480</v>
      </c>
      <c r="J137" s="57">
        <v>44572</v>
      </c>
      <c r="K137" t="s">
        <v>3460</v>
      </c>
    </row>
    <row r="138" spans="1:11" x14ac:dyDescent="0.35">
      <c r="A138" t="s">
        <v>281</v>
      </c>
      <c r="B138" t="s">
        <v>1107</v>
      </c>
      <c r="C138" t="s">
        <v>2850</v>
      </c>
      <c r="D138" t="s">
        <v>2581</v>
      </c>
      <c r="E138">
        <v>1000</v>
      </c>
      <c r="F138" t="s">
        <v>2113</v>
      </c>
      <c r="G138" t="s">
        <v>2099</v>
      </c>
      <c r="H138">
        <v>0.1</v>
      </c>
      <c r="I138" t="s">
        <v>3481</v>
      </c>
      <c r="J138" s="57">
        <v>44572</v>
      </c>
      <c r="K138" t="s">
        <v>1947</v>
      </c>
    </row>
    <row r="139" spans="1:11" x14ac:dyDescent="0.35">
      <c r="A139" t="s">
        <v>273</v>
      </c>
      <c r="B139" t="s">
        <v>1099</v>
      </c>
      <c r="C139" t="s">
        <v>2846</v>
      </c>
      <c r="D139" t="s">
        <v>2581</v>
      </c>
      <c r="E139">
        <v>1000</v>
      </c>
      <c r="F139" t="s">
        <v>2113</v>
      </c>
      <c r="G139" t="s">
        <v>2099</v>
      </c>
      <c r="H139">
        <v>58.5</v>
      </c>
      <c r="I139" t="s">
        <v>3481</v>
      </c>
      <c r="J139" s="57">
        <v>44572</v>
      </c>
      <c r="K139" t="s">
        <v>1947</v>
      </c>
    </row>
    <row r="140" spans="1:11" x14ac:dyDescent="0.35">
      <c r="A140" t="s">
        <v>256</v>
      </c>
      <c r="B140" t="s">
        <v>1082</v>
      </c>
      <c r="H140" t="s">
        <v>1879</v>
      </c>
    </row>
    <row r="141" spans="1:11" x14ac:dyDescent="0.35">
      <c r="A141" t="s">
        <v>549</v>
      </c>
      <c r="B141" t="s">
        <v>1373</v>
      </c>
      <c r="C141" t="s">
        <v>3077</v>
      </c>
      <c r="D141" t="s">
        <v>2656</v>
      </c>
      <c r="E141">
        <v>50</v>
      </c>
      <c r="F141" t="s">
        <v>2782</v>
      </c>
      <c r="G141" t="s">
        <v>3466</v>
      </c>
      <c r="H141">
        <v>150</v>
      </c>
      <c r="I141" t="s">
        <v>3480</v>
      </c>
      <c r="J141" s="57">
        <v>44572</v>
      </c>
      <c r="K141" t="s">
        <v>3460</v>
      </c>
    </row>
    <row r="142" spans="1:11" x14ac:dyDescent="0.35">
      <c r="A142" t="s">
        <v>783</v>
      </c>
      <c r="B142" t="s">
        <v>1606</v>
      </c>
      <c r="H142" t="s">
        <v>1879</v>
      </c>
    </row>
    <row r="143" spans="1:11" x14ac:dyDescent="0.35">
      <c r="A143" t="s">
        <v>342</v>
      </c>
      <c r="B143" t="s">
        <v>1166</v>
      </c>
      <c r="C143" t="s">
        <v>2901</v>
      </c>
      <c r="D143" t="s">
        <v>2581</v>
      </c>
      <c r="E143">
        <v>1000</v>
      </c>
      <c r="F143" t="s">
        <v>2113</v>
      </c>
      <c r="G143" t="s">
        <v>2099</v>
      </c>
      <c r="H143">
        <v>0.95</v>
      </c>
      <c r="I143" t="s">
        <v>3481</v>
      </c>
      <c r="J143" s="57">
        <v>44572</v>
      </c>
      <c r="K143" t="s">
        <v>1947</v>
      </c>
    </row>
    <row r="144" spans="1:11" x14ac:dyDescent="0.35">
      <c r="A144" t="s">
        <v>796</v>
      </c>
      <c r="B144" t="s">
        <v>1619</v>
      </c>
      <c r="C144" t="s">
        <v>3265</v>
      </c>
      <c r="D144" t="s">
        <v>2581</v>
      </c>
      <c r="E144">
        <v>1000</v>
      </c>
      <c r="F144" t="s">
        <v>2113</v>
      </c>
      <c r="G144" t="s">
        <v>2099</v>
      </c>
      <c r="H144">
        <v>7.9000000000000008E-3</v>
      </c>
      <c r="I144" t="s">
        <v>3481</v>
      </c>
      <c r="J144" s="57">
        <v>44572</v>
      </c>
      <c r="K144" t="s">
        <v>1947</v>
      </c>
    </row>
    <row r="145" spans="1:11" x14ac:dyDescent="0.35">
      <c r="A145" t="s">
        <v>798</v>
      </c>
      <c r="B145" t="s">
        <v>1621</v>
      </c>
      <c r="H145" t="s">
        <v>1879</v>
      </c>
    </row>
    <row r="146" spans="1:11" x14ac:dyDescent="0.35">
      <c r="A146" t="s">
        <v>811</v>
      </c>
      <c r="B146" t="s">
        <v>1634</v>
      </c>
      <c r="H146" t="s">
        <v>1879</v>
      </c>
    </row>
    <row r="147" spans="1:11" x14ac:dyDescent="0.35">
      <c r="A147" t="s">
        <v>805</v>
      </c>
      <c r="B147" t="s">
        <v>1628</v>
      </c>
      <c r="H147" t="s">
        <v>1879</v>
      </c>
    </row>
    <row r="148" spans="1:11" x14ac:dyDescent="0.35">
      <c r="A148" t="s">
        <v>443</v>
      </c>
      <c r="B148" t="s">
        <v>1267</v>
      </c>
      <c r="H148" t="s">
        <v>1879</v>
      </c>
    </row>
    <row r="149" spans="1:11" x14ac:dyDescent="0.35">
      <c r="A149" t="s">
        <v>784</v>
      </c>
      <c r="B149" t="s">
        <v>1607</v>
      </c>
      <c r="C149" t="s">
        <v>3261</v>
      </c>
      <c r="D149" t="s">
        <v>2581</v>
      </c>
      <c r="E149">
        <v>1000</v>
      </c>
      <c r="F149" t="s">
        <v>2113</v>
      </c>
      <c r="G149" t="s">
        <v>2099</v>
      </c>
      <c r="H149">
        <v>1.0999999999999999E-2</v>
      </c>
      <c r="I149" t="s">
        <v>3481</v>
      </c>
      <c r="J149" s="57">
        <v>44572</v>
      </c>
      <c r="K149" t="s">
        <v>1947</v>
      </c>
    </row>
    <row r="150" spans="1:11" x14ac:dyDescent="0.35">
      <c r="A150" t="s">
        <v>815</v>
      </c>
      <c r="B150" t="s">
        <v>1638</v>
      </c>
      <c r="H150" t="s">
        <v>1879</v>
      </c>
    </row>
    <row r="151" spans="1:11" x14ac:dyDescent="0.35">
      <c r="A151" t="s">
        <v>806</v>
      </c>
      <c r="B151" t="s">
        <v>1629</v>
      </c>
      <c r="C151" t="s">
        <v>3267</v>
      </c>
      <c r="D151" t="s">
        <v>2581</v>
      </c>
      <c r="E151">
        <v>1000</v>
      </c>
      <c r="F151" t="s">
        <v>2113</v>
      </c>
      <c r="G151" t="s">
        <v>2099</v>
      </c>
      <c r="H151">
        <v>0.11</v>
      </c>
      <c r="I151" t="s">
        <v>3481</v>
      </c>
      <c r="J151" s="57">
        <v>44572</v>
      </c>
      <c r="K151" t="s">
        <v>1947</v>
      </c>
    </row>
    <row r="152" spans="1:11" x14ac:dyDescent="0.35">
      <c r="A152" t="s">
        <v>802</v>
      </c>
      <c r="B152" t="s">
        <v>1625</v>
      </c>
      <c r="H152" t="s">
        <v>1879</v>
      </c>
    </row>
    <row r="153" spans="1:11" x14ac:dyDescent="0.35">
      <c r="A153" t="s">
        <v>526</v>
      </c>
      <c r="B153" t="s">
        <v>1350</v>
      </c>
      <c r="C153" t="s">
        <v>3055</v>
      </c>
      <c r="D153" t="s">
        <v>2583</v>
      </c>
      <c r="E153">
        <v>1000</v>
      </c>
      <c r="F153" t="s">
        <v>2113</v>
      </c>
      <c r="G153" t="s">
        <v>2099</v>
      </c>
      <c r="H153">
        <v>0.61</v>
      </c>
      <c r="I153" t="s">
        <v>3481</v>
      </c>
      <c r="J153" s="57">
        <v>44572</v>
      </c>
      <c r="K153" t="s">
        <v>1947</v>
      </c>
    </row>
    <row r="154" spans="1:11" x14ac:dyDescent="0.35">
      <c r="A154" t="s">
        <v>101</v>
      </c>
      <c r="B154" t="s">
        <v>930</v>
      </c>
      <c r="C154" t="s">
        <v>2697</v>
      </c>
      <c r="D154" t="s">
        <v>2581</v>
      </c>
      <c r="E154">
        <v>1000</v>
      </c>
      <c r="F154" t="s">
        <v>2113</v>
      </c>
      <c r="G154" t="s">
        <v>2099</v>
      </c>
      <c r="H154">
        <v>0.14000000000000001</v>
      </c>
      <c r="I154" t="s">
        <v>3481</v>
      </c>
      <c r="J154" s="57">
        <v>44572</v>
      </c>
      <c r="K154" t="s">
        <v>1947</v>
      </c>
    </row>
    <row r="155" spans="1:11" x14ac:dyDescent="0.35">
      <c r="A155" t="s">
        <v>552</v>
      </c>
      <c r="B155" t="s">
        <v>1376</v>
      </c>
      <c r="C155" t="s">
        <v>3081</v>
      </c>
      <c r="D155" t="s">
        <v>2581</v>
      </c>
      <c r="E155">
        <v>1000</v>
      </c>
      <c r="F155" t="s">
        <v>2113</v>
      </c>
      <c r="G155" t="s">
        <v>2099</v>
      </c>
      <c r="H155">
        <v>5.6000000000000001E-2</v>
      </c>
      <c r="I155" t="s">
        <v>3481</v>
      </c>
      <c r="J155" s="57">
        <v>44572</v>
      </c>
      <c r="K155" t="s">
        <v>1947</v>
      </c>
    </row>
    <row r="156" spans="1:11" x14ac:dyDescent="0.35">
      <c r="A156" t="s">
        <v>39</v>
      </c>
      <c r="B156" t="s">
        <v>868</v>
      </c>
      <c r="C156" s="53" t="s">
        <v>4015</v>
      </c>
      <c r="D156" t="s">
        <v>4012</v>
      </c>
      <c r="E156">
        <v>1000</v>
      </c>
      <c r="F156" t="s">
        <v>2113</v>
      </c>
      <c r="G156" t="s">
        <v>2099</v>
      </c>
      <c r="H156">
        <v>0.16</v>
      </c>
      <c r="I156" t="s">
        <v>3481</v>
      </c>
      <c r="J156" s="57">
        <v>44572</v>
      </c>
      <c r="K156" t="s">
        <v>1947</v>
      </c>
    </row>
    <row r="157" spans="1:11" x14ac:dyDescent="0.35">
      <c r="A157" t="s">
        <v>75</v>
      </c>
      <c r="B157" t="s">
        <v>904</v>
      </c>
      <c r="C157" t="s">
        <v>2669</v>
      </c>
      <c r="D157" t="s">
        <v>2642</v>
      </c>
      <c r="E157">
        <v>10</v>
      </c>
      <c r="F157" t="s">
        <v>2594</v>
      </c>
      <c r="G157" t="s">
        <v>3467</v>
      </c>
      <c r="H157">
        <v>3.7</v>
      </c>
      <c r="I157" t="s">
        <v>3480</v>
      </c>
      <c r="J157" s="57">
        <v>44572</v>
      </c>
      <c r="K157" t="s">
        <v>3460</v>
      </c>
    </row>
    <row r="158" spans="1:11" x14ac:dyDescent="0.35">
      <c r="A158" t="s">
        <v>446</v>
      </c>
      <c r="B158" t="s">
        <v>1270</v>
      </c>
      <c r="C158" t="s">
        <v>2981</v>
      </c>
      <c r="D158" t="s">
        <v>2574</v>
      </c>
      <c r="E158">
        <v>0</v>
      </c>
      <c r="F158" t="s">
        <v>2137</v>
      </c>
      <c r="G158" t="s">
        <v>3463</v>
      </c>
      <c r="H158">
        <v>1.3</v>
      </c>
      <c r="I158" t="s">
        <v>3480</v>
      </c>
      <c r="J158" s="57">
        <v>44572</v>
      </c>
      <c r="K158" t="s">
        <v>3460</v>
      </c>
    </row>
    <row r="159" spans="1:11" x14ac:dyDescent="0.35">
      <c r="A159" t="s">
        <v>363</v>
      </c>
      <c r="B159" t="s">
        <v>1187</v>
      </c>
      <c r="C159" t="s">
        <v>2915</v>
      </c>
      <c r="D159" t="s">
        <v>2577</v>
      </c>
      <c r="E159">
        <v>1000</v>
      </c>
      <c r="F159" t="s">
        <v>2113</v>
      </c>
      <c r="G159" t="s">
        <v>2099</v>
      </c>
      <c r="H159">
        <v>8.94</v>
      </c>
      <c r="I159" t="s">
        <v>3481</v>
      </c>
      <c r="J159" s="57">
        <v>44572</v>
      </c>
      <c r="K159" t="s">
        <v>1947</v>
      </c>
    </row>
    <row r="160" spans="1:11" x14ac:dyDescent="0.35">
      <c r="A160" t="s">
        <v>345</v>
      </c>
      <c r="B160" t="s">
        <v>1169</v>
      </c>
      <c r="C160" t="s">
        <v>2905</v>
      </c>
      <c r="D160" t="s">
        <v>2577</v>
      </c>
      <c r="E160">
        <v>1000</v>
      </c>
      <c r="F160" t="s">
        <v>2113</v>
      </c>
      <c r="G160" t="s">
        <v>2099</v>
      </c>
      <c r="H160">
        <v>72.400000000000006</v>
      </c>
      <c r="I160" t="s">
        <v>3481</v>
      </c>
      <c r="J160" s="57">
        <v>44572</v>
      </c>
      <c r="K160" t="s">
        <v>1947</v>
      </c>
    </row>
    <row r="161" spans="1:11" x14ac:dyDescent="0.35">
      <c r="A161" t="s">
        <v>353</v>
      </c>
      <c r="B161" t="s">
        <v>1177</v>
      </c>
      <c r="H161" t="s">
        <v>1879</v>
      </c>
    </row>
    <row r="162" spans="1:11" x14ac:dyDescent="0.35">
      <c r="A162" t="s">
        <v>198</v>
      </c>
      <c r="B162" t="s">
        <v>1026</v>
      </c>
      <c r="H162" t="s">
        <v>1879</v>
      </c>
    </row>
    <row r="163" spans="1:11" x14ac:dyDescent="0.35">
      <c r="A163" t="s">
        <v>641</v>
      </c>
      <c r="B163" t="s">
        <v>1465</v>
      </c>
      <c r="C163" t="s">
        <v>3167</v>
      </c>
      <c r="D163" t="s">
        <v>2574</v>
      </c>
      <c r="E163">
        <v>1000</v>
      </c>
      <c r="F163" t="s">
        <v>2575</v>
      </c>
      <c r="G163" t="s">
        <v>2566</v>
      </c>
      <c r="H163">
        <v>134</v>
      </c>
      <c r="I163" t="s">
        <v>3480</v>
      </c>
      <c r="J163" s="57">
        <v>44572</v>
      </c>
      <c r="K163" t="s">
        <v>3460</v>
      </c>
    </row>
    <row r="164" spans="1:11" x14ac:dyDescent="0.35">
      <c r="A164" s="26" t="s">
        <v>3365</v>
      </c>
      <c r="B164" s="26" t="s">
        <v>3366</v>
      </c>
      <c r="C164" s="26" t="s">
        <v>4016</v>
      </c>
      <c r="D164" s="26" t="s">
        <v>1879</v>
      </c>
      <c r="E164" s="26">
        <v>0</v>
      </c>
      <c r="F164" s="26" t="s">
        <v>3482</v>
      </c>
      <c r="G164" s="26" t="s">
        <v>3465</v>
      </c>
      <c r="H164" s="26">
        <v>2.4E-2</v>
      </c>
      <c r="I164" s="26" t="s">
        <v>3480</v>
      </c>
      <c r="J164" s="57">
        <v>44572</v>
      </c>
      <c r="K164" s="26" t="s">
        <v>3460</v>
      </c>
    </row>
    <row r="165" spans="1:11" x14ac:dyDescent="0.35">
      <c r="A165" t="s">
        <v>204</v>
      </c>
      <c r="B165" t="s">
        <v>1031</v>
      </c>
      <c r="C165" t="s">
        <v>2786</v>
      </c>
      <c r="D165" t="s">
        <v>2581</v>
      </c>
      <c r="E165">
        <v>1000</v>
      </c>
      <c r="F165" t="s">
        <v>2113</v>
      </c>
      <c r="G165" t="s">
        <v>2099</v>
      </c>
      <c r="H165">
        <v>13.4</v>
      </c>
      <c r="I165" t="s">
        <v>3481</v>
      </c>
      <c r="J165" s="57">
        <v>44572</v>
      </c>
      <c r="K165" t="s">
        <v>1947</v>
      </c>
    </row>
    <row r="166" spans="1:11" x14ac:dyDescent="0.35">
      <c r="A166" t="s">
        <v>339</v>
      </c>
      <c r="B166" t="s">
        <v>1163</v>
      </c>
      <c r="C166" t="s">
        <v>2898</v>
      </c>
      <c r="D166" t="s">
        <v>2778</v>
      </c>
      <c r="E166">
        <v>10</v>
      </c>
      <c r="F166" t="s">
        <v>2594</v>
      </c>
      <c r="G166" t="s">
        <v>3467</v>
      </c>
      <c r="H166">
        <v>1.2999999999999999E-2</v>
      </c>
      <c r="I166" t="s">
        <v>3480</v>
      </c>
      <c r="J166" s="57">
        <v>44572</v>
      </c>
      <c r="K166" t="s">
        <v>3460</v>
      </c>
    </row>
    <row r="167" spans="1:11" x14ac:dyDescent="0.35">
      <c r="A167" t="s">
        <v>475</v>
      </c>
      <c r="B167" t="s">
        <v>1299</v>
      </c>
      <c r="C167" t="s">
        <v>3009</v>
      </c>
      <c r="D167" t="s">
        <v>2581</v>
      </c>
      <c r="E167">
        <v>1000</v>
      </c>
      <c r="F167" t="s">
        <v>2113</v>
      </c>
      <c r="G167" t="s">
        <v>2099</v>
      </c>
      <c r="H167">
        <v>10.6</v>
      </c>
      <c r="I167" t="s">
        <v>3481</v>
      </c>
      <c r="J167" s="57">
        <v>44572</v>
      </c>
      <c r="K167" t="s">
        <v>1947</v>
      </c>
    </row>
    <row r="168" spans="1:11" x14ac:dyDescent="0.35">
      <c r="A168" t="s">
        <v>464</v>
      </c>
      <c r="B168" t="s">
        <v>1288</v>
      </c>
      <c r="C168" t="s">
        <v>2998</v>
      </c>
      <c r="D168" t="s">
        <v>2581</v>
      </c>
      <c r="E168">
        <v>1000</v>
      </c>
      <c r="F168" t="s">
        <v>2113</v>
      </c>
      <c r="G168" t="s">
        <v>2099</v>
      </c>
      <c r="H168">
        <v>7.28</v>
      </c>
      <c r="I168" t="s">
        <v>3481</v>
      </c>
      <c r="J168" s="57">
        <v>44572</v>
      </c>
      <c r="K168" t="s">
        <v>1947</v>
      </c>
    </row>
    <row r="169" spans="1:11" x14ac:dyDescent="0.35">
      <c r="A169" t="s">
        <v>182</v>
      </c>
      <c r="B169" t="s">
        <v>1011</v>
      </c>
      <c r="H169" t="s">
        <v>1879</v>
      </c>
    </row>
    <row r="170" spans="1:11" x14ac:dyDescent="0.35">
      <c r="A170" t="s">
        <v>6</v>
      </c>
      <c r="B170" t="s">
        <v>835</v>
      </c>
      <c r="C170" t="s">
        <v>2585</v>
      </c>
      <c r="D170" t="s">
        <v>2583</v>
      </c>
      <c r="E170">
        <v>1000</v>
      </c>
      <c r="F170" t="s">
        <v>2113</v>
      </c>
      <c r="G170" t="s">
        <v>2099</v>
      </c>
      <c r="H170">
        <v>4.91</v>
      </c>
      <c r="I170" t="s">
        <v>3481</v>
      </c>
      <c r="J170" s="57">
        <v>44572</v>
      </c>
      <c r="K170" t="s">
        <v>1947</v>
      </c>
    </row>
    <row r="171" spans="1:11" x14ac:dyDescent="0.35">
      <c r="A171" t="s">
        <v>1</v>
      </c>
      <c r="B171" t="s">
        <v>830</v>
      </c>
      <c r="C171" t="s">
        <v>2576</v>
      </c>
      <c r="D171" t="s">
        <v>2577</v>
      </c>
      <c r="E171">
        <v>1000</v>
      </c>
      <c r="F171" t="s">
        <v>2113</v>
      </c>
      <c r="G171" t="s">
        <v>2099</v>
      </c>
      <c r="H171">
        <v>11.4</v>
      </c>
      <c r="I171" t="s">
        <v>3481</v>
      </c>
      <c r="J171" s="57">
        <v>44572</v>
      </c>
      <c r="K171" t="s">
        <v>1947</v>
      </c>
    </row>
    <row r="172" spans="1:11" x14ac:dyDescent="0.35">
      <c r="A172" t="s">
        <v>205</v>
      </c>
      <c r="B172" t="s">
        <v>1032</v>
      </c>
      <c r="C172" t="s">
        <v>2787</v>
      </c>
      <c r="D172" t="s">
        <v>2581</v>
      </c>
      <c r="E172">
        <v>1000</v>
      </c>
      <c r="F172" t="s">
        <v>2113</v>
      </c>
      <c r="G172" t="s">
        <v>2099</v>
      </c>
      <c r="H172">
        <v>5.6</v>
      </c>
      <c r="I172" t="s">
        <v>3481</v>
      </c>
      <c r="J172" s="57">
        <v>44572</v>
      </c>
      <c r="K172" t="s">
        <v>1947</v>
      </c>
    </row>
    <row r="173" spans="1:11" x14ac:dyDescent="0.35">
      <c r="A173" t="s">
        <v>505</v>
      </c>
      <c r="B173" t="s">
        <v>1329</v>
      </c>
      <c r="C173" t="s">
        <v>3036</v>
      </c>
      <c r="D173" t="s">
        <v>2574</v>
      </c>
      <c r="E173">
        <v>0</v>
      </c>
      <c r="F173" t="s">
        <v>2139</v>
      </c>
      <c r="G173" t="s">
        <v>3468</v>
      </c>
      <c r="H173">
        <v>0.3</v>
      </c>
      <c r="I173" t="s">
        <v>3480</v>
      </c>
      <c r="J173" s="57">
        <v>44572</v>
      </c>
      <c r="K173" t="s">
        <v>3460</v>
      </c>
    </row>
    <row r="174" spans="1:11" x14ac:dyDescent="0.35">
      <c r="A174" t="s">
        <v>531</v>
      </c>
      <c r="B174" t="s">
        <v>1355</v>
      </c>
      <c r="C174" t="s">
        <v>3058</v>
      </c>
      <c r="D174" t="s">
        <v>2583</v>
      </c>
      <c r="E174">
        <v>1000</v>
      </c>
      <c r="F174" t="s">
        <v>2113</v>
      </c>
      <c r="G174" t="s">
        <v>2099</v>
      </c>
      <c r="H174">
        <v>9.98</v>
      </c>
      <c r="I174" t="s">
        <v>3481</v>
      </c>
      <c r="J174" s="57">
        <v>44572</v>
      </c>
      <c r="K174" t="s">
        <v>1947</v>
      </c>
    </row>
    <row r="175" spans="1:11" x14ac:dyDescent="0.35">
      <c r="A175" t="s">
        <v>489</v>
      </c>
      <c r="B175" t="s">
        <v>1313</v>
      </c>
      <c r="C175" t="s">
        <v>3022</v>
      </c>
      <c r="D175" t="s">
        <v>2874</v>
      </c>
      <c r="E175">
        <v>1000</v>
      </c>
      <c r="F175" t="s">
        <v>2113</v>
      </c>
      <c r="G175" t="s">
        <v>2099</v>
      </c>
      <c r="H175">
        <v>12.1</v>
      </c>
      <c r="I175" t="s">
        <v>3481</v>
      </c>
      <c r="J175" s="57">
        <v>44572</v>
      </c>
      <c r="K175" t="s">
        <v>1947</v>
      </c>
    </row>
    <row r="176" spans="1:11" x14ac:dyDescent="0.35">
      <c r="A176" t="s">
        <v>294</v>
      </c>
      <c r="B176" t="s">
        <v>1119</v>
      </c>
      <c r="H176" t="s">
        <v>1879</v>
      </c>
    </row>
    <row r="177" spans="1:11" x14ac:dyDescent="0.35">
      <c r="A177" t="s">
        <v>479</v>
      </c>
      <c r="B177" t="s">
        <v>1303</v>
      </c>
      <c r="C177" t="s">
        <v>3013</v>
      </c>
      <c r="D177" t="s">
        <v>2583</v>
      </c>
      <c r="E177">
        <v>1000</v>
      </c>
      <c r="F177" t="s">
        <v>2113</v>
      </c>
      <c r="G177" t="s">
        <v>2099</v>
      </c>
      <c r="H177">
        <v>17.100000000000001</v>
      </c>
      <c r="I177" t="s">
        <v>3481</v>
      </c>
      <c r="J177" s="57">
        <v>44572</v>
      </c>
      <c r="K177" t="s">
        <v>1947</v>
      </c>
    </row>
    <row r="178" spans="1:11" x14ac:dyDescent="0.35">
      <c r="A178" t="s">
        <v>609</v>
      </c>
      <c r="B178" t="s">
        <v>1433</v>
      </c>
      <c r="C178" t="s">
        <v>3137</v>
      </c>
      <c r="D178" t="s">
        <v>2629</v>
      </c>
      <c r="E178">
        <v>1000</v>
      </c>
      <c r="F178" t="s">
        <v>2113</v>
      </c>
      <c r="G178" t="s">
        <v>2099</v>
      </c>
      <c r="H178">
        <v>1.38</v>
      </c>
      <c r="I178" t="s">
        <v>3481</v>
      </c>
      <c r="J178" s="57">
        <v>44572</v>
      </c>
      <c r="K178" t="s">
        <v>1947</v>
      </c>
    </row>
    <row r="179" spans="1:11" x14ac:dyDescent="0.35">
      <c r="A179" t="s">
        <v>497</v>
      </c>
      <c r="B179" t="s">
        <v>1321</v>
      </c>
      <c r="C179" t="s">
        <v>3030</v>
      </c>
      <c r="D179" t="s">
        <v>2577</v>
      </c>
      <c r="E179">
        <v>1000</v>
      </c>
      <c r="F179" t="s">
        <v>2113</v>
      </c>
      <c r="G179" t="s">
        <v>2099</v>
      </c>
      <c r="H179">
        <v>4.7300000000000004</v>
      </c>
      <c r="I179" t="s">
        <v>3481</v>
      </c>
      <c r="J179" s="57">
        <v>44572</v>
      </c>
      <c r="K179" t="s">
        <v>1947</v>
      </c>
    </row>
    <row r="180" spans="1:11" x14ac:dyDescent="0.35">
      <c r="A180" t="s">
        <v>496</v>
      </c>
      <c r="B180" t="s">
        <v>1320</v>
      </c>
      <c r="C180" t="s">
        <v>3029</v>
      </c>
      <c r="D180" t="s">
        <v>2629</v>
      </c>
      <c r="E180">
        <v>1000</v>
      </c>
      <c r="F180" t="s">
        <v>2113</v>
      </c>
      <c r="G180" t="s">
        <v>2099</v>
      </c>
      <c r="H180">
        <v>4.9800000000000004</v>
      </c>
      <c r="I180" t="s">
        <v>3481</v>
      </c>
      <c r="J180" s="57">
        <v>44572</v>
      </c>
      <c r="K180" t="s">
        <v>1947</v>
      </c>
    </row>
    <row r="181" spans="1:11" x14ac:dyDescent="0.35">
      <c r="A181" t="s">
        <v>763</v>
      </c>
      <c r="B181" t="s">
        <v>1587</v>
      </c>
      <c r="C181" t="s">
        <v>3247</v>
      </c>
      <c r="D181" t="s">
        <v>2574</v>
      </c>
      <c r="E181">
        <v>0</v>
      </c>
      <c r="F181" t="s">
        <v>2139</v>
      </c>
      <c r="G181" t="s">
        <v>3468</v>
      </c>
      <c r="H181">
        <v>0.01</v>
      </c>
      <c r="I181" t="s">
        <v>3480</v>
      </c>
      <c r="J181" s="57">
        <v>44572</v>
      </c>
      <c r="K181" t="s">
        <v>3460</v>
      </c>
    </row>
    <row r="182" spans="1:11" x14ac:dyDescent="0.35">
      <c r="A182" t="s">
        <v>325</v>
      </c>
      <c r="B182" t="s">
        <v>1150</v>
      </c>
      <c r="C182" t="s">
        <v>2887</v>
      </c>
      <c r="D182" t="s">
        <v>2629</v>
      </c>
      <c r="E182">
        <v>1000</v>
      </c>
      <c r="F182" t="s">
        <v>2113</v>
      </c>
      <c r="G182" t="s">
        <v>2099</v>
      </c>
      <c r="H182">
        <v>0.31</v>
      </c>
      <c r="I182" t="s">
        <v>3481</v>
      </c>
      <c r="J182" s="57">
        <v>44572</v>
      </c>
      <c r="K182" t="s">
        <v>1947</v>
      </c>
    </row>
    <row r="183" spans="1:11" x14ac:dyDescent="0.35">
      <c r="A183" t="s">
        <v>382</v>
      </c>
      <c r="B183" t="s">
        <v>1206</v>
      </c>
      <c r="C183" t="s">
        <v>2930</v>
      </c>
      <c r="D183" t="s">
        <v>2661</v>
      </c>
      <c r="E183">
        <v>1000</v>
      </c>
      <c r="F183" t="s">
        <v>2113</v>
      </c>
      <c r="G183" t="s">
        <v>2099</v>
      </c>
      <c r="H183">
        <v>7.6999999999999999E-2</v>
      </c>
      <c r="I183" t="s">
        <v>3481</v>
      </c>
      <c r="J183" s="57">
        <v>44572</v>
      </c>
      <c r="K183" t="s">
        <v>1947</v>
      </c>
    </row>
    <row r="184" spans="1:11" x14ac:dyDescent="0.35">
      <c r="A184" t="s">
        <v>243</v>
      </c>
      <c r="B184" t="s">
        <v>1069</v>
      </c>
      <c r="C184" t="s">
        <v>2817</v>
      </c>
      <c r="D184" t="s">
        <v>2581</v>
      </c>
      <c r="E184">
        <v>1000</v>
      </c>
      <c r="F184" t="s">
        <v>2113</v>
      </c>
      <c r="G184" t="s">
        <v>2099</v>
      </c>
      <c r="H184">
        <v>1.66</v>
      </c>
      <c r="I184" t="s">
        <v>3481</v>
      </c>
      <c r="J184" s="57">
        <v>44572</v>
      </c>
      <c r="K184" t="s">
        <v>1947</v>
      </c>
    </row>
    <row r="185" spans="1:11" x14ac:dyDescent="0.35">
      <c r="A185" t="s">
        <v>73</v>
      </c>
      <c r="B185" t="s">
        <v>902</v>
      </c>
      <c r="C185" t="s">
        <v>2666</v>
      </c>
      <c r="D185" t="s">
        <v>2667</v>
      </c>
      <c r="E185">
        <v>0</v>
      </c>
      <c r="F185" t="s">
        <v>2603</v>
      </c>
      <c r="G185" t="s">
        <v>3466</v>
      </c>
      <c r="H185">
        <v>0.5</v>
      </c>
      <c r="I185" t="s">
        <v>3480</v>
      </c>
      <c r="J185" s="57">
        <v>44572</v>
      </c>
      <c r="K185" t="s">
        <v>3460</v>
      </c>
    </row>
    <row r="186" spans="1:11" x14ac:dyDescent="0.35">
      <c r="A186" t="s">
        <v>397</v>
      </c>
      <c r="B186" t="s">
        <v>1221</v>
      </c>
      <c r="C186" t="s">
        <v>2944</v>
      </c>
      <c r="D186" t="s">
        <v>2581</v>
      </c>
      <c r="E186">
        <v>1000</v>
      </c>
      <c r="F186" t="s">
        <v>2113</v>
      </c>
      <c r="G186" t="s">
        <v>2099</v>
      </c>
      <c r="H186">
        <v>0.18</v>
      </c>
      <c r="I186" t="s">
        <v>3481</v>
      </c>
      <c r="J186" s="57">
        <v>44572</v>
      </c>
      <c r="K186" t="s">
        <v>1947</v>
      </c>
    </row>
    <row r="187" spans="1:11" ht="12.5" customHeight="1" x14ac:dyDescent="0.35">
      <c r="A187" s="26" t="s">
        <v>3373</v>
      </c>
      <c r="B187" s="26" t="s">
        <v>3374</v>
      </c>
      <c r="C187" s="26" t="s">
        <v>4017</v>
      </c>
      <c r="D187" s="26" t="s">
        <v>1879</v>
      </c>
      <c r="E187" s="26">
        <v>0</v>
      </c>
      <c r="F187" s="26" t="s">
        <v>2728</v>
      </c>
      <c r="G187" s="56" t="s">
        <v>4018</v>
      </c>
      <c r="H187" s="26">
        <v>79.7</v>
      </c>
      <c r="I187" s="26" t="s">
        <v>3480</v>
      </c>
      <c r="J187" s="57">
        <v>44572</v>
      </c>
      <c r="K187" s="26" t="s">
        <v>3460</v>
      </c>
    </row>
    <row r="188" spans="1:11" x14ac:dyDescent="0.35">
      <c r="A188" t="s">
        <v>463</v>
      </c>
      <c r="B188" t="s">
        <v>1287</v>
      </c>
      <c r="C188" t="s">
        <v>2997</v>
      </c>
      <c r="D188" t="s">
        <v>2629</v>
      </c>
      <c r="E188">
        <v>1000</v>
      </c>
      <c r="F188" t="s">
        <v>2113</v>
      </c>
      <c r="G188" t="s">
        <v>2099</v>
      </c>
      <c r="H188">
        <v>1.1000000000000001E-3</v>
      </c>
      <c r="I188" t="s">
        <v>3481</v>
      </c>
      <c r="J188" s="57">
        <v>44572</v>
      </c>
      <c r="K188" t="s">
        <v>1947</v>
      </c>
    </row>
    <row r="189" spans="1:11" x14ac:dyDescent="0.35">
      <c r="A189" t="s">
        <v>283</v>
      </c>
      <c r="B189" t="s">
        <v>1109</v>
      </c>
      <c r="C189" t="s">
        <v>2852</v>
      </c>
      <c r="D189" t="s">
        <v>2583</v>
      </c>
      <c r="E189">
        <v>1000</v>
      </c>
      <c r="F189" t="s">
        <v>2113</v>
      </c>
      <c r="G189" t="s">
        <v>2099</v>
      </c>
      <c r="H189">
        <v>0.14000000000000001</v>
      </c>
      <c r="I189" t="s">
        <v>3481</v>
      </c>
      <c r="J189" s="57">
        <v>44572</v>
      </c>
      <c r="K189" t="s">
        <v>1947</v>
      </c>
    </row>
    <row r="190" spans="1:11" x14ac:dyDescent="0.35">
      <c r="A190" t="s">
        <v>45</v>
      </c>
      <c r="B190" t="s">
        <v>874</v>
      </c>
      <c r="C190" t="s">
        <v>2634</v>
      </c>
      <c r="D190" t="s">
        <v>2635</v>
      </c>
      <c r="E190">
        <v>1000</v>
      </c>
      <c r="F190" t="s">
        <v>2575</v>
      </c>
      <c r="G190" t="s">
        <v>2566</v>
      </c>
      <c r="H190">
        <v>0.23</v>
      </c>
      <c r="I190" t="s">
        <v>3480</v>
      </c>
      <c r="J190" s="57">
        <v>44572</v>
      </c>
      <c r="K190" t="s">
        <v>3460</v>
      </c>
    </row>
    <row r="191" spans="1:11" x14ac:dyDescent="0.35">
      <c r="A191" t="s">
        <v>224</v>
      </c>
      <c r="B191" t="s">
        <v>1051</v>
      </c>
      <c r="C191" t="s">
        <v>2804</v>
      </c>
      <c r="D191" t="s">
        <v>2581</v>
      </c>
      <c r="E191">
        <v>1000</v>
      </c>
      <c r="F191" t="s">
        <v>2113</v>
      </c>
      <c r="G191" t="s">
        <v>2099</v>
      </c>
      <c r="H191">
        <v>7.57</v>
      </c>
      <c r="I191" t="s">
        <v>3481</v>
      </c>
      <c r="J191" s="57">
        <v>44572</v>
      </c>
      <c r="K191" t="s">
        <v>1947</v>
      </c>
    </row>
    <row r="192" spans="1:11" x14ac:dyDescent="0.35">
      <c r="A192" t="s">
        <v>370</v>
      </c>
      <c r="B192" t="s">
        <v>1194</v>
      </c>
      <c r="C192" t="s">
        <v>2920</v>
      </c>
      <c r="D192" t="s">
        <v>2629</v>
      </c>
      <c r="E192">
        <v>1000</v>
      </c>
      <c r="F192" t="s">
        <v>2113</v>
      </c>
      <c r="G192" t="s">
        <v>2099</v>
      </c>
      <c r="H192">
        <v>24.8</v>
      </c>
      <c r="I192" t="s">
        <v>3481</v>
      </c>
      <c r="J192" s="57">
        <v>44572</v>
      </c>
      <c r="K192" t="s">
        <v>1947</v>
      </c>
    </row>
    <row r="193" spans="1:11" x14ac:dyDescent="0.35">
      <c r="A193" t="s">
        <v>682</v>
      </c>
      <c r="B193" t="s">
        <v>1506</v>
      </c>
      <c r="C193" t="s">
        <v>3202</v>
      </c>
      <c r="D193" t="s">
        <v>2581</v>
      </c>
      <c r="E193">
        <v>1000</v>
      </c>
      <c r="F193" t="s">
        <v>2113</v>
      </c>
      <c r="G193" t="s">
        <v>2099</v>
      </c>
      <c r="H193">
        <v>3.8E-3</v>
      </c>
      <c r="I193" t="s">
        <v>3481</v>
      </c>
      <c r="J193" s="57">
        <v>44572</v>
      </c>
      <c r="K193" t="s">
        <v>1947</v>
      </c>
    </row>
    <row r="194" spans="1:11" x14ac:dyDescent="0.35">
      <c r="A194" t="s">
        <v>666</v>
      </c>
      <c r="B194" t="s">
        <v>1490</v>
      </c>
      <c r="C194" t="s">
        <v>3188</v>
      </c>
      <c r="D194" t="s">
        <v>2577</v>
      </c>
      <c r="E194">
        <v>1000</v>
      </c>
      <c r="F194" t="s">
        <v>2113</v>
      </c>
      <c r="G194" t="s">
        <v>2099</v>
      </c>
      <c r="H194">
        <v>2.1800000000000002</v>
      </c>
      <c r="I194" t="s">
        <v>3481</v>
      </c>
      <c r="J194" s="57">
        <v>44572</v>
      </c>
      <c r="K194" t="s">
        <v>1947</v>
      </c>
    </row>
    <row r="195" spans="1:11" x14ac:dyDescent="0.35">
      <c r="A195" t="s">
        <v>683</v>
      </c>
      <c r="B195" t="s">
        <v>1507</v>
      </c>
      <c r="H195" t="s">
        <v>1879</v>
      </c>
    </row>
    <row r="196" spans="1:11" x14ac:dyDescent="0.35">
      <c r="A196" t="s">
        <v>684</v>
      </c>
      <c r="B196" t="s">
        <v>1508</v>
      </c>
      <c r="H196" t="s">
        <v>1879</v>
      </c>
    </row>
    <row r="197" spans="1:11" x14ac:dyDescent="0.35">
      <c r="A197" t="s">
        <v>598</v>
      </c>
      <c r="B197" t="s">
        <v>1422</v>
      </c>
      <c r="C197" t="s">
        <v>3124</v>
      </c>
      <c r="D197" t="s">
        <v>2574</v>
      </c>
      <c r="E197">
        <v>0</v>
      </c>
      <c r="F197" t="s">
        <v>2139</v>
      </c>
      <c r="G197" t="s">
        <v>3468</v>
      </c>
      <c r="H197">
        <v>0.1</v>
      </c>
      <c r="I197" t="s">
        <v>3480</v>
      </c>
      <c r="J197" s="57">
        <v>44572</v>
      </c>
      <c r="K197" t="s">
        <v>3460</v>
      </c>
    </row>
    <row r="198" spans="1:11" x14ac:dyDescent="0.35">
      <c r="A198" t="s">
        <v>821</v>
      </c>
      <c r="B198" t="s">
        <v>1643</v>
      </c>
      <c r="H198" t="s">
        <v>1879</v>
      </c>
    </row>
    <row r="199" spans="1:11" x14ac:dyDescent="0.35">
      <c r="A199" t="s">
        <v>61</v>
      </c>
      <c r="B199" t="s">
        <v>890</v>
      </c>
      <c r="C199" t="s">
        <v>2651</v>
      </c>
      <c r="D199" t="s">
        <v>2629</v>
      </c>
      <c r="E199">
        <v>1000</v>
      </c>
      <c r="F199" t="s">
        <v>2113</v>
      </c>
      <c r="G199" t="s">
        <v>2099</v>
      </c>
      <c r="H199">
        <v>1.71</v>
      </c>
      <c r="I199" t="s">
        <v>3481</v>
      </c>
      <c r="J199" s="57">
        <v>44572</v>
      </c>
      <c r="K199" t="s">
        <v>1947</v>
      </c>
    </row>
    <row r="200" spans="1:11" x14ac:dyDescent="0.35">
      <c r="A200" t="s">
        <v>574</v>
      </c>
      <c r="B200" t="s">
        <v>1398</v>
      </c>
      <c r="C200" t="s">
        <v>3100</v>
      </c>
      <c r="D200" t="s">
        <v>2581</v>
      </c>
      <c r="E200">
        <v>1000</v>
      </c>
      <c r="F200" t="s">
        <v>2113</v>
      </c>
      <c r="G200" t="s">
        <v>2099</v>
      </c>
      <c r="H200">
        <v>1.2E-2</v>
      </c>
      <c r="I200" t="s">
        <v>3481</v>
      </c>
      <c r="J200" s="57">
        <v>44572</v>
      </c>
      <c r="K200" t="s">
        <v>1947</v>
      </c>
    </row>
    <row r="201" spans="1:11" x14ac:dyDescent="0.35">
      <c r="A201" t="s">
        <v>426</v>
      </c>
      <c r="B201" t="s">
        <v>1250</v>
      </c>
      <c r="C201" t="s">
        <v>2963</v>
      </c>
      <c r="D201" t="s">
        <v>2581</v>
      </c>
      <c r="E201">
        <v>1000</v>
      </c>
      <c r="F201" t="s">
        <v>2113</v>
      </c>
      <c r="G201" t="s">
        <v>2099</v>
      </c>
      <c r="H201">
        <v>39.299999999999997</v>
      </c>
      <c r="I201" t="s">
        <v>3481</v>
      </c>
      <c r="J201" s="57">
        <v>44572</v>
      </c>
      <c r="K201" t="s">
        <v>1947</v>
      </c>
    </row>
    <row r="202" spans="1:11" x14ac:dyDescent="0.35">
      <c r="A202" t="s">
        <v>530</v>
      </c>
      <c r="B202" t="s">
        <v>1354</v>
      </c>
      <c r="C202" t="s">
        <v>3057</v>
      </c>
      <c r="D202" t="s">
        <v>2581</v>
      </c>
      <c r="E202">
        <v>1000</v>
      </c>
      <c r="F202" t="s">
        <v>2113</v>
      </c>
      <c r="G202" t="s">
        <v>2099</v>
      </c>
      <c r="H202">
        <v>23.1</v>
      </c>
      <c r="I202" t="s">
        <v>3481</v>
      </c>
      <c r="J202" s="57">
        <v>44572</v>
      </c>
      <c r="K202" t="s">
        <v>1947</v>
      </c>
    </row>
    <row r="203" spans="1:11" x14ac:dyDescent="0.35">
      <c r="A203" t="s">
        <v>280</v>
      </c>
      <c r="B203" t="s">
        <v>1106</v>
      </c>
      <c r="C203" t="s">
        <v>2849</v>
      </c>
      <c r="D203" t="s">
        <v>2629</v>
      </c>
      <c r="E203">
        <v>1000</v>
      </c>
      <c r="F203" t="s">
        <v>2113</v>
      </c>
      <c r="G203" t="s">
        <v>2099</v>
      </c>
      <c r="H203">
        <v>18.5</v>
      </c>
      <c r="I203" t="s">
        <v>3481</v>
      </c>
      <c r="J203" s="57">
        <v>44572</v>
      </c>
      <c r="K203" t="s">
        <v>1947</v>
      </c>
    </row>
    <row r="204" spans="1:11" x14ac:dyDescent="0.35">
      <c r="A204" t="s">
        <v>348</v>
      </c>
      <c r="B204" t="s">
        <v>1172</v>
      </c>
      <c r="C204" t="s">
        <v>2907</v>
      </c>
      <c r="D204" t="s">
        <v>2863</v>
      </c>
      <c r="E204">
        <v>100</v>
      </c>
      <c r="F204" t="s">
        <v>2140</v>
      </c>
      <c r="G204" t="s">
        <v>2099</v>
      </c>
      <c r="H204">
        <v>2.7</v>
      </c>
      <c r="I204" t="s">
        <v>3480</v>
      </c>
      <c r="J204" s="57">
        <v>44572</v>
      </c>
      <c r="K204" t="s">
        <v>3460</v>
      </c>
    </row>
    <row r="205" spans="1:11" x14ac:dyDescent="0.35">
      <c r="A205" t="s">
        <v>380</v>
      </c>
      <c r="B205" t="s">
        <v>1204</v>
      </c>
      <c r="C205" t="s">
        <v>2928</v>
      </c>
      <c r="D205" t="s">
        <v>2574</v>
      </c>
      <c r="E205">
        <v>0</v>
      </c>
      <c r="F205" t="s">
        <v>2680</v>
      </c>
      <c r="G205" t="s">
        <v>3469</v>
      </c>
      <c r="H205">
        <v>150</v>
      </c>
      <c r="I205" t="s">
        <v>3480</v>
      </c>
      <c r="J205" s="57">
        <v>44572</v>
      </c>
      <c r="K205" t="s">
        <v>3460</v>
      </c>
    </row>
    <row r="206" spans="1:11" x14ac:dyDescent="0.35">
      <c r="A206" t="s">
        <v>559</v>
      </c>
      <c r="B206" t="s">
        <v>1383</v>
      </c>
      <c r="C206" t="s">
        <v>3087</v>
      </c>
      <c r="D206" t="s">
        <v>2842</v>
      </c>
      <c r="E206">
        <v>1000</v>
      </c>
      <c r="F206" t="s">
        <v>2113</v>
      </c>
      <c r="G206" t="s">
        <v>2099</v>
      </c>
      <c r="H206">
        <v>0.01</v>
      </c>
      <c r="I206" t="s">
        <v>3481</v>
      </c>
      <c r="J206" s="57">
        <v>44572</v>
      </c>
      <c r="K206" t="s">
        <v>1947</v>
      </c>
    </row>
    <row r="207" spans="1:11" x14ac:dyDescent="0.35">
      <c r="A207" t="s">
        <v>470</v>
      </c>
      <c r="B207" t="s">
        <v>1294</v>
      </c>
      <c r="C207" t="s">
        <v>3004</v>
      </c>
      <c r="D207" t="s">
        <v>2574</v>
      </c>
      <c r="E207">
        <v>0</v>
      </c>
      <c r="F207" t="s">
        <v>2139</v>
      </c>
      <c r="G207" t="s">
        <v>3470</v>
      </c>
      <c r="H207">
        <v>0.6</v>
      </c>
      <c r="I207" t="s">
        <v>3480</v>
      </c>
      <c r="J207" s="57">
        <v>44572</v>
      </c>
      <c r="K207" t="s">
        <v>3460</v>
      </c>
    </row>
    <row r="208" spans="1:11" x14ac:dyDescent="0.35">
      <c r="A208" t="s">
        <v>52</v>
      </c>
      <c r="B208" t="s">
        <v>881</v>
      </c>
      <c r="C208" t="s">
        <v>2643</v>
      </c>
      <c r="D208" t="s">
        <v>2644</v>
      </c>
      <c r="E208">
        <v>3</v>
      </c>
      <c r="F208" t="s">
        <v>2579</v>
      </c>
      <c r="G208" t="s">
        <v>3464</v>
      </c>
      <c r="H208">
        <v>6.4999999999999997E-3</v>
      </c>
      <c r="I208" t="s">
        <v>3480</v>
      </c>
      <c r="J208" s="57">
        <v>44572</v>
      </c>
      <c r="K208" t="s">
        <v>3460</v>
      </c>
    </row>
    <row r="209" spans="1:11" x14ac:dyDescent="0.35">
      <c r="A209" t="s">
        <v>11</v>
      </c>
      <c r="B209" t="s">
        <v>840</v>
      </c>
      <c r="C209" t="s">
        <v>2591</v>
      </c>
      <c r="D209" t="s">
        <v>2577</v>
      </c>
      <c r="E209">
        <v>1000</v>
      </c>
      <c r="F209" t="s">
        <v>2113</v>
      </c>
      <c r="G209" t="s">
        <v>2099</v>
      </c>
      <c r="H209">
        <v>1.1100000000000001</v>
      </c>
      <c r="I209" t="s">
        <v>3481</v>
      </c>
      <c r="J209" s="57">
        <v>44572</v>
      </c>
      <c r="K209" t="s">
        <v>1947</v>
      </c>
    </row>
    <row r="210" spans="1:11" x14ac:dyDescent="0.35">
      <c r="A210" t="s">
        <v>67</v>
      </c>
      <c r="B210" t="s">
        <v>896</v>
      </c>
      <c r="C210" t="s">
        <v>2658</v>
      </c>
      <c r="D210" t="s">
        <v>2659</v>
      </c>
      <c r="E210">
        <v>10</v>
      </c>
      <c r="F210" t="s">
        <v>2116</v>
      </c>
      <c r="G210" t="s">
        <v>3471</v>
      </c>
      <c r="H210">
        <v>1.9E-2</v>
      </c>
      <c r="I210" t="s">
        <v>3480</v>
      </c>
      <c r="J210" s="57">
        <v>44572</v>
      </c>
      <c r="K210" t="s">
        <v>3460</v>
      </c>
    </row>
    <row r="211" spans="1:11" x14ac:dyDescent="0.35">
      <c r="A211" t="s">
        <v>568</v>
      </c>
      <c r="B211" t="s">
        <v>1392</v>
      </c>
      <c r="C211" t="s">
        <v>3094</v>
      </c>
      <c r="D211" t="s">
        <v>2574</v>
      </c>
      <c r="E211">
        <v>0</v>
      </c>
      <c r="F211" t="s">
        <v>3095</v>
      </c>
      <c r="G211" t="s">
        <v>3465</v>
      </c>
      <c r="H211">
        <v>0.2</v>
      </c>
      <c r="I211" t="s">
        <v>3480</v>
      </c>
      <c r="J211" s="57">
        <v>44572</v>
      </c>
      <c r="K211" t="s">
        <v>3460</v>
      </c>
    </row>
    <row r="212" spans="1:11" x14ac:dyDescent="0.35">
      <c r="A212" t="s">
        <v>85</v>
      </c>
      <c r="B212" t="s">
        <v>914</v>
      </c>
      <c r="C212" t="s">
        <v>2676</v>
      </c>
      <c r="D212" t="s">
        <v>2581</v>
      </c>
      <c r="E212">
        <v>1000</v>
      </c>
      <c r="F212" t="s">
        <v>2113</v>
      </c>
      <c r="G212" t="s">
        <v>2099</v>
      </c>
      <c r="H212">
        <v>0.15</v>
      </c>
      <c r="I212" t="s">
        <v>3481</v>
      </c>
      <c r="J212" s="57">
        <v>44866</v>
      </c>
      <c r="K212" t="s">
        <v>1947</v>
      </c>
    </row>
    <row r="213" spans="1:11" x14ac:dyDescent="0.35">
      <c r="A213" t="s">
        <v>714</v>
      </c>
      <c r="B213" t="s">
        <v>1538</v>
      </c>
      <c r="H213" t="s">
        <v>1879</v>
      </c>
    </row>
    <row r="214" spans="1:11" x14ac:dyDescent="0.35">
      <c r="A214" t="s">
        <v>716</v>
      </c>
      <c r="B214" t="s">
        <v>1540</v>
      </c>
      <c r="H214" t="s">
        <v>1879</v>
      </c>
    </row>
    <row r="215" spans="1:11" x14ac:dyDescent="0.35">
      <c r="A215" t="s">
        <v>720</v>
      </c>
      <c r="B215" t="s">
        <v>1544</v>
      </c>
      <c r="H215" t="s">
        <v>1879</v>
      </c>
    </row>
    <row r="216" spans="1:11" x14ac:dyDescent="0.35">
      <c r="A216" t="s">
        <v>721</v>
      </c>
      <c r="B216" t="s">
        <v>1545</v>
      </c>
      <c r="H216" t="s">
        <v>1879</v>
      </c>
    </row>
    <row r="217" spans="1:11" x14ac:dyDescent="0.35">
      <c r="A217" t="s">
        <v>709</v>
      </c>
      <c r="B217" t="s">
        <v>1533</v>
      </c>
      <c r="H217" t="s">
        <v>1879</v>
      </c>
    </row>
    <row r="218" spans="1:11" x14ac:dyDescent="0.35">
      <c r="A218" t="s">
        <v>726</v>
      </c>
      <c r="B218" t="s">
        <v>1550</v>
      </c>
      <c r="H218" t="s">
        <v>1879</v>
      </c>
    </row>
    <row r="219" spans="1:11" x14ac:dyDescent="0.35">
      <c r="A219" t="s">
        <v>727</v>
      </c>
      <c r="B219" t="s">
        <v>1551</v>
      </c>
      <c r="H219" t="s">
        <v>1879</v>
      </c>
    </row>
    <row r="220" spans="1:11" x14ac:dyDescent="0.35">
      <c r="A220" t="s">
        <v>728</v>
      </c>
      <c r="B220" t="s">
        <v>1552</v>
      </c>
      <c r="H220" t="s">
        <v>1879</v>
      </c>
    </row>
    <row r="221" spans="1:11" x14ac:dyDescent="0.35">
      <c r="A221" t="s">
        <v>130</v>
      </c>
      <c r="B221" t="s">
        <v>959</v>
      </c>
      <c r="C221" t="s">
        <v>2724</v>
      </c>
      <c r="D221" t="s">
        <v>2581</v>
      </c>
      <c r="E221">
        <v>1000</v>
      </c>
      <c r="F221" t="s">
        <v>2113</v>
      </c>
      <c r="G221" t="s">
        <v>2099</v>
      </c>
      <c r="H221">
        <v>1.91</v>
      </c>
      <c r="I221" t="s">
        <v>3481</v>
      </c>
      <c r="J221" s="57">
        <v>44866</v>
      </c>
      <c r="K221" t="s">
        <v>1947</v>
      </c>
    </row>
    <row r="222" spans="1:11" x14ac:dyDescent="0.35">
      <c r="A222" t="s">
        <v>407</v>
      </c>
      <c r="B222" t="s">
        <v>1231</v>
      </c>
      <c r="C222" t="s">
        <v>2949</v>
      </c>
      <c r="D222" t="s">
        <v>2574</v>
      </c>
      <c r="E222">
        <v>0</v>
      </c>
      <c r="F222" t="s">
        <v>2603</v>
      </c>
      <c r="G222" t="s">
        <v>3472</v>
      </c>
      <c r="H222">
        <v>535</v>
      </c>
      <c r="I222" t="s">
        <v>3480</v>
      </c>
      <c r="J222" s="57">
        <v>44866</v>
      </c>
      <c r="K222" t="s">
        <v>3460</v>
      </c>
    </row>
    <row r="223" spans="1:11" x14ac:dyDescent="0.35">
      <c r="A223" t="s">
        <v>233</v>
      </c>
      <c r="B223" t="s">
        <v>1060</v>
      </c>
      <c r="C223" t="s">
        <v>2811</v>
      </c>
      <c r="D223" t="s">
        <v>2574</v>
      </c>
      <c r="E223">
        <v>0</v>
      </c>
      <c r="F223" t="s">
        <v>2137</v>
      </c>
      <c r="G223" t="s">
        <v>3463</v>
      </c>
      <c r="H223">
        <v>1.2E-2</v>
      </c>
      <c r="I223" t="s">
        <v>3480</v>
      </c>
      <c r="J223" s="57">
        <v>44866</v>
      </c>
      <c r="K223" t="s">
        <v>3460</v>
      </c>
    </row>
    <row r="224" spans="1:11" x14ac:dyDescent="0.35">
      <c r="A224" t="s">
        <v>703</v>
      </c>
      <c r="B224" t="s">
        <v>1527</v>
      </c>
      <c r="H224" t="s">
        <v>1879</v>
      </c>
    </row>
    <row r="225" spans="1:11" x14ac:dyDescent="0.35">
      <c r="A225" t="s">
        <v>286</v>
      </c>
      <c r="B225" t="s">
        <v>1111</v>
      </c>
      <c r="C225" t="s">
        <v>2854</v>
      </c>
      <c r="D225" t="s">
        <v>2574</v>
      </c>
      <c r="E225">
        <v>0</v>
      </c>
      <c r="F225" t="s">
        <v>2139</v>
      </c>
      <c r="G225" t="s">
        <v>3468</v>
      </c>
      <c r="H225">
        <v>1.7000000000000001E-4</v>
      </c>
      <c r="I225" t="s">
        <v>3480</v>
      </c>
      <c r="J225" s="57">
        <v>44866</v>
      </c>
      <c r="K225" t="s">
        <v>3460</v>
      </c>
    </row>
    <row r="226" spans="1:11" x14ac:dyDescent="0.35">
      <c r="A226" t="s">
        <v>451</v>
      </c>
      <c r="B226" t="s">
        <v>1275</v>
      </c>
      <c r="C226" t="s">
        <v>2986</v>
      </c>
      <c r="D226" t="s">
        <v>2574</v>
      </c>
      <c r="E226">
        <v>0</v>
      </c>
      <c r="F226" t="s">
        <v>2139</v>
      </c>
      <c r="G226" t="s">
        <v>3468</v>
      </c>
      <c r="H226">
        <v>1.7000000000000001E-2</v>
      </c>
      <c r="I226" t="s">
        <v>3480</v>
      </c>
      <c r="J226" s="57">
        <v>44866</v>
      </c>
      <c r="K226" t="s">
        <v>3460</v>
      </c>
    </row>
    <row r="227" spans="1:11" x14ac:dyDescent="0.35">
      <c r="A227" t="s">
        <v>790</v>
      </c>
      <c r="B227" t="s">
        <v>1613</v>
      </c>
      <c r="H227" t="s">
        <v>1879</v>
      </c>
    </row>
    <row r="228" spans="1:11" x14ac:dyDescent="0.35">
      <c r="A228" t="s">
        <v>794</v>
      </c>
      <c r="B228" t="s">
        <v>1617</v>
      </c>
      <c r="H228" t="s">
        <v>1879</v>
      </c>
    </row>
    <row r="229" spans="1:11" x14ac:dyDescent="0.35">
      <c r="A229" t="s">
        <v>467</v>
      </c>
      <c r="B229" t="s">
        <v>1291</v>
      </c>
      <c r="C229" t="s">
        <v>3000</v>
      </c>
      <c r="D229" t="s">
        <v>2581</v>
      </c>
      <c r="E229">
        <v>1000</v>
      </c>
      <c r="F229" t="s">
        <v>2113</v>
      </c>
      <c r="G229" t="s">
        <v>2099</v>
      </c>
      <c r="H229">
        <v>1.8E-3</v>
      </c>
      <c r="I229" t="s">
        <v>3481</v>
      </c>
      <c r="J229" s="57">
        <v>44866</v>
      </c>
      <c r="K229" t="s">
        <v>1947</v>
      </c>
    </row>
    <row r="230" spans="1:11" x14ac:dyDescent="0.35">
      <c r="A230" t="s">
        <v>469</v>
      </c>
      <c r="B230" t="s">
        <v>1293</v>
      </c>
      <c r="C230" t="s">
        <v>3003</v>
      </c>
      <c r="D230" t="s">
        <v>2574</v>
      </c>
      <c r="E230">
        <v>0</v>
      </c>
      <c r="F230" t="s">
        <v>2139</v>
      </c>
      <c r="G230" t="s">
        <v>3468</v>
      </c>
      <c r="H230">
        <v>8.2000000000000007E-3</v>
      </c>
      <c r="I230" t="s">
        <v>3480</v>
      </c>
      <c r="J230" s="57">
        <v>44866</v>
      </c>
      <c r="K230" t="s">
        <v>3460</v>
      </c>
    </row>
    <row r="231" spans="1:11" x14ac:dyDescent="0.35">
      <c r="A231" t="s">
        <v>449</v>
      </c>
      <c r="B231" t="s">
        <v>1273</v>
      </c>
      <c r="C231" t="s">
        <v>2984</v>
      </c>
      <c r="D231" t="s">
        <v>2574</v>
      </c>
      <c r="E231">
        <v>0</v>
      </c>
      <c r="F231" t="s">
        <v>2139</v>
      </c>
      <c r="G231" t="s">
        <v>3468</v>
      </c>
      <c r="H231">
        <v>1.7000000000000001E-2</v>
      </c>
      <c r="I231" t="s">
        <v>3480</v>
      </c>
      <c r="J231" s="57">
        <v>44866</v>
      </c>
      <c r="K231" t="s">
        <v>3460</v>
      </c>
    </row>
    <row r="232" spans="1:11" x14ac:dyDescent="0.35">
      <c r="A232" t="s">
        <v>414</v>
      </c>
      <c r="B232" t="s">
        <v>1238</v>
      </c>
      <c r="C232" t="s">
        <v>2952</v>
      </c>
      <c r="D232" t="s">
        <v>2581</v>
      </c>
      <c r="E232">
        <v>1000</v>
      </c>
      <c r="F232" t="s">
        <v>2113</v>
      </c>
      <c r="G232" t="s">
        <v>2099</v>
      </c>
      <c r="H232">
        <v>1.7999999999999999E-2</v>
      </c>
      <c r="I232" t="s">
        <v>3481</v>
      </c>
      <c r="J232" s="57">
        <v>44866</v>
      </c>
      <c r="K232" t="s">
        <v>1947</v>
      </c>
    </row>
    <row r="233" spans="1:11" x14ac:dyDescent="0.35">
      <c r="A233" t="s">
        <v>827</v>
      </c>
      <c r="B233" t="s">
        <v>1649</v>
      </c>
      <c r="C233" t="s">
        <v>3271</v>
      </c>
      <c r="D233" t="s">
        <v>2581</v>
      </c>
      <c r="E233">
        <v>1000</v>
      </c>
      <c r="F233" t="s">
        <v>2113</v>
      </c>
      <c r="G233" t="s">
        <v>2099</v>
      </c>
      <c r="H233">
        <v>1.9E-2</v>
      </c>
      <c r="I233" t="s">
        <v>3481</v>
      </c>
      <c r="J233" s="57">
        <v>44866</v>
      </c>
      <c r="K233" t="s">
        <v>1947</v>
      </c>
    </row>
    <row r="234" spans="1:11" x14ac:dyDescent="0.35">
      <c r="A234" t="s">
        <v>804</v>
      </c>
      <c r="B234" t="s">
        <v>1627</v>
      </c>
      <c r="H234" t="s">
        <v>1879</v>
      </c>
    </row>
    <row r="235" spans="1:11" x14ac:dyDescent="0.35">
      <c r="A235" t="s">
        <v>451</v>
      </c>
      <c r="B235" t="s">
        <v>1603</v>
      </c>
      <c r="C235" t="s">
        <v>2986</v>
      </c>
      <c r="D235" t="s">
        <v>2574</v>
      </c>
      <c r="E235">
        <v>0</v>
      </c>
      <c r="F235" t="s">
        <v>2139</v>
      </c>
      <c r="G235" t="s">
        <v>3468</v>
      </c>
      <c r="H235">
        <v>1.7000000000000001E-2</v>
      </c>
      <c r="I235" t="s">
        <v>3480</v>
      </c>
      <c r="J235" s="57">
        <v>44866</v>
      </c>
      <c r="K235" t="s">
        <v>3460</v>
      </c>
    </row>
    <row r="236" spans="1:11" x14ac:dyDescent="0.35">
      <c r="A236" t="s">
        <v>603</v>
      </c>
      <c r="B236" t="s">
        <v>1427</v>
      </c>
      <c r="C236" t="s">
        <v>3131</v>
      </c>
      <c r="D236" t="s">
        <v>2619</v>
      </c>
      <c r="E236">
        <v>100</v>
      </c>
      <c r="F236" t="s">
        <v>2140</v>
      </c>
      <c r="G236" t="s">
        <v>2099</v>
      </c>
      <c r="H236">
        <v>5.4</v>
      </c>
      <c r="I236" t="s">
        <v>3480</v>
      </c>
      <c r="J236" s="57">
        <v>44866</v>
      </c>
      <c r="K236" t="s">
        <v>3460</v>
      </c>
    </row>
    <row r="237" spans="1:11" x14ac:dyDescent="0.35">
      <c r="A237" t="s">
        <v>14</v>
      </c>
      <c r="B237" t="s">
        <v>843</v>
      </c>
      <c r="C237" t="s">
        <v>2596</v>
      </c>
      <c r="D237" t="s">
        <v>2581</v>
      </c>
      <c r="E237">
        <v>1000</v>
      </c>
      <c r="F237" t="s">
        <v>2113</v>
      </c>
      <c r="G237" t="s">
        <v>2099</v>
      </c>
      <c r="H237">
        <v>2.11</v>
      </c>
      <c r="I237" t="s">
        <v>3481</v>
      </c>
      <c r="J237" s="57">
        <v>44866</v>
      </c>
      <c r="K237" t="s">
        <v>1947</v>
      </c>
    </row>
    <row r="238" spans="1:11" x14ac:dyDescent="0.35">
      <c r="A238" t="s">
        <v>780</v>
      </c>
      <c r="B238" t="s">
        <v>843</v>
      </c>
      <c r="H238" t="s">
        <v>1879</v>
      </c>
    </row>
    <row r="239" spans="1:11" x14ac:dyDescent="0.35">
      <c r="A239" t="s">
        <v>773</v>
      </c>
      <c r="B239" t="s">
        <v>1597</v>
      </c>
      <c r="H239" t="s">
        <v>1879</v>
      </c>
    </row>
    <row r="240" spans="1:11" x14ac:dyDescent="0.35">
      <c r="A240" t="s">
        <v>34</v>
      </c>
      <c r="B240" t="s">
        <v>863</v>
      </c>
      <c r="C240" t="s">
        <v>2624</v>
      </c>
      <c r="D240" t="s">
        <v>2581</v>
      </c>
      <c r="E240">
        <v>1000</v>
      </c>
      <c r="F240" t="s">
        <v>2113</v>
      </c>
      <c r="G240" t="s">
        <v>2099</v>
      </c>
      <c r="H240">
        <v>7.4999999999999997E-2</v>
      </c>
      <c r="I240" t="s">
        <v>3481</v>
      </c>
      <c r="J240" s="57">
        <v>44866</v>
      </c>
      <c r="K240" t="s">
        <v>1947</v>
      </c>
    </row>
    <row r="241" spans="1:11" x14ac:dyDescent="0.35">
      <c r="A241" t="s">
        <v>55</v>
      </c>
      <c r="B241" t="s">
        <v>884</v>
      </c>
      <c r="C241" t="s">
        <v>2646</v>
      </c>
      <c r="D241" t="s">
        <v>2581</v>
      </c>
      <c r="E241">
        <v>1000</v>
      </c>
      <c r="F241" t="s">
        <v>2113</v>
      </c>
      <c r="G241" t="s">
        <v>2099</v>
      </c>
      <c r="H241">
        <v>0.27</v>
      </c>
      <c r="I241" t="s">
        <v>3481</v>
      </c>
      <c r="J241" s="57">
        <v>44866</v>
      </c>
      <c r="K241" t="s">
        <v>1947</v>
      </c>
    </row>
    <row r="242" spans="1:11" x14ac:dyDescent="0.35">
      <c r="A242" t="s">
        <v>322</v>
      </c>
      <c r="B242" t="s">
        <v>1147</v>
      </c>
      <c r="C242" t="s">
        <v>4571</v>
      </c>
      <c r="D242" t="s">
        <v>4572</v>
      </c>
      <c r="E242">
        <v>1000</v>
      </c>
      <c r="F242" t="s">
        <v>4002</v>
      </c>
      <c r="G242" t="s">
        <v>2099</v>
      </c>
      <c r="H242">
        <v>23.8</v>
      </c>
      <c r="I242" t="s">
        <v>3481</v>
      </c>
      <c r="J242" s="57">
        <v>44634</v>
      </c>
      <c r="K242" t="s">
        <v>1947</v>
      </c>
    </row>
    <row r="243" spans="1:11" x14ac:dyDescent="0.35">
      <c r="A243" t="s">
        <v>72</v>
      </c>
      <c r="B243" t="s">
        <v>901</v>
      </c>
      <c r="C243" t="s">
        <v>2665</v>
      </c>
      <c r="D243" t="s">
        <v>2629</v>
      </c>
      <c r="E243">
        <v>1000</v>
      </c>
      <c r="F243" t="s">
        <v>2113</v>
      </c>
      <c r="G243" t="s">
        <v>2099</v>
      </c>
      <c r="H243">
        <v>4.9000000000000002E-2</v>
      </c>
      <c r="I243" t="s">
        <v>3481</v>
      </c>
      <c r="J243" s="57">
        <v>44866</v>
      </c>
      <c r="K243" t="s">
        <v>1947</v>
      </c>
    </row>
    <row r="244" spans="1:11" x14ac:dyDescent="0.35">
      <c r="A244" t="s">
        <v>309</v>
      </c>
      <c r="B244" t="s">
        <v>1134</v>
      </c>
      <c r="C244" t="s">
        <v>2875</v>
      </c>
      <c r="D244" t="s">
        <v>2574</v>
      </c>
      <c r="E244">
        <v>0</v>
      </c>
      <c r="F244" t="s">
        <v>2680</v>
      </c>
      <c r="G244" t="s">
        <v>3469</v>
      </c>
      <c r="H244">
        <v>2.2999999999999998</v>
      </c>
      <c r="I244" t="s">
        <v>3480</v>
      </c>
      <c r="J244" s="57">
        <v>44866</v>
      </c>
      <c r="K244" t="s">
        <v>3460</v>
      </c>
    </row>
    <row r="245" spans="1:11" x14ac:dyDescent="0.35">
      <c r="A245" t="s">
        <v>77</v>
      </c>
      <c r="B245" t="s">
        <v>906</v>
      </c>
      <c r="C245" t="s">
        <v>4019</v>
      </c>
      <c r="D245" t="s">
        <v>4020</v>
      </c>
      <c r="E245">
        <v>10</v>
      </c>
      <c r="F245" t="s">
        <v>4021</v>
      </c>
      <c r="G245" t="s">
        <v>2099</v>
      </c>
      <c r="H245">
        <v>1.2999999999999999E-4</v>
      </c>
      <c r="I245" t="s">
        <v>3480</v>
      </c>
      <c r="J245" s="57">
        <v>44866</v>
      </c>
      <c r="K245" t="s">
        <v>3460</v>
      </c>
    </row>
    <row r="246" spans="1:11" x14ac:dyDescent="0.35">
      <c r="A246" t="s">
        <v>32</v>
      </c>
      <c r="B246" t="s">
        <v>861</v>
      </c>
      <c r="C246" t="s">
        <v>2621</v>
      </c>
      <c r="D246" t="s">
        <v>2590</v>
      </c>
      <c r="E246">
        <v>50</v>
      </c>
      <c r="F246" t="s">
        <v>2594</v>
      </c>
      <c r="G246" t="s">
        <v>3467</v>
      </c>
      <c r="H246">
        <v>3.4</v>
      </c>
      <c r="I246" t="s">
        <v>3480</v>
      </c>
      <c r="J246" s="57">
        <v>44866</v>
      </c>
      <c r="K246" t="s">
        <v>3460</v>
      </c>
    </row>
    <row r="247" spans="1:11" x14ac:dyDescent="0.35">
      <c r="A247" t="s">
        <v>87</v>
      </c>
      <c r="B247" t="s">
        <v>916</v>
      </c>
      <c r="C247" t="s">
        <v>2678</v>
      </c>
      <c r="D247" t="s">
        <v>2679</v>
      </c>
      <c r="E247">
        <v>10</v>
      </c>
      <c r="F247" t="s">
        <v>2680</v>
      </c>
      <c r="G247" t="s">
        <v>3469</v>
      </c>
      <c r="H247">
        <v>0.24</v>
      </c>
      <c r="I247" t="s">
        <v>3480</v>
      </c>
      <c r="J247" s="57">
        <v>44866</v>
      </c>
      <c r="K247" t="s">
        <v>3460</v>
      </c>
    </row>
    <row r="248" spans="1:11" x14ac:dyDescent="0.35">
      <c r="A248" t="s">
        <v>360</v>
      </c>
      <c r="B248" t="s">
        <v>1184</v>
      </c>
      <c r="C248" t="s">
        <v>2913</v>
      </c>
      <c r="D248" t="s">
        <v>2581</v>
      </c>
      <c r="E248">
        <v>1000</v>
      </c>
      <c r="F248" t="s">
        <v>2113</v>
      </c>
      <c r="G248" t="s">
        <v>2099</v>
      </c>
      <c r="H248">
        <v>11.2</v>
      </c>
      <c r="I248" t="s">
        <v>3481</v>
      </c>
      <c r="J248" s="57">
        <v>44866</v>
      </c>
      <c r="K248" t="s">
        <v>1947</v>
      </c>
    </row>
    <row r="249" spans="1:11" x14ac:dyDescent="0.35">
      <c r="A249" t="s">
        <v>122</v>
      </c>
      <c r="B249" t="s">
        <v>951</v>
      </c>
      <c r="C249" t="s">
        <v>2716</v>
      </c>
      <c r="D249" t="s">
        <v>2717</v>
      </c>
      <c r="E249">
        <v>50</v>
      </c>
      <c r="F249" t="s">
        <v>2594</v>
      </c>
      <c r="G249" t="s">
        <v>3464</v>
      </c>
      <c r="H249">
        <v>11.3</v>
      </c>
      <c r="I249" t="s">
        <v>3480</v>
      </c>
      <c r="J249" s="57">
        <v>44866</v>
      </c>
      <c r="K249" t="s">
        <v>3460</v>
      </c>
    </row>
    <row r="250" spans="1:11" x14ac:dyDescent="0.35">
      <c r="A250" t="s">
        <v>492</v>
      </c>
      <c r="B250" t="s">
        <v>1316</v>
      </c>
      <c r="C250" t="s">
        <v>3025</v>
      </c>
      <c r="D250" t="s">
        <v>2778</v>
      </c>
      <c r="E250">
        <v>10</v>
      </c>
      <c r="F250" t="s">
        <v>2594</v>
      </c>
      <c r="G250" t="s">
        <v>3465</v>
      </c>
      <c r="H250">
        <v>0.47</v>
      </c>
      <c r="I250" t="s">
        <v>3480</v>
      </c>
      <c r="J250" s="57">
        <v>44866</v>
      </c>
      <c r="K250" t="s">
        <v>3460</v>
      </c>
    </row>
    <row r="251" spans="1:11" x14ac:dyDescent="0.35">
      <c r="A251" t="s">
        <v>386</v>
      </c>
      <c r="B251" t="s">
        <v>1210</v>
      </c>
      <c r="C251" t="s">
        <v>2934</v>
      </c>
      <c r="D251" t="s">
        <v>2581</v>
      </c>
      <c r="E251">
        <v>1000</v>
      </c>
      <c r="F251" t="s">
        <v>2113</v>
      </c>
      <c r="G251" t="s">
        <v>2099</v>
      </c>
      <c r="H251">
        <v>0.22</v>
      </c>
      <c r="I251" t="s">
        <v>3481</v>
      </c>
      <c r="J251" s="57">
        <v>44866</v>
      </c>
      <c r="K251" t="s">
        <v>1947</v>
      </c>
    </row>
    <row r="252" spans="1:11" x14ac:dyDescent="0.35">
      <c r="A252" t="s">
        <v>336</v>
      </c>
      <c r="B252" t="s">
        <v>1161</v>
      </c>
      <c r="C252" t="s">
        <v>2896</v>
      </c>
      <c r="D252" t="s">
        <v>2581</v>
      </c>
      <c r="E252">
        <v>1000</v>
      </c>
      <c r="F252" t="s">
        <v>2113</v>
      </c>
      <c r="G252" t="s">
        <v>2099</v>
      </c>
      <c r="H252">
        <v>4.4000000000000004</v>
      </c>
      <c r="I252" t="s">
        <v>3481</v>
      </c>
      <c r="J252" s="57">
        <v>44866</v>
      </c>
      <c r="K252" t="s">
        <v>1947</v>
      </c>
    </row>
    <row r="253" spans="1:11" x14ac:dyDescent="0.35">
      <c r="A253" t="s">
        <v>337</v>
      </c>
      <c r="B253" t="s">
        <v>1161</v>
      </c>
      <c r="H253" t="s">
        <v>1879</v>
      </c>
    </row>
    <row r="254" spans="1:11" x14ac:dyDescent="0.35">
      <c r="A254" t="s">
        <v>754</v>
      </c>
      <c r="B254" t="s">
        <v>1578</v>
      </c>
      <c r="C254" t="s">
        <v>3240</v>
      </c>
      <c r="D254" t="s">
        <v>2577</v>
      </c>
      <c r="E254">
        <v>1000</v>
      </c>
      <c r="F254" t="s">
        <v>2113</v>
      </c>
      <c r="G254" t="s">
        <v>2099</v>
      </c>
      <c r="H254">
        <v>66</v>
      </c>
      <c r="I254" t="s">
        <v>3481</v>
      </c>
      <c r="J254" s="57">
        <v>44866</v>
      </c>
      <c r="K254" t="s">
        <v>1947</v>
      </c>
    </row>
    <row r="255" spans="1:11" x14ac:dyDescent="0.35">
      <c r="A255" t="s">
        <v>584</v>
      </c>
      <c r="B255" t="s">
        <v>1408</v>
      </c>
      <c r="C255" t="s">
        <v>3111</v>
      </c>
      <c r="D255" t="s">
        <v>2581</v>
      </c>
      <c r="E255">
        <v>1000</v>
      </c>
      <c r="F255" t="s">
        <v>2113</v>
      </c>
      <c r="G255" t="s">
        <v>2099</v>
      </c>
      <c r="H255">
        <v>9.69</v>
      </c>
      <c r="I255" t="s">
        <v>3481</v>
      </c>
      <c r="J255" s="57">
        <v>44866</v>
      </c>
      <c r="K255" t="s">
        <v>1947</v>
      </c>
    </row>
    <row r="256" spans="1:11" x14ac:dyDescent="0.35">
      <c r="A256" t="s">
        <v>104</v>
      </c>
      <c r="B256" t="s">
        <v>933</v>
      </c>
      <c r="C256" t="s">
        <v>2700</v>
      </c>
      <c r="D256" t="s">
        <v>2581</v>
      </c>
      <c r="E256">
        <v>1000</v>
      </c>
      <c r="F256" t="s">
        <v>2113</v>
      </c>
      <c r="G256" t="s">
        <v>2099</v>
      </c>
      <c r="H256">
        <v>9.2200000000000006</v>
      </c>
      <c r="I256" t="s">
        <v>3481</v>
      </c>
      <c r="J256" s="57">
        <v>44866</v>
      </c>
      <c r="K256" t="s">
        <v>1947</v>
      </c>
    </row>
    <row r="257" spans="1:11" x14ac:dyDescent="0.35">
      <c r="A257" t="s">
        <v>346</v>
      </c>
      <c r="B257" t="s">
        <v>1170</v>
      </c>
      <c r="C257" t="s">
        <v>2906</v>
      </c>
      <c r="D257" t="s">
        <v>2629</v>
      </c>
      <c r="E257">
        <v>1000</v>
      </c>
      <c r="F257" t="s">
        <v>2113</v>
      </c>
      <c r="G257" t="s">
        <v>2099</v>
      </c>
      <c r="H257">
        <v>0.03</v>
      </c>
      <c r="I257" t="s">
        <v>3481</v>
      </c>
      <c r="J257" s="57">
        <v>44866</v>
      </c>
      <c r="K257" t="s">
        <v>1947</v>
      </c>
    </row>
    <row r="258" spans="1:11" x14ac:dyDescent="0.35">
      <c r="A258" t="s">
        <v>456</v>
      </c>
      <c r="B258" t="s">
        <v>1280</v>
      </c>
      <c r="C258" t="s">
        <v>2991</v>
      </c>
      <c r="D258" t="s">
        <v>2577</v>
      </c>
      <c r="E258">
        <v>1000</v>
      </c>
      <c r="F258" t="s">
        <v>2113</v>
      </c>
      <c r="G258" t="s">
        <v>2099</v>
      </c>
      <c r="H258">
        <v>2.38</v>
      </c>
      <c r="I258" t="s">
        <v>3481</v>
      </c>
      <c r="J258" s="57">
        <v>44866</v>
      </c>
      <c r="K258" t="s">
        <v>1947</v>
      </c>
    </row>
    <row r="259" spans="1:11" x14ac:dyDescent="0.35">
      <c r="A259" t="s">
        <v>793</v>
      </c>
      <c r="B259" t="s">
        <v>1616</v>
      </c>
      <c r="H259" t="s">
        <v>1879</v>
      </c>
    </row>
    <row r="260" spans="1:11" x14ac:dyDescent="0.35">
      <c r="A260" t="s">
        <v>217</v>
      </c>
      <c r="B260" t="s">
        <v>1044</v>
      </c>
      <c r="C260" t="s">
        <v>2798</v>
      </c>
      <c r="D260" t="s">
        <v>2590</v>
      </c>
      <c r="E260">
        <v>100</v>
      </c>
      <c r="F260" t="s">
        <v>2782</v>
      </c>
      <c r="G260" t="s">
        <v>3466</v>
      </c>
      <c r="H260">
        <v>1.2</v>
      </c>
      <c r="I260" t="s">
        <v>3480</v>
      </c>
      <c r="J260" s="57">
        <v>44573</v>
      </c>
      <c r="K260" t="s">
        <v>3460</v>
      </c>
    </row>
    <row r="261" spans="1:11" x14ac:dyDescent="0.35">
      <c r="A261" t="s">
        <v>118</v>
      </c>
      <c r="B261" t="s">
        <v>947</v>
      </c>
      <c r="C261" t="s">
        <v>2712</v>
      </c>
      <c r="D261" t="s">
        <v>2577</v>
      </c>
      <c r="E261">
        <v>1000</v>
      </c>
      <c r="F261" t="s">
        <v>2113</v>
      </c>
      <c r="G261" t="s">
        <v>2099</v>
      </c>
      <c r="H261">
        <v>3.64</v>
      </c>
      <c r="I261" t="s">
        <v>3481</v>
      </c>
      <c r="J261" s="57">
        <v>44573</v>
      </c>
      <c r="K261" t="s">
        <v>1947</v>
      </c>
    </row>
    <row r="262" spans="1:11" x14ac:dyDescent="0.35">
      <c r="A262" t="s">
        <v>764</v>
      </c>
      <c r="B262" t="s">
        <v>1588</v>
      </c>
      <c r="C262" t="s">
        <v>3248</v>
      </c>
      <c r="D262" t="s">
        <v>2574</v>
      </c>
      <c r="E262">
        <v>0</v>
      </c>
      <c r="F262" t="s">
        <v>2579</v>
      </c>
      <c r="G262" t="s">
        <v>3464</v>
      </c>
      <c r="H262">
        <v>0.34</v>
      </c>
      <c r="I262" t="s">
        <v>3480</v>
      </c>
      <c r="J262" s="57">
        <v>44573</v>
      </c>
      <c r="K262" t="s">
        <v>3460</v>
      </c>
    </row>
    <row r="263" spans="1:11" x14ac:dyDescent="0.35">
      <c r="A263" t="s">
        <v>755</v>
      </c>
      <c r="B263" t="s">
        <v>1579</v>
      </c>
      <c r="C263" t="s">
        <v>4023</v>
      </c>
      <c r="D263" t="s">
        <v>4009</v>
      </c>
      <c r="E263">
        <v>1000</v>
      </c>
      <c r="F263" t="s">
        <v>2113</v>
      </c>
      <c r="G263" t="s">
        <v>2099</v>
      </c>
      <c r="H263">
        <v>2.65</v>
      </c>
      <c r="I263" t="s">
        <v>3481</v>
      </c>
      <c r="J263" s="57">
        <v>44573</v>
      </c>
      <c r="K263" t="s">
        <v>1947</v>
      </c>
    </row>
    <row r="264" spans="1:11" x14ac:dyDescent="0.35">
      <c r="A264" t="s">
        <v>372</v>
      </c>
      <c r="B264" t="s">
        <v>1196</v>
      </c>
      <c r="C264" t="s">
        <v>2921</v>
      </c>
      <c r="D264" t="s">
        <v>2590</v>
      </c>
      <c r="E264">
        <v>10</v>
      </c>
      <c r="F264" t="s">
        <v>2140</v>
      </c>
      <c r="G264" t="s">
        <v>3473</v>
      </c>
      <c r="H264">
        <v>0.05</v>
      </c>
      <c r="I264" t="s">
        <v>3480</v>
      </c>
      <c r="J264" s="57">
        <v>44573</v>
      </c>
      <c r="K264" t="s">
        <v>3460</v>
      </c>
    </row>
    <row r="265" spans="1:11" x14ac:dyDescent="0.35">
      <c r="A265" t="s">
        <v>326</v>
      </c>
      <c r="B265" t="s">
        <v>1151</v>
      </c>
      <c r="C265" t="s">
        <v>2888</v>
      </c>
      <c r="D265" t="s">
        <v>2629</v>
      </c>
      <c r="E265">
        <v>1000</v>
      </c>
      <c r="F265" t="s">
        <v>2113</v>
      </c>
      <c r="G265" t="s">
        <v>2099</v>
      </c>
      <c r="H265">
        <v>2.57</v>
      </c>
      <c r="I265" t="s">
        <v>3481</v>
      </c>
      <c r="J265" s="57">
        <v>44573</v>
      </c>
      <c r="K265" t="s">
        <v>1947</v>
      </c>
    </row>
    <row r="266" spans="1:11" x14ac:dyDescent="0.35">
      <c r="A266" t="s">
        <v>175</v>
      </c>
      <c r="B266" t="s">
        <v>1004</v>
      </c>
      <c r="C266" t="s">
        <v>2761</v>
      </c>
      <c r="D266" t="s">
        <v>2574</v>
      </c>
      <c r="E266">
        <v>0</v>
      </c>
      <c r="F266" t="s">
        <v>2728</v>
      </c>
      <c r="G266" t="s">
        <v>3464</v>
      </c>
      <c r="H266">
        <v>0.23</v>
      </c>
      <c r="I266" t="s">
        <v>3480</v>
      </c>
      <c r="J266" s="57">
        <v>44573</v>
      </c>
      <c r="K266" t="s">
        <v>3460</v>
      </c>
    </row>
    <row r="267" spans="1:11" x14ac:dyDescent="0.35">
      <c r="A267" t="s">
        <v>50</v>
      </c>
      <c r="B267" t="s">
        <v>879</v>
      </c>
      <c r="C267" t="s">
        <v>2640</v>
      </c>
      <c r="D267" t="s">
        <v>2581</v>
      </c>
      <c r="E267">
        <v>1000</v>
      </c>
      <c r="F267" t="s">
        <v>2113</v>
      </c>
      <c r="G267" t="s">
        <v>2099</v>
      </c>
      <c r="H267">
        <v>0.26</v>
      </c>
      <c r="I267" t="s">
        <v>3481</v>
      </c>
      <c r="J267" s="57">
        <v>44573</v>
      </c>
      <c r="K267" t="s">
        <v>1947</v>
      </c>
    </row>
    <row r="268" spans="1:11" x14ac:dyDescent="0.35">
      <c r="A268" t="s">
        <v>636</v>
      </c>
      <c r="B268" t="s">
        <v>1460</v>
      </c>
      <c r="C268" t="s">
        <v>3162</v>
      </c>
      <c r="D268" t="s">
        <v>2642</v>
      </c>
      <c r="E268">
        <v>10</v>
      </c>
      <c r="F268" t="s">
        <v>2594</v>
      </c>
      <c r="G268" t="s">
        <v>3465</v>
      </c>
      <c r="H268">
        <v>0.44</v>
      </c>
      <c r="I268" t="s">
        <v>3480</v>
      </c>
      <c r="J268" s="57">
        <v>44573</v>
      </c>
      <c r="K268" t="s">
        <v>3460</v>
      </c>
    </row>
    <row r="269" spans="1:11" x14ac:dyDescent="0.35">
      <c r="A269" t="s">
        <v>510</v>
      </c>
      <c r="B269" t="s">
        <v>1334</v>
      </c>
      <c r="C269" t="s">
        <v>3040</v>
      </c>
      <c r="D269" t="s">
        <v>2642</v>
      </c>
      <c r="E269">
        <v>10</v>
      </c>
      <c r="F269" t="s">
        <v>2594</v>
      </c>
      <c r="G269" t="s">
        <v>3465</v>
      </c>
      <c r="H269">
        <v>1.6E-2</v>
      </c>
      <c r="I269" t="s">
        <v>3480</v>
      </c>
      <c r="J269" s="57">
        <v>44573</v>
      </c>
      <c r="K269" t="s">
        <v>3460</v>
      </c>
    </row>
    <row r="270" spans="1:11" x14ac:dyDescent="0.35">
      <c r="A270" t="s">
        <v>157</v>
      </c>
      <c r="B270" t="s">
        <v>986</v>
      </c>
      <c r="H270" t="s">
        <v>1879</v>
      </c>
    </row>
    <row r="271" spans="1:11" x14ac:dyDescent="0.35">
      <c r="A271" t="s">
        <v>97</v>
      </c>
      <c r="B271" t="s">
        <v>926</v>
      </c>
      <c r="C271" t="s">
        <v>2693</v>
      </c>
      <c r="D271" t="s">
        <v>2661</v>
      </c>
      <c r="E271">
        <v>1000</v>
      </c>
      <c r="F271" t="s">
        <v>2113</v>
      </c>
      <c r="G271" t="s">
        <v>2099</v>
      </c>
      <c r="H271">
        <v>12.5</v>
      </c>
      <c r="I271" t="s">
        <v>3481</v>
      </c>
      <c r="J271" s="57">
        <v>44573</v>
      </c>
      <c r="K271" t="s">
        <v>1947</v>
      </c>
    </row>
    <row r="272" spans="1:11" x14ac:dyDescent="0.35">
      <c r="A272" t="s">
        <v>254</v>
      </c>
      <c r="B272" t="s">
        <v>1080</v>
      </c>
      <c r="C272" t="s">
        <v>2830</v>
      </c>
      <c r="D272" t="s">
        <v>2629</v>
      </c>
      <c r="E272">
        <v>1000</v>
      </c>
      <c r="F272" t="s">
        <v>2113</v>
      </c>
      <c r="G272" t="s">
        <v>2099</v>
      </c>
      <c r="H272">
        <v>0.19</v>
      </c>
      <c r="I272" t="s">
        <v>3481</v>
      </c>
      <c r="J272" s="57">
        <v>44573</v>
      </c>
      <c r="K272" t="s">
        <v>1947</v>
      </c>
    </row>
    <row r="273" spans="1:11" x14ac:dyDescent="0.35">
      <c r="A273" t="s">
        <v>246</v>
      </c>
      <c r="B273" t="s">
        <v>1072</v>
      </c>
      <c r="C273" t="s">
        <v>2820</v>
      </c>
      <c r="D273" t="s">
        <v>2581</v>
      </c>
      <c r="E273">
        <v>1000</v>
      </c>
      <c r="F273" t="s">
        <v>2113</v>
      </c>
      <c r="G273" t="s">
        <v>2099</v>
      </c>
      <c r="H273">
        <v>1.29</v>
      </c>
      <c r="I273" t="s">
        <v>3481</v>
      </c>
      <c r="J273" s="57">
        <v>44573</v>
      </c>
      <c r="K273" t="s">
        <v>1947</v>
      </c>
    </row>
    <row r="274" spans="1:11" x14ac:dyDescent="0.35">
      <c r="A274" t="s">
        <v>491</v>
      </c>
      <c r="B274" t="s">
        <v>1315</v>
      </c>
      <c r="C274" t="s">
        <v>3024</v>
      </c>
      <c r="D274" t="s">
        <v>2581</v>
      </c>
      <c r="E274">
        <v>1000</v>
      </c>
      <c r="F274" t="s">
        <v>2113</v>
      </c>
      <c r="G274" t="s">
        <v>2099</v>
      </c>
      <c r="H274">
        <v>0.09</v>
      </c>
      <c r="I274" t="s">
        <v>3481</v>
      </c>
      <c r="J274" s="57">
        <v>44573</v>
      </c>
      <c r="K274" t="s">
        <v>1947</v>
      </c>
    </row>
    <row r="275" spans="1:11" x14ac:dyDescent="0.35">
      <c r="A275" t="s">
        <v>569</v>
      </c>
      <c r="B275" t="s">
        <v>1393</v>
      </c>
      <c r="C275" t="s">
        <v>3096</v>
      </c>
      <c r="D275" t="s">
        <v>2577</v>
      </c>
      <c r="E275">
        <v>1000</v>
      </c>
      <c r="F275" t="s">
        <v>2113</v>
      </c>
      <c r="G275" t="s">
        <v>2099</v>
      </c>
      <c r="H275">
        <v>4.2999999999999997E-2</v>
      </c>
      <c r="I275" t="s">
        <v>3481</v>
      </c>
      <c r="J275" s="57">
        <v>44573</v>
      </c>
      <c r="K275" t="s">
        <v>1947</v>
      </c>
    </row>
    <row r="276" spans="1:11" x14ac:dyDescent="0.35">
      <c r="A276" t="s">
        <v>524</v>
      </c>
      <c r="B276" t="s">
        <v>1348</v>
      </c>
      <c r="C276" t="s">
        <v>3053</v>
      </c>
      <c r="D276" t="s">
        <v>2581</v>
      </c>
      <c r="E276">
        <v>1000</v>
      </c>
      <c r="F276" t="s">
        <v>2113</v>
      </c>
      <c r="G276" t="s">
        <v>2099</v>
      </c>
      <c r="H276">
        <v>0.14000000000000001</v>
      </c>
      <c r="I276" t="s">
        <v>3481</v>
      </c>
      <c r="J276" s="57">
        <v>44573</v>
      </c>
      <c r="K276" t="s">
        <v>1947</v>
      </c>
    </row>
    <row r="277" spans="1:11" x14ac:dyDescent="0.35">
      <c r="A277" t="s">
        <v>69</v>
      </c>
      <c r="B277" t="s">
        <v>898</v>
      </c>
      <c r="C277" t="s">
        <v>2662</v>
      </c>
      <c r="D277" t="s">
        <v>2581</v>
      </c>
      <c r="E277">
        <v>1000</v>
      </c>
      <c r="F277" t="s">
        <v>2113</v>
      </c>
      <c r="G277" t="s">
        <v>2099</v>
      </c>
      <c r="H277">
        <v>0.41</v>
      </c>
      <c r="I277" t="s">
        <v>3481</v>
      </c>
      <c r="J277" s="57">
        <v>44573</v>
      </c>
      <c r="K277" t="s">
        <v>1947</v>
      </c>
    </row>
    <row r="278" spans="1:11" x14ac:dyDescent="0.35">
      <c r="A278" t="s">
        <v>658</v>
      </c>
      <c r="B278" t="s">
        <v>1482</v>
      </c>
      <c r="H278" t="s">
        <v>1879</v>
      </c>
    </row>
    <row r="279" spans="1:11" x14ac:dyDescent="0.35">
      <c r="A279" t="s">
        <v>229</v>
      </c>
      <c r="B279" t="s">
        <v>1056</v>
      </c>
      <c r="C279" t="s">
        <v>2809</v>
      </c>
      <c r="D279" t="s">
        <v>2581</v>
      </c>
      <c r="E279">
        <v>1000</v>
      </c>
      <c r="F279" t="s">
        <v>2113</v>
      </c>
      <c r="G279" t="s">
        <v>2099</v>
      </c>
      <c r="H279">
        <v>2.73</v>
      </c>
      <c r="I279" t="s">
        <v>3481</v>
      </c>
      <c r="J279" s="57">
        <v>44573</v>
      </c>
      <c r="K279" t="s">
        <v>1947</v>
      </c>
    </row>
    <row r="280" spans="1:11" x14ac:dyDescent="0.35">
      <c r="A280" t="s">
        <v>36</v>
      </c>
      <c r="B280" t="s">
        <v>865</v>
      </c>
      <c r="H280" t="s">
        <v>1879</v>
      </c>
    </row>
    <row r="281" spans="1:11" x14ac:dyDescent="0.35">
      <c r="A281" t="s">
        <v>573</v>
      </c>
      <c r="B281" t="s">
        <v>1397</v>
      </c>
      <c r="H281" t="s">
        <v>1879</v>
      </c>
    </row>
    <row r="282" spans="1:11" x14ac:dyDescent="0.35">
      <c r="A282" s="26" t="s">
        <v>3337</v>
      </c>
      <c r="B282" s="26" t="s">
        <v>1397</v>
      </c>
      <c r="C282" s="26"/>
      <c r="D282" s="26"/>
      <c r="E282" s="26"/>
      <c r="F282" s="26"/>
      <c r="G282" s="26"/>
      <c r="H282" t="s">
        <v>1879</v>
      </c>
      <c r="I282" s="26"/>
      <c r="J282" s="26"/>
      <c r="K282" s="26"/>
    </row>
    <row r="283" spans="1:11" x14ac:dyDescent="0.35">
      <c r="A283" t="s">
        <v>775</v>
      </c>
      <c r="B283" t="s">
        <v>1599</v>
      </c>
      <c r="C283" t="s">
        <v>3256</v>
      </c>
      <c r="D283" t="s">
        <v>2574</v>
      </c>
      <c r="E283">
        <v>0</v>
      </c>
      <c r="F283" t="s">
        <v>3095</v>
      </c>
      <c r="G283" t="s">
        <v>3464</v>
      </c>
      <c r="H283">
        <v>0.06</v>
      </c>
      <c r="I283" t="s">
        <v>3480</v>
      </c>
      <c r="J283" s="57">
        <v>44573</v>
      </c>
      <c r="K283" t="s">
        <v>3460</v>
      </c>
    </row>
    <row r="284" spans="1:11" x14ac:dyDescent="0.35">
      <c r="A284" t="s">
        <v>210</v>
      </c>
      <c r="B284" t="s">
        <v>1037</v>
      </c>
      <c r="C284" t="s">
        <v>2792</v>
      </c>
      <c r="D284" t="s">
        <v>2581</v>
      </c>
      <c r="E284">
        <v>1000</v>
      </c>
      <c r="F284" t="s">
        <v>2113</v>
      </c>
      <c r="G284" t="s">
        <v>2099</v>
      </c>
      <c r="H284">
        <v>7.51</v>
      </c>
      <c r="I284" t="s">
        <v>3481</v>
      </c>
      <c r="J284" s="57">
        <v>44573</v>
      </c>
      <c r="K284" t="s">
        <v>1947</v>
      </c>
    </row>
    <row r="285" spans="1:11" x14ac:dyDescent="0.35">
      <c r="A285" t="s">
        <v>566</v>
      </c>
      <c r="B285" t="s">
        <v>1390</v>
      </c>
      <c r="C285" t="s">
        <v>4576</v>
      </c>
      <c r="D285" t="s">
        <v>4572</v>
      </c>
      <c r="E285">
        <v>1000</v>
      </c>
      <c r="F285" t="s">
        <v>2113</v>
      </c>
      <c r="G285" t="s">
        <v>2099</v>
      </c>
      <c r="H285">
        <v>1.56</v>
      </c>
      <c r="I285" t="s">
        <v>3481</v>
      </c>
      <c r="J285" s="57">
        <v>44634</v>
      </c>
      <c r="K285" t="s">
        <v>1947</v>
      </c>
    </row>
    <row r="286" spans="1:11" x14ac:dyDescent="0.35">
      <c r="A286" t="s">
        <v>22</v>
      </c>
      <c r="B286" t="s">
        <v>851</v>
      </c>
      <c r="C286" t="s">
        <v>2609</v>
      </c>
      <c r="D286" t="s">
        <v>2581</v>
      </c>
      <c r="E286">
        <v>1000</v>
      </c>
      <c r="F286" t="s">
        <v>2113</v>
      </c>
      <c r="G286" t="s">
        <v>2099</v>
      </c>
      <c r="H286">
        <v>3.72</v>
      </c>
      <c r="I286" t="s">
        <v>3481</v>
      </c>
      <c r="J286" s="57">
        <v>44573</v>
      </c>
      <c r="K286" t="s">
        <v>1947</v>
      </c>
    </row>
    <row r="287" spans="1:11" x14ac:dyDescent="0.35">
      <c r="A287" t="s">
        <v>379</v>
      </c>
      <c r="B287" t="s">
        <v>1203</v>
      </c>
      <c r="C287" t="s">
        <v>2927</v>
      </c>
      <c r="D287" t="s">
        <v>2644</v>
      </c>
      <c r="E287">
        <v>3</v>
      </c>
      <c r="F287" t="s">
        <v>2139</v>
      </c>
      <c r="G287" t="s">
        <v>3465</v>
      </c>
      <c r="H287">
        <v>4.6000000000000001E-4</v>
      </c>
      <c r="I287" t="s">
        <v>3480</v>
      </c>
      <c r="J287" s="57">
        <v>44573</v>
      </c>
      <c r="K287" t="s">
        <v>3460</v>
      </c>
    </row>
    <row r="288" spans="1:11" x14ac:dyDescent="0.35">
      <c r="A288" t="s">
        <v>242</v>
      </c>
      <c r="B288" t="s">
        <v>1068</v>
      </c>
      <c r="C288" t="s">
        <v>4577</v>
      </c>
      <c r="D288" t="s">
        <v>4572</v>
      </c>
      <c r="E288">
        <v>1000</v>
      </c>
      <c r="F288" t="s">
        <v>2113</v>
      </c>
      <c r="G288" t="s">
        <v>2099</v>
      </c>
      <c r="H288">
        <v>4.8000000000000001E-2</v>
      </c>
      <c r="I288" t="s">
        <v>3481</v>
      </c>
      <c r="J288" s="57">
        <v>44634</v>
      </c>
      <c r="K288" t="s">
        <v>1947</v>
      </c>
    </row>
    <row r="289" spans="1:11" x14ac:dyDescent="0.35">
      <c r="A289" t="s">
        <v>776</v>
      </c>
      <c r="B289" t="s">
        <v>1600</v>
      </c>
      <c r="C289" t="s">
        <v>3257</v>
      </c>
      <c r="D289" t="s">
        <v>2574</v>
      </c>
      <c r="E289">
        <v>0</v>
      </c>
      <c r="F289" t="s">
        <v>2680</v>
      </c>
      <c r="G289" t="s">
        <v>3465</v>
      </c>
      <c r="H289">
        <v>1E-3</v>
      </c>
      <c r="I289" t="s">
        <v>3480</v>
      </c>
      <c r="J289" s="57">
        <v>44573</v>
      </c>
      <c r="K289" t="s">
        <v>3460</v>
      </c>
    </row>
    <row r="290" spans="1:11" x14ac:dyDescent="0.35">
      <c r="A290" t="s">
        <v>169</v>
      </c>
      <c r="B290" t="s">
        <v>998</v>
      </c>
      <c r="C290" t="s">
        <v>2755</v>
      </c>
      <c r="D290" t="s">
        <v>2574</v>
      </c>
      <c r="E290">
        <v>0</v>
      </c>
      <c r="F290" t="s">
        <v>2599</v>
      </c>
      <c r="G290" t="s">
        <v>3464</v>
      </c>
      <c r="H290">
        <v>1.1000000000000001E-3</v>
      </c>
      <c r="I290" t="s">
        <v>3480</v>
      </c>
      <c r="J290" s="57">
        <v>44573</v>
      </c>
      <c r="K290" t="s">
        <v>3460</v>
      </c>
    </row>
    <row r="291" spans="1:11" x14ac:dyDescent="0.35">
      <c r="A291" t="s">
        <v>477</v>
      </c>
      <c r="B291" t="s">
        <v>1301</v>
      </c>
      <c r="C291" t="s">
        <v>3011</v>
      </c>
      <c r="D291" t="s">
        <v>2629</v>
      </c>
      <c r="E291">
        <v>1000</v>
      </c>
      <c r="F291" t="s">
        <v>2113</v>
      </c>
      <c r="G291" t="s">
        <v>2099</v>
      </c>
      <c r="H291">
        <v>1.2999999999999999E-2</v>
      </c>
      <c r="I291" t="s">
        <v>3481</v>
      </c>
      <c r="J291" s="57">
        <v>44573</v>
      </c>
      <c r="K291" t="s">
        <v>1947</v>
      </c>
    </row>
    <row r="292" spans="1:11" x14ac:dyDescent="0.35">
      <c r="A292" t="s">
        <v>103</v>
      </c>
      <c r="B292" t="s">
        <v>932</v>
      </c>
      <c r="C292" t="s">
        <v>2699</v>
      </c>
      <c r="D292" t="s">
        <v>2581</v>
      </c>
      <c r="E292">
        <v>1000</v>
      </c>
      <c r="F292" t="s">
        <v>2113</v>
      </c>
      <c r="G292" t="s">
        <v>2099</v>
      </c>
      <c r="H292">
        <v>0.89</v>
      </c>
      <c r="I292" t="s">
        <v>3481</v>
      </c>
      <c r="J292" s="57">
        <v>44573</v>
      </c>
      <c r="K292" t="s">
        <v>1947</v>
      </c>
    </row>
    <row r="293" spans="1:11" x14ac:dyDescent="0.35">
      <c r="A293" t="s">
        <v>42</v>
      </c>
      <c r="B293" t="s">
        <v>871</v>
      </c>
      <c r="H293" t="s">
        <v>1879</v>
      </c>
    </row>
    <row r="294" spans="1:11" x14ac:dyDescent="0.35">
      <c r="A294" t="s">
        <v>218</v>
      </c>
      <c r="B294" t="s">
        <v>1045</v>
      </c>
      <c r="C294" t="s">
        <v>2799</v>
      </c>
      <c r="D294" t="s">
        <v>2629</v>
      </c>
      <c r="E294">
        <v>1000</v>
      </c>
      <c r="F294" t="s">
        <v>2113</v>
      </c>
      <c r="G294" t="s">
        <v>2099</v>
      </c>
      <c r="H294">
        <v>8.5000000000000006E-2</v>
      </c>
      <c r="I294" t="s">
        <v>3481</v>
      </c>
      <c r="J294" s="57">
        <v>44573</v>
      </c>
      <c r="K294" t="s">
        <v>1947</v>
      </c>
    </row>
    <row r="295" spans="1:11" x14ac:dyDescent="0.35">
      <c r="A295" t="s">
        <v>435</v>
      </c>
      <c r="B295" t="s">
        <v>1259</v>
      </c>
      <c r="C295" t="s">
        <v>2970</v>
      </c>
      <c r="D295" t="s">
        <v>2574</v>
      </c>
      <c r="E295">
        <v>0</v>
      </c>
      <c r="F295" t="s">
        <v>2579</v>
      </c>
      <c r="G295" t="s">
        <v>3464</v>
      </c>
      <c r="H295">
        <v>2.8999999999999998E-3</v>
      </c>
      <c r="I295" t="s">
        <v>3480</v>
      </c>
      <c r="J295" s="57">
        <v>44573</v>
      </c>
      <c r="K295" t="s">
        <v>3460</v>
      </c>
    </row>
    <row r="296" spans="1:11" x14ac:dyDescent="0.35">
      <c r="A296" t="s">
        <v>818</v>
      </c>
      <c r="B296" t="s">
        <v>1641</v>
      </c>
      <c r="H296" t="s">
        <v>1879</v>
      </c>
    </row>
    <row r="297" spans="1:11" x14ac:dyDescent="0.35">
      <c r="A297" t="s">
        <v>126</v>
      </c>
      <c r="B297" t="s">
        <v>955</v>
      </c>
      <c r="C297" t="s">
        <v>2720</v>
      </c>
      <c r="D297" t="s">
        <v>2581</v>
      </c>
      <c r="E297">
        <v>1000</v>
      </c>
      <c r="F297" t="s">
        <v>2113</v>
      </c>
      <c r="G297" t="s">
        <v>2099</v>
      </c>
      <c r="H297">
        <v>2.4E-2</v>
      </c>
      <c r="I297" t="s">
        <v>3481</v>
      </c>
      <c r="J297" s="57">
        <v>44573</v>
      </c>
      <c r="K297" t="s">
        <v>1947</v>
      </c>
    </row>
    <row r="298" spans="1:11" x14ac:dyDescent="0.35">
      <c r="A298" t="s">
        <v>269</v>
      </c>
      <c r="B298" t="s">
        <v>1095</v>
      </c>
      <c r="C298" t="s">
        <v>2841</v>
      </c>
      <c r="D298" t="s">
        <v>2842</v>
      </c>
      <c r="E298">
        <v>1000</v>
      </c>
      <c r="F298" t="s">
        <v>2113</v>
      </c>
      <c r="G298" t="s">
        <v>2099</v>
      </c>
      <c r="H298">
        <v>0.84</v>
      </c>
      <c r="I298" t="s">
        <v>3481</v>
      </c>
      <c r="J298" s="57">
        <v>44573</v>
      </c>
      <c r="K298" t="s">
        <v>1947</v>
      </c>
    </row>
    <row r="299" spans="1:11" x14ac:dyDescent="0.35">
      <c r="A299" t="s">
        <v>56</v>
      </c>
      <c r="B299" t="s">
        <v>885</v>
      </c>
      <c r="C299" t="s">
        <v>2647</v>
      </c>
      <c r="D299" t="s">
        <v>2574</v>
      </c>
      <c r="E299">
        <v>0</v>
      </c>
      <c r="F299" t="s">
        <v>2116</v>
      </c>
      <c r="G299" t="s">
        <v>3471</v>
      </c>
      <c r="H299">
        <v>8.8999999999999996E-2</v>
      </c>
      <c r="I299" t="s">
        <v>3480</v>
      </c>
      <c r="J299" s="57">
        <v>44573</v>
      </c>
      <c r="K299" t="s">
        <v>3460</v>
      </c>
    </row>
    <row r="300" spans="1:11" x14ac:dyDescent="0.35">
      <c r="A300" t="s">
        <v>277</v>
      </c>
      <c r="B300" t="s">
        <v>1103</v>
      </c>
      <c r="C300" t="s">
        <v>4578</v>
      </c>
      <c r="D300" t="s">
        <v>2593</v>
      </c>
      <c r="E300">
        <v>1000</v>
      </c>
      <c r="F300" t="s">
        <v>2113</v>
      </c>
      <c r="G300" t="s">
        <v>2099</v>
      </c>
      <c r="H300">
        <v>0.04</v>
      </c>
      <c r="I300" t="s">
        <v>3481</v>
      </c>
      <c r="J300" s="57">
        <v>44634</v>
      </c>
      <c r="K300" t="s">
        <v>1947</v>
      </c>
    </row>
    <row r="301" spans="1:11" x14ac:dyDescent="0.35">
      <c r="A301" t="s">
        <v>276</v>
      </c>
      <c r="B301" t="s">
        <v>1102</v>
      </c>
      <c r="C301" t="s">
        <v>4579</v>
      </c>
      <c r="D301" t="s">
        <v>2593</v>
      </c>
      <c r="E301">
        <v>1000</v>
      </c>
      <c r="F301" t="s">
        <v>2113</v>
      </c>
      <c r="G301" t="s">
        <v>2099</v>
      </c>
      <c r="H301">
        <v>4.7000000000000002E-3</v>
      </c>
      <c r="I301" t="s">
        <v>3481</v>
      </c>
      <c r="J301" s="57">
        <v>44634</v>
      </c>
      <c r="K301" t="s">
        <v>1947</v>
      </c>
    </row>
    <row r="302" spans="1:11" x14ac:dyDescent="0.35">
      <c r="A302" t="s">
        <v>202</v>
      </c>
      <c r="B302" t="s">
        <v>1030</v>
      </c>
      <c r="C302" t="s">
        <v>2785</v>
      </c>
      <c r="D302" t="s">
        <v>2748</v>
      </c>
      <c r="E302">
        <v>50</v>
      </c>
      <c r="F302" t="s">
        <v>2140</v>
      </c>
      <c r="G302" t="s">
        <v>2099</v>
      </c>
      <c r="H302">
        <v>16</v>
      </c>
      <c r="I302" t="s">
        <v>3480</v>
      </c>
      <c r="J302" s="57">
        <v>44573</v>
      </c>
      <c r="K302" t="s">
        <v>3460</v>
      </c>
    </row>
    <row r="303" spans="1:11" x14ac:dyDescent="0.35">
      <c r="A303" t="s">
        <v>685</v>
      </c>
      <c r="B303" t="s">
        <v>1509</v>
      </c>
      <c r="C303" t="s">
        <v>4024</v>
      </c>
      <c r="D303" t="s">
        <v>4025</v>
      </c>
      <c r="E303">
        <v>20</v>
      </c>
      <c r="F303" t="s">
        <v>2116</v>
      </c>
      <c r="G303" s="53" t="s">
        <v>3471</v>
      </c>
      <c r="H303">
        <v>0.12</v>
      </c>
      <c r="I303" t="s">
        <v>3480</v>
      </c>
      <c r="J303" s="57">
        <v>44573</v>
      </c>
      <c r="K303" t="s">
        <v>1947</v>
      </c>
    </row>
    <row r="304" spans="1:11" x14ac:dyDescent="0.35">
      <c r="A304" t="s">
        <v>686</v>
      </c>
      <c r="B304" t="s">
        <v>1510</v>
      </c>
      <c r="C304" t="s">
        <v>3203</v>
      </c>
      <c r="D304" t="s">
        <v>2629</v>
      </c>
      <c r="E304">
        <v>1000</v>
      </c>
      <c r="F304" t="s">
        <v>2113</v>
      </c>
      <c r="G304" t="s">
        <v>2099</v>
      </c>
      <c r="H304">
        <v>4.7E-2</v>
      </c>
      <c r="I304" t="s">
        <v>3481</v>
      </c>
      <c r="J304" s="57">
        <v>44573</v>
      </c>
      <c r="K304" t="s">
        <v>1947</v>
      </c>
    </row>
    <row r="305" spans="1:11" x14ac:dyDescent="0.35">
      <c r="A305" t="s">
        <v>480</v>
      </c>
      <c r="B305" t="s">
        <v>1304</v>
      </c>
      <c r="C305" t="s">
        <v>3014</v>
      </c>
      <c r="D305" t="s">
        <v>2581</v>
      </c>
      <c r="E305">
        <v>1000</v>
      </c>
      <c r="F305" t="s">
        <v>2113</v>
      </c>
      <c r="G305" t="s">
        <v>2099</v>
      </c>
      <c r="H305">
        <v>1.7</v>
      </c>
      <c r="I305" t="s">
        <v>3481</v>
      </c>
      <c r="J305" s="57">
        <v>44573</v>
      </c>
      <c r="K305" t="s">
        <v>1947</v>
      </c>
    </row>
    <row r="306" spans="1:11" x14ac:dyDescent="0.35">
      <c r="A306" t="s">
        <v>429</v>
      </c>
      <c r="B306" t="s">
        <v>1253</v>
      </c>
      <c r="C306" t="s">
        <v>2966</v>
      </c>
      <c r="D306" t="s">
        <v>2583</v>
      </c>
      <c r="E306">
        <v>1000</v>
      </c>
      <c r="F306" t="s">
        <v>2113</v>
      </c>
      <c r="G306" t="s">
        <v>2099</v>
      </c>
      <c r="H306">
        <v>1.17</v>
      </c>
      <c r="I306" t="s">
        <v>3481</v>
      </c>
      <c r="J306" s="57">
        <v>44573</v>
      </c>
      <c r="K306" t="s">
        <v>1947</v>
      </c>
    </row>
    <row r="307" spans="1:11" x14ac:dyDescent="0.35">
      <c r="A307" t="s">
        <v>44</v>
      </c>
      <c r="B307" t="s">
        <v>873</v>
      </c>
      <c r="C307" t="s">
        <v>2633</v>
      </c>
      <c r="D307" t="s">
        <v>2581</v>
      </c>
      <c r="E307">
        <v>1000</v>
      </c>
      <c r="F307" t="s">
        <v>2113</v>
      </c>
      <c r="G307" t="s">
        <v>2099</v>
      </c>
      <c r="H307">
        <v>16.5</v>
      </c>
      <c r="I307" t="s">
        <v>3481</v>
      </c>
      <c r="J307" s="57">
        <v>44573</v>
      </c>
      <c r="K307" t="s">
        <v>1947</v>
      </c>
    </row>
    <row r="308" spans="1:11" x14ac:dyDescent="0.35">
      <c r="A308" t="s">
        <v>308</v>
      </c>
      <c r="B308" t="s">
        <v>1133</v>
      </c>
      <c r="C308" t="s">
        <v>2873</v>
      </c>
      <c r="D308" t="s">
        <v>2874</v>
      </c>
      <c r="E308">
        <v>1000</v>
      </c>
      <c r="F308" t="s">
        <v>2113</v>
      </c>
      <c r="G308" t="s">
        <v>2099</v>
      </c>
      <c r="H308">
        <v>2.83</v>
      </c>
      <c r="I308" t="s">
        <v>3481</v>
      </c>
      <c r="J308" s="57">
        <v>44573</v>
      </c>
      <c r="K308" t="s">
        <v>1947</v>
      </c>
    </row>
    <row r="309" spans="1:11" x14ac:dyDescent="0.35">
      <c r="A309" t="s">
        <v>173</v>
      </c>
      <c r="B309" t="s">
        <v>1002</v>
      </c>
      <c r="C309" t="s">
        <v>2759</v>
      </c>
      <c r="D309" t="s">
        <v>2581</v>
      </c>
      <c r="E309">
        <v>1000</v>
      </c>
      <c r="F309" t="s">
        <v>2113</v>
      </c>
      <c r="G309" t="s">
        <v>2099</v>
      </c>
      <c r="H309">
        <v>2.86</v>
      </c>
      <c r="I309" t="s">
        <v>3481</v>
      </c>
      <c r="J309" s="57">
        <v>44573</v>
      </c>
      <c r="K309" t="s">
        <v>1947</v>
      </c>
    </row>
    <row r="310" spans="1:11" x14ac:dyDescent="0.35">
      <c r="A310" t="s">
        <v>618</v>
      </c>
      <c r="B310" t="s">
        <v>1442</v>
      </c>
      <c r="C310" t="s">
        <v>4580</v>
      </c>
      <c r="D310" t="s">
        <v>2593</v>
      </c>
      <c r="E310">
        <v>1000</v>
      </c>
      <c r="F310" t="s">
        <v>2113</v>
      </c>
      <c r="G310" t="s">
        <v>2099</v>
      </c>
      <c r="H310">
        <v>3.21</v>
      </c>
      <c r="I310" t="s">
        <v>3481</v>
      </c>
      <c r="J310" s="57">
        <v>44664</v>
      </c>
      <c r="K310" t="s">
        <v>1947</v>
      </c>
    </row>
    <row r="311" spans="1:11" x14ac:dyDescent="0.35">
      <c r="A311" s="26" t="s">
        <v>3361</v>
      </c>
      <c r="B311" s="26" t="s">
        <v>3362</v>
      </c>
      <c r="C311" s="26" t="s">
        <v>4026</v>
      </c>
      <c r="D311" s="26" t="s">
        <v>1879</v>
      </c>
      <c r="E311" s="26">
        <v>0</v>
      </c>
      <c r="F311" s="26" t="s">
        <v>2680</v>
      </c>
      <c r="G311" s="26" t="s">
        <v>3470</v>
      </c>
      <c r="H311" s="26">
        <v>0.2</v>
      </c>
      <c r="I311" s="26" t="s">
        <v>3480</v>
      </c>
      <c r="J311" s="57">
        <v>44573</v>
      </c>
      <c r="K311" t="s">
        <v>1947</v>
      </c>
    </row>
    <row r="312" spans="1:11" x14ac:dyDescent="0.35">
      <c r="A312" t="s">
        <v>416</v>
      </c>
      <c r="B312" t="s">
        <v>1240</v>
      </c>
      <c r="C312" t="s">
        <v>2954</v>
      </c>
      <c r="D312" t="s">
        <v>2581</v>
      </c>
      <c r="E312">
        <v>1000</v>
      </c>
      <c r="F312" t="s">
        <v>2113</v>
      </c>
      <c r="G312" t="s">
        <v>2099</v>
      </c>
      <c r="H312">
        <v>0.03</v>
      </c>
      <c r="I312" t="s">
        <v>3481</v>
      </c>
      <c r="J312" s="57">
        <v>44573</v>
      </c>
      <c r="K312" t="s">
        <v>1947</v>
      </c>
    </row>
    <row r="313" spans="1:11" x14ac:dyDescent="0.35">
      <c r="A313" t="s">
        <v>756</v>
      </c>
      <c r="B313" t="s">
        <v>1580</v>
      </c>
      <c r="C313" t="s">
        <v>3241</v>
      </c>
      <c r="D313" t="s">
        <v>2629</v>
      </c>
      <c r="E313">
        <v>1000</v>
      </c>
      <c r="F313" t="s">
        <v>2113</v>
      </c>
      <c r="G313" t="s">
        <v>2099</v>
      </c>
      <c r="H313">
        <v>1.6E-2</v>
      </c>
      <c r="I313" t="s">
        <v>3481</v>
      </c>
      <c r="J313" s="57">
        <v>44573</v>
      </c>
      <c r="K313" t="s">
        <v>1947</v>
      </c>
    </row>
    <row r="314" spans="1:11" x14ac:dyDescent="0.35">
      <c r="A314" t="s">
        <v>219</v>
      </c>
      <c r="B314" t="s">
        <v>1046</v>
      </c>
      <c r="C314" t="s">
        <v>2800</v>
      </c>
      <c r="D314" t="s">
        <v>2801</v>
      </c>
      <c r="E314">
        <v>100</v>
      </c>
      <c r="F314" t="s">
        <v>2140</v>
      </c>
      <c r="G314" s="53" t="s">
        <v>2099</v>
      </c>
      <c r="H314">
        <v>0.18</v>
      </c>
      <c r="I314" t="s">
        <v>3480</v>
      </c>
      <c r="J314" s="57">
        <v>44573</v>
      </c>
      <c r="K314" t="s">
        <v>3460</v>
      </c>
    </row>
    <row r="315" spans="1:11" x14ac:dyDescent="0.35">
      <c r="A315" t="s">
        <v>687</v>
      </c>
      <c r="B315" t="s">
        <v>1511</v>
      </c>
      <c r="C315" t="s">
        <v>3204</v>
      </c>
      <c r="D315" t="s">
        <v>2629</v>
      </c>
      <c r="E315">
        <v>1000</v>
      </c>
      <c r="F315" t="s">
        <v>2113</v>
      </c>
      <c r="G315" t="s">
        <v>2099</v>
      </c>
      <c r="H315">
        <v>2.46</v>
      </c>
      <c r="I315" t="s">
        <v>3481</v>
      </c>
      <c r="J315" s="57">
        <v>44573</v>
      </c>
      <c r="K315" t="s">
        <v>1947</v>
      </c>
    </row>
    <row r="316" spans="1:11" x14ac:dyDescent="0.35">
      <c r="A316" t="s">
        <v>113</v>
      </c>
      <c r="B316" t="s">
        <v>942</v>
      </c>
      <c r="C316" t="s">
        <v>2707</v>
      </c>
      <c r="D316" t="s">
        <v>2583</v>
      </c>
      <c r="E316">
        <v>1000</v>
      </c>
      <c r="F316" t="s">
        <v>2113</v>
      </c>
      <c r="G316" t="s">
        <v>2099</v>
      </c>
      <c r="H316">
        <v>7.19</v>
      </c>
      <c r="I316" t="s">
        <v>3481</v>
      </c>
      <c r="J316" s="57">
        <v>44573</v>
      </c>
      <c r="K316" t="s">
        <v>1947</v>
      </c>
    </row>
    <row r="317" spans="1:11" x14ac:dyDescent="0.35">
      <c r="A317" t="s">
        <v>688</v>
      </c>
      <c r="B317" t="s">
        <v>1512</v>
      </c>
      <c r="C317" t="s">
        <v>3205</v>
      </c>
      <c r="D317" t="s">
        <v>2629</v>
      </c>
      <c r="E317">
        <v>1000</v>
      </c>
      <c r="F317" t="s">
        <v>2113</v>
      </c>
      <c r="G317" t="s">
        <v>2099</v>
      </c>
      <c r="H317">
        <v>7.1999999999999998E-3</v>
      </c>
      <c r="I317" t="s">
        <v>3481</v>
      </c>
      <c r="J317" s="57">
        <v>44573</v>
      </c>
      <c r="K317" t="s">
        <v>1947</v>
      </c>
    </row>
    <row r="318" spans="1:11" x14ac:dyDescent="0.35">
      <c r="A318" t="s">
        <v>330</v>
      </c>
      <c r="B318" t="s">
        <v>1155</v>
      </c>
      <c r="H318" t="s">
        <v>1879</v>
      </c>
    </row>
    <row r="319" spans="1:11" x14ac:dyDescent="0.35">
      <c r="A319" t="s">
        <v>260</v>
      </c>
      <c r="B319" t="s">
        <v>1086</v>
      </c>
      <c r="C319" t="s">
        <v>2835</v>
      </c>
      <c r="D319" t="s">
        <v>2581</v>
      </c>
      <c r="E319">
        <v>1000</v>
      </c>
      <c r="F319" t="s">
        <v>2113</v>
      </c>
      <c r="G319" t="s">
        <v>2099</v>
      </c>
      <c r="H319">
        <v>28.1</v>
      </c>
      <c r="I319" t="s">
        <v>3481</v>
      </c>
      <c r="J319" s="57">
        <v>44573</v>
      </c>
      <c r="K319" t="s">
        <v>1947</v>
      </c>
    </row>
    <row r="320" spans="1:11" x14ac:dyDescent="0.35">
      <c r="A320" t="s">
        <v>295</v>
      </c>
      <c r="B320" t="s">
        <v>1120</v>
      </c>
      <c r="C320" t="s">
        <v>2862</v>
      </c>
      <c r="D320" t="s">
        <v>2863</v>
      </c>
      <c r="E320">
        <v>100</v>
      </c>
      <c r="F320" t="s">
        <v>2140</v>
      </c>
      <c r="G320" s="53" t="s">
        <v>2099</v>
      </c>
      <c r="H320">
        <v>10</v>
      </c>
      <c r="I320" t="s">
        <v>3480</v>
      </c>
      <c r="J320" s="57">
        <v>44573</v>
      </c>
      <c r="K320" t="s">
        <v>3460</v>
      </c>
    </row>
    <row r="321" spans="1:11" x14ac:dyDescent="0.35">
      <c r="A321" t="s">
        <v>194</v>
      </c>
      <c r="B321" t="s">
        <v>1022</v>
      </c>
      <c r="C321" t="s">
        <v>2779</v>
      </c>
      <c r="D321" t="s">
        <v>2577</v>
      </c>
      <c r="E321">
        <v>1000</v>
      </c>
      <c r="F321" t="s">
        <v>2113</v>
      </c>
      <c r="G321" t="s">
        <v>2099</v>
      </c>
      <c r="H321">
        <v>18.3</v>
      </c>
      <c r="I321" t="s">
        <v>3481</v>
      </c>
      <c r="J321" s="57">
        <v>44573</v>
      </c>
      <c r="K321" t="s">
        <v>1947</v>
      </c>
    </row>
    <row r="322" spans="1:11" x14ac:dyDescent="0.35">
      <c r="A322" t="s">
        <v>2</v>
      </c>
      <c r="B322" t="s">
        <v>831</v>
      </c>
      <c r="C322" t="s">
        <v>2578</v>
      </c>
      <c r="D322" t="s">
        <v>2574</v>
      </c>
      <c r="E322">
        <v>0</v>
      </c>
      <c r="F322" t="s">
        <v>3461</v>
      </c>
      <c r="G322" t="s">
        <v>3463</v>
      </c>
      <c r="H322">
        <v>22</v>
      </c>
      <c r="I322" t="s">
        <v>3480</v>
      </c>
      <c r="J322" s="57">
        <v>44573</v>
      </c>
      <c r="K322" t="s">
        <v>3460</v>
      </c>
    </row>
    <row r="323" spans="1:11" x14ac:dyDescent="0.35">
      <c r="A323" t="s">
        <v>436</v>
      </c>
      <c r="B323" t="s">
        <v>1260</v>
      </c>
      <c r="C323" t="s">
        <v>2971</v>
      </c>
      <c r="D323" t="s">
        <v>2574</v>
      </c>
      <c r="E323">
        <v>0</v>
      </c>
      <c r="F323" t="s">
        <v>2972</v>
      </c>
      <c r="G323" t="s">
        <v>3464</v>
      </c>
      <c r="H323">
        <v>0.19</v>
      </c>
      <c r="I323" t="s">
        <v>3480</v>
      </c>
      <c r="J323" s="57">
        <v>44573</v>
      </c>
      <c r="K323" t="s">
        <v>3460</v>
      </c>
    </row>
    <row r="324" spans="1:11" x14ac:dyDescent="0.35">
      <c r="A324" t="s">
        <v>654</v>
      </c>
      <c r="B324" t="s">
        <v>1478</v>
      </c>
      <c r="C324" t="s">
        <v>3179</v>
      </c>
      <c r="D324" t="s">
        <v>2661</v>
      </c>
      <c r="E324">
        <v>1000</v>
      </c>
      <c r="F324" t="s">
        <v>2113</v>
      </c>
      <c r="G324" t="s">
        <v>2099</v>
      </c>
      <c r="H324">
        <v>69</v>
      </c>
      <c r="I324" t="s">
        <v>3481</v>
      </c>
      <c r="J324" s="57">
        <v>44573</v>
      </c>
      <c r="K324" t="s">
        <v>1947</v>
      </c>
    </row>
    <row r="325" spans="1:11" x14ac:dyDescent="0.35">
      <c r="A325" t="s">
        <v>591</v>
      </c>
      <c r="B325" t="s">
        <v>1415</v>
      </c>
      <c r="C325" t="s">
        <v>3117</v>
      </c>
      <c r="D325" t="s">
        <v>2619</v>
      </c>
      <c r="E325">
        <v>10</v>
      </c>
      <c r="F325" t="s">
        <v>2782</v>
      </c>
      <c r="G325" s="53" t="s">
        <v>3466</v>
      </c>
      <c r="H325">
        <v>7</v>
      </c>
      <c r="I325" t="s">
        <v>3480</v>
      </c>
      <c r="J325" s="57">
        <v>44573</v>
      </c>
      <c r="K325" t="s">
        <v>3460</v>
      </c>
    </row>
    <row r="326" spans="1:11" x14ac:dyDescent="0.35">
      <c r="A326" t="s">
        <v>7</v>
      </c>
      <c r="B326" t="s">
        <v>836</v>
      </c>
      <c r="H326" t="s">
        <v>1879</v>
      </c>
    </row>
    <row r="327" spans="1:11" x14ac:dyDescent="0.35">
      <c r="A327" t="s">
        <v>290</v>
      </c>
      <c r="B327" t="s">
        <v>1115</v>
      </c>
      <c r="C327" t="s">
        <v>2858</v>
      </c>
      <c r="D327" t="s">
        <v>2577</v>
      </c>
      <c r="E327">
        <v>1000</v>
      </c>
      <c r="F327" t="s">
        <v>2113</v>
      </c>
      <c r="G327" t="s">
        <v>2099</v>
      </c>
      <c r="H327">
        <v>6.96</v>
      </c>
      <c r="I327" t="s">
        <v>3481</v>
      </c>
      <c r="J327" s="57">
        <v>44573</v>
      </c>
      <c r="K327" t="s">
        <v>1947</v>
      </c>
    </row>
    <row r="328" spans="1:11" x14ac:dyDescent="0.35">
      <c r="A328" t="s">
        <v>152</v>
      </c>
      <c r="B328" t="s">
        <v>981</v>
      </c>
      <c r="H328" t="s">
        <v>1879</v>
      </c>
    </row>
    <row r="329" spans="1:11" x14ac:dyDescent="0.35">
      <c r="A329" t="s">
        <v>427</v>
      </c>
      <c r="B329" t="s">
        <v>1251</v>
      </c>
      <c r="C329" t="s">
        <v>2964</v>
      </c>
      <c r="D329" t="s">
        <v>2581</v>
      </c>
      <c r="E329">
        <v>1000</v>
      </c>
      <c r="F329" t="s">
        <v>2113</v>
      </c>
      <c r="G329" t="s">
        <v>2099</v>
      </c>
      <c r="H329">
        <v>1.45</v>
      </c>
      <c r="I329" t="s">
        <v>3481</v>
      </c>
      <c r="J329" s="57">
        <v>44573</v>
      </c>
      <c r="K329" t="s">
        <v>1947</v>
      </c>
    </row>
    <row r="330" spans="1:11" x14ac:dyDescent="0.35">
      <c r="A330" t="s">
        <v>689</v>
      </c>
      <c r="B330" t="s">
        <v>1513</v>
      </c>
      <c r="C330" t="s">
        <v>3206</v>
      </c>
      <c r="D330" t="s">
        <v>2581</v>
      </c>
      <c r="E330">
        <v>1000</v>
      </c>
      <c r="F330" t="s">
        <v>2113</v>
      </c>
      <c r="G330" t="s">
        <v>2099</v>
      </c>
      <c r="H330">
        <v>0.22</v>
      </c>
      <c r="I330" t="s">
        <v>3481</v>
      </c>
      <c r="J330" s="57">
        <v>44573</v>
      </c>
      <c r="K330" t="s">
        <v>1947</v>
      </c>
    </row>
    <row r="331" spans="1:11" x14ac:dyDescent="0.35">
      <c r="A331" t="s">
        <v>785</v>
      </c>
      <c r="B331" t="s">
        <v>1608</v>
      </c>
      <c r="H331" t="s">
        <v>1879</v>
      </c>
    </row>
    <row r="332" spans="1:11" x14ac:dyDescent="0.35">
      <c r="A332" t="s">
        <v>825</v>
      </c>
      <c r="B332" t="s">
        <v>1647</v>
      </c>
      <c r="C332" t="s">
        <v>3269</v>
      </c>
      <c r="D332" t="s">
        <v>2577</v>
      </c>
      <c r="E332">
        <v>1000</v>
      </c>
      <c r="F332" t="s">
        <v>2113</v>
      </c>
      <c r="G332" t="s">
        <v>2099</v>
      </c>
      <c r="H332">
        <v>0.54</v>
      </c>
      <c r="I332" t="s">
        <v>3481</v>
      </c>
      <c r="J332" s="57">
        <v>44573</v>
      </c>
      <c r="K332" t="s">
        <v>1947</v>
      </c>
    </row>
    <row r="333" spans="1:11" x14ac:dyDescent="0.35">
      <c r="A333" s="26" t="s">
        <v>3338</v>
      </c>
      <c r="B333" s="26" t="s">
        <v>3339</v>
      </c>
      <c r="C333" s="26"/>
      <c r="D333" s="26"/>
      <c r="E333" s="26"/>
      <c r="F333" s="26"/>
      <c r="G333" s="26"/>
      <c r="H333" t="s">
        <v>1879</v>
      </c>
      <c r="I333" s="26"/>
      <c r="J333" s="26"/>
      <c r="K333" s="26"/>
    </row>
    <row r="334" spans="1:11" x14ac:dyDescent="0.35">
      <c r="A334" s="26" t="s">
        <v>3377</v>
      </c>
      <c r="B334" s="26" t="s">
        <v>3339</v>
      </c>
      <c r="C334" s="26"/>
      <c r="D334" s="26"/>
      <c r="E334" s="26"/>
      <c r="F334" s="26"/>
      <c r="G334" s="26"/>
      <c r="H334" t="s">
        <v>1879</v>
      </c>
      <c r="I334" s="26"/>
      <c r="J334" s="26"/>
      <c r="K334" s="26"/>
    </row>
    <row r="335" spans="1:11" x14ac:dyDescent="0.35">
      <c r="A335" t="s">
        <v>581</v>
      </c>
      <c r="B335" t="s">
        <v>1405</v>
      </c>
      <c r="C335" t="s">
        <v>3108</v>
      </c>
      <c r="D335" t="s">
        <v>2577</v>
      </c>
      <c r="E335">
        <v>1000</v>
      </c>
      <c r="F335" t="s">
        <v>2113</v>
      </c>
      <c r="G335" t="s">
        <v>2099</v>
      </c>
      <c r="H335">
        <v>4.04</v>
      </c>
      <c r="I335" t="s">
        <v>3481</v>
      </c>
      <c r="J335" s="57">
        <v>44573</v>
      </c>
      <c r="K335" t="s">
        <v>1947</v>
      </c>
    </row>
    <row r="336" spans="1:11" x14ac:dyDescent="0.35">
      <c r="A336" t="s">
        <v>558</v>
      </c>
      <c r="B336" t="s">
        <v>1382</v>
      </c>
      <c r="C336" t="s">
        <v>3086</v>
      </c>
      <c r="D336" t="s">
        <v>2574</v>
      </c>
      <c r="E336">
        <v>0</v>
      </c>
      <c r="F336" t="s">
        <v>2680</v>
      </c>
      <c r="G336" t="s">
        <v>3465</v>
      </c>
      <c r="H336">
        <v>88</v>
      </c>
      <c r="I336" t="s">
        <v>3480</v>
      </c>
      <c r="J336" s="57">
        <v>44573</v>
      </c>
      <c r="K336" t="s">
        <v>3460</v>
      </c>
    </row>
    <row r="337" spans="1:11" x14ac:dyDescent="0.35">
      <c r="A337" t="s">
        <v>180</v>
      </c>
      <c r="B337" t="s">
        <v>1009</v>
      </c>
      <c r="C337" t="s">
        <v>2764</v>
      </c>
      <c r="D337" t="s">
        <v>2765</v>
      </c>
      <c r="E337">
        <v>50</v>
      </c>
      <c r="F337" t="s">
        <v>2139</v>
      </c>
      <c r="G337" t="s">
        <v>3468</v>
      </c>
      <c r="H337">
        <v>0.6</v>
      </c>
      <c r="I337" t="s">
        <v>3480</v>
      </c>
      <c r="J337" s="57">
        <v>44573</v>
      </c>
      <c r="K337" t="s">
        <v>3460</v>
      </c>
    </row>
    <row r="338" spans="1:11" x14ac:dyDescent="0.35">
      <c r="A338" s="26" t="s">
        <v>3340</v>
      </c>
      <c r="B338" s="26" t="s">
        <v>3341</v>
      </c>
      <c r="C338" s="26"/>
      <c r="D338" s="26"/>
      <c r="E338" s="26"/>
      <c r="F338" s="26"/>
      <c r="G338" s="26"/>
      <c r="H338" t="s">
        <v>1879</v>
      </c>
      <c r="I338" s="26"/>
      <c r="J338" s="26"/>
      <c r="K338" s="26"/>
    </row>
    <row r="339" spans="1:11" x14ac:dyDescent="0.35">
      <c r="A339" s="26" t="s">
        <v>3378</v>
      </c>
      <c r="B339" s="26" t="s">
        <v>3341</v>
      </c>
      <c r="C339" s="26"/>
      <c r="D339" s="26"/>
      <c r="E339" s="26"/>
      <c r="F339" s="26"/>
      <c r="G339" s="26"/>
      <c r="H339" t="s">
        <v>1879</v>
      </c>
      <c r="I339" s="26"/>
      <c r="J339" s="26"/>
      <c r="K339" s="26"/>
    </row>
    <row r="340" spans="1:11" x14ac:dyDescent="0.35">
      <c r="A340" t="s">
        <v>656</v>
      </c>
      <c r="B340" t="s">
        <v>1480</v>
      </c>
      <c r="C340" t="s">
        <v>3181</v>
      </c>
      <c r="D340" t="s">
        <v>2583</v>
      </c>
      <c r="E340">
        <v>1000</v>
      </c>
      <c r="F340" t="s">
        <v>2113</v>
      </c>
      <c r="G340" t="s">
        <v>2099</v>
      </c>
      <c r="H340">
        <v>0.39</v>
      </c>
      <c r="I340" t="s">
        <v>3481</v>
      </c>
      <c r="J340" s="57">
        <v>44573</v>
      </c>
      <c r="K340" t="s">
        <v>1947</v>
      </c>
    </row>
    <row r="341" spans="1:11" x14ac:dyDescent="0.35">
      <c r="A341" t="s">
        <v>354</v>
      </c>
      <c r="B341" t="s">
        <v>1178</v>
      </c>
      <c r="H341" t="s">
        <v>1879</v>
      </c>
    </row>
    <row r="342" spans="1:11" x14ac:dyDescent="0.35">
      <c r="A342" t="s">
        <v>734</v>
      </c>
      <c r="B342" t="s">
        <v>1558</v>
      </c>
      <c r="C342" t="s">
        <v>3223</v>
      </c>
      <c r="D342" t="s">
        <v>2581</v>
      </c>
      <c r="E342">
        <v>1000</v>
      </c>
      <c r="F342" t="s">
        <v>2113</v>
      </c>
      <c r="G342" t="s">
        <v>2099</v>
      </c>
      <c r="H342">
        <v>0.21</v>
      </c>
      <c r="I342" t="s">
        <v>3481</v>
      </c>
      <c r="J342" s="57">
        <v>44573</v>
      </c>
      <c r="K342" t="s">
        <v>1947</v>
      </c>
    </row>
    <row r="343" spans="1:11" x14ac:dyDescent="0.35">
      <c r="A343" t="s">
        <v>579</v>
      </c>
      <c r="B343" t="s">
        <v>1403</v>
      </c>
      <c r="C343" t="s">
        <v>3105</v>
      </c>
      <c r="D343" t="s">
        <v>2574</v>
      </c>
      <c r="E343">
        <v>0</v>
      </c>
      <c r="F343" t="s">
        <v>2728</v>
      </c>
      <c r="G343" t="s">
        <v>3464</v>
      </c>
      <c r="H343">
        <v>0.14000000000000001</v>
      </c>
      <c r="I343" t="s">
        <v>3480</v>
      </c>
      <c r="J343" s="57">
        <v>44573</v>
      </c>
      <c r="K343" t="s">
        <v>3460</v>
      </c>
    </row>
    <row r="344" spans="1:11" x14ac:dyDescent="0.35">
      <c r="A344" t="s">
        <v>306</v>
      </c>
      <c r="B344" t="s">
        <v>1131</v>
      </c>
      <c r="C344" t="s">
        <v>2871</v>
      </c>
      <c r="D344" t="s">
        <v>2581</v>
      </c>
      <c r="E344">
        <v>1000</v>
      </c>
      <c r="F344" t="s">
        <v>2113</v>
      </c>
      <c r="G344" t="s">
        <v>2099</v>
      </c>
      <c r="H344">
        <v>0.36</v>
      </c>
      <c r="I344" t="s">
        <v>3481</v>
      </c>
      <c r="J344" s="57">
        <v>44573</v>
      </c>
      <c r="K344" t="s">
        <v>1947</v>
      </c>
    </row>
    <row r="345" spans="1:11" x14ac:dyDescent="0.35">
      <c r="A345" t="s">
        <v>177</v>
      </c>
      <c r="B345" t="s">
        <v>1006</v>
      </c>
      <c r="C345" t="s">
        <v>2763</v>
      </c>
      <c r="D345" t="s">
        <v>2581</v>
      </c>
      <c r="E345">
        <v>1000</v>
      </c>
      <c r="F345" t="s">
        <v>2113</v>
      </c>
      <c r="G345" t="s">
        <v>2099</v>
      </c>
      <c r="H345">
        <v>0.5</v>
      </c>
      <c r="I345" t="s">
        <v>3481</v>
      </c>
      <c r="J345" s="57">
        <v>44573</v>
      </c>
      <c r="K345" t="s">
        <v>1947</v>
      </c>
    </row>
    <row r="346" spans="1:11" x14ac:dyDescent="0.35">
      <c r="A346" t="s">
        <v>630</v>
      </c>
      <c r="B346" t="s">
        <v>1454</v>
      </c>
      <c r="C346" t="s">
        <v>3156</v>
      </c>
      <c r="D346" t="s">
        <v>2583</v>
      </c>
      <c r="E346">
        <v>1000</v>
      </c>
      <c r="F346" t="s">
        <v>2113</v>
      </c>
      <c r="G346" t="s">
        <v>2099</v>
      </c>
      <c r="H346">
        <v>0.43</v>
      </c>
      <c r="I346" t="s">
        <v>3481</v>
      </c>
      <c r="J346" s="57">
        <v>44573</v>
      </c>
      <c r="K346" t="s">
        <v>1947</v>
      </c>
    </row>
    <row r="347" spans="1:11" x14ac:dyDescent="0.35">
      <c r="A347" t="s">
        <v>417</v>
      </c>
      <c r="B347" t="s">
        <v>1241</v>
      </c>
      <c r="C347" t="s">
        <v>2955</v>
      </c>
      <c r="D347" t="s">
        <v>2629</v>
      </c>
      <c r="E347">
        <v>1000</v>
      </c>
      <c r="F347" t="s">
        <v>2113</v>
      </c>
      <c r="G347" t="s">
        <v>2099</v>
      </c>
      <c r="H347">
        <v>1.2</v>
      </c>
      <c r="I347" t="s">
        <v>3481</v>
      </c>
      <c r="J347" s="57">
        <v>44573</v>
      </c>
      <c r="K347" t="s">
        <v>1947</v>
      </c>
    </row>
    <row r="348" spans="1:11" x14ac:dyDescent="0.35">
      <c r="A348" t="s">
        <v>48</v>
      </c>
      <c r="B348" t="s">
        <v>877</v>
      </c>
      <c r="C348" t="s">
        <v>2638</v>
      </c>
      <c r="D348" t="s">
        <v>2581</v>
      </c>
      <c r="E348">
        <v>1000</v>
      </c>
      <c r="F348" t="s">
        <v>2113</v>
      </c>
      <c r="G348" t="s">
        <v>2099</v>
      </c>
      <c r="H348">
        <v>0.14000000000000001</v>
      </c>
      <c r="I348" t="s">
        <v>3481</v>
      </c>
      <c r="J348" s="57">
        <v>44573</v>
      </c>
      <c r="K348" t="s">
        <v>1947</v>
      </c>
    </row>
    <row r="349" spans="1:11" x14ac:dyDescent="0.35">
      <c r="A349" t="s">
        <v>625</v>
      </c>
      <c r="B349" t="s">
        <v>1449</v>
      </c>
      <c r="H349" t="s">
        <v>1879</v>
      </c>
    </row>
    <row r="350" spans="1:11" x14ac:dyDescent="0.35">
      <c r="A350" t="s">
        <v>292</v>
      </c>
      <c r="B350" t="s">
        <v>1117</v>
      </c>
      <c r="C350" t="s">
        <v>2860</v>
      </c>
      <c r="D350" t="s">
        <v>2583</v>
      </c>
      <c r="E350">
        <v>1000</v>
      </c>
      <c r="F350" t="s">
        <v>2113</v>
      </c>
      <c r="G350" t="s">
        <v>2099</v>
      </c>
      <c r="H350">
        <v>19.100000000000001</v>
      </c>
      <c r="I350" t="s">
        <v>3481</v>
      </c>
      <c r="J350" s="57">
        <v>44573</v>
      </c>
      <c r="K350" t="s">
        <v>1947</v>
      </c>
    </row>
    <row r="351" spans="1:11" x14ac:dyDescent="0.35">
      <c r="A351" t="s">
        <v>583</v>
      </c>
      <c r="B351" t="s">
        <v>1407</v>
      </c>
      <c r="C351" t="s">
        <v>3110</v>
      </c>
      <c r="D351" t="s">
        <v>2661</v>
      </c>
      <c r="E351">
        <v>1000</v>
      </c>
      <c r="F351" t="s">
        <v>2113</v>
      </c>
      <c r="G351" t="s">
        <v>2099</v>
      </c>
      <c r="H351">
        <v>3.2</v>
      </c>
      <c r="I351" t="s">
        <v>3481</v>
      </c>
      <c r="J351" s="57">
        <v>44573</v>
      </c>
      <c r="K351" t="s">
        <v>1947</v>
      </c>
    </row>
    <row r="352" spans="1:11" x14ac:dyDescent="0.35">
      <c r="A352" t="s">
        <v>606</v>
      </c>
      <c r="B352" t="s">
        <v>1430</v>
      </c>
      <c r="C352" t="s">
        <v>3134</v>
      </c>
      <c r="D352" t="s">
        <v>2574</v>
      </c>
      <c r="E352">
        <v>0</v>
      </c>
      <c r="F352" t="s">
        <v>2139</v>
      </c>
      <c r="G352" t="s">
        <v>3468</v>
      </c>
      <c r="H352">
        <v>1.3</v>
      </c>
      <c r="I352" t="s">
        <v>3480</v>
      </c>
      <c r="J352" s="57">
        <v>44573</v>
      </c>
      <c r="K352" t="s">
        <v>3460</v>
      </c>
    </row>
    <row r="353" spans="1:11" x14ac:dyDescent="0.35">
      <c r="A353" t="s">
        <v>301</v>
      </c>
      <c r="B353" t="s">
        <v>1126</v>
      </c>
      <c r="C353" t="s">
        <v>2867</v>
      </c>
      <c r="D353" t="s">
        <v>2822</v>
      </c>
      <c r="E353">
        <v>10</v>
      </c>
      <c r="F353" t="s">
        <v>2140</v>
      </c>
      <c r="G353" t="s">
        <v>2099</v>
      </c>
      <c r="H353">
        <v>0.28999999999999998</v>
      </c>
      <c r="I353" t="s">
        <v>3480</v>
      </c>
      <c r="J353" s="57">
        <v>44573</v>
      </c>
      <c r="K353" t="s">
        <v>3460</v>
      </c>
    </row>
    <row r="354" spans="1:11" x14ac:dyDescent="0.35">
      <c r="A354" t="s">
        <v>349</v>
      </c>
      <c r="B354" t="s">
        <v>1173</v>
      </c>
      <c r="C354" t="s">
        <v>2908</v>
      </c>
      <c r="D354" t="s">
        <v>2590</v>
      </c>
      <c r="E354">
        <v>50</v>
      </c>
      <c r="F354" t="s">
        <v>2603</v>
      </c>
      <c r="G354" t="s">
        <v>3466</v>
      </c>
      <c r="H354">
        <v>0.01</v>
      </c>
      <c r="I354" t="s">
        <v>3480</v>
      </c>
      <c r="J354" s="57">
        <v>44573</v>
      </c>
      <c r="K354" t="s">
        <v>3460</v>
      </c>
    </row>
    <row r="355" spans="1:11" x14ac:dyDescent="0.35">
      <c r="A355" t="s">
        <v>9</v>
      </c>
      <c r="B355" t="s">
        <v>838</v>
      </c>
      <c r="C355" t="s">
        <v>2588</v>
      </c>
      <c r="D355" t="s">
        <v>2577</v>
      </c>
      <c r="E355">
        <v>1000</v>
      </c>
      <c r="F355" t="s">
        <v>2113</v>
      </c>
      <c r="G355" t="s">
        <v>2099</v>
      </c>
      <c r="H355">
        <v>0.67</v>
      </c>
      <c r="I355" t="s">
        <v>3481</v>
      </c>
      <c r="J355" s="57">
        <v>44573</v>
      </c>
      <c r="K355" t="s">
        <v>1947</v>
      </c>
    </row>
    <row r="356" spans="1:11" x14ac:dyDescent="0.35">
      <c r="A356" t="s">
        <v>255</v>
      </c>
      <c r="B356" t="s">
        <v>1081</v>
      </c>
      <c r="C356" t="s">
        <v>2831</v>
      </c>
      <c r="D356" t="s">
        <v>2574</v>
      </c>
      <c r="E356">
        <v>0</v>
      </c>
      <c r="F356" t="s">
        <v>2137</v>
      </c>
      <c r="G356" t="s">
        <v>3463</v>
      </c>
      <c r="H356">
        <v>1.4E-3</v>
      </c>
      <c r="I356" t="s">
        <v>3480</v>
      </c>
      <c r="J356" s="57">
        <v>44573</v>
      </c>
      <c r="K356" t="s">
        <v>3460</v>
      </c>
    </row>
    <row r="357" spans="1:11" x14ac:dyDescent="0.35">
      <c r="A357" t="s">
        <v>787</v>
      </c>
      <c r="B357" t="s">
        <v>1610</v>
      </c>
      <c r="H357" t="s">
        <v>1879</v>
      </c>
    </row>
    <row r="358" spans="1:11" x14ac:dyDescent="0.35">
      <c r="A358" t="s">
        <v>826</v>
      </c>
      <c r="B358" t="s">
        <v>1648</v>
      </c>
      <c r="C358" t="s">
        <v>3270</v>
      </c>
      <c r="D358" t="s">
        <v>2581</v>
      </c>
      <c r="E358">
        <v>1000</v>
      </c>
      <c r="F358" t="s">
        <v>2113</v>
      </c>
      <c r="G358" t="s">
        <v>2099</v>
      </c>
      <c r="H358">
        <v>0.47</v>
      </c>
      <c r="I358" t="s">
        <v>3481</v>
      </c>
      <c r="J358" s="57">
        <v>44573</v>
      </c>
      <c r="K358" t="s">
        <v>1947</v>
      </c>
    </row>
    <row r="359" spans="1:11" x14ac:dyDescent="0.35">
      <c r="A359" t="s">
        <v>565</v>
      </c>
      <c r="B359" t="s">
        <v>1389</v>
      </c>
      <c r="C359" t="s">
        <v>3092</v>
      </c>
      <c r="D359" t="s">
        <v>2581</v>
      </c>
      <c r="E359">
        <v>1000</v>
      </c>
      <c r="F359" t="s">
        <v>2113</v>
      </c>
      <c r="G359" t="s">
        <v>2099</v>
      </c>
      <c r="H359">
        <v>0.24</v>
      </c>
      <c r="I359" t="s">
        <v>3481</v>
      </c>
      <c r="J359" s="57">
        <v>44573</v>
      </c>
      <c r="K359" t="s">
        <v>1947</v>
      </c>
    </row>
    <row r="360" spans="1:11" x14ac:dyDescent="0.35">
      <c r="A360" t="s">
        <v>468</v>
      </c>
      <c r="B360" t="s">
        <v>1292</v>
      </c>
      <c r="C360" t="s">
        <v>3001</v>
      </c>
      <c r="D360" t="s">
        <v>3002</v>
      </c>
      <c r="E360">
        <v>10</v>
      </c>
      <c r="F360" t="s">
        <v>2680</v>
      </c>
      <c r="G360" t="s">
        <v>3465</v>
      </c>
      <c r="H360">
        <v>2.2000000000000002</v>
      </c>
      <c r="I360" t="s">
        <v>3480</v>
      </c>
      <c r="J360" s="57">
        <v>44573</v>
      </c>
      <c r="K360" t="s">
        <v>3460</v>
      </c>
    </row>
    <row r="361" spans="1:11" x14ac:dyDescent="0.35">
      <c r="A361" t="s">
        <v>287</v>
      </c>
      <c r="B361" t="s">
        <v>1112</v>
      </c>
      <c r="C361" t="s">
        <v>2855</v>
      </c>
      <c r="D361" t="s">
        <v>2574</v>
      </c>
      <c r="E361">
        <v>0</v>
      </c>
      <c r="F361" t="s">
        <v>2139</v>
      </c>
      <c r="G361" t="s">
        <v>3468</v>
      </c>
      <c r="H361">
        <v>0.01</v>
      </c>
      <c r="I361" t="s">
        <v>3480</v>
      </c>
      <c r="J361" s="57">
        <v>44573</v>
      </c>
      <c r="K361" t="s">
        <v>3460</v>
      </c>
    </row>
    <row r="362" spans="1:11" x14ac:dyDescent="0.35">
      <c r="A362" t="s">
        <v>596</v>
      </c>
      <c r="B362" t="s">
        <v>1420</v>
      </c>
      <c r="C362" t="s">
        <v>3122</v>
      </c>
      <c r="D362" t="s">
        <v>2581</v>
      </c>
      <c r="E362">
        <v>1000</v>
      </c>
      <c r="F362" t="s">
        <v>2113</v>
      </c>
      <c r="G362" t="s">
        <v>2099</v>
      </c>
      <c r="H362">
        <v>6.04</v>
      </c>
      <c r="I362" t="s">
        <v>3481</v>
      </c>
      <c r="J362" s="57">
        <v>44573</v>
      </c>
      <c r="K362" t="s">
        <v>1947</v>
      </c>
    </row>
    <row r="363" spans="1:11" x14ac:dyDescent="0.35">
      <c r="A363" t="s">
        <v>777</v>
      </c>
      <c r="B363" t="s">
        <v>1601</v>
      </c>
      <c r="C363" t="s">
        <v>3258</v>
      </c>
      <c r="D363" t="s">
        <v>2574</v>
      </c>
      <c r="E363">
        <v>0</v>
      </c>
      <c r="F363" t="s">
        <v>2579</v>
      </c>
      <c r="G363" t="s">
        <v>3464</v>
      </c>
      <c r="H363">
        <v>1</v>
      </c>
      <c r="I363" t="s">
        <v>3480</v>
      </c>
      <c r="J363" s="57">
        <v>44573</v>
      </c>
      <c r="K363" t="s">
        <v>3460</v>
      </c>
    </row>
    <row r="364" spans="1:11" x14ac:dyDescent="0.35">
      <c r="A364" t="s">
        <v>176</v>
      </c>
      <c r="B364" t="s">
        <v>1005</v>
      </c>
      <c r="C364" t="s">
        <v>2762</v>
      </c>
      <c r="D364" t="s">
        <v>2574</v>
      </c>
      <c r="E364">
        <v>0</v>
      </c>
      <c r="F364" t="s">
        <v>2139</v>
      </c>
      <c r="G364" t="s">
        <v>3468</v>
      </c>
      <c r="H364">
        <v>5.9999999999999995E-4</v>
      </c>
      <c r="I364" t="s">
        <v>3480</v>
      </c>
      <c r="J364" s="57">
        <v>44573</v>
      </c>
      <c r="K364" t="s">
        <v>3460</v>
      </c>
    </row>
    <row r="365" spans="1:11" x14ac:dyDescent="0.35">
      <c r="A365" t="s">
        <v>516</v>
      </c>
      <c r="B365" t="s">
        <v>1340</v>
      </c>
      <c r="C365" t="s">
        <v>3045</v>
      </c>
      <c r="D365" t="s">
        <v>3046</v>
      </c>
      <c r="E365">
        <v>10</v>
      </c>
      <c r="F365" t="s">
        <v>2116</v>
      </c>
      <c r="G365" t="s">
        <v>3471</v>
      </c>
      <c r="H365">
        <v>0.05</v>
      </c>
      <c r="I365" t="s">
        <v>3480</v>
      </c>
      <c r="J365" s="57">
        <v>44573</v>
      </c>
      <c r="K365" t="s">
        <v>3460</v>
      </c>
    </row>
    <row r="366" spans="1:11" x14ac:dyDescent="0.35">
      <c r="A366" t="s">
        <v>534</v>
      </c>
      <c r="B366" t="s">
        <v>1358</v>
      </c>
      <c r="C366" t="s">
        <v>3061</v>
      </c>
      <c r="D366" t="s">
        <v>2661</v>
      </c>
      <c r="E366">
        <v>1000</v>
      </c>
      <c r="F366" t="s">
        <v>2143</v>
      </c>
      <c r="G366" t="s">
        <v>2099</v>
      </c>
      <c r="H366">
        <v>1.2999999999999999E-2</v>
      </c>
      <c r="I366" t="s">
        <v>3480</v>
      </c>
      <c r="J366" s="57">
        <v>44573</v>
      </c>
      <c r="K366" t="s">
        <v>3460</v>
      </c>
    </row>
    <row r="367" spans="1:11" x14ac:dyDescent="0.35">
      <c r="A367" t="s">
        <v>190</v>
      </c>
      <c r="B367" t="s">
        <v>1018</v>
      </c>
      <c r="C367" t="s">
        <v>2773</v>
      </c>
      <c r="H367" t="s">
        <v>1879</v>
      </c>
    </row>
    <row r="368" spans="1:11" x14ac:dyDescent="0.35">
      <c r="A368" t="s">
        <v>60</v>
      </c>
      <c r="B368" t="s">
        <v>889</v>
      </c>
      <c r="C368" t="s">
        <v>2650</v>
      </c>
      <c r="D368" t="s">
        <v>2629</v>
      </c>
      <c r="E368">
        <v>1000</v>
      </c>
      <c r="F368" t="s">
        <v>2113</v>
      </c>
      <c r="G368" t="s">
        <v>2099</v>
      </c>
      <c r="H368">
        <v>16</v>
      </c>
      <c r="I368" t="s">
        <v>3481</v>
      </c>
      <c r="J368" s="57">
        <v>44573</v>
      </c>
      <c r="K368" t="s">
        <v>1947</v>
      </c>
    </row>
    <row r="369" spans="1:11" x14ac:dyDescent="0.35">
      <c r="A369" t="s">
        <v>675</v>
      </c>
      <c r="B369" t="s">
        <v>1499</v>
      </c>
      <c r="C369" t="s">
        <v>3196</v>
      </c>
      <c r="D369" t="s">
        <v>2574</v>
      </c>
      <c r="E369">
        <v>0</v>
      </c>
      <c r="F369" t="s">
        <v>2599</v>
      </c>
      <c r="G369" t="s">
        <v>3464</v>
      </c>
      <c r="H369">
        <v>4.8600000000000003</v>
      </c>
      <c r="I369" t="s">
        <v>3480</v>
      </c>
      <c r="J369" s="57">
        <v>44573</v>
      </c>
      <c r="K369" t="s">
        <v>3460</v>
      </c>
    </row>
    <row r="370" spans="1:11" x14ac:dyDescent="0.35">
      <c r="A370" t="s">
        <v>333</v>
      </c>
      <c r="B370" t="s">
        <v>1158</v>
      </c>
      <c r="C370" t="s">
        <v>2893</v>
      </c>
      <c r="E370">
        <v>0</v>
      </c>
      <c r="F370" t="s">
        <v>2680</v>
      </c>
      <c r="G370" t="s">
        <v>3465</v>
      </c>
      <c r="H370">
        <v>4.0000000000000001E-3</v>
      </c>
      <c r="I370" t="s">
        <v>3480</v>
      </c>
      <c r="J370" s="57">
        <v>44573</v>
      </c>
      <c r="K370" t="s">
        <v>3460</v>
      </c>
    </row>
    <row r="371" spans="1:11" x14ac:dyDescent="0.35">
      <c r="A371" t="s">
        <v>628</v>
      </c>
      <c r="B371" t="s">
        <v>1452</v>
      </c>
      <c r="C371" t="s">
        <v>3154</v>
      </c>
      <c r="D371" t="s">
        <v>2581</v>
      </c>
      <c r="E371">
        <v>1000</v>
      </c>
      <c r="F371" t="s">
        <v>2113</v>
      </c>
      <c r="G371" t="s">
        <v>2099</v>
      </c>
      <c r="H371">
        <v>1.34</v>
      </c>
      <c r="I371" t="s">
        <v>3481</v>
      </c>
      <c r="J371" s="57">
        <v>44573</v>
      </c>
      <c r="K371" t="s">
        <v>1947</v>
      </c>
    </row>
    <row r="372" spans="1:11" x14ac:dyDescent="0.35">
      <c r="A372" t="s">
        <v>690</v>
      </c>
      <c r="B372" t="s">
        <v>1514</v>
      </c>
      <c r="C372" t="s">
        <v>3207</v>
      </c>
      <c r="D372" t="s">
        <v>2581</v>
      </c>
      <c r="E372">
        <v>1000</v>
      </c>
      <c r="F372" t="s">
        <v>2113</v>
      </c>
      <c r="G372" t="s">
        <v>2099</v>
      </c>
      <c r="H372">
        <v>1.25</v>
      </c>
      <c r="I372" t="s">
        <v>3481</v>
      </c>
      <c r="J372" s="57">
        <v>44573</v>
      </c>
      <c r="K372" t="s">
        <v>1947</v>
      </c>
    </row>
    <row r="373" spans="1:11" x14ac:dyDescent="0.35">
      <c r="A373" s="26" t="s">
        <v>3328</v>
      </c>
      <c r="B373" s="26" t="s">
        <v>3329</v>
      </c>
      <c r="C373" s="26" t="s">
        <v>4027</v>
      </c>
      <c r="D373" s="26" t="s">
        <v>4012</v>
      </c>
      <c r="E373" s="26">
        <v>1000</v>
      </c>
      <c r="F373" s="26" t="s">
        <v>2113</v>
      </c>
      <c r="G373" s="26" t="s">
        <v>2099</v>
      </c>
      <c r="H373" s="26">
        <v>7.76</v>
      </c>
      <c r="I373" s="26" t="s">
        <v>3481</v>
      </c>
      <c r="J373" s="57">
        <v>44573</v>
      </c>
      <c r="K373" s="26" t="s">
        <v>1947</v>
      </c>
    </row>
    <row r="374" spans="1:11" x14ac:dyDescent="0.35">
      <c r="A374" t="s">
        <v>234</v>
      </c>
      <c r="B374" t="s">
        <v>1061</v>
      </c>
      <c r="C374" t="s">
        <v>2812</v>
      </c>
      <c r="D374" t="s">
        <v>2581</v>
      </c>
      <c r="E374">
        <v>1000</v>
      </c>
      <c r="F374" t="s">
        <v>2113</v>
      </c>
      <c r="G374" t="s">
        <v>2099</v>
      </c>
      <c r="H374">
        <v>48.9</v>
      </c>
      <c r="I374" t="s">
        <v>3481</v>
      </c>
      <c r="J374" s="57">
        <v>44573</v>
      </c>
      <c r="K374" t="s">
        <v>1947</v>
      </c>
    </row>
    <row r="375" spans="1:11" x14ac:dyDescent="0.35">
      <c r="A375" t="s">
        <v>49</v>
      </c>
      <c r="B375" t="s">
        <v>878</v>
      </c>
      <c r="C375" t="s">
        <v>2639</v>
      </c>
      <c r="D375" t="s">
        <v>2574</v>
      </c>
      <c r="E375">
        <v>0</v>
      </c>
      <c r="F375" t="s">
        <v>2579</v>
      </c>
      <c r="G375" t="s">
        <v>3463</v>
      </c>
      <c r="H375">
        <v>0.13</v>
      </c>
      <c r="I375" t="s">
        <v>3480</v>
      </c>
      <c r="J375" s="57">
        <v>44573</v>
      </c>
      <c r="K375" t="s">
        <v>3460</v>
      </c>
    </row>
    <row r="376" spans="1:11" x14ac:dyDescent="0.35">
      <c r="A376" s="26" t="s">
        <v>3381</v>
      </c>
      <c r="B376" s="26" t="s">
        <v>3382</v>
      </c>
      <c r="C376" s="26" t="s">
        <v>3429</v>
      </c>
      <c r="D376" t="s">
        <v>2581</v>
      </c>
      <c r="E376" s="26">
        <v>1000</v>
      </c>
      <c r="F376" t="s">
        <v>2113</v>
      </c>
      <c r="G376" t="s">
        <v>2099</v>
      </c>
      <c r="H376" s="26">
        <v>7.86</v>
      </c>
      <c r="I376" t="s">
        <v>3481</v>
      </c>
      <c r="J376" s="57">
        <v>44573</v>
      </c>
      <c r="K376" t="s">
        <v>1947</v>
      </c>
    </row>
    <row r="377" spans="1:11" x14ac:dyDescent="0.35">
      <c r="A377" s="26" t="s">
        <v>3342</v>
      </c>
      <c r="B377" s="26" t="s">
        <v>3343</v>
      </c>
      <c r="C377" s="56" t="s">
        <v>3429</v>
      </c>
      <c r="D377" s="26" t="s">
        <v>4012</v>
      </c>
      <c r="E377" s="26">
        <v>1000</v>
      </c>
      <c r="F377" s="26" t="s">
        <v>2113</v>
      </c>
      <c r="G377" s="26" t="s">
        <v>2099</v>
      </c>
      <c r="H377" s="26">
        <v>7.86</v>
      </c>
      <c r="I377" s="26" t="s">
        <v>3481</v>
      </c>
      <c r="J377" s="57">
        <v>44573</v>
      </c>
      <c r="K377" s="26" t="s">
        <v>1947</v>
      </c>
    </row>
    <row r="378" spans="1:11" x14ac:dyDescent="0.35">
      <c r="A378" s="26" t="s">
        <v>3383</v>
      </c>
      <c r="B378" s="26" t="s">
        <v>3384</v>
      </c>
      <c r="C378" s="26"/>
      <c r="D378" s="26"/>
      <c r="E378" s="26"/>
      <c r="F378" s="26"/>
      <c r="G378" s="26"/>
      <c r="H378" s="26" t="s">
        <v>1879</v>
      </c>
      <c r="I378" s="26"/>
      <c r="J378" s="26"/>
      <c r="K378" s="26"/>
    </row>
    <row r="379" spans="1:11" x14ac:dyDescent="0.35">
      <c r="A379" s="26" t="s">
        <v>3383</v>
      </c>
      <c r="B379" s="26" t="s">
        <v>3344</v>
      </c>
      <c r="C379" s="26"/>
      <c r="D379" s="26"/>
      <c r="E379" s="26"/>
      <c r="F379" s="26"/>
      <c r="G379" s="26"/>
      <c r="H379" s="26" t="s">
        <v>1879</v>
      </c>
      <c r="I379" s="26"/>
      <c r="J379" s="26"/>
      <c r="K379" s="26"/>
    </row>
    <row r="380" spans="1:11" x14ac:dyDescent="0.35">
      <c r="A380" t="s">
        <v>452</v>
      </c>
      <c r="B380" t="s">
        <v>1276</v>
      </c>
      <c r="C380" t="s">
        <v>2987</v>
      </c>
      <c r="D380" t="s">
        <v>2581</v>
      </c>
      <c r="E380">
        <v>1000</v>
      </c>
      <c r="F380" t="s">
        <v>2113</v>
      </c>
      <c r="G380" t="s">
        <v>2099</v>
      </c>
      <c r="H380">
        <v>16.5</v>
      </c>
      <c r="I380" t="s">
        <v>3481</v>
      </c>
      <c r="J380" s="57">
        <v>44573</v>
      </c>
      <c r="K380" t="s">
        <v>1947</v>
      </c>
    </row>
    <row r="381" spans="1:11" x14ac:dyDescent="0.35">
      <c r="A381" t="s">
        <v>191</v>
      </c>
      <c r="B381" t="s">
        <v>1019</v>
      </c>
      <c r="C381" t="s">
        <v>2774</v>
      </c>
      <c r="D381" t="s">
        <v>2775</v>
      </c>
      <c r="E381">
        <v>100</v>
      </c>
      <c r="F381" t="s">
        <v>2603</v>
      </c>
      <c r="G381" t="s">
        <v>3465</v>
      </c>
      <c r="H381">
        <v>7.0000000000000007E-2</v>
      </c>
      <c r="I381" t="s">
        <v>3480</v>
      </c>
      <c r="J381" s="57">
        <v>44573</v>
      </c>
      <c r="K381" t="s">
        <v>3460</v>
      </c>
    </row>
    <row r="382" spans="1:11" x14ac:dyDescent="0.35">
      <c r="A382" t="s">
        <v>154</v>
      </c>
      <c r="B382" t="s">
        <v>983</v>
      </c>
      <c r="C382" t="s">
        <v>2745</v>
      </c>
      <c r="D382" t="s">
        <v>2629</v>
      </c>
      <c r="E382">
        <v>1000</v>
      </c>
      <c r="F382" t="s">
        <v>2113</v>
      </c>
      <c r="G382" t="s">
        <v>2099</v>
      </c>
      <c r="H382">
        <v>2.1000000000000001E-2</v>
      </c>
      <c r="I382" t="s">
        <v>3481</v>
      </c>
      <c r="J382" s="57">
        <v>44573</v>
      </c>
      <c r="K382" t="s">
        <v>1947</v>
      </c>
    </row>
    <row r="383" spans="1:11" x14ac:dyDescent="0.35">
      <c r="A383" s="26" t="s">
        <v>3414</v>
      </c>
      <c r="B383" s="26" t="s">
        <v>3419</v>
      </c>
      <c r="C383" s="56" t="s">
        <v>4028</v>
      </c>
      <c r="D383" s="26" t="s">
        <v>1879</v>
      </c>
      <c r="E383" s="26">
        <v>0</v>
      </c>
      <c r="F383" s="26" t="s">
        <v>2728</v>
      </c>
      <c r="G383" s="26" t="s">
        <v>3464</v>
      </c>
      <c r="H383" s="26">
        <v>0.03</v>
      </c>
      <c r="I383" s="26" t="s">
        <v>3480</v>
      </c>
      <c r="J383" s="57">
        <v>44573</v>
      </c>
      <c r="K383" s="26" t="s">
        <v>3460</v>
      </c>
    </row>
    <row r="384" spans="1:11" x14ac:dyDescent="0.35">
      <c r="A384" s="26" t="s">
        <v>3367</v>
      </c>
      <c r="B384" s="26" t="s">
        <v>3368</v>
      </c>
      <c r="C384" s="26" t="s">
        <v>4029</v>
      </c>
      <c r="D384" s="26" t="s">
        <v>4030</v>
      </c>
      <c r="E384" s="26">
        <v>1000</v>
      </c>
      <c r="F384" s="26" t="s">
        <v>2143</v>
      </c>
      <c r="G384" s="26" t="s">
        <v>2099</v>
      </c>
      <c r="H384" s="26">
        <v>7.8E-2</v>
      </c>
      <c r="I384" s="26" t="s">
        <v>3480</v>
      </c>
      <c r="J384" s="57">
        <v>44573</v>
      </c>
      <c r="K384" s="26" t="s">
        <v>3460</v>
      </c>
    </row>
    <row r="385" spans="1:11" x14ac:dyDescent="0.35">
      <c r="A385" t="s">
        <v>213</v>
      </c>
      <c r="B385" t="s">
        <v>1040</v>
      </c>
      <c r="C385" t="s">
        <v>2795</v>
      </c>
      <c r="D385" t="s">
        <v>2748</v>
      </c>
      <c r="E385">
        <v>1000</v>
      </c>
      <c r="F385" t="s">
        <v>2685</v>
      </c>
      <c r="G385" t="s">
        <v>2099</v>
      </c>
      <c r="H385">
        <v>0.99</v>
      </c>
      <c r="I385" t="s">
        <v>3480</v>
      </c>
      <c r="J385" s="57">
        <v>44573</v>
      </c>
      <c r="K385" t="s">
        <v>3460</v>
      </c>
    </row>
    <row r="386" spans="1:11" x14ac:dyDescent="0.35">
      <c r="A386" t="s">
        <v>522</v>
      </c>
      <c r="B386" t="s">
        <v>1346</v>
      </c>
      <c r="C386" t="s">
        <v>4582</v>
      </c>
      <c r="D386" t="s">
        <v>2778</v>
      </c>
      <c r="E386">
        <v>1000</v>
      </c>
      <c r="F386" t="s">
        <v>2113</v>
      </c>
      <c r="G386" t="s">
        <v>2099</v>
      </c>
      <c r="H386">
        <v>2.54</v>
      </c>
      <c r="I386" t="s">
        <v>3481</v>
      </c>
      <c r="J386" s="57">
        <v>44634</v>
      </c>
      <c r="K386" t="s">
        <v>1947</v>
      </c>
    </row>
    <row r="387" spans="1:11" x14ac:dyDescent="0.35">
      <c r="A387" t="s">
        <v>374</v>
      </c>
      <c r="B387" t="s">
        <v>1198</v>
      </c>
      <c r="C387" t="s">
        <v>2922</v>
      </c>
      <c r="D387" t="s">
        <v>2574</v>
      </c>
      <c r="E387">
        <v>0</v>
      </c>
      <c r="F387" t="s">
        <v>2728</v>
      </c>
      <c r="G387" t="s">
        <v>3464</v>
      </c>
      <c r="H387">
        <v>8.2000000000000003E-2</v>
      </c>
      <c r="I387" t="s">
        <v>3480</v>
      </c>
      <c r="J387" s="57">
        <v>44573</v>
      </c>
      <c r="K387" t="s">
        <v>3460</v>
      </c>
    </row>
    <row r="388" spans="1:11" x14ac:dyDescent="0.35">
      <c r="A388" t="s">
        <v>409</v>
      </c>
      <c r="B388" t="s">
        <v>1233</v>
      </c>
      <c r="C388" t="s">
        <v>4031</v>
      </c>
      <c r="D388" t="s">
        <v>4020</v>
      </c>
      <c r="E388">
        <v>1000</v>
      </c>
      <c r="F388" t="s">
        <v>2113</v>
      </c>
      <c r="G388" t="s">
        <v>2099</v>
      </c>
      <c r="H388">
        <v>7.2000000000000005E-4</v>
      </c>
      <c r="I388" t="s">
        <v>3481</v>
      </c>
      <c r="J388" s="57">
        <v>44573</v>
      </c>
      <c r="K388" t="s">
        <v>1947</v>
      </c>
    </row>
    <row r="389" spans="1:11" x14ac:dyDescent="0.35">
      <c r="A389" t="s">
        <v>352</v>
      </c>
      <c r="B389" t="s">
        <v>1176</v>
      </c>
      <c r="C389" t="s">
        <v>2910</v>
      </c>
      <c r="D389" t="s">
        <v>2574</v>
      </c>
      <c r="E389">
        <v>0</v>
      </c>
      <c r="F389" t="s">
        <v>2680</v>
      </c>
      <c r="G389" t="s">
        <v>3465</v>
      </c>
      <c r="H389">
        <v>7.0000000000000007E-2</v>
      </c>
      <c r="I389" t="s">
        <v>3480</v>
      </c>
      <c r="J389" s="57">
        <v>44573</v>
      </c>
      <c r="K389" t="s">
        <v>3460</v>
      </c>
    </row>
    <row r="390" spans="1:11" x14ac:dyDescent="0.35">
      <c r="A390" t="s">
        <v>201</v>
      </c>
      <c r="B390" t="s">
        <v>1029</v>
      </c>
      <c r="C390" t="s">
        <v>2784</v>
      </c>
      <c r="D390" t="s">
        <v>2577</v>
      </c>
      <c r="E390">
        <v>1000</v>
      </c>
      <c r="F390" t="s">
        <v>2113</v>
      </c>
      <c r="G390" t="s">
        <v>2099</v>
      </c>
      <c r="H390">
        <v>0.73</v>
      </c>
      <c r="I390" t="s">
        <v>3481</v>
      </c>
      <c r="J390" s="57">
        <v>44573</v>
      </c>
      <c r="K390" t="s">
        <v>1947</v>
      </c>
    </row>
    <row r="391" spans="1:11" x14ac:dyDescent="0.35">
      <c r="A391" t="s">
        <v>40</v>
      </c>
      <c r="B391" t="s">
        <v>869</v>
      </c>
      <c r="C391" t="s">
        <v>2628</v>
      </c>
      <c r="D391" t="s">
        <v>2629</v>
      </c>
      <c r="E391">
        <v>1000</v>
      </c>
      <c r="F391" t="s">
        <v>2113</v>
      </c>
      <c r="G391" t="s">
        <v>2099</v>
      </c>
      <c r="H391">
        <v>18</v>
      </c>
      <c r="I391" t="s">
        <v>3481</v>
      </c>
      <c r="J391" s="57">
        <v>44573</v>
      </c>
      <c r="K391" t="s">
        <v>1947</v>
      </c>
    </row>
    <row r="392" spans="1:11" x14ac:dyDescent="0.35">
      <c r="A392" t="s">
        <v>419</v>
      </c>
      <c r="B392" t="s">
        <v>1243</v>
      </c>
      <c r="C392" t="s">
        <v>2956</v>
      </c>
      <c r="D392" t="s">
        <v>2581</v>
      </c>
      <c r="E392">
        <v>1000</v>
      </c>
      <c r="F392" t="s">
        <v>2113</v>
      </c>
      <c r="G392" t="s">
        <v>2099</v>
      </c>
      <c r="H392">
        <v>0.17</v>
      </c>
      <c r="I392" t="s">
        <v>3481</v>
      </c>
      <c r="J392" s="57">
        <v>44573</v>
      </c>
      <c r="K392" t="s">
        <v>1947</v>
      </c>
    </row>
    <row r="393" spans="1:11" x14ac:dyDescent="0.35">
      <c r="A393" t="s">
        <v>735</v>
      </c>
      <c r="B393" t="s">
        <v>1559</v>
      </c>
      <c r="C393" t="s">
        <v>3224</v>
      </c>
      <c r="D393" t="s">
        <v>2629</v>
      </c>
      <c r="E393">
        <v>1000</v>
      </c>
      <c r="F393" t="s">
        <v>2113</v>
      </c>
      <c r="G393" t="s">
        <v>2099</v>
      </c>
      <c r="H393">
        <v>0.12</v>
      </c>
      <c r="I393" t="s">
        <v>3481</v>
      </c>
      <c r="J393" s="57">
        <v>44573</v>
      </c>
      <c r="K393" t="s">
        <v>1947</v>
      </c>
    </row>
    <row r="394" spans="1:11" x14ac:dyDescent="0.35">
      <c r="A394" t="s">
        <v>608</v>
      </c>
      <c r="B394" t="s">
        <v>1432</v>
      </c>
      <c r="C394" t="s">
        <v>3136</v>
      </c>
      <c r="D394" t="s">
        <v>2581</v>
      </c>
      <c r="E394">
        <v>1000</v>
      </c>
      <c r="F394" t="s">
        <v>2113</v>
      </c>
      <c r="G394" t="s">
        <v>2099</v>
      </c>
      <c r="H394">
        <v>0.18</v>
      </c>
      <c r="I394" t="s">
        <v>3481</v>
      </c>
      <c r="J394" s="57">
        <v>44573</v>
      </c>
      <c r="K394" t="s">
        <v>1947</v>
      </c>
    </row>
    <row r="395" spans="1:11" x14ac:dyDescent="0.35">
      <c r="A395" t="s">
        <v>553</v>
      </c>
      <c r="B395" t="s">
        <v>1377</v>
      </c>
      <c r="C395" t="s">
        <v>4583</v>
      </c>
      <c r="D395" t="s">
        <v>2778</v>
      </c>
      <c r="E395">
        <v>1000</v>
      </c>
      <c r="F395" t="s">
        <v>2113</v>
      </c>
      <c r="G395" t="s">
        <v>2099</v>
      </c>
      <c r="H395">
        <v>0.12</v>
      </c>
      <c r="I395" t="s">
        <v>3481</v>
      </c>
      <c r="J395" s="57">
        <v>44634</v>
      </c>
      <c r="K395" t="s">
        <v>1947</v>
      </c>
    </row>
    <row r="396" spans="1:11" x14ac:dyDescent="0.35">
      <c r="A396" t="s">
        <v>511</v>
      </c>
      <c r="B396" t="s">
        <v>1335</v>
      </c>
      <c r="C396" t="s">
        <v>3041</v>
      </c>
      <c r="D396" t="s">
        <v>2629</v>
      </c>
      <c r="E396">
        <v>1000</v>
      </c>
      <c r="F396" t="s">
        <v>2113</v>
      </c>
      <c r="G396" t="s">
        <v>2099</v>
      </c>
      <c r="H396">
        <v>0.2</v>
      </c>
      <c r="I396" t="s">
        <v>3481</v>
      </c>
      <c r="J396" s="57">
        <v>44572</v>
      </c>
      <c r="K396" t="s">
        <v>1947</v>
      </c>
    </row>
    <row r="397" spans="1:11" x14ac:dyDescent="0.35">
      <c r="A397" t="s">
        <v>133</v>
      </c>
      <c r="B397" t="s">
        <v>962</v>
      </c>
      <c r="C397" t="s">
        <v>4584</v>
      </c>
      <c r="D397" t="s">
        <v>2593</v>
      </c>
      <c r="E397">
        <v>1000</v>
      </c>
      <c r="F397" t="s">
        <v>2113</v>
      </c>
      <c r="G397" t="s">
        <v>2099</v>
      </c>
      <c r="H397">
        <v>0.32</v>
      </c>
      <c r="I397" t="s">
        <v>3481</v>
      </c>
      <c r="J397" s="57">
        <v>44634</v>
      </c>
      <c r="K397" t="s">
        <v>1947</v>
      </c>
    </row>
    <row r="398" spans="1:11" x14ac:dyDescent="0.35">
      <c r="A398" t="s">
        <v>120</v>
      </c>
      <c r="B398" t="s">
        <v>949</v>
      </c>
      <c r="C398" t="s">
        <v>2714</v>
      </c>
      <c r="D398" t="s">
        <v>2629</v>
      </c>
      <c r="E398">
        <v>1000</v>
      </c>
      <c r="F398" t="s">
        <v>2113</v>
      </c>
      <c r="G398" t="s">
        <v>2099</v>
      </c>
      <c r="H398">
        <v>1.58</v>
      </c>
      <c r="I398" t="s">
        <v>3481</v>
      </c>
      <c r="J398" s="57">
        <v>44572</v>
      </c>
      <c r="K398" t="s">
        <v>1947</v>
      </c>
    </row>
    <row r="399" spans="1:11" x14ac:dyDescent="0.35">
      <c r="A399" t="s">
        <v>117</v>
      </c>
      <c r="B399" t="s">
        <v>946</v>
      </c>
      <c r="C399" t="s">
        <v>2711</v>
      </c>
      <c r="D399" t="s">
        <v>2629</v>
      </c>
      <c r="E399">
        <v>1000</v>
      </c>
      <c r="F399" t="s">
        <v>2113</v>
      </c>
      <c r="G399" t="s">
        <v>2099</v>
      </c>
      <c r="H399">
        <v>7.05</v>
      </c>
      <c r="I399" t="s">
        <v>3481</v>
      </c>
      <c r="J399" s="57">
        <v>44572</v>
      </c>
      <c r="K399" t="s">
        <v>1947</v>
      </c>
    </row>
    <row r="400" spans="1:11" x14ac:dyDescent="0.35">
      <c r="A400" t="s">
        <v>12</v>
      </c>
      <c r="B400" t="s">
        <v>841</v>
      </c>
      <c r="C400" t="s">
        <v>2592</v>
      </c>
      <c r="D400" t="s">
        <v>2593</v>
      </c>
      <c r="E400">
        <v>10</v>
      </c>
      <c r="F400" t="s">
        <v>2594</v>
      </c>
      <c r="G400" t="s">
        <v>3467</v>
      </c>
      <c r="H400">
        <v>5.0000000000000004E-6</v>
      </c>
      <c r="I400" t="s">
        <v>3480</v>
      </c>
      <c r="J400" s="57">
        <v>44572</v>
      </c>
      <c r="K400" t="s">
        <v>3460</v>
      </c>
    </row>
    <row r="401" spans="1:11" x14ac:dyDescent="0.35">
      <c r="A401" t="s">
        <v>350</v>
      </c>
      <c r="B401" t="s">
        <v>1174</v>
      </c>
      <c r="H401" t="s">
        <v>1879</v>
      </c>
    </row>
    <row r="402" spans="1:11" x14ac:dyDescent="0.35">
      <c r="A402" t="s">
        <v>643</v>
      </c>
      <c r="B402" t="s">
        <v>1467</v>
      </c>
      <c r="C402" t="s">
        <v>3169</v>
      </c>
      <c r="D402" t="s">
        <v>2577</v>
      </c>
      <c r="E402">
        <v>1000</v>
      </c>
      <c r="F402" t="s">
        <v>2113</v>
      </c>
      <c r="G402" t="s">
        <v>2099</v>
      </c>
      <c r="H402">
        <v>0.95</v>
      </c>
      <c r="I402" t="s">
        <v>3481</v>
      </c>
      <c r="J402" s="57">
        <v>44572</v>
      </c>
      <c r="K402" t="s">
        <v>1947</v>
      </c>
    </row>
    <row r="403" spans="1:11" x14ac:dyDescent="0.35">
      <c r="A403" t="s">
        <v>142</v>
      </c>
      <c r="B403" t="s">
        <v>971</v>
      </c>
      <c r="C403" t="s">
        <v>2732</v>
      </c>
      <c r="H403" t="s">
        <v>1879</v>
      </c>
    </row>
    <row r="404" spans="1:11" x14ac:dyDescent="0.35">
      <c r="A404" t="s">
        <v>765</v>
      </c>
      <c r="B404" t="s">
        <v>1589</v>
      </c>
      <c r="H404" t="s">
        <v>1879</v>
      </c>
    </row>
    <row r="405" spans="1:11" x14ac:dyDescent="0.35">
      <c r="A405" t="s">
        <v>691</v>
      </c>
      <c r="B405" t="s">
        <v>1515</v>
      </c>
      <c r="C405" t="s">
        <v>3208</v>
      </c>
      <c r="D405" t="s">
        <v>2629</v>
      </c>
      <c r="E405">
        <v>1000</v>
      </c>
      <c r="F405" t="s">
        <v>2113</v>
      </c>
      <c r="G405" t="s">
        <v>2099</v>
      </c>
      <c r="H405">
        <v>1.61</v>
      </c>
      <c r="I405" t="s">
        <v>3481</v>
      </c>
      <c r="J405" s="57">
        <v>44572</v>
      </c>
      <c r="K405" t="s">
        <v>1947</v>
      </c>
    </row>
    <row r="406" spans="1:11" x14ac:dyDescent="0.35">
      <c r="A406" t="s">
        <v>668</v>
      </c>
      <c r="B406" t="s">
        <v>1492</v>
      </c>
      <c r="C406" t="s">
        <v>3190</v>
      </c>
      <c r="D406" t="s">
        <v>2577</v>
      </c>
      <c r="E406">
        <v>1000</v>
      </c>
      <c r="F406" t="s">
        <v>2113</v>
      </c>
      <c r="G406" t="s">
        <v>2099</v>
      </c>
      <c r="H406">
        <v>2.89</v>
      </c>
      <c r="I406" t="s">
        <v>3481</v>
      </c>
      <c r="J406" s="57">
        <v>44572</v>
      </c>
      <c r="K406" t="s">
        <v>1947</v>
      </c>
    </row>
    <row r="407" spans="1:11" x14ac:dyDescent="0.35">
      <c r="A407" t="s">
        <v>119</v>
      </c>
      <c r="B407" t="s">
        <v>948</v>
      </c>
      <c r="C407" t="s">
        <v>2713</v>
      </c>
      <c r="D407" t="s">
        <v>2577</v>
      </c>
      <c r="E407">
        <v>1000</v>
      </c>
      <c r="F407" t="s">
        <v>2113</v>
      </c>
      <c r="G407" t="s">
        <v>2099</v>
      </c>
      <c r="H407">
        <v>2.2999999999999998</v>
      </c>
      <c r="I407" t="s">
        <v>3481</v>
      </c>
      <c r="J407" s="57">
        <v>44572</v>
      </c>
      <c r="K407" t="s">
        <v>1947</v>
      </c>
    </row>
    <row r="408" spans="1:11" x14ac:dyDescent="0.35">
      <c r="A408" t="s">
        <v>669</v>
      </c>
      <c r="B408" t="s">
        <v>1493</v>
      </c>
      <c r="C408" t="s">
        <v>3191</v>
      </c>
      <c r="D408" t="s">
        <v>2581</v>
      </c>
      <c r="E408">
        <v>1000</v>
      </c>
      <c r="F408" t="s">
        <v>2113</v>
      </c>
      <c r="G408" t="s">
        <v>2099</v>
      </c>
      <c r="H408">
        <v>0.53</v>
      </c>
      <c r="I408" t="s">
        <v>3481</v>
      </c>
      <c r="J408" s="57">
        <v>44572</v>
      </c>
      <c r="K408" t="s">
        <v>1947</v>
      </c>
    </row>
    <row r="409" spans="1:11" x14ac:dyDescent="0.35">
      <c r="A409" t="s">
        <v>677</v>
      </c>
      <c r="B409" t="s">
        <v>1501</v>
      </c>
      <c r="C409" t="s">
        <v>3198</v>
      </c>
      <c r="D409" t="s">
        <v>2581</v>
      </c>
      <c r="E409">
        <v>1000</v>
      </c>
      <c r="F409" t="s">
        <v>2113</v>
      </c>
      <c r="G409" t="s">
        <v>2099</v>
      </c>
      <c r="H409">
        <v>1.74</v>
      </c>
      <c r="I409" t="s">
        <v>3481</v>
      </c>
      <c r="J409" s="57">
        <v>44572</v>
      </c>
      <c r="K409" t="s">
        <v>1947</v>
      </c>
    </row>
    <row r="410" spans="1:11" x14ac:dyDescent="0.35">
      <c r="A410" t="s">
        <v>617</v>
      </c>
      <c r="B410" t="s">
        <v>1441</v>
      </c>
      <c r="C410" t="s">
        <v>3146</v>
      </c>
      <c r="D410" t="s">
        <v>2574</v>
      </c>
      <c r="E410">
        <v>0</v>
      </c>
      <c r="F410" t="s">
        <v>2116</v>
      </c>
      <c r="G410" t="s">
        <v>3471</v>
      </c>
      <c r="H410">
        <v>0.2</v>
      </c>
      <c r="I410" t="s">
        <v>3480</v>
      </c>
      <c r="J410" s="57">
        <v>44572</v>
      </c>
      <c r="K410" t="s">
        <v>3460</v>
      </c>
    </row>
    <row r="411" spans="1:11" x14ac:dyDescent="0.35">
      <c r="A411" t="s">
        <v>434</v>
      </c>
      <c r="B411" t="s">
        <v>1258</v>
      </c>
      <c r="H411" t="s">
        <v>1879</v>
      </c>
    </row>
    <row r="412" spans="1:11" x14ac:dyDescent="0.35">
      <c r="A412" t="s">
        <v>670</v>
      </c>
      <c r="B412" t="s">
        <v>1494</v>
      </c>
      <c r="C412" t="s">
        <v>3192</v>
      </c>
      <c r="D412" t="s">
        <v>2574</v>
      </c>
      <c r="E412">
        <v>0</v>
      </c>
      <c r="F412" t="s">
        <v>2109</v>
      </c>
      <c r="G412" t="s">
        <v>2099</v>
      </c>
      <c r="H412">
        <v>0.06</v>
      </c>
      <c r="I412" t="s">
        <v>3480</v>
      </c>
      <c r="J412" s="57">
        <v>44572</v>
      </c>
      <c r="K412" t="s">
        <v>3460</v>
      </c>
    </row>
    <row r="413" spans="1:11" x14ac:dyDescent="0.35">
      <c r="A413" t="s">
        <v>671</v>
      </c>
      <c r="B413" t="s">
        <v>1495</v>
      </c>
      <c r="C413" t="s">
        <v>3193</v>
      </c>
      <c r="D413" t="s">
        <v>2822</v>
      </c>
      <c r="E413">
        <v>10</v>
      </c>
      <c r="F413" t="s">
        <v>2116</v>
      </c>
      <c r="G413" t="s">
        <v>3471</v>
      </c>
      <c r="H413">
        <v>3.5999999999999999E-3</v>
      </c>
      <c r="I413" t="s">
        <v>3480</v>
      </c>
      <c r="J413" s="57">
        <v>44572</v>
      </c>
      <c r="K413" t="s">
        <v>3460</v>
      </c>
    </row>
    <row r="414" spans="1:11" x14ac:dyDescent="0.35">
      <c r="A414" t="s">
        <v>215</v>
      </c>
      <c r="B414" t="s">
        <v>1042</v>
      </c>
      <c r="H414" t="s">
        <v>1879</v>
      </c>
    </row>
    <row r="415" spans="1:11" x14ac:dyDescent="0.35">
      <c r="A415" t="s">
        <v>547</v>
      </c>
      <c r="B415" t="s">
        <v>1371</v>
      </c>
      <c r="C415" t="s">
        <v>3075</v>
      </c>
      <c r="D415" t="s">
        <v>2581</v>
      </c>
      <c r="E415">
        <v>1000</v>
      </c>
      <c r="F415" t="s">
        <v>2113</v>
      </c>
      <c r="G415" t="s">
        <v>2099</v>
      </c>
      <c r="H415">
        <v>46.7</v>
      </c>
      <c r="I415" t="s">
        <v>3481</v>
      </c>
      <c r="J415" s="57">
        <v>44572</v>
      </c>
      <c r="K415" t="s">
        <v>1947</v>
      </c>
    </row>
    <row r="416" spans="1:11" x14ac:dyDescent="0.35">
      <c r="A416" t="s">
        <v>567</v>
      </c>
      <c r="B416" t="s">
        <v>1391</v>
      </c>
      <c r="C416" t="s">
        <v>3093</v>
      </c>
      <c r="D416" t="s">
        <v>2577</v>
      </c>
      <c r="E416">
        <v>1000</v>
      </c>
      <c r="F416" t="s">
        <v>2113</v>
      </c>
      <c r="G416" t="s">
        <v>2099</v>
      </c>
      <c r="H416">
        <v>2.5000000000000001E-2</v>
      </c>
      <c r="I416" t="s">
        <v>3481</v>
      </c>
      <c r="J416" s="57">
        <v>44572</v>
      </c>
      <c r="K416" t="s">
        <v>1947</v>
      </c>
    </row>
    <row r="417" spans="1:11" x14ac:dyDescent="0.35">
      <c r="A417" t="s">
        <v>484</v>
      </c>
      <c r="B417" t="s">
        <v>1308</v>
      </c>
      <c r="C417" t="s">
        <v>3018</v>
      </c>
      <c r="D417" t="s">
        <v>2581</v>
      </c>
      <c r="E417">
        <v>1000</v>
      </c>
      <c r="F417" t="s">
        <v>2113</v>
      </c>
      <c r="G417" t="s">
        <v>2099</v>
      </c>
      <c r="H417">
        <v>277</v>
      </c>
      <c r="I417" t="s">
        <v>3481</v>
      </c>
      <c r="J417" s="57">
        <v>44572</v>
      </c>
      <c r="K417" t="s">
        <v>1947</v>
      </c>
    </row>
    <row r="418" spans="1:11" x14ac:dyDescent="0.35">
      <c r="A418" t="s">
        <v>771</v>
      </c>
      <c r="B418" t="s">
        <v>1595</v>
      </c>
      <c r="C418" t="s">
        <v>3253</v>
      </c>
      <c r="D418" t="s">
        <v>2581</v>
      </c>
      <c r="E418">
        <v>1000</v>
      </c>
      <c r="F418" t="s">
        <v>2113</v>
      </c>
      <c r="G418" t="s">
        <v>2099</v>
      </c>
      <c r="H418">
        <v>0.51</v>
      </c>
      <c r="I418" t="s">
        <v>3481</v>
      </c>
      <c r="J418" s="57">
        <v>44572</v>
      </c>
      <c r="K418" t="s">
        <v>1947</v>
      </c>
    </row>
    <row r="419" spans="1:11" x14ac:dyDescent="0.35">
      <c r="A419" t="s">
        <v>311</v>
      </c>
      <c r="B419" t="s">
        <v>1136</v>
      </c>
      <c r="C419" t="s">
        <v>2876</v>
      </c>
      <c r="D419" t="s">
        <v>2581</v>
      </c>
      <c r="E419">
        <v>1000</v>
      </c>
      <c r="F419" t="s">
        <v>2113</v>
      </c>
      <c r="G419" t="s">
        <v>2099</v>
      </c>
      <c r="H419">
        <v>1.43</v>
      </c>
      <c r="I419" t="s">
        <v>3481</v>
      </c>
      <c r="J419" s="57">
        <v>44572</v>
      </c>
      <c r="K419" t="s">
        <v>1947</v>
      </c>
    </row>
    <row r="420" spans="1:11" x14ac:dyDescent="0.35">
      <c r="A420" t="s">
        <v>692</v>
      </c>
      <c r="B420" t="s">
        <v>1516</v>
      </c>
      <c r="C420" t="s">
        <v>3209</v>
      </c>
      <c r="D420" t="s">
        <v>2629</v>
      </c>
      <c r="E420">
        <v>1000</v>
      </c>
      <c r="F420" t="s">
        <v>2113</v>
      </c>
      <c r="G420" t="s">
        <v>2099</v>
      </c>
      <c r="H420">
        <v>1.01</v>
      </c>
      <c r="I420" t="s">
        <v>3481</v>
      </c>
      <c r="J420" s="57">
        <v>44572</v>
      </c>
      <c r="K420" t="s">
        <v>1947</v>
      </c>
    </row>
    <row r="421" spans="1:11" x14ac:dyDescent="0.35">
      <c r="A421" t="s">
        <v>513</v>
      </c>
      <c r="B421" t="s">
        <v>1337</v>
      </c>
      <c r="C421" t="s">
        <v>3043</v>
      </c>
      <c r="D421" t="s">
        <v>2577</v>
      </c>
      <c r="E421">
        <v>1000</v>
      </c>
      <c r="F421" t="s">
        <v>2113</v>
      </c>
      <c r="G421" t="s">
        <v>2099</v>
      </c>
      <c r="H421">
        <v>6.7000000000000002E-3</v>
      </c>
      <c r="I421" t="s">
        <v>3481</v>
      </c>
      <c r="J421" s="57">
        <v>44572</v>
      </c>
      <c r="K421" t="s">
        <v>1947</v>
      </c>
    </row>
    <row r="422" spans="1:11" x14ac:dyDescent="0.35">
      <c r="A422" t="s">
        <v>501</v>
      </c>
      <c r="B422" t="s">
        <v>1325</v>
      </c>
      <c r="C422" t="s">
        <v>3032</v>
      </c>
      <c r="D422" t="s">
        <v>2581</v>
      </c>
      <c r="E422">
        <v>1000</v>
      </c>
      <c r="F422" t="s">
        <v>2113</v>
      </c>
      <c r="G422" t="s">
        <v>2099</v>
      </c>
      <c r="H422">
        <v>0.16</v>
      </c>
      <c r="I422" t="s">
        <v>3481</v>
      </c>
      <c r="J422" s="57">
        <v>44572</v>
      </c>
      <c r="K422" t="s">
        <v>1947</v>
      </c>
    </row>
    <row r="423" spans="1:11" x14ac:dyDescent="0.35">
      <c r="A423" t="s">
        <v>645</v>
      </c>
      <c r="B423" t="s">
        <v>1469</v>
      </c>
      <c r="C423" t="s">
        <v>3171</v>
      </c>
      <c r="D423" t="s">
        <v>2581</v>
      </c>
      <c r="E423">
        <v>1000</v>
      </c>
      <c r="F423" t="s">
        <v>2113</v>
      </c>
      <c r="G423" t="s">
        <v>2099</v>
      </c>
      <c r="H423">
        <v>3.9</v>
      </c>
      <c r="I423" t="s">
        <v>3481</v>
      </c>
      <c r="J423" s="57">
        <v>44572</v>
      </c>
      <c r="K423" t="s">
        <v>1947</v>
      </c>
    </row>
    <row r="424" spans="1:11" x14ac:dyDescent="0.35">
      <c r="A424" t="s">
        <v>109</v>
      </c>
      <c r="B424" t="s">
        <v>938</v>
      </c>
      <c r="C424" t="s">
        <v>2703</v>
      </c>
      <c r="D424" t="s">
        <v>2583</v>
      </c>
      <c r="E424">
        <v>1000</v>
      </c>
      <c r="F424" t="s">
        <v>2113</v>
      </c>
      <c r="G424" t="s">
        <v>2099</v>
      </c>
      <c r="H424">
        <v>0.11</v>
      </c>
      <c r="I424" t="s">
        <v>3481</v>
      </c>
      <c r="J424" s="57">
        <v>44572</v>
      </c>
      <c r="K424" t="s">
        <v>1947</v>
      </c>
    </row>
    <row r="425" spans="1:11" x14ac:dyDescent="0.35">
      <c r="A425" t="s">
        <v>430</v>
      </c>
      <c r="B425" t="s">
        <v>1254</v>
      </c>
      <c r="C425" t="s">
        <v>2967</v>
      </c>
      <c r="D425" t="s">
        <v>2574</v>
      </c>
      <c r="E425">
        <v>0</v>
      </c>
      <c r="F425" t="s">
        <v>2587</v>
      </c>
      <c r="G425" t="s">
        <v>3464</v>
      </c>
      <c r="H425">
        <v>1.2E-2</v>
      </c>
      <c r="I425" t="s">
        <v>3480</v>
      </c>
      <c r="J425" s="57">
        <v>44572</v>
      </c>
      <c r="K425" t="s">
        <v>3460</v>
      </c>
    </row>
    <row r="426" spans="1:11" x14ac:dyDescent="0.35">
      <c r="A426" t="s">
        <v>357</v>
      </c>
      <c r="B426" t="s">
        <v>1181</v>
      </c>
      <c r="C426" t="s">
        <v>2911</v>
      </c>
      <c r="D426" t="s">
        <v>2577</v>
      </c>
      <c r="E426">
        <v>1000</v>
      </c>
      <c r="F426" t="s">
        <v>2113</v>
      </c>
      <c r="G426" t="s">
        <v>2099</v>
      </c>
      <c r="H426">
        <v>0.1</v>
      </c>
      <c r="I426" t="s">
        <v>3481</v>
      </c>
      <c r="J426" s="57">
        <v>44572</v>
      </c>
      <c r="K426" t="s">
        <v>1947</v>
      </c>
    </row>
    <row r="427" spans="1:11" x14ac:dyDescent="0.35">
      <c r="A427" t="s">
        <v>358</v>
      </c>
      <c r="B427" t="s">
        <v>1182</v>
      </c>
      <c r="C427" t="s">
        <v>2912</v>
      </c>
      <c r="D427" t="s">
        <v>2577</v>
      </c>
      <c r="E427">
        <v>1000</v>
      </c>
      <c r="F427" t="s">
        <v>2113</v>
      </c>
      <c r="G427" t="s">
        <v>2099</v>
      </c>
      <c r="H427">
        <v>9.6000000000000002E-2</v>
      </c>
      <c r="I427" t="s">
        <v>3481</v>
      </c>
      <c r="J427" s="57">
        <v>44572</v>
      </c>
      <c r="K427" t="s">
        <v>1947</v>
      </c>
    </row>
    <row r="428" spans="1:11" x14ac:dyDescent="0.35">
      <c r="A428" t="s">
        <v>562</v>
      </c>
      <c r="B428" t="s">
        <v>1386</v>
      </c>
      <c r="C428" t="s">
        <v>3089</v>
      </c>
      <c r="D428" t="s">
        <v>2629</v>
      </c>
      <c r="E428">
        <v>1000</v>
      </c>
      <c r="F428" t="s">
        <v>2113</v>
      </c>
      <c r="G428" t="s">
        <v>2099</v>
      </c>
      <c r="H428">
        <v>0.46</v>
      </c>
      <c r="I428" t="s">
        <v>3481</v>
      </c>
      <c r="J428" s="57">
        <v>44572</v>
      </c>
      <c r="K428" t="s">
        <v>1947</v>
      </c>
    </row>
    <row r="429" spans="1:11" x14ac:dyDescent="0.35">
      <c r="A429" s="26" t="s">
        <v>3408</v>
      </c>
      <c r="B429" s="26" t="s">
        <v>3416</v>
      </c>
      <c r="C429" s="26" t="s">
        <v>4032</v>
      </c>
      <c r="D429" s="26" t="s">
        <v>4020</v>
      </c>
      <c r="E429" s="26">
        <v>10</v>
      </c>
      <c r="F429" s="26" t="s">
        <v>2603</v>
      </c>
      <c r="G429" s="26" t="s">
        <v>3466</v>
      </c>
      <c r="H429" s="26">
        <v>8.9999999999999993E-3</v>
      </c>
      <c r="I429" s="26" t="s">
        <v>3480</v>
      </c>
      <c r="J429" s="57">
        <v>44572</v>
      </c>
      <c r="K429" s="26" t="s">
        <v>3460</v>
      </c>
    </row>
    <row r="430" spans="1:11" x14ac:dyDescent="0.35">
      <c r="A430" t="s">
        <v>293</v>
      </c>
      <c r="B430" t="s">
        <v>1118</v>
      </c>
      <c r="C430" t="s">
        <v>2861</v>
      </c>
      <c r="D430" t="s">
        <v>2577</v>
      </c>
      <c r="E430">
        <v>1000</v>
      </c>
      <c r="F430" t="s">
        <v>2113</v>
      </c>
      <c r="G430" t="s">
        <v>2099</v>
      </c>
      <c r="H430">
        <v>0.2</v>
      </c>
      <c r="I430" t="s">
        <v>3481</v>
      </c>
      <c r="J430" s="57">
        <v>44572</v>
      </c>
      <c r="K430" t="s">
        <v>1947</v>
      </c>
    </row>
    <row r="431" spans="1:11" x14ac:dyDescent="0.35">
      <c r="A431" t="s">
        <v>376</v>
      </c>
      <c r="B431" t="s">
        <v>1200</v>
      </c>
      <c r="H431" t="s">
        <v>1879</v>
      </c>
    </row>
    <row r="432" spans="1:11" x14ac:dyDescent="0.35">
      <c r="A432" t="s">
        <v>302</v>
      </c>
      <c r="B432" t="s">
        <v>1127</v>
      </c>
      <c r="C432" t="s">
        <v>2868</v>
      </c>
      <c r="D432" t="s">
        <v>2581</v>
      </c>
      <c r="E432">
        <v>1000</v>
      </c>
      <c r="F432" t="s">
        <v>2113</v>
      </c>
      <c r="G432" t="s">
        <v>2099</v>
      </c>
      <c r="H432">
        <v>0.17</v>
      </c>
      <c r="I432" t="s">
        <v>3481</v>
      </c>
      <c r="J432" s="57">
        <v>44572</v>
      </c>
      <c r="K432" t="s">
        <v>1947</v>
      </c>
    </row>
    <row r="433" spans="1:11" x14ac:dyDescent="0.35">
      <c r="A433" t="s">
        <v>156</v>
      </c>
      <c r="B433" t="s">
        <v>985</v>
      </c>
      <c r="H433" t="s">
        <v>1879</v>
      </c>
    </row>
    <row r="434" spans="1:11" x14ac:dyDescent="0.35">
      <c r="A434" t="s">
        <v>70</v>
      </c>
      <c r="B434" t="s">
        <v>899</v>
      </c>
      <c r="C434" t="s">
        <v>2663</v>
      </c>
      <c r="D434" t="s">
        <v>2581</v>
      </c>
      <c r="E434">
        <v>1000</v>
      </c>
      <c r="F434" t="s">
        <v>2113</v>
      </c>
      <c r="G434" t="s">
        <v>2099</v>
      </c>
      <c r="H434">
        <v>5.2999999999999999E-2</v>
      </c>
      <c r="I434" t="s">
        <v>3481</v>
      </c>
      <c r="J434" s="57">
        <v>44572</v>
      </c>
      <c r="K434" t="s">
        <v>1947</v>
      </c>
    </row>
    <row r="435" spans="1:11" x14ac:dyDescent="0.35">
      <c r="A435" t="s">
        <v>3</v>
      </c>
      <c r="B435" t="s">
        <v>832</v>
      </c>
      <c r="C435" t="s">
        <v>2580</v>
      </c>
      <c r="D435" t="s">
        <v>2581</v>
      </c>
      <c r="E435">
        <v>1000</v>
      </c>
      <c r="F435" t="s">
        <v>2113</v>
      </c>
      <c r="G435" t="s">
        <v>2099</v>
      </c>
      <c r="H435">
        <v>0.56999999999999995</v>
      </c>
      <c r="I435" t="s">
        <v>3481</v>
      </c>
      <c r="J435" s="57">
        <v>44572</v>
      </c>
      <c r="K435" t="s">
        <v>1947</v>
      </c>
    </row>
    <row r="436" spans="1:11" x14ac:dyDescent="0.35">
      <c r="A436" t="s">
        <v>599</v>
      </c>
      <c r="B436" t="s">
        <v>1423</v>
      </c>
      <c r="C436" t="s">
        <v>3125</v>
      </c>
      <c r="D436" t="s">
        <v>3126</v>
      </c>
      <c r="E436">
        <v>10</v>
      </c>
      <c r="F436" t="s">
        <v>3127</v>
      </c>
      <c r="G436" t="s">
        <v>3465</v>
      </c>
      <c r="H436">
        <v>6.9999999999999999E-4</v>
      </c>
      <c r="I436" t="s">
        <v>3480</v>
      </c>
      <c r="J436" s="57">
        <v>44572</v>
      </c>
      <c r="K436" t="s">
        <v>3460</v>
      </c>
    </row>
    <row r="437" spans="1:11" x14ac:dyDescent="0.35">
      <c r="A437" t="s">
        <v>453</v>
      </c>
      <c r="B437" t="s">
        <v>1277</v>
      </c>
      <c r="C437" t="s">
        <v>2988</v>
      </c>
      <c r="D437" t="s">
        <v>2581</v>
      </c>
      <c r="E437">
        <v>1000</v>
      </c>
      <c r="F437" t="s">
        <v>2113</v>
      </c>
      <c r="G437" t="s">
        <v>2099</v>
      </c>
      <c r="H437">
        <v>3.5000000000000003E-2</v>
      </c>
      <c r="I437" t="s">
        <v>3481</v>
      </c>
      <c r="J437" s="57">
        <v>44572</v>
      </c>
      <c r="K437" t="s">
        <v>1947</v>
      </c>
    </row>
    <row r="438" spans="1:11" x14ac:dyDescent="0.35">
      <c r="A438" t="s">
        <v>601</v>
      </c>
      <c r="B438" t="s">
        <v>1425</v>
      </c>
      <c r="C438" t="s">
        <v>3129</v>
      </c>
      <c r="D438" t="s">
        <v>2577</v>
      </c>
      <c r="E438">
        <v>1000</v>
      </c>
      <c r="F438" t="s">
        <v>2113</v>
      </c>
      <c r="G438" t="s">
        <v>2099</v>
      </c>
      <c r="H438">
        <v>1.2E-2</v>
      </c>
      <c r="I438" t="s">
        <v>3481</v>
      </c>
      <c r="J438" s="57">
        <v>44572</v>
      </c>
      <c r="K438" t="s">
        <v>1947</v>
      </c>
    </row>
    <row r="439" spans="1:11" x14ac:dyDescent="0.35">
      <c r="A439" t="s">
        <v>600</v>
      </c>
      <c r="B439" t="s">
        <v>1424</v>
      </c>
      <c r="C439" t="s">
        <v>3128</v>
      </c>
      <c r="D439" t="s">
        <v>2577</v>
      </c>
      <c r="E439">
        <v>1000</v>
      </c>
      <c r="F439" t="s">
        <v>2113</v>
      </c>
      <c r="G439" t="s">
        <v>2099</v>
      </c>
      <c r="H439">
        <v>1.2999999999999999E-2</v>
      </c>
      <c r="I439" t="s">
        <v>3481</v>
      </c>
      <c r="J439" s="57">
        <v>44572</v>
      </c>
      <c r="K439" t="s">
        <v>1947</v>
      </c>
    </row>
    <row r="440" spans="1:11" x14ac:dyDescent="0.35">
      <c r="A440" t="s">
        <v>454</v>
      </c>
      <c r="B440" t="s">
        <v>1278</v>
      </c>
      <c r="C440" t="s">
        <v>2989</v>
      </c>
      <c r="D440" t="s">
        <v>2581</v>
      </c>
      <c r="E440">
        <v>1000</v>
      </c>
      <c r="F440" t="s">
        <v>2113</v>
      </c>
      <c r="G440" t="s">
        <v>2099</v>
      </c>
      <c r="H440">
        <v>3.1E-2</v>
      </c>
      <c r="I440" t="s">
        <v>3481</v>
      </c>
      <c r="J440" s="57">
        <v>44572</v>
      </c>
      <c r="K440" t="s">
        <v>1947</v>
      </c>
    </row>
    <row r="441" spans="1:11" x14ac:dyDescent="0.35">
      <c r="A441" t="s">
        <v>251</v>
      </c>
      <c r="B441" t="s">
        <v>1077</v>
      </c>
      <c r="C441" t="s">
        <v>2826</v>
      </c>
      <c r="D441" t="s">
        <v>2629</v>
      </c>
      <c r="E441">
        <v>1000</v>
      </c>
      <c r="F441" t="s">
        <v>2113</v>
      </c>
      <c r="G441" t="s">
        <v>2099</v>
      </c>
      <c r="H441">
        <v>0.64</v>
      </c>
      <c r="I441" t="s">
        <v>3481</v>
      </c>
      <c r="J441" s="57">
        <v>44572</v>
      </c>
      <c r="K441" t="s">
        <v>1947</v>
      </c>
    </row>
    <row r="442" spans="1:11" x14ac:dyDescent="0.35">
      <c r="A442" t="s">
        <v>131</v>
      </c>
      <c r="B442" t="s">
        <v>960</v>
      </c>
      <c r="C442" t="s">
        <v>2725</v>
      </c>
      <c r="D442" t="s">
        <v>2574</v>
      </c>
      <c r="E442">
        <v>0</v>
      </c>
      <c r="F442" t="s">
        <v>2137</v>
      </c>
      <c r="G442" t="s">
        <v>3463</v>
      </c>
      <c r="H442">
        <v>7</v>
      </c>
      <c r="I442" t="s">
        <v>3480</v>
      </c>
      <c r="J442" s="57">
        <v>44572</v>
      </c>
      <c r="K442" t="s">
        <v>3460</v>
      </c>
    </row>
    <row r="443" spans="1:11" x14ac:dyDescent="0.35">
      <c r="A443" t="s">
        <v>392</v>
      </c>
      <c r="B443" t="s">
        <v>1216</v>
      </c>
      <c r="C443" t="s">
        <v>2939</v>
      </c>
      <c r="D443" t="s">
        <v>2581</v>
      </c>
      <c r="E443">
        <v>1000</v>
      </c>
      <c r="F443" t="s">
        <v>2113</v>
      </c>
      <c r="G443" t="s">
        <v>2099</v>
      </c>
      <c r="H443">
        <v>0.03</v>
      </c>
      <c r="I443" t="s">
        <v>3481</v>
      </c>
      <c r="J443" s="57">
        <v>44572</v>
      </c>
      <c r="K443" t="s">
        <v>1947</v>
      </c>
    </row>
    <row r="444" spans="1:11" x14ac:dyDescent="0.35">
      <c r="A444" t="s">
        <v>54</v>
      </c>
      <c r="B444" t="s">
        <v>883</v>
      </c>
      <c r="C444" t="s">
        <v>2645</v>
      </c>
      <c r="D444" t="s">
        <v>2583</v>
      </c>
      <c r="E444">
        <v>1000</v>
      </c>
      <c r="F444" t="s">
        <v>2113</v>
      </c>
      <c r="G444" t="s">
        <v>2099</v>
      </c>
      <c r="H444">
        <v>1.04</v>
      </c>
      <c r="I444" t="s">
        <v>3481</v>
      </c>
      <c r="J444" s="57">
        <v>44572</v>
      </c>
      <c r="K444" t="s">
        <v>1947</v>
      </c>
    </row>
    <row r="445" spans="1:11" x14ac:dyDescent="0.35">
      <c r="A445" t="s">
        <v>693</v>
      </c>
      <c r="B445" t="s">
        <v>1517</v>
      </c>
      <c r="C445" t="s">
        <v>3210</v>
      </c>
      <c r="D445" t="s">
        <v>2659</v>
      </c>
      <c r="E445">
        <v>100</v>
      </c>
      <c r="F445" t="s">
        <v>2140</v>
      </c>
      <c r="G445" t="s">
        <v>2099</v>
      </c>
      <c r="H445">
        <v>1.5</v>
      </c>
      <c r="I445" t="s">
        <v>3480</v>
      </c>
      <c r="J445" s="57">
        <v>44572</v>
      </c>
      <c r="K445" t="s">
        <v>3460</v>
      </c>
    </row>
    <row r="446" spans="1:11" x14ac:dyDescent="0.35">
      <c r="A446" t="s">
        <v>0</v>
      </c>
      <c r="B446" t="s">
        <v>829</v>
      </c>
      <c r="C446" t="s">
        <v>2573</v>
      </c>
      <c r="D446" t="s">
        <v>2574</v>
      </c>
      <c r="E446">
        <v>10</v>
      </c>
      <c r="F446" t="s">
        <v>2575</v>
      </c>
      <c r="G446" t="s">
        <v>2566</v>
      </c>
      <c r="H446">
        <v>3.5999999999999997E-2</v>
      </c>
      <c r="I446" t="s">
        <v>3480</v>
      </c>
      <c r="J446" s="57">
        <v>44572</v>
      </c>
      <c r="K446" t="s">
        <v>3460</v>
      </c>
    </row>
    <row r="447" spans="1:11" x14ac:dyDescent="0.35">
      <c r="A447" t="s">
        <v>320</v>
      </c>
      <c r="B447" t="s">
        <v>1145</v>
      </c>
      <c r="C447" t="s">
        <v>2884</v>
      </c>
      <c r="D447" t="s">
        <v>2581</v>
      </c>
      <c r="E447">
        <v>1000</v>
      </c>
      <c r="F447" t="s">
        <v>2113</v>
      </c>
      <c r="G447" t="s">
        <v>2099</v>
      </c>
      <c r="H447">
        <v>0.16</v>
      </c>
      <c r="I447" t="s">
        <v>3481</v>
      </c>
      <c r="J447" s="57">
        <v>44572</v>
      </c>
      <c r="K447" t="s">
        <v>1947</v>
      </c>
    </row>
    <row r="448" spans="1:11" x14ac:dyDescent="0.35">
      <c r="A448" t="s">
        <v>437</v>
      </c>
      <c r="B448" t="s">
        <v>1261</v>
      </c>
      <c r="C448" t="s">
        <v>2973</v>
      </c>
      <c r="D448" t="s">
        <v>2574</v>
      </c>
      <c r="E448">
        <v>1000</v>
      </c>
      <c r="F448" t="s">
        <v>2575</v>
      </c>
      <c r="G448" t="s">
        <v>2566</v>
      </c>
      <c r="H448">
        <v>0.32</v>
      </c>
      <c r="I448" t="s">
        <v>3480</v>
      </c>
      <c r="J448" s="57">
        <v>44572</v>
      </c>
      <c r="K448" t="s">
        <v>3460</v>
      </c>
    </row>
    <row r="449" spans="1:11" x14ac:dyDescent="0.35">
      <c r="A449" t="s">
        <v>450</v>
      </c>
      <c r="B449" t="s">
        <v>1274</v>
      </c>
      <c r="C449" t="s">
        <v>2985</v>
      </c>
      <c r="D449" t="s">
        <v>2574</v>
      </c>
      <c r="E449">
        <v>0</v>
      </c>
      <c r="F449" t="s">
        <v>2139</v>
      </c>
      <c r="G449" t="s">
        <v>3468</v>
      </c>
      <c r="H449">
        <v>6.3E-3</v>
      </c>
      <c r="I449" t="s">
        <v>3480</v>
      </c>
      <c r="J449" s="57">
        <v>44572</v>
      </c>
      <c r="K449" t="s">
        <v>3460</v>
      </c>
    </row>
    <row r="450" spans="1:11" x14ac:dyDescent="0.35">
      <c r="A450" t="s">
        <v>347</v>
      </c>
      <c r="B450" t="s">
        <v>1171</v>
      </c>
      <c r="H450" t="s">
        <v>1879</v>
      </c>
    </row>
    <row r="451" spans="1:11" x14ac:dyDescent="0.35">
      <c r="A451" t="s">
        <v>801</v>
      </c>
      <c r="B451" t="s">
        <v>1624</v>
      </c>
      <c r="H451" t="s">
        <v>1879</v>
      </c>
    </row>
    <row r="452" spans="1:11" x14ac:dyDescent="0.35">
      <c r="A452" t="s">
        <v>51</v>
      </c>
      <c r="B452" t="s">
        <v>880</v>
      </c>
      <c r="C452" t="s">
        <v>2641</v>
      </c>
      <c r="D452" t="s">
        <v>2642</v>
      </c>
      <c r="E452">
        <v>100</v>
      </c>
      <c r="F452" t="s">
        <v>2594</v>
      </c>
      <c r="G452" t="s">
        <v>3467</v>
      </c>
      <c r="H452">
        <v>0.25</v>
      </c>
      <c r="I452" t="s">
        <v>3480</v>
      </c>
      <c r="J452" s="57">
        <v>44572</v>
      </c>
      <c r="K452" t="s">
        <v>3460</v>
      </c>
    </row>
    <row r="453" spans="1:11" x14ac:dyDescent="0.35">
      <c r="A453" t="s">
        <v>247</v>
      </c>
      <c r="B453" t="s">
        <v>1073</v>
      </c>
      <c r="C453" t="s">
        <v>2821</v>
      </c>
      <c r="D453" t="s">
        <v>2822</v>
      </c>
      <c r="E453">
        <v>10</v>
      </c>
      <c r="F453" t="s">
        <v>2140</v>
      </c>
      <c r="G453" t="s">
        <v>2099</v>
      </c>
      <c r="H453">
        <v>0.1</v>
      </c>
      <c r="I453" t="s">
        <v>3480</v>
      </c>
      <c r="J453" s="57">
        <v>44572</v>
      </c>
      <c r="K453" t="s">
        <v>3460</v>
      </c>
    </row>
    <row r="454" spans="1:11" x14ac:dyDescent="0.35">
      <c r="A454" t="s">
        <v>274</v>
      </c>
      <c r="B454" t="s">
        <v>1100</v>
      </c>
      <c r="C454" t="s">
        <v>2847</v>
      </c>
      <c r="D454" t="s">
        <v>2629</v>
      </c>
      <c r="E454">
        <v>1000</v>
      </c>
      <c r="F454" t="s">
        <v>2113</v>
      </c>
      <c r="G454" t="s">
        <v>2099</v>
      </c>
      <c r="H454">
        <v>0.83</v>
      </c>
      <c r="I454" t="s">
        <v>3481</v>
      </c>
      <c r="J454" s="57">
        <v>44572</v>
      </c>
      <c r="K454" t="s">
        <v>1947</v>
      </c>
    </row>
    <row r="455" spans="1:11" x14ac:dyDescent="0.35">
      <c r="A455" t="s">
        <v>564</v>
      </c>
      <c r="B455" t="s">
        <v>1388</v>
      </c>
      <c r="C455" t="s">
        <v>3091</v>
      </c>
      <c r="D455" t="s">
        <v>2577</v>
      </c>
      <c r="E455">
        <v>1000</v>
      </c>
      <c r="F455" t="s">
        <v>2113</v>
      </c>
      <c r="G455" t="s">
        <v>2099</v>
      </c>
      <c r="H455">
        <v>1.1499999999999999</v>
      </c>
      <c r="I455" t="s">
        <v>3481</v>
      </c>
      <c r="J455" s="57">
        <v>44572</v>
      </c>
      <c r="K455" t="s">
        <v>1947</v>
      </c>
    </row>
    <row r="456" spans="1:11" x14ac:dyDescent="0.35">
      <c r="A456" t="s">
        <v>86</v>
      </c>
      <c r="B456" t="s">
        <v>915</v>
      </c>
      <c r="C456" t="s">
        <v>2677</v>
      </c>
      <c r="D456" t="s">
        <v>2581</v>
      </c>
      <c r="E456">
        <v>1000</v>
      </c>
      <c r="F456" t="s">
        <v>2113</v>
      </c>
      <c r="G456" t="s">
        <v>2099</v>
      </c>
      <c r="H456">
        <v>2.27</v>
      </c>
      <c r="I456" t="s">
        <v>3481</v>
      </c>
      <c r="J456" s="57">
        <v>44572</v>
      </c>
      <c r="K456" t="s">
        <v>1947</v>
      </c>
    </row>
    <row r="457" spans="1:11" x14ac:dyDescent="0.35">
      <c r="A457" t="s">
        <v>767</v>
      </c>
      <c r="B457" t="s">
        <v>1591</v>
      </c>
      <c r="C457" t="s">
        <v>3250</v>
      </c>
      <c r="D457" t="s">
        <v>2574</v>
      </c>
      <c r="E457">
        <v>0</v>
      </c>
      <c r="F457" t="s">
        <v>2137</v>
      </c>
      <c r="G457" t="s">
        <v>3463</v>
      </c>
      <c r="H457">
        <v>31</v>
      </c>
      <c r="I457" t="s">
        <v>3480</v>
      </c>
      <c r="J457" s="57">
        <v>44572</v>
      </c>
      <c r="K457" t="s">
        <v>3460</v>
      </c>
    </row>
    <row r="458" spans="1:11" x14ac:dyDescent="0.35">
      <c r="A458" t="s">
        <v>24</v>
      </c>
      <c r="B458" t="s">
        <v>853</v>
      </c>
      <c r="C458" t="s">
        <v>2611</v>
      </c>
      <c r="D458" t="s">
        <v>2583</v>
      </c>
      <c r="E458">
        <v>1000</v>
      </c>
      <c r="F458" t="s">
        <v>2113</v>
      </c>
      <c r="G458" t="s">
        <v>2099</v>
      </c>
      <c r="H458">
        <v>0.17</v>
      </c>
      <c r="I458" t="s">
        <v>3481</v>
      </c>
      <c r="J458" s="57">
        <v>44572</v>
      </c>
      <c r="K458" t="s">
        <v>1947</v>
      </c>
    </row>
    <row r="459" spans="1:11" x14ac:dyDescent="0.35">
      <c r="A459" t="s">
        <v>248</v>
      </c>
      <c r="B459" t="s">
        <v>1074</v>
      </c>
      <c r="C459" t="s">
        <v>2823</v>
      </c>
      <c r="D459" t="s">
        <v>2581</v>
      </c>
      <c r="E459">
        <v>1000</v>
      </c>
      <c r="F459" t="s">
        <v>2113</v>
      </c>
      <c r="G459" t="s">
        <v>2099</v>
      </c>
      <c r="H459">
        <v>2.4900000000000002</v>
      </c>
      <c r="I459" t="s">
        <v>3481</v>
      </c>
      <c r="J459" s="57">
        <v>44572</v>
      </c>
      <c r="K459" t="s">
        <v>1947</v>
      </c>
    </row>
    <row r="460" spans="1:11" x14ac:dyDescent="0.35">
      <c r="A460" t="s">
        <v>21</v>
      </c>
      <c r="B460" t="s">
        <v>850</v>
      </c>
      <c r="C460" t="s">
        <v>2606</v>
      </c>
      <c r="D460" t="s">
        <v>2607</v>
      </c>
      <c r="E460">
        <v>100</v>
      </c>
      <c r="F460" t="s">
        <v>2608</v>
      </c>
      <c r="G460" t="s">
        <v>2099</v>
      </c>
      <c r="H460">
        <v>4.0000000000000001E-3</v>
      </c>
      <c r="I460" t="s">
        <v>3480</v>
      </c>
      <c r="J460" s="57">
        <v>44572</v>
      </c>
      <c r="K460" t="s">
        <v>3460</v>
      </c>
    </row>
    <row r="461" spans="1:11" x14ac:dyDescent="0.35">
      <c r="A461" t="s">
        <v>250</v>
      </c>
      <c r="B461" t="s">
        <v>1076</v>
      </c>
      <c r="C461" t="s">
        <v>2825</v>
      </c>
      <c r="D461" t="s">
        <v>2583</v>
      </c>
      <c r="E461">
        <v>1000</v>
      </c>
      <c r="F461" t="s">
        <v>2113</v>
      </c>
      <c r="G461" t="s">
        <v>2099</v>
      </c>
      <c r="H461">
        <v>0.71</v>
      </c>
      <c r="I461" t="s">
        <v>3481</v>
      </c>
      <c r="J461" s="57">
        <v>44572</v>
      </c>
      <c r="K461" t="s">
        <v>1947</v>
      </c>
    </row>
    <row r="462" spans="1:11" x14ac:dyDescent="0.35">
      <c r="A462" t="s">
        <v>197</v>
      </c>
      <c r="B462" t="s">
        <v>1025</v>
      </c>
      <c r="C462" t="s">
        <v>2781</v>
      </c>
      <c r="D462" t="s">
        <v>2574</v>
      </c>
      <c r="E462">
        <v>100</v>
      </c>
      <c r="F462" t="s">
        <v>2782</v>
      </c>
      <c r="G462" t="s">
        <v>3466</v>
      </c>
      <c r="H462">
        <v>10</v>
      </c>
      <c r="I462" t="s">
        <v>3480</v>
      </c>
      <c r="J462" s="57">
        <v>44572</v>
      </c>
      <c r="K462" t="s">
        <v>3460</v>
      </c>
    </row>
    <row r="463" spans="1:11" x14ac:dyDescent="0.35">
      <c r="A463" t="s">
        <v>404</v>
      </c>
      <c r="B463" t="s">
        <v>1228</v>
      </c>
      <c r="C463" t="s">
        <v>2946</v>
      </c>
      <c r="D463" t="s">
        <v>2822</v>
      </c>
      <c r="E463">
        <v>10</v>
      </c>
      <c r="F463" t="s">
        <v>2140</v>
      </c>
      <c r="G463" t="s">
        <v>2099</v>
      </c>
      <c r="H463">
        <v>0.5</v>
      </c>
      <c r="I463" t="s">
        <v>3480</v>
      </c>
      <c r="J463" s="57">
        <v>44572</v>
      </c>
      <c r="K463" t="s">
        <v>3460</v>
      </c>
    </row>
    <row r="464" spans="1:11" x14ac:dyDescent="0.35">
      <c r="A464" t="s">
        <v>442</v>
      </c>
      <c r="B464" t="s">
        <v>1266</v>
      </c>
      <c r="C464" t="s">
        <v>2979</v>
      </c>
      <c r="D464" t="s">
        <v>2629</v>
      </c>
      <c r="E464">
        <v>1000</v>
      </c>
      <c r="F464" t="s">
        <v>2113</v>
      </c>
      <c r="G464" t="s">
        <v>2099</v>
      </c>
      <c r="H464">
        <v>9.14</v>
      </c>
      <c r="I464" t="s">
        <v>3481</v>
      </c>
      <c r="J464" s="57">
        <v>44572</v>
      </c>
      <c r="K464" t="s">
        <v>1947</v>
      </c>
    </row>
    <row r="465" spans="1:11" x14ac:dyDescent="0.35">
      <c r="A465" t="s">
        <v>26</v>
      </c>
      <c r="B465" t="s">
        <v>855</v>
      </c>
      <c r="C465" t="s">
        <v>2613</v>
      </c>
      <c r="D465" t="s">
        <v>2581</v>
      </c>
      <c r="E465">
        <v>1000</v>
      </c>
      <c r="F465" t="s">
        <v>2113</v>
      </c>
      <c r="G465" t="s">
        <v>2099</v>
      </c>
      <c r="H465">
        <v>9.6000000000000002E-2</v>
      </c>
      <c r="I465" t="s">
        <v>3481</v>
      </c>
      <c r="J465" s="57">
        <v>44572</v>
      </c>
      <c r="K465" t="s">
        <v>1947</v>
      </c>
    </row>
    <row r="466" spans="1:11" x14ac:dyDescent="0.35">
      <c r="A466" t="s">
        <v>381</v>
      </c>
      <c r="B466" t="s">
        <v>1205</v>
      </c>
      <c r="C466" t="s">
        <v>2929</v>
      </c>
      <c r="D466" t="s">
        <v>2581</v>
      </c>
      <c r="E466">
        <v>1000</v>
      </c>
      <c r="F466" t="s">
        <v>2113</v>
      </c>
      <c r="G466" t="s">
        <v>2099</v>
      </c>
      <c r="H466">
        <v>0.09</v>
      </c>
      <c r="I466" t="s">
        <v>3481</v>
      </c>
      <c r="J466" s="57">
        <v>44572</v>
      </c>
      <c r="K466" t="s">
        <v>1947</v>
      </c>
    </row>
    <row r="467" spans="1:11" x14ac:dyDescent="0.35">
      <c r="A467" t="s">
        <v>648</v>
      </c>
      <c r="B467" t="s">
        <v>1472</v>
      </c>
      <c r="C467" t="s">
        <v>3174</v>
      </c>
      <c r="D467" t="s">
        <v>2583</v>
      </c>
      <c r="E467">
        <v>1000</v>
      </c>
      <c r="F467" t="s">
        <v>2113</v>
      </c>
      <c r="G467" t="s">
        <v>2099</v>
      </c>
      <c r="H467">
        <v>6.3E-2</v>
      </c>
      <c r="I467" t="s">
        <v>3481</v>
      </c>
      <c r="J467" s="57">
        <v>44572</v>
      </c>
      <c r="K467" t="s">
        <v>1947</v>
      </c>
    </row>
    <row r="468" spans="1:11" x14ac:dyDescent="0.35">
      <c r="A468" s="26" t="s">
        <v>3371</v>
      </c>
      <c r="B468" s="26" t="s">
        <v>3372</v>
      </c>
      <c r="C468" s="26" t="s">
        <v>4033</v>
      </c>
      <c r="D468" s="26" t="s">
        <v>1879</v>
      </c>
      <c r="E468" s="26">
        <v>0</v>
      </c>
      <c r="F468" s="26" t="s">
        <v>2680</v>
      </c>
      <c r="G468" s="26" t="s">
        <v>3465</v>
      </c>
      <c r="H468" s="26">
        <v>120</v>
      </c>
      <c r="I468" s="26" t="s">
        <v>3480</v>
      </c>
      <c r="J468" s="57">
        <v>44572</v>
      </c>
      <c r="K468" s="26" t="s">
        <v>3460</v>
      </c>
    </row>
    <row r="469" spans="1:11" x14ac:dyDescent="0.35">
      <c r="A469" t="s">
        <v>582</v>
      </c>
      <c r="B469" t="s">
        <v>1406</v>
      </c>
      <c r="C469" t="s">
        <v>3109</v>
      </c>
      <c r="D469" t="s">
        <v>2629</v>
      </c>
      <c r="E469">
        <v>1000</v>
      </c>
      <c r="F469" t="s">
        <v>2113</v>
      </c>
      <c r="G469" t="s">
        <v>2099</v>
      </c>
      <c r="H469">
        <v>0.15</v>
      </c>
      <c r="I469" t="s">
        <v>3481</v>
      </c>
      <c r="J469" s="57">
        <v>44572</v>
      </c>
      <c r="K469" t="s">
        <v>1947</v>
      </c>
    </row>
    <row r="470" spans="1:11" x14ac:dyDescent="0.35">
      <c r="A470" t="s">
        <v>31</v>
      </c>
      <c r="B470" t="s">
        <v>860</v>
      </c>
      <c r="C470" t="s">
        <v>2620</v>
      </c>
      <c r="D470" t="s">
        <v>2583</v>
      </c>
      <c r="E470">
        <v>1000</v>
      </c>
      <c r="F470" t="s">
        <v>2113</v>
      </c>
      <c r="G470" t="s">
        <v>2099</v>
      </c>
      <c r="H470">
        <v>83.7</v>
      </c>
      <c r="I470" t="s">
        <v>3481</v>
      </c>
      <c r="J470" s="57">
        <v>44572</v>
      </c>
      <c r="K470" t="s">
        <v>1947</v>
      </c>
    </row>
    <row r="471" spans="1:11" x14ac:dyDescent="0.35">
      <c r="A471" t="s">
        <v>532</v>
      </c>
      <c r="B471" t="s">
        <v>1356</v>
      </c>
      <c r="C471" t="s">
        <v>3059</v>
      </c>
      <c r="D471" t="s">
        <v>2581</v>
      </c>
      <c r="E471">
        <v>1000</v>
      </c>
      <c r="F471" t="s">
        <v>2113</v>
      </c>
      <c r="G471" t="s">
        <v>2099</v>
      </c>
      <c r="H471">
        <v>44</v>
      </c>
      <c r="I471" t="s">
        <v>3481</v>
      </c>
      <c r="J471" s="57">
        <v>44572</v>
      </c>
      <c r="K471" t="s">
        <v>1947</v>
      </c>
    </row>
    <row r="472" spans="1:11" x14ac:dyDescent="0.35">
      <c r="A472" t="s">
        <v>655</v>
      </c>
      <c r="B472" t="s">
        <v>1479</v>
      </c>
      <c r="C472" t="s">
        <v>3180</v>
      </c>
      <c r="D472" t="s">
        <v>2581</v>
      </c>
      <c r="E472">
        <v>1000</v>
      </c>
      <c r="F472" t="s">
        <v>2113</v>
      </c>
      <c r="G472" t="s">
        <v>2099</v>
      </c>
      <c r="H472">
        <v>5.0999999999999997E-2</v>
      </c>
      <c r="I472" t="s">
        <v>3481</v>
      </c>
      <c r="J472" s="57">
        <v>44572</v>
      </c>
      <c r="K472" t="s">
        <v>1947</v>
      </c>
    </row>
    <row r="473" spans="1:11" x14ac:dyDescent="0.35">
      <c r="A473" t="s">
        <v>115</v>
      </c>
      <c r="B473" t="s">
        <v>944</v>
      </c>
      <c r="C473" t="s">
        <v>2709</v>
      </c>
      <c r="D473" t="s">
        <v>2574</v>
      </c>
      <c r="E473">
        <v>0</v>
      </c>
      <c r="F473" t="s">
        <v>2139</v>
      </c>
      <c r="G473" t="s">
        <v>3468</v>
      </c>
      <c r="H473" s="35">
        <v>1.9999999999999999E-7</v>
      </c>
      <c r="I473" t="s">
        <v>3480</v>
      </c>
      <c r="J473" s="57">
        <v>44572</v>
      </c>
      <c r="K473" t="s">
        <v>3460</v>
      </c>
    </row>
    <row r="474" spans="1:11" x14ac:dyDescent="0.35">
      <c r="A474" t="s">
        <v>647</v>
      </c>
      <c r="B474" t="s">
        <v>1471</v>
      </c>
      <c r="C474" t="s">
        <v>3173</v>
      </c>
      <c r="D474" t="s">
        <v>2574</v>
      </c>
      <c r="E474">
        <v>0</v>
      </c>
      <c r="F474" t="s">
        <v>2139</v>
      </c>
      <c r="G474" t="s">
        <v>3468</v>
      </c>
      <c r="H474" s="35">
        <v>1.9999999999999999E-7</v>
      </c>
      <c r="I474" t="s">
        <v>3480</v>
      </c>
      <c r="J474" s="57">
        <v>44572</v>
      </c>
      <c r="K474" t="s">
        <v>3460</v>
      </c>
    </row>
    <row r="475" spans="1:11" x14ac:dyDescent="0.35">
      <c r="A475" t="s">
        <v>605</v>
      </c>
      <c r="B475" t="s">
        <v>1429</v>
      </c>
      <c r="C475" t="s">
        <v>3133</v>
      </c>
      <c r="D475" t="s">
        <v>2574</v>
      </c>
      <c r="E475">
        <v>0</v>
      </c>
      <c r="F475" t="s">
        <v>2139</v>
      </c>
      <c r="G475" t="s">
        <v>3468</v>
      </c>
      <c r="H475">
        <v>0.05</v>
      </c>
      <c r="I475" t="s">
        <v>3480</v>
      </c>
      <c r="J475" s="57">
        <v>44572</v>
      </c>
      <c r="K475" t="s">
        <v>3460</v>
      </c>
    </row>
    <row r="476" spans="1:11" x14ac:dyDescent="0.35">
      <c r="A476" t="s">
        <v>271</v>
      </c>
      <c r="B476" t="s">
        <v>1097</v>
      </c>
      <c r="C476" t="s">
        <v>2843</v>
      </c>
      <c r="D476" t="s">
        <v>2574</v>
      </c>
      <c r="E476">
        <v>0</v>
      </c>
      <c r="F476" t="s">
        <v>2603</v>
      </c>
      <c r="G476" t="s">
        <v>3466</v>
      </c>
      <c r="H476">
        <v>7.0000000000000007E-2</v>
      </c>
      <c r="I476" t="s">
        <v>3480</v>
      </c>
      <c r="J476" s="57">
        <v>44572</v>
      </c>
      <c r="K476" t="s">
        <v>3460</v>
      </c>
    </row>
    <row r="477" spans="1:11" x14ac:dyDescent="0.35">
      <c r="A477" t="s">
        <v>137</v>
      </c>
      <c r="B477" t="s">
        <v>966</v>
      </c>
      <c r="H477" t="s">
        <v>1879</v>
      </c>
    </row>
    <row r="478" spans="1:11" x14ac:dyDescent="0.35">
      <c r="A478" t="s">
        <v>232</v>
      </c>
      <c r="B478" t="s">
        <v>1059</v>
      </c>
      <c r="H478" t="s">
        <v>1879</v>
      </c>
    </row>
    <row r="479" spans="1:11" x14ac:dyDescent="0.35">
      <c r="A479" t="s">
        <v>135</v>
      </c>
      <c r="B479" t="s">
        <v>964</v>
      </c>
      <c r="H479" t="s">
        <v>1879</v>
      </c>
    </row>
    <row r="480" spans="1:11" x14ac:dyDescent="0.35">
      <c r="A480" t="s">
        <v>368</v>
      </c>
      <c r="B480" t="s">
        <v>1192</v>
      </c>
      <c r="H480" t="s">
        <v>1879</v>
      </c>
    </row>
    <row r="481" spans="1:11" x14ac:dyDescent="0.35">
      <c r="A481" t="s">
        <v>136</v>
      </c>
      <c r="B481" t="s">
        <v>965</v>
      </c>
      <c r="H481" t="s">
        <v>1879</v>
      </c>
    </row>
    <row r="482" spans="1:11" x14ac:dyDescent="0.35">
      <c r="A482" s="26" t="s">
        <v>3357</v>
      </c>
      <c r="B482" s="26" t="s">
        <v>3358</v>
      </c>
      <c r="C482" s="26"/>
      <c r="D482" s="26"/>
      <c r="E482" s="26"/>
      <c r="F482" s="26"/>
      <c r="G482" s="26"/>
      <c r="H482" s="26" t="s">
        <v>1879</v>
      </c>
      <c r="I482" s="26"/>
      <c r="J482" s="26"/>
      <c r="K482" s="26"/>
    </row>
    <row r="483" spans="1:11" x14ac:dyDescent="0.35">
      <c r="A483" s="26" t="s">
        <v>3399</v>
      </c>
      <c r="B483" s="26" t="s">
        <v>3400</v>
      </c>
      <c r="C483" s="26"/>
      <c r="D483" s="26"/>
      <c r="E483" s="26"/>
      <c r="F483" s="26"/>
      <c r="G483" s="26"/>
      <c r="H483" s="26" t="s">
        <v>1879</v>
      </c>
      <c r="I483" s="26"/>
      <c r="J483" s="26"/>
      <c r="K483" s="26"/>
    </row>
    <row r="484" spans="1:11" x14ac:dyDescent="0.35">
      <c r="A484" t="s">
        <v>808</v>
      </c>
      <c r="B484" t="s">
        <v>1631</v>
      </c>
      <c r="H484" t="s">
        <v>1879</v>
      </c>
    </row>
    <row r="485" spans="1:11" x14ac:dyDescent="0.35">
      <c r="A485" t="s">
        <v>211</v>
      </c>
      <c r="B485" t="s">
        <v>1038</v>
      </c>
      <c r="C485" t="s">
        <v>2793</v>
      </c>
      <c r="D485" t="s">
        <v>2583</v>
      </c>
      <c r="E485">
        <v>1000</v>
      </c>
      <c r="F485" t="s">
        <v>2113</v>
      </c>
      <c r="G485" t="s">
        <v>2099</v>
      </c>
      <c r="H485">
        <v>8.3800000000000008</v>
      </c>
      <c r="I485" t="s">
        <v>3481</v>
      </c>
      <c r="J485" s="57">
        <v>44572</v>
      </c>
      <c r="K485" t="s">
        <v>1947</v>
      </c>
    </row>
    <row r="486" spans="1:11" x14ac:dyDescent="0.35">
      <c r="A486" t="s">
        <v>585</v>
      </c>
      <c r="B486" t="s">
        <v>1409</v>
      </c>
      <c r="C486" t="s">
        <v>3112</v>
      </c>
      <c r="D486" t="s">
        <v>2583</v>
      </c>
      <c r="E486">
        <v>1000</v>
      </c>
      <c r="F486" t="s">
        <v>2113</v>
      </c>
      <c r="G486" t="s">
        <v>2099</v>
      </c>
      <c r="H486">
        <v>3.46</v>
      </c>
      <c r="I486" t="s">
        <v>3481</v>
      </c>
      <c r="J486" s="57">
        <v>44572</v>
      </c>
      <c r="K486" t="s">
        <v>1947</v>
      </c>
    </row>
    <row r="487" spans="1:11" x14ac:dyDescent="0.35">
      <c r="A487" t="s">
        <v>289</v>
      </c>
      <c r="B487" t="s">
        <v>1114</v>
      </c>
      <c r="C487" t="s">
        <v>2857</v>
      </c>
      <c r="D487" t="s">
        <v>2581</v>
      </c>
      <c r="E487">
        <v>1000</v>
      </c>
      <c r="F487" t="s">
        <v>2113</v>
      </c>
      <c r="G487" t="s">
        <v>2099</v>
      </c>
      <c r="H487">
        <v>28.8</v>
      </c>
      <c r="I487" t="s">
        <v>3481</v>
      </c>
      <c r="J487" s="57">
        <v>44572</v>
      </c>
      <c r="K487" t="s">
        <v>1947</v>
      </c>
    </row>
    <row r="488" spans="1:11" x14ac:dyDescent="0.35">
      <c r="A488" t="s">
        <v>555</v>
      </c>
      <c r="B488" t="s">
        <v>1379</v>
      </c>
      <c r="C488" t="s">
        <v>3083</v>
      </c>
      <c r="D488" t="s">
        <v>2581</v>
      </c>
      <c r="E488">
        <v>1000</v>
      </c>
      <c r="F488" t="s">
        <v>2113</v>
      </c>
      <c r="G488" t="s">
        <v>2099</v>
      </c>
      <c r="H488">
        <v>17.100000000000001</v>
      </c>
      <c r="I488" t="s">
        <v>3481</v>
      </c>
      <c r="J488" s="57">
        <v>44572</v>
      </c>
      <c r="K488" t="s">
        <v>1947</v>
      </c>
    </row>
    <row r="489" spans="1:11" x14ac:dyDescent="0.35">
      <c r="A489" t="s">
        <v>331</v>
      </c>
      <c r="B489" t="s">
        <v>1156</v>
      </c>
      <c r="C489" t="s">
        <v>2891</v>
      </c>
      <c r="D489" t="s">
        <v>2581</v>
      </c>
      <c r="E489">
        <v>1000</v>
      </c>
      <c r="F489" t="s">
        <v>2113</v>
      </c>
      <c r="G489" t="s">
        <v>2099</v>
      </c>
      <c r="H489">
        <v>11.8</v>
      </c>
      <c r="I489" t="s">
        <v>3481</v>
      </c>
      <c r="J489" s="57">
        <v>44572</v>
      </c>
      <c r="K489" t="s">
        <v>1947</v>
      </c>
    </row>
    <row r="490" spans="1:11" x14ac:dyDescent="0.35">
      <c r="A490" s="26" t="s">
        <v>3385</v>
      </c>
      <c r="B490" s="26" t="s">
        <v>3386</v>
      </c>
      <c r="C490" s="26"/>
      <c r="D490" s="26"/>
      <c r="E490" s="26"/>
      <c r="F490" s="26"/>
      <c r="G490" s="26"/>
      <c r="H490" s="26" t="s">
        <v>1879</v>
      </c>
      <c r="I490" s="26"/>
      <c r="J490" s="26"/>
      <c r="K490" s="26"/>
    </row>
    <row r="491" spans="1:11" x14ac:dyDescent="0.35">
      <c r="A491" t="s">
        <v>231</v>
      </c>
      <c r="B491" t="s">
        <v>1058</v>
      </c>
      <c r="C491" t="s">
        <v>2810</v>
      </c>
      <c r="D491" t="s">
        <v>2581</v>
      </c>
      <c r="E491">
        <v>1000</v>
      </c>
      <c r="F491" t="s">
        <v>2113</v>
      </c>
      <c r="G491" t="s">
        <v>2099</v>
      </c>
      <c r="H491">
        <v>6.04</v>
      </c>
      <c r="I491" t="s">
        <v>3481</v>
      </c>
      <c r="J491" s="57">
        <v>44572</v>
      </c>
      <c r="K491" t="s">
        <v>1947</v>
      </c>
    </row>
    <row r="492" spans="1:11" x14ac:dyDescent="0.35">
      <c r="A492" s="26" t="s">
        <v>3389</v>
      </c>
      <c r="B492" s="26" t="s">
        <v>3390</v>
      </c>
      <c r="C492" s="26"/>
      <c r="D492" s="26"/>
      <c r="E492" s="26"/>
      <c r="F492" s="26"/>
      <c r="G492" s="26"/>
      <c r="H492" s="26" t="s">
        <v>1879</v>
      </c>
      <c r="I492" s="26"/>
      <c r="J492" s="26"/>
      <c r="K492" s="26"/>
    </row>
    <row r="493" spans="1:11" x14ac:dyDescent="0.35">
      <c r="A493" s="26" t="s">
        <v>3391</v>
      </c>
      <c r="B493" s="26" t="s">
        <v>3392</v>
      </c>
      <c r="C493" s="26"/>
      <c r="D493" s="26"/>
      <c r="E493" s="26"/>
      <c r="F493" s="26"/>
      <c r="G493" s="26"/>
      <c r="H493" s="26" t="s">
        <v>1879</v>
      </c>
      <c r="I493" s="26"/>
      <c r="J493" s="26"/>
      <c r="K493" s="26"/>
    </row>
    <row r="494" spans="1:11" x14ac:dyDescent="0.35">
      <c r="A494" t="s">
        <v>399</v>
      </c>
      <c r="B494" t="s">
        <v>1223</v>
      </c>
      <c r="C494" s="52" t="s">
        <v>4034</v>
      </c>
      <c r="D494" t="s">
        <v>4012</v>
      </c>
      <c r="E494">
        <v>1000</v>
      </c>
      <c r="F494" t="s">
        <v>2113</v>
      </c>
      <c r="G494" t="s">
        <v>2099</v>
      </c>
      <c r="H494">
        <v>0.18</v>
      </c>
      <c r="I494" t="s">
        <v>3481</v>
      </c>
      <c r="J494" s="57">
        <v>44572</v>
      </c>
      <c r="K494" t="s">
        <v>1947</v>
      </c>
    </row>
    <row r="495" spans="1:11" x14ac:dyDescent="0.35">
      <c r="A495" t="s">
        <v>148</v>
      </c>
      <c r="B495" t="s">
        <v>977</v>
      </c>
      <c r="C495" t="s">
        <v>2739</v>
      </c>
      <c r="D495" t="s">
        <v>2581</v>
      </c>
      <c r="E495">
        <v>1000</v>
      </c>
      <c r="F495" t="s">
        <v>2113</v>
      </c>
      <c r="G495" t="s">
        <v>2099</v>
      </c>
      <c r="H495">
        <v>0.26</v>
      </c>
      <c r="I495" t="s">
        <v>3481</v>
      </c>
      <c r="J495" s="57">
        <v>44572</v>
      </c>
      <c r="K495" t="s">
        <v>1947</v>
      </c>
    </row>
    <row r="496" spans="1:11" x14ac:dyDescent="0.35">
      <c r="A496" t="s">
        <v>509</v>
      </c>
      <c r="B496" t="s">
        <v>1333</v>
      </c>
      <c r="C496" t="s">
        <v>4035</v>
      </c>
      <c r="D496" t="s">
        <v>4009</v>
      </c>
      <c r="E496">
        <v>1000</v>
      </c>
      <c r="F496" t="s">
        <v>2113</v>
      </c>
      <c r="G496" t="s">
        <v>2099</v>
      </c>
      <c r="H496">
        <v>1</v>
      </c>
      <c r="I496" t="s">
        <v>3481</v>
      </c>
      <c r="J496" s="57">
        <v>44572</v>
      </c>
      <c r="K496" t="s">
        <v>1947</v>
      </c>
    </row>
    <row r="497" spans="1:11" x14ac:dyDescent="0.35">
      <c r="A497" t="s">
        <v>615</v>
      </c>
      <c r="B497" t="s">
        <v>1439</v>
      </c>
      <c r="C497" t="s">
        <v>3144</v>
      </c>
      <c r="D497" t="s">
        <v>2863</v>
      </c>
      <c r="E497">
        <v>1000</v>
      </c>
      <c r="F497" t="s">
        <v>2143</v>
      </c>
      <c r="G497" t="s">
        <v>2099</v>
      </c>
      <c r="H497">
        <v>1.0999999999999999E-2</v>
      </c>
      <c r="I497" t="s">
        <v>3480</v>
      </c>
      <c r="J497" s="57">
        <v>44572</v>
      </c>
      <c r="K497" t="s">
        <v>3460</v>
      </c>
    </row>
    <row r="498" spans="1:11" x14ac:dyDescent="0.35">
      <c r="A498" t="s">
        <v>80</v>
      </c>
      <c r="B498" t="s">
        <v>909</v>
      </c>
      <c r="C498" t="s">
        <v>2671</v>
      </c>
      <c r="D498" t="s">
        <v>2581</v>
      </c>
      <c r="E498">
        <v>1000</v>
      </c>
      <c r="F498" t="s">
        <v>2113</v>
      </c>
      <c r="G498" t="s">
        <v>2099</v>
      </c>
      <c r="H498">
        <v>0.7</v>
      </c>
      <c r="I498" t="s">
        <v>3481</v>
      </c>
      <c r="J498" s="57">
        <v>44572</v>
      </c>
      <c r="K498" t="s">
        <v>1947</v>
      </c>
    </row>
    <row r="499" spans="1:11" x14ac:dyDescent="0.35">
      <c r="A499" t="s">
        <v>79</v>
      </c>
      <c r="B499" t="s">
        <v>908</v>
      </c>
      <c r="C499" t="s">
        <v>2670</v>
      </c>
      <c r="D499" t="s">
        <v>2581</v>
      </c>
      <c r="E499">
        <v>1000</v>
      </c>
      <c r="F499" t="s">
        <v>2113</v>
      </c>
      <c r="G499" t="s">
        <v>2099</v>
      </c>
      <c r="H499">
        <v>2.97</v>
      </c>
      <c r="I499" t="s">
        <v>3481</v>
      </c>
      <c r="J499" s="57">
        <v>44572</v>
      </c>
      <c r="K499" t="s">
        <v>1947</v>
      </c>
    </row>
    <row r="500" spans="1:11" x14ac:dyDescent="0.35">
      <c r="A500" t="s">
        <v>544</v>
      </c>
      <c r="B500" t="s">
        <v>1368</v>
      </c>
      <c r="C500" t="s">
        <v>3071</v>
      </c>
      <c r="D500" t="s">
        <v>3072</v>
      </c>
      <c r="F500" t="s">
        <v>2680</v>
      </c>
      <c r="G500" t="s">
        <v>3465</v>
      </c>
      <c r="H500">
        <v>1.2999999999999999E-2</v>
      </c>
      <c r="I500" t="s">
        <v>3480</v>
      </c>
      <c r="J500" s="57">
        <v>44572</v>
      </c>
      <c r="K500" t="s">
        <v>3460</v>
      </c>
    </row>
    <row r="501" spans="1:11" x14ac:dyDescent="0.35">
      <c r="A501" t="s">
        <v>405</v>
      </c>
      <c r="B501" t="s">
        <v>1229</v>
      </c>
      <c r="C501" t="s">
        <v>2947</v>
      </c>
      <c r="D501" t="s">
        <v>2581</v>
      </c>
      <c r="E501">
        <v>1000</v>
      </c>
      <c r="F501" t="s">
        <v>2113</v>
      </c>
      <c r="G501" t="s">
        <v>2099</v>
      </c>
      <c r="H501">
        <v>0.23</v>
      </c>
      <c r="I501" t="s">
        <v>3481</v>
      </c>
      <c r="J501" s="57">
        <v>44572</v>
      </c>
      <c r="K501" t="s">
        <v>1947</v>
      </c>
    </row>
    <row r="502" spans="1:11" x14ac:dyDescent="0.35">
      <c r="A502" t="s">
        <v>395</v>
      </c>
      <c r="B502" t="s">
        <v>1219</v>
      </c>
      <c r="C502" t="s">
        <v>2942</v>
      </c>
      <c r="D502" t="s">
        <v>2581</v>
      </c>
      <c r="E502">
        <v>1000</v>
      </c>
      <c r="F502" t="s">
        <v>2113</v>
      </c>
      <c r="G502" t="s">
        <v>2099</v>
      </c>
      <c r="H502">
        <v>1.29</v>
      </c>
      <c r="I502" t="s">
        <v>3481</v>
      </c>
      <c r="J502" s="57">
        <v>44572</v>
      </c>
      <c r="K502" t="s">
        <v>1947</v>
      </c>
    </row>
    <row r="503" spans="1:11" x14ac:dyDescent="0.35">
      <c r="A503" t="s">
        <v>466</v>
      </c>
      <c r="B503" t="s">
        <v>1290</v>
      </c>
      <c r="C503" t="s">
        <v>2999</v>
      </c>
      <c r="D503" t="s">
        <v>2574</v>
      </c>
      <c r="E503">
        <v>0</v>
      </c>
      <c r="F503" t="s">
        <v>2139</v>
      </c>
      <c r="G503" t="s">
        <v>3468</v>
      </c>
      <c r="H503">
        <v>0.27</v>
      </c>
      <c r="I503" t="s">
        <v>3480</v>
      </c>
      <c r="J503" s="57">
        <v>44572</v>
      </c>
      <c r="K503" t="s">
        <v>3460</v>
      </c>
    </row>
    <row r="504" spans="1:11" x14ac:dyDescent="0.35">
      <c r="A504" t="s">
        <v>597</v>
      </c>
      <c r="B504" t="s">
        <v>1421</v>
      </c>
      <c r="C504" t="s">
        <v>3123</v>
      </c>
      <c r="D504" t="s">
        <v>2577</v>
      </c>
      <c r="E504">
        <v>1000</v>
      </c>
      <c r="F504" t="s">
        <v>2113</v>
      </c>
      <c r="G504" t="s">
        <v>2099</v>
      </c>
      <c r="H504">
        <v>2.08</v>
      </c>
      <c r="I504" t="s">
        <v>3481</v>
      </c>
      <c r="J504" s="57">
        <v>44572</v>
      </c>
      <c r="K504" t="s">
        <v>1947</v>
      </c>
    </row>
    <row r="505" spans="1:11" x14ac:dyDescent="0.35">
      <c r="A505" t="s">
        <v>486</v>
      </c>
      <c r="B505" t="s">
        <v>1310</v>
      </c>
      <c r="C505" t="s">
        <v>4036</v>
      </c>
      <c r="D505" t="s">
        <v>4037</v>
      </c>
      <c r="E505">
        <v>100</v>
      </c>
      <c r="F505" t="s">
        <v>3127</v>
      </c>
      <c r="G505" t="s">
        <v>3466</v>
      </c>
      <c r="H505">
        <v>0.54</v>
      </c>
      <c r="I505" t="s">
        <v>3480</v>
      </c>
      <c r="J505" s="57">
        <v>44572</v>
      </c>
      <c r="K505" t="s">
        <v>3460</v>
      </c>
    </row>
    <row r="506" spans="1:11" x14ac:dyDescent="0.35">
      <c r="A506" t="s">
        <v>161</v>
      </c>
      <c r="B506" t="s">
        <v>990</v>
      </c>
      <c r="C506" t="s">
        <v>2750</v>
      </c>
      <c r="D506" t="s">
        <v>2583</v>
      </c>
      <c r="E506">
        <v>1000</v>
      </c>
      <c r="F506" t="s">
        <v>2113</v>
      </c>
      <c r="G506" t="s">
        <v>2099</v>
      </c>
      <c r="H506">
        <v>0.14000000000000001</v>
      </c>
      <c r="I506" t="s">
        <v>3481</v>
      </c>
      <c r="J506" s="57">
        <v>44572</v>
      </c>
      <c r="K506" t="s">
        <v>1947</v>
      </c>
    </row>
    <row r="507" spans="1:11" x14ac:dyDescent="0.35">
      <c r="A507" t="s">
        <v>196</v>
      </c>
      <c r="B507" t="s">
        <v>1024</v>
      </c>
      <c r="C507" t="s">
        <v>4038</v>
      </c>
      <c r="D507" t="s">
        <v>4012</v>
      </c>
      <c r="E507">
        <v>1000</v>
      </c>
      <c r="F507" t="s">
        <v>2113</v>
      </c>
      <c r="G507" t="s">
        <v>2099</v>
      </c>
      <c r="H507">
        <v>0.13</v>
      </c>
      <c r="I507" t="s">
        <v>3481</v>
      </c>
      <c r="J507" s="57">
        <v>44572</v>
      </c>
      <c r="K507" t="s">
        <v>1947</v>
      </c>
    </row>
    <row r="508" spans="1:11" x14ac:dyDescent="0.35">
      <c r="A508" t="s">
        <v>739</v>
      </c>
      <c r="B508" t="s">
        <v>1563</v>
      </c>
      <c r="C508" t="s">
        <v>3228</v>
      </c>
      <c r="D508" t="s">
        <v>2583</v>
      </c>
      <c r="E508">
        <v>1000</v>
      </c>
      <c r="F508" t="s">
        <v>2113</v>
      </c>
      <c r="G508" t="s">
        <v>2099</v>
      </c>
      <c r="H508">
        <v>0.14000000000000001</v>
      </c>
      <c r="I508" t="s">
        <v>3481</v>
      </c>
      <c r="J508" s="57">
        <v>44572</v>
      </c>
      <c r="K508" t="s">
        <v>1947</v>
      </c>
    </row>
    <row r="509" spans="1:11" x14ac:dyDescent="0.35">
      <c r="A509" t="s">
        <v>543</v>
      </c>
      <c r="B509" t="s">
        <v>1367</v>
      </c>
      <c r="C509" t="s">
        <v>3070</v>
      </c>
      <c r="D509" t="s">
        <v>2661</v>
      </c>
      <c r="E509">
        <v>1000</v>
      </c>
      <c r="F509" t="s">
        <v>2680</v>
      </c>
      <c r="G509" t="s">
        <v>3469</v>
      </c>
      <c r="H509">
        <v>704</v>
      </c>
      <c r="I509" t="s">
        <v>3480</v>
      </c>
      <c r="J509" s="57">
        <v>44572</v>
      </c>
      <c r="K509" t="s">
        <v>3460</v>
      </c>
    </row>
    <row r="510" spans="1:11" x14ac:dyDescent="0.35">
      <c r="A510" t="s">
        <v>588</v>
      </c>
      <c r="B510" t="s">
        <v>1412</v>
      </c>
      <c r="H510" t="s">
        <v>1879</v>
      </c>
    </row>
    <row r="511" spans="1:11" x14ac:dyDescent="0.35">
      <c r="A511" t="s">
        <v>94</v>
      </c>
      <c r="B511" t="s">
        <v>923</v>
      </c>
      <c r="C511" t="s">
        <v>2688</v>
      </c>
      <c r="D511" t="s">
        <v>2577</v>
      </c>
      <c r="E511">
        <v>1000</v>
      </c>
      <c r="F511" t="s">
        <v>2113</v>
      </c>
      <c r="G511" t="s">
        <v>2099</v>
      </c>
      <c r="H511">
        <v>22.5</v>
      </c>
      <c r="I511" t="s">
        <v>3481</v>
      </c>
      <c r="J511" s="57">
        <v>44572</v>
      </c>
      <c r="K511" t="s">
        <v>1947</v>
      </c>
    </row>
    <row r="512" spans="1:11" x14ac:dyDescent="0.35">
      <c r="A512" t="s">
        <v>602</v>
      </c>
      <c r="B512" t="s">
        <v>1426</v>
      </c>
      <c r="C512" t="s">
        <v>3130</v>
      </c>
      <c r="D512" t="s">
        <v>2581</v>
      </c>
      <c r="E512">
        <v>1000</v>
      </c>
      <c r="F512" t="s">
        <v>2113</v>
      </c>
      <c r="G512" t="s">
        <v>2099</v>
      </c>
      <c r="H512">
        <v>3.39</v>
      </c>
      <c r="I512" t="s">
        <v>3481</v>
      </c>
      <c r="J512" s="57">
        <v>44572</v>
      </c>
      <c r="K512" t="s">
        <v>1947</v>
      </c>
    </row>
    <row r="513" spans="1:11" x14ac:dyDescent="0.35">
      <c r="A513" t="s">
        <v>536</v>
      </c>
      <c r="B513" t="s">
        <v>1360</v>
      </c>
      <c r="C513" t="s">
        <v>3063</v>
      </c>
      <c r="D513" t="s">
        <v>2642</v>
      </c>
      <c r="E513">
        <v>10</v>
      </c>
      <c r="F513" t="s">
        <v>2594</v>
      </c>
      <c r="G513" t="s">
        <v>3467</v>
      </c>
      <c r="H513">
        <v>0.1</v>
      </c>
      <c r="I513" t="s">
        <v>3480</v>
      </c>
      <c r="J513" s="57">
        <v>44572</v>
      </c>
      <c r="K513" t="s">
        <v>3460</v>
      </c>
    </row>
    <row r="514" spans="1:11" x14ac:dyDescent="0.35">
      <c r="A514" t="s">
        <v>153</v>
      </c>
      <c r="B514" t="s">
        <v>982</v>
      </c>
      <c r="C514" t="s">
        <v>2744</v>
      </c>
      <c r="D514" t="s">
        <v>2661</v>
      </c>
      <c r="E514">
        <v>1000</v>
      </c>
      <c r="F514" t="s">
        <v>2113</v>
      </c>
      <c r="G514" t="s">
        <v>2099</v>
      </c>
      <c r="H514">
        <v>5.71</v>
      </c>
      <c r="I514" t="s">
        <v>3481</v>
      </c>
      <c r="J514" s="57">
        <v>44572</v>
      </c>
      <c r="K514" t="s">
        <v>1947</v>
      </c>
    </row>
    <row r="515" spans="1:11" x14ac:dyDescent="0.35">
      <c r="A515" t="s">
        <v>166</v>
      </c>
      <c r="B515" t="s">
        <v>995</v>
      </c>
      <c r="C515" t="s">
        <v>2754</v>
      </c>
      <c r="D515" t="s">
        <v>2581</v>
      </c>
      <c r="E515">
        <v>1000</v>
      </c>
      <c r="F515" t="s">
        <v>2113</v>
      </c>
      <c r="G515" t="s">
        <v>2099</v>
      </c>
      <c r="H515">
        <v>8.0999999999999996E-3</v>
      </c>
      <c r="I515" t="s">
        <v>3481</v>
      </c>
      <c r="J515" s="57">
        <v>44572</v>
      </c>
      <c r="K515" t="s">
        <v>1947</v>
      </c>
    </row>
    <row r="516" spans="1:11" x14ac:dyDescent="0.35">
      <c r="A516" t="s">
        <v>433</v>
      </c>
      <c r="B516" t="s">
        <v>1257</v>
      </c>
      <c r="C516" t="s">
        <v>2969</v>
      </c>
      <c r="D516" t="s">
        <v>2629</v>
      </c>
      <c r="E516">
        <v>1000</v>
      </c>
      <c r="F516" t="s">
        <v>2113</v>
      </c>
      <c r="G516" t="s">
        <v>2099</v>
      </c>
      <c r="H516">
        <v>2.1</v>
      </c>
      <c r="I516" t="s">
        <v>3481</v>
      </c>
      <c r="J516" s="57">
        <v>44572</v>
      </c>
      <c r="K516" t="s">
        <v>1947</v>
      </c>
    </row>
    <row r="517" spans="1:11" x14ac:dyDescent="0.35">
      <c r="A517" t="s">
        <v>125</v>
      </c>
      <c r="B517" t="s">
        <v>954</v>
      </c>
      <c r="C517" t="s">
        <v>2719</v>
      </c>
      <c r="D517" t="s">
        <v>2629</v>
      </c>
      <c r="E517">
        <v>1000</v>
      </c>
      <c r="F517" t="s">
        <v>2113</v>
      </c>
      <c r="G517" t="s">
        <v>2099</v>
      </c>
      <c r="H517">
        <v>0.37</v>
      </c>
      <c r="I517" t="s">
        <v>3481</v>
      </c>
      <c r="J517" s="57">
        <v>44572</v>
      </c>
      <c r="K517" t="s">
        <v>1947</v>
      </c>
    </row>
    <row r="518" spans="1:11" x14ac:dyDescent="0.35">
      <c r="A518" t="s">
        <v>528</v>
      </c>
      <c r="B518" t="s">
        <v>1352</v>
      </c>
      <c r="C518" t="s">
        <v>3056</v>
      </c>
      <c r="D518" t="s">
        <v>2642</v>
      </c>
      <c r="E518">
        <v>50</v>
      </c>
      <c r="F518" t="s">
        <v>2594</v>
      </c>
      <c r="G518" t="s">
        <v>3470</v>
      </c>
      <c r="H518">
        <v>0.63</v>
      </c>
      <c r="I518" t="s">
        <v>3480</v>
      </c>
      <c r="J518" s="57">
        <v>44572</v>
      </c>
      <c r="K518" t="s">
        <v>3460</v>
      </c>
    </row>
    <row r="519" spans="1:11" x14ac:dyDescent="0.35">
      <c r="A519" t="s">
        <v>102</v>
      </c>
      <c r="B519" t="s">
        <v>931</v>
      </c>
      <c r="C519" t="s">
        <v>2698</v>
      </c>
      <c r="D519" t="s">
        <v>2629</v>
      </c>
      <c r="E519">
        <v>1000</v>
      </c>
      <c r="F519" t="s">
        <v>2113</v>
      </c>
      <c r="G519" t="s">
        <v>2099</v>
      </c>
      <c r="H519">
        <v>7.4999999999999997E-3</v>
      </c>
      <c r="I519" t="s">
        <v>3481</v>
      </c>
      <c r="J519" s="57">
        <v>44572</v>
      </c>
      <c r="K519" t="s">
        <v>1947</v>
      </c>
    </row>
    <row r="520" spans="1:11" x14ac:dyDescent="0.35">
      <c r="A520" t="s">
        <v>557</v>
      </c>
      <c r="B520" t="s">
        <v>1381</v>
      </c>
      <c r="C520" t="s">
        <v>3085</v>
      </c>
      <c r="D520" t="s">
        <v>2581</v>
      </c>
      <c r="E520">
        <v>1000</v>
      </c>
      <c r="F520" t="s">
        <v>2113</v>
      </c>
      <c r="G520" t="s">
        <v>2099</v>
      </c>
      <c r="H520">
        <v>20</v>
      </c>
      <c r="I520" t="s">
        <v>3481</v>
      </c>
      <c r="J520" s="57">
        <v>44572</v>
      </c>
      <c r="K520" t="s">
        <v>1947</v>
      </c>
    </row>
    <row r="521" spans="1:11" x14ac:dyDescent="0.35">
      <c r="A521" t="s">
        <v>65</v>
      </c>
      <c r="B521" t="s">
        <v>894</v>
      </c>
      <c r="C521" t="s">
        <v>2655</v>
      </c>
      <c r="D521" t="s">
        <v>2656</v>
      </c>
      <c r="E521">
        <v>50</v>
      </c>
      <c r="F521" t="s">
        <v>2140</v>
      </c>
      <c r="G521" t="s">
        <v>2099</v>
      </c>
      <c r="H521">
        <v>10</v>
      </c>
      <c r="I521" t="s">
        <v>3480</v>
      </c>
      <c r="J521" s="57">
        <v>44572</v>
      </c>
      <c r="K521" t="s">
        <v>3460</v>
      </c>
    </row>
    <row r="522" spans="1:11" x14ac:dyDescent="0.35">
      <c r="A522" t="s">
        <v>563</v>
      </c>
      <c r="B522" t="s">
        <v>1387</v>
      </c>
      <c r="C522" t="s">
        <v>3090</v>
      </c>
      <c r="D522" t="s">
        <v>2581</v>
      </c>
      <c r="E522">
        <v>1000</v>
      </c>
      <c r="F522" t="s">
        <v>2113</v>
      </c>
      <c r="G522" t="s">
        <v>2099</v>
      </c>
      <c r="H522">
        <v>2.9000000000000001E-2</v>
      </c>
      <c r="I522" t="s">
        <v>3481</v>
      </c>
      <c r="J522" s="57">
        <v>44572</v>
      </c>
      <c r="K522" t="s">
        <v>1947</v>
      </c>
    </row>
    <row r="523" spans="1:11" x14ac:dyDescent="0.35">
      <c r="A523" t="s">
        <v>644</v>
      </c>
      <c r="B523" t="s">
        <v>1468</v>
      </c>
      <c r="C523" t="s">
        <v>3170</v>
      </c>
      <c r="D523" t="s">
        <v>2583</v>
      </c>
      <c r="E523">
        <v>1000</v>
      </c>
      <c r="F523" t="s">
        <v>2113</v>
      </c>
      <c r="G523" t="s">
        <v>2099</v>
      </c>
      <c r="H523">
        <v>38</v>
      </c>
      <c r="I523" t="s">
        <v>3481</v>
      </c>
      <c r="J523" s="57">
        <v>44572</v>
      </c>
      <c r="K523" t="s">
        <v>1947</v>
      </c>
    </row>
    <row r="524" spans="1:11" x14ac:dyDescent="0.35">
      <c r="A524" t="s">
        <v>652</v>
      </c>
      <c r="B524" t="s">
        <v>1476</v>
      </c>
      <c r="C524" t="s">
        <v>3177</v>
      </c>
      <c r="D524" t="s">
        <v>2659</v>
      </c>
      <c r="E524">
        <v>1000</v>
      </c>
      <c r="F524" t="s">
        <v>2685</v>
      </c>
      <c r="G524" t="s">
        <v>2099</v>
      </c>
      <c r="H524">
        <v>2.1000000000000001E-2</v>
      </c>
      <c r="I524" t="s">
        <v>3480</v>
      </c>
      <c r="J524" s="57">
        <v>44572</v>
      </c>
      <c r="K524" t="s">
        <v>3460</v>
      </c>
    </row>
    <row r="525" spans="1:11" x14ac:dyDescent="0.35">
      <c r="A525" t="s">
        <v>268</v>
      </c>
      <c r="B525" t="s">
        <v>1094</v>
      </c>
      <c r="C525" t="s">
        <v>4594</v>
      </c>
      <c r="D525" t="s">
        <v>4572</v>
      </c>
      <c r="E525">
        <v>1000</v>
      </c>
      <c r="F525" t="s">
        <v>2113</v>
      </c>
      <c r="G525" t="s">
        <v>2099</v>
      </c>
      <c r="H525">
        <v>0.55000000000000004</v>
      </c>
      <c r="I525" t="s">
        <v>3481</v>
      </c>
      <c r="J525" s="57">
        <v>44634</v>
      </c>
      <c r="K525" t="s">
        <v>1947</v>
      </c>
    </row>
    <row r="526" spans="1:11" x14ac:dyDescent="0.35">
      <c r="A526" t="s">
        <v>546</v>
      </c>
      <c r="B526" t="s">
        <v>1370</v>
      </c>
      <c r="C526" t="s">
        <v>3074</v>
      </c>
      <c r="D526" t="s">
        <v>2583</v>
      </c>
      <c r="E526">
        <v>1000</v>
      </c>
      <c r="F526" t="s">
        <v>2113</v>
      </c>
      <c r="G526" t="s">
        <v>2099</v>
      </c>
      <c r="H526">
        <v>4.67</v>
      </c>
      <c r="I526" t="s">
        <v>3481</v>
      </c>
      <c r="J526" s="57">
        <v>44572</v>
      </c>
      <c r="K526" t="s">
        <v>1947</v>
      </c>
    </row>
    <row r="527" spans="1:11" x14ac:dyDescent="0.35">
      <c r="A527" t="s">
        <v>58</v>
      </c>
      <c r="B527" t="s">
        <v>887</v>
      </c>
      <c r="C527" t="s">
        <v>2648</v>
      </c>
      <c r="D527" t="s">
        <v>2629</v>
      </c>
      <c r="E527">
        <v>1000</v>
      </c>
      <c r="F527" t="s">
        <v>2113</v>
      </c>
      <c r="G527" t="s">
        <v>2099</v>
      </c>
      <c r="H527">
        <v>19897</v>
      </c>
      <c r="I527" t="s">
        <v>3481</v>
      </c>
      <c r="J527" s="57">
        <v>44572</v>
      </c>
      <c r="K527" t="s">
        <v>1947</v>
      </c>
    </row>
    <row r="528" spans="1:11" x14ac:dyDescent="0.35">
      <c r="A528" t="s">
        <v>512</v>
      </c>
      <c r="B528" t="s">
        <v>1336</v>
      </c>
      <c r="C528" t="s">
        <v>3042</v>
      </c>
      <c r="D528" t="s">
        <v>2581</v>
      </c>
      <c r="E528">
        <v>1000</v>
      </c>
      <c r="F528" t="s">
        <v>2113</v>
      </c>
      <c r="G528" t="s">
        <v>2099</v>
      </c>
      <c r="H528">
        <v>3.95</v>
      </c>
      <c r="I528" t="s">
        <v>3481</v>
      </c>
      <c r="J528" s="57">
        <v>44572</v>
      </c>
      <c r="K528" t="s">
        <v>1947</v>
      </c>
    </row>
    <row r="529" spans="1:11" x14ac:dyDescent="0.35">
      <c r="A529" t="s">
        <v>212</v>
      </c>
      <c r="B529" t="s">
        <v>1039</v>
      </c>
      <c r="C529" t="s">
        <v>2794</v>
      </c>
      <c r="D529" t="s">
        <v>2642</v>
      </c>
      <c r="E529">
        <v>10</v>
      </c>
      <c r="F529" t="s">
        <v>2594</v>
      </c>
      <c r="G529" t="s">
        <v>3467</v>
      </c>
      <c r="H529">
        <v>0.02</v>
      </c>
      <c r="I529" t="s">
        <v>3480</v>
      </c>
      <c r="J529" s="57">
        <v>44572</v>
      </c>
      <c r="K529" t="s">
        <v>3460</v>
      </c>
    </row>
    <row r="530" spans="1:11" x14ac:dyDescent="0.35">
      <c r="A530" t="s">
        <v>351</v>
      </c>
      <c r="B530" t="s">
        <v>1175</v>
      </c>
      <c r="C530" t="s">
        <v>2909</v>
      </c>
      <c r="D530" t="s">
        <v>2574</v>
      </c>
      <c r="E530">
        <v>0</v>
      </c>
      <c r="F530" t="s">
        <v>2603</v>
      </c>
      <c r="G530" t="s">
        <v>3466</v>
      </c>
      <c r="H530">
        <v>0.1</v>
      </c>
      <c r="I530" t="s">
        <v>3480</v>
      </c>
      <c r="J530" s="57">
        <v>44572</v>
      </c>
      <c r="K530" t="s">
        <v>3460</v>
      </c>
    </row>
    <row r="531" spans="1:11" x14ac:dyDescent="0.35">
      <c r="A531" t="s">
        <v>114</v>
      </c>
      <c r="B531" t="s">
        <v>943</v>
      </c>
      <c r="C531" t="s">
        <v>2708</v>
      </c>
      <c r="D531" t="s">
        <v>2581</v>
      </c>
      <c r="E531">
        <v>1000</v>
      </c>
      <c r="F531" t="s">
        <v>2113</v>
      </c>
      <c r="G531" t="s">
        <v>2099</v>
      </c>
      <c r="H531">
        <v>15.2</v>
      </c>
      <c r="I531" t="s">
        <v>3481</v>
      </c>
      <c r="J531" s="57">
        <v>44572</v>
      </c>
      <c r="K531" t="s">
        <v>1947</v>
      </c>
    </row>
    <row r="532" spans="1:11" x14ac:dyDescent="0.35">
      <c r="A532" t="s">
        <v>736</v>
      </c>
      <c r="B532" t="s">
        <v>1560</v>
      </c>
      <c r="C532" t="s">
        <v>3225</v>
      </c>
      <c r="D532" t="s">
        <v>2629</v>
      </c>
      <c r="E532">
        <v>1000</v>
      </c>
      <c r="F532" t="s">
        <v>2113</v>
      </c>
      <c r="G532" t="s">
        <v>2099</v>
      </c>
      <c r="H532">
        <v>0.83</v>
      </c>
      <c r="I532" t="s">
        <v>3481</v>
      </c>
      <c r="J532" s="57">
        <v>44572</v>
      </c>
      <c r="K532" t="s">
        <v>1947</v>
      </c>
    </row>
    <row r="533" spans="1:11" x14ac:dyDescent="0.35">
      <c r="A533" t="s">
        <v>259</v>
      </c>
      <c r="B533" t="s">
        <v>1085</v>
      </c>
      <c r="C533" t="s">
        <v>2834</v>
      </c>
      <c r="D533" t="s">
        <v>2581</v>
      </c>
      <c r="E533">
        <v>1000</v>
      </c>
      <c r="F533" t="s">
        <v>2113</v>
      </c>
      <c r="G533" t="s">
        <v>2099</v>
      </c>
      <c r="H533">
        <v>0.04</v>
      </c>
      <c r="I533" t="s">
        <v>3481</v>
      </c>
      <c r="J533" s="57">
        <v>44572</v>
      </c>
      <c r="K533" t="s">
        <v>1947</v>
      </c>
    </row>
    <row r="534" spans="1:11" x14ac:dyDescent="0.35">
      <c r="A534" t="s">
        <v>89</v>
      </c>
      <c r="B534" t="s">
        <v>918</v>
      </c>
      <c r="C534" t="s">
        <v>2683</v>
      </c>
      <c r="D534" t="s">
        <v>2583</v>
      </c>
      <c r="E534">
        <v>1000</v>
      </c>
      <c r="F534" t="s">
        <v>2113</v>
      </c>
      <c r="G534" t="s">
        <v>2099</v>
      </c>
      <c r="H534">
        <v>0.12</v>
      </c>
      <c r="I534" t="s">
        <v>3481</v>
      </c>
      <c r="J534" s="57">
        <v>44572</v>
      </c>
      <c r="K534" t="s">
        <v>1947</v>
      </c>
    </row>
    <row r="535" spans="1:11" x14ac:dyDescent="0.35">
      <c r="A535" t="s">
        <v>63</v>
      </c>
      <c r="B535" t="s">
        <v>892</v>
      </c>
      <c r="C535" t="s">
        <v>2653</v>
      </c>
      <c r="D535" t="s">
        <v>2629</v>
      </c>
      <c r="E535">
        <v>1000</v>
      </c>
      <c r="F535" t="s">
        <v>2113</v>
      </c>
      <c r="G535" t="s">
        <v>2099</v>
      </c>
      <c r="H535">
        <v>9.6000000000000002E-2</v>
      </c>
      <c r="I535" t="s">
        <v>3481</v>
      </c>
      <c r="J535" s="57">
        <v>44572</v>
      </c>
      <c r="K535" t="s">
        <v>1947</v>
      </c>
    </row>
    <row r="536" spans="1:11" x14ac:dyDescent="0.35">
      <c r="A536" t="s">
        <v>614</v>
      </c>
      <c r="B536" t="s">
        <v>1438</v>
      </c>
      <c r="C536" t="s">
        <v>3142</v>
      </c>
      <c r="D536" t="s">
        <v>3143</v>
      </c>
      <c r="E536">
        <v>10</v>
      </c>
      <c r="F536" t="s">
        <v>2782</v>
      </c>
      <c r="G536" t="s">
        <v>3466</v>
      </c>
      <c r="H536">
        <v>78</v>
      </c>
      <c r="I536" t="s">
        <v>3480</v>
      </c>
      <c r="J536" s="57">
        <v>44572</v>
      </c>
      <c r="K536" t="s">
        <v>3460</v>
      </c>
    </row>
    <row r="537" spans="1:11" x14ac:dyDescent="0.35">
      <c r="A537" t="s">
        <v>121</v>
      </c>
      <c r="B537" t="s">
        <v>950</v>
      </c>
      <c r="C537" t="s">
        <v>2715</v>
      </c>
      <c r="D537" t="s">
        <v>2629</v>
      </c>
      <c r="E537">
        <v>1000</v>
      </c>
      <c r="F537" t="s">
        <v>2113</v>
      </c>
      <c r="G537" t="s">
        <v>2099</v>
      </c>
      <c r="H537">
        <v>0.19</v>
      </c>
      <c r="I537" t="s">
        <v>3481</v>
      </c>
      <c r="J537" s="57">
        <v>44572</v>
      </c>
      <c r="K537" t="s">
        <v>1947</v>
      </c>
    </row>
    <row r="538" spans="1:11" x14ac:dyDescent="0.35">
      <c r="A538" t="s">
        <v>123</v>
      </c>
      <c r="B538" t="s">
        <v>952</v>
      </c>
      <c r="H538" t="s">
        <v>1879</v>
      </c>
    </row>
    <row r="539" spans="1:11" x14ac:dyDescent="0.35">
      <c r="A539" t="s">
        <v>500</v>
      </c>
      <c r="B539" t="s">
        <v>1324</v>
      </c>
      <c r="C539" t="s">
        <v>3031</v>
      </c>
      <c r="D539" t="s">
        <v>2577</v>
      </c>
      <c r="E539">
        <v>1000</v>
      </c>
      <c r="F539" t="s">
        <v>2113</v>
      </c>
      <c r="G539" t="s">
        <v>2099</v>
      </c>
      <c r="H539">
        <v>0.31</v>
      </c>
      <c r="I539" t="s">
        <v>3481</v>
      </c>
      <c r="J539" s="57">
        <v>44572</v>
      </c>
      <c r="K539" t="s">
        <v>1947</v>
      </c>
    </row>
    <row r="540" spans="1:11" x14ac:dyDescent="0.35">
      <c r="A540" t="s">
        <v>593</v>
      </c>
      <c r="B540" t="s">
        <v>1417</v>
      </c>
      <c r="C540" t="s">
        <v>3119</v>
      </c>
      <c r="D540" t="s">
        <v>2642</v>
      </c>
      <c r="E540">
        <v>10</v>
      </c>
      <c r="F540" t="s">
        <v>2594</v>
      </c>
      <c r="G540" t="s">
        <v>3467</v>
      </c>
      <c r="H540">
        <v>6.0000000000000001E-3</v>
      </c>
      <c r="I540" t="s">
        <v>3480</v>
      </c>
      <c r="J540" s="57">
        <v>44572</v>
      </c>
      <c r="K540" t="s">
        <v>3460</v>
      </c>
    </row>
    <row r="541" spans="1:11" x14ac:dyDescent="0.35">
      <c r="A541" t="s">
        <v>20</v>
      </c>
      <c r="B541" t="s">
        <v>849</v>
      </c>
      <c r="C541" t="s">
        <v>2604</v>
      </c>
      <c r="D541" t="s">
        <v>2574</v>
      </c>
      <c r="E541">
        <v>10</v>
      </c>
      <c r="F541" t="s">
        <v>2680</v>
      </c>
      <c r="G541" t="s">
        <v>3465</v>
      </c>
      <c r="H541">
        <v>0.66</v>
      </c>
      <c r="I541" t="s">
        <v>3480</v>
      </c>
      <c r="J541" s="57">
        <v>44572</v>
      </c>
      <c r="K541" t="s">
        <v>3460</v>
      </c>
    </row>
    <row r="542" spans="1:11" x14ac:dyDescent="0.35">
      <c r="A542" t="s">
        <v>171</v>
      </c>
      <c r="B542" t="s">
        <v>1000</v>
      </c>
      <c r="C542" t="s">
        <v>2757</v>
      </c>
      <c r="D542" t="s">
        <v>2629</v>
      </c>
      <c r="E542">
        <v>1000</v>
      </c>
      <c r="F542" t="s">
        <v>2113</v>
      </c>
      <c r="G542" t="s">
        <v>2099</v>
      </c>
      <c r="H542">
        <v>9.7000000000000003E-2</v>
      </c>
      <c r="I542" t="s">
        <v>3481</v>
      </c>
      <c r="J542" s="57">
        <v>44572</v>
      </c>
      <c r="K542" t="s">
        <v>1947</v>
      </c>
    </row>
    <row r="543" spans="1:11" x14ac:dyDescent="0.35">
      <c r="A543" t="s">
        <v>25</v>
      </c>
      <c r="B543" t="s">
        <v>854</v>
      </c>
      <c r="C543" t="s">
        <v>2612</v>
      </c>
      <c r="D543" t="s">
        <v>2574</v>
      </c>
      <c r="E543">
        <v>30</v>
      </c>
      <c r="F543" t="s">
        <v>3476</v>
      </c>
      <c r="G543" t="s">
        <v>3472</v>
      </c>
      <c r="H543">
        <v>0.9</v>
      </c>
      <c r="I543" t="s">
        <v>3480</v>
      </c>
      <c r="J543" s="57">
        <v>44572</v>
      </c>
      <c r="K543" t="s">
        <v>3460</v>
      </c>
    </row>
    <row r="544" spans="1:11" x14ac:dyDescent="0.35">
      <c r="A544" t="s">
        <v>778</v>
      </c>
      <c r="B544" t="s">
        <v>854</v>
      </c>
      <c r="H544" t="s">
        <v>1879</v>
      </c>
    </row>
    <row r="545" spans="1:11" x14ac:dyDescent="0.35">
      <c r="A545" t="s">
        <v>183</v>
      </c>
      <c r="B545" t="s">
        <v>1012</v>
      </c>
      <c r="C545" t="s">
        <v>2767</v>
      </c>
      <c r="D545" t="s">
        <v>2581</v>
      </c>
      <c r="E545">
        <v>1000</v>
      </c>
      <c r="F545" t="s">
        <v>2113</v>
      </c>
      <c r="G545" t="s">
        <v>2099</v>
      </c>
      <c r="H545">
        <v>0.2</v>
      </c>
      <c r="I545" t="s">
        <v>3481</v>
      </c>
      <c r="J545" s="57">
        <v>44572</v>
      </c>
      <c r="K545" t="s">
        <v>1947</v>
      </c>
    </row>
    <row r="546" spans="1:11" x14ac:dyDescent="0.35">
      <c r="A546" t="s">
        <v>143</v>
      </c>
      <c r="B546" t="s">
        <v>972</v>
      </c>
      <c r="C546" t="s">
        <v>2733</v>
      </c>
      <c r="D546" t="s">
        <v>2581</v>
      </c>
      <c r="E546">
        <v>1000</v>
      </c>
      <c r="F546" t="s">
        <v>2113</v>
      </c>
      <c r="G546" t="s">
        <v>2099</v>
      </c>
      <c r="H546">
        <v>0.7</v>
      </c>
      <c r="I546" t="s">
        <v>3481</v>
      </c>
      <c r="J546" s="57">
        <v>44572</v>
      </c>
      <c r="K546" t="s">
        <v>1947</v>
      </c>
    </row>
    <row r="547" spans="1:11" x14ac:dyDescent="0.35">
      <c r="A547" t="s">
        <v>694</v>
      </c>
      <c r="B547" t="s">
        <v>1518</v>
      </c>
      <c r="C547" t="s">
        <v>3211</v>
      </c>
      <c r="D547" t="s">
        <v>2581</v>
      </c>
      <c r="E547">
        <v>1000</v>
      </c>
      <c r="F547" t="s">
        <v>2113</v>
      </c>
      <c r="G547" t="s">
        <v>2099</v>
      </c>
      <c r="H547">
        <v>14.8</v>
      </c>
      <c r="I547" t="s">
        <v>3481</v>
      </c>
      <c r="J547" s="57">
        <v>44572</v>
      </c>
      <c r="K547" t="s">
        <v>1947</v>
      </c>
    </row>
    <row r="548" spans="1:11" x14ac:dyDescent="0.35">
      <c r="A548" t="s">
        <v>458</v>
      </c>
      <c r="B548" t="s">
        <v>1282</v>
      </c>
      <c r="C548" t="s">
        <v>2993</v>
      </c>
      <c r="D548" t="s">
        <v>2577</v>
      </c>
      <c r="E548">
        <v>1000</v>
      </c>
      <c r="F548" t="s">
        <v>2113</v>
      </c>
      <c r="G548" t="s">
        <v>2099</v>
      </c>
      <c r="H548">
        <v>1.84</v>
      </c>
      <c r="I548" t="s">
        <v>3481</v>
      </c>
      <c r="J548" s="57">
        <v>44572</v>
      </c>
      <c r="K548" t="s">
        <v>1947</v>
      </c>
    </row>
    <row r="549" spans="1:11" x14ac:dyDescent="0.35">
      <c r="A549" t="s">
        <v>225</v>
      </c>
      <c r="B549" t="s">
        <v>1052</v>
      </c>
      <c r="C549" t="s">
        <v>2805</v>
      </c>
      <c r="D549" t="s">
        <v>2661</v>
      </c>
      <c r="E549">
        <v>1000</v>
      </c>
      <c r="F549" t="s">
        <v>2113</v>
      </c>
      <c r="G549" t="s">
        <v>2099</v>
      </c>
      <c r="H549">
        <v>19.7</v>
      </c>
      <c r="I549" t="s">
        <v>3481</v>
      </c>
      <c r="J549" s="57">
        <v>44572</v>
      </c>
      <c r="K549" t="s">
        <v>1947</v>
      </c>
    </row>
    <row r="550" spans="1:11" x14ac:dyDescent="0.35">
      <c r="A550" t="s">
        <v>222</v>
      </c>
      <c r="B550" t="s">
        <v>1049</v>
      </c>
      <c r="C550" t="s">
        <v>2803</v>
      </c>
      <c r="D550" t="s">
        <v>2581</v>
      </c>
      <c r="E550">
        <v>1000</v>
      </c>
      <c r="F550" t="s">
        <v>2113</v>
      </c>
      <c r="G550" t="s">
        <v>2099</v>
      </c>
      <c r="H550">
        <v>27</v>
      </c>
      <c r="I550" t="s">
        <v>3481</v>
      </c>
      <c r="J550" s="57">
        <v>44572</v>
      </c>
      <c r="K550" t="s">
        <v>1947</v>
      </c>
    </row>
    <row r="551" spans="1:11" x14ac:dyDescent="0.35">
      <c r="A551" t="s">
        <v>672</v>
      </c>
      <c r="B551" t="s">
        <v>1496</v>
      </c>
      <c r="C551" t="s">
        <v>3194</v>
      </c>
      <c r="D551" t="s">
        <v>2577</v>
      </c>
      <c r="E551">
        <v>1000</v>
      </c>
      <c r="F551" t="s">
        <v>2113</v>
      </c>
      <c r="G551" t="s">
        <v>2099</v>
      </c>
      <c r="H551">
        <v>1.69</v>
      </c>
      <c r="I551" t="s">
        <v>3481</v>
      </c>
      <c r="J551" s="57">
        <v>44572</v>
      </c>
      <c r="K551" t="s">
        <v>1947</v>
      </c>
    </row>
    <row r="552" spans="1:11" x14ac:dyDescent="0.35">
      <c r="A552" t="s">
        <v>220</v>
      </c>
      <c r="B552" t="s">
        <v>1047</v>
      </c>
      <c r="H552" t="s">
        <v>1879</v>
      </c>
    </row>
    <row r="553" spans="1:11" x14ac:dyDescent="0.35">
      <c r="A553" t="s">
        <v>282</v>
      </c>
      <c r="B553" t="s">
        <v>1108</v>
      </c>
      <c r="C553" t="s">
        <v>2851</v>
      </c>
      <c r="D553" t="s">
        <v>2581</v>
      </c>
      <c r="E553">
        <v>1000</v>
      </c>
      <c r="F553" t="s">
        <v>2113</v>
      </c>
      <c r="G553" t="s">
        <v>2099</v>
      </c>
      <c r="H553">
        <v>17.899999999999999</v>
      </c>
      <c r="I553" t="s">
        <v>3481</v>
      </c>
      <c r="J553" s="57">
        <v>44572</v>
      </c>
      <c r="K553" t="s">
        <v>1947</v>
      </c>
    </row>
    <row r="554" spans="1:11" x14ac:dyDescent="0.35">
      <c r="A554" t="s">
        <v>495</v>
      </c>
      <c r="B554" t="s">
        <v>1319</v>
      </c>
      <c r="C554" t="s">
        <v>3028</v>
      </c>
      <c r="D554" t="s">
        <v>2629</v>
      </c>
      <c r="E554">
        <v>1000</v>
      </c>
      <c r="F554" t="s">
        <v>2113</v>
      </c>
      <c r="G554" t="s">
        <v>2099</v>
      </c>
      <c r="H554">
        <v>15.3</v>
      </c>
      <c r="I554" t="s">
        <v>3481</v>
      </c>
      <c r="J554" s="57">
        <v>44572</v>
      </c>
      <c r="K554" t="s">
        <v>1947</v>
      </c>
    </row>
    <row r="555" spans="1:11" x14ac:dyDescent="0.35">
      <c r="A555" t="s">
        <v>586</v>
      </c>
      <c r="B555" t="s">
        <v>1410</v>
      </c>
      <c r="C555" t="s">
        <v>3113</v>
      </c>
      <c r="E555">
        <v>0</v>
      </c>
      <c r="F555" t="s">
        <v>2680</v>
      </c>
      <c r="G555" t="s">
        <v>3470</v>
      </c>
      <c r="H555">
        <v>0.28999999999999998</v>
      </c>
      <c r="I555" t="s">
        <v>3480</v>
      </c>
      <c r="J555" s="57">
        <v>44572</v>
      </c>
      <c r="K555" t="s">
        <v>3460</v>
      </c>
    </row>
    <row r="556" spans="1:11" x14ac:dyDescent="0.35">
      <c r="A556" t="s">
        <v>163</v>
      </c>
      <c r="B556" t="s">
        <v>992</v>
      </c>
      <c r="C556" t="s">
        <v>2752</v>
      </c>
      <c r="D556" t="s">
        <v>2574</v>
      </c>
      <c r="E556">
        <v>0</v>
      </c>
      <c r="F556" t="s">
        <v>2680</v>
      </c>
      <c r="G556" t="s">
        <v>3469</v>
      </c>
      <c r="H556">
        <v>156</v>
      </c>
      <c r="I556" t="s">
        <v>3480</v>
      </c>
      <c r="J556" s="57">
        <v>44572</v>
      </c>
      <c r="K556" t="s">
        <v>3460</v>
      </c>
    </row>
    <row r="557" spans="1:11" x14ac:dyDescent="0.35">
      <c r="A557" t="s">
        <v>105</v>
      </c>
      <c r="B557" t="s">
        <v>934</v>
      </c>
      <c r="C557" t="s">
        <v>2701</v>
      </c>
      <c r="D557" t="s">
        <v>2629</v>
      </c>
      <c r="E557">
        <v>1000</v>
      </c>
      <c r="F557" t="s">
        <v>2113</v>
      </c>
      <c r="G557" t="s">
        <v>2099</v>
      </c>
      <c r="H557">
        <v>0.84</v>
      </c>
      <c r="I557" t="s">
        <v>3481</v>
      </c>
      <c r="J557" s="57">
        <v>44572</v>
      </c>
      <c r="K557" t="s">
        <v>1947</v>
      </c>
    </row>
    <row r="558" spans="1:11" x14ac:dyDescent="0.35">
      <c r="A558" t="s">
        <v>627</v>
      </c>
      <c r="B558" t="s">
        <v>1451</v>
      </c>
      <c r="C558" t="s">
        <v>4585</v>
      </c>
      <c r="D558" t="s">
        <v>2778</v>
      </c>
      <c r="E558">
        <v>1000</v>
      </c>
      <c r="F558" t="s">
        <v>4586</v>
      </c>
      <c r="G558" t="s">
        <v>2099</v>
      </c>
      <c r="H558">
        <v>0.49</v>
      </c>
      <c r="I558" t="s">
        <v>3481</v>
      </c>
      <c r="J558" s="57">
        <v>44634</v>
      </c>
      <c r="K558" t="s">
        <v>1947</v>
      </c>
    </row>
    <row r="559" spans="1:11" x14ac:dyDescent="0.35">
      <c r="A559" t="s">
        <v>646</v>
      </c>
      <c r="B559" t="s">
        <v>1470</v>
      </c>
      <c r="C559" t="s">
        <v>3172</v>
      </c>
      <c r="D559" t="s">
        <v>2642</v>
      </c>
      <c r="E559">
        <v>10</v>
      </c>
      <c r="F559" t="s">
        <v>2594</v>
      </c>
      <c r="G559" t="s">
        <v>3467</v>
      </c>
      <c r="H559">
        <v>2.6</v>
      </c>
      <c r="I559" t="s">
        <v>3480</v>
      </c>
      <c r="J559" s="57">
        <v>44572</v>
      </c>
      <c r="K559" t="s">
        <v>3460</v>
      </c>
    </row>
    <row r="560" spans="1:11" x14ac:dyDescent="0.35">
      <c r="A560" t="s">
        <v>244</v>
      </c>
      <c r="B560" t="s">
        <v>1070</v>
      </c>
      <c r="C560" t="s">
        <v>2818</v>
      </c>
      <c r="D560" t="s">
        <v>2629</v>
      </c>
      <c r="E560">
        <v>1000</v>
      </c>
      <c r="F560" t="s">
        <v>2113</v>
      </c>
      <c r="G560" t="s">
        <v>2099</v>
      </c>
      <c r="H560">
        <v>29</v>
      </c>
      <c r="I560" t="s">
        <v>3481</v>
      </c>
      <c r="J560" s="57">
        <v>44572</v>
      </c>
      <c r="K560" t="s">
        <v>1947</v>
      </c>
    </row>
    <row r="561" spans="1:11" x14ac:dyDescent="0.35">
      <c r="A561" t="s">
        <v>653</v>
      </c>
      <c r="B561" t="s">
        <v>1477</v>
      </c>
      <c r="C561" t="s">
        <v>3178</v>
      </c>
      <c r="D561" t="s">
        <v>2577</v>
      </c>
      <c r="E561">
        <v>1000</v>
      </c>
      <c r="F561" t="s">
        <v>2113</v>
      </c>
      <c r="G561" t="s">
        <v>2099</v>
      </c>
      <c r="H561">
        <v>11</v>
      </c>
      <c r="I561" t="s">
        <v>3481</v>
      </c>
      <c r="J561" s="57">
        <v>44572</v>
      </c>
      <c r="K561" t="s">
        <v>1947</v>
      </c>
    </row>
    <row r="562" spans="1:11" x14ac:dyDescent="0.35">
      <c r="A562" t="s">
        <v>16</v>
      </c>
      <c r="B562" t="s">
        <v>845</v>
      </c>
      <c r="C562" t="s">
        <v>2598</v>
      </c>
      <c r="D562" t="s">
        <v>2574</v>
      </c>
      <c r="E562">
        <v>0</v>
      </c>
      <c r="F562" t="s">
        <v>2599</v>
      </c>
      <c r="G562" t="s">
        <v>3464</v>
      </c>
      <c r="H562">
        <v>0.09</v>
      </c>
      <c r="I562" t="s">
        <v>3480</v>
      </c>
      <c r="J562" s="57">
        <v>44572</v>
      </c>
      <c r="K562" t="s">
        <v>3460</v>
      </c>
    </row>
    <row r="563" spans="1:11" x14ac:dyDescent="0.35">
      <c r="A563" s="26" t="s">
        <v>3412</v>
      </c>
      <c r="B563" s="26" t="s">
        <v>3417</v>
      </c>
      <c r="C563" s="26" t="s">
        <v>4039</v>
      </c>
      <c r="D563" s="26" t="s">
        <v>1879</v>
      </c>
      <c r="E563" s="26">
        <v>0</v>
      </c>
      <c r="F563" s="26" t="s">
        <v>2680</v>
      </c>
      <c r="G563" s="26" t="s">
        <v>3470</v>
      </c>
      <c r="H563" s="26">
        <v>2E-3</v>
      </c>
      <c r="I563" s="26" t="s">
        <v>2680</v>
      </c>
      <c r="J563" s="57">
        <v>44572</v>
      </c>
      <c r="K563" s="26" t="s">
        <v>3460</v>
      </c>
    </row>
    <row r="564" spans="1:11" x14ac:dyDescent="0.35">
      <c r="A564" t="s">
        <v>257</v>
      </c>
      <c r="B564" t="s">
        <v>1083</v>
      </c>
      <c r="C564" t="s">
        <v>2832</v>
      </c>
      <c r="D564" t="s">
        <v>2581</v>
      </c>
      <c r="E564">
        <v>1000</v>
      </c>
      <c r="F564" t="s">
        <v>2113</v>
      </c>
      <c r="G564" t="s">
        <v>2099</v>
      </c>
      <c r="H564">
        <v>24.9</v>
      </c>
      <c r="I564" t="s">
        <v>3481</v>
      </c>
      <c r="J564" s="57">
        <v>44572</v>
      </c>
      <c r="K564" t="s">
        <v>1947</v>
      </c>
    </row>
    <row r="565" spans="1:11" x14ac:dyDescent="0.35">
      <c r="A565" t="s">
        <v>493</v>
      </c>
      <c r="B565" t="s">
        <v>1317</v>
      </c>
      <c r="C565" t="s">
        <v>3026</v>
      </c>
      <c r="D565" t="s">
        <v>2574</v>
      </c>
      <c r="E565">
        <v>0</v>
      </c>
      <c r="F565" t="s">
        <v>2728</v>
      </c>
      <c r="G565" t="s">
        <v>3464</v>
      </c>
      <c r="H565">
        <v>0.08</v>
      </c>
      <c r="I565" t="s">
        <v>3480</v>
      </c>
      <c r="J565" s="57">
        <v>44572</v>
      </c>
      <c r="K565" t="s">
        <v>3460</v>
      </c>
    </row>
    <row r="566" spans="1:11" x14ac:dyDescent="0.35">
      <c r="A566" t="s">
        <v>207</v>
      </c>
      <c r="B566" t="s">
        <v>1034</v>
      </c>
      <c r="C566" t="s">
        <v>4587</v>
      </c>
      <c r="D566" t="s">
        <v>2778</v>
      </c>
      <c r="E566">
        <v>1000</v>
      </c>
      <c r="F566" t="s">
        <v>2113</v>
      </c>
      <c r="G566" t="s">
        <v>2099</v>
      </c>
      <c r="H566">
        <v>6.9000000000000006E-2</v>
      </c>
      <c r="I566" t="s">
        <v>3481</v>
      </c>
      <c r="J566" s="57">
        <v>44634</v>
      </c>
      <c r="K566" t="s">
        <v>1947</v>
      </c>
    </row>
    <row r="567" spans="1:11" x14ac:dyDescent="0.35">
      <c r="A567" t="s">
        <v>140</v>
      </c>
      <c r="B567" t="s">
        <v>969</v>
      </c>
      <c r="C567" t="s">
        <v>2730</v>
      </c>
      <c r="D567" t="s">
        <v>2661</v>
      </c>
      <c r="E567">
        <v>1000</v>
      </c>
      <c r="F567" t="s">
        <v>2143</v>
      </c>
      <c r="G567" t="s">
        <v>2099</v>
      </c>
      <c r="H567">
        <v>7.7999999999999999E-4</v>
      </c>
      <c r="I567" t="s">
        <v>3480</v>
      </c>
      <c r="J567" s="57">
        <v>44572</v>
      </c>
      <c r="K567" t="s">
        <v>3460</v>
      </c>
    </row>
    <row r="568" spans="1:11" x14ac:dyDescent="0.35">
      <c r="A568" t="s">
        <v>502</v>
      </c>
      <c r="B568" t="s">
        <v>1326</v>
      </c>
      <c r="C568" t="s">
        <v>3033</v>
      </c>
      <c r="E568">
        <v>0</v>
      </c>
      <c r="F568" t="s">
        <v>2680</v>
      </c>
      <c r="G568" t="s">
        <v>3465</v>
      </c>
      <c r="H568">
        <v>8.5999999999999993E-2</v>
      </c>
      <c r="I568" t="s">
        <v>3480</v>
      </c>
      <c r="J568" s="57">
        <v>44572</v>
      </c>
      <c r="K568" t="s">
        <v>3460</v>
      </c>
    </row>
    <row r="569" spans="1:11" x14ac:dyDescent="0.35">
      <c r="A569" t="s">
        <v>556</v>
      </c>
      <c r="B569" t="s">
        <v>1380</v>
      </c>
      <c r="C569" t="s">
        <v>3084</v>
      </c>
      <c r="D569" t="s">
        <v>2581</v>
      </c>
      <c r="E569">
        <v>1000</v>
      </c>
      <c r="F569" t="s">
        <v>2113</v>
      </c>
      <c r="G569" t="s">
        <v>2099</v>
      </c>
      <c r="H569">
        <v>3.96</v>
      </c>
      <c r="I569" t="s">
        <v>3481</v>
      </c>
      <c r="J569" s="57">
        <v>44572</v>
      </c>
      <c r="K569" t="s">
        <v>1947</v>
      </c>
    </row>
    <row r="570" spans="1:11" x14ac:dyDescent="0.35">
      <c r="A570" s="26" t="s">
        <v>3345</v>
      </c>
      <c r="B570" s="26" t="s">
        <v>3346</v>
      </c>
      <c r="C570" s="56" t="s">
        <v>4040</v>
      </c>
      <c r="D570" s="26" t="s">
        <v>4041</v>
      </c>
      <c r="E570" s="26">
        <v>0</v>
      </c>
      <c r="F570" s="26" t="s">
        <v>2603</v>
      </c>
      <c r="G570" s="26" t="s">
        <v>3466</v>
      </c>
      <c r="H570" s="26">
        <v>0.02</v>
      </c>
      <c r="I570" s="26" t="s">
        <v>3480</v>
      </c>
      <c r="J570" s="57">
        <v>44572</v>
      </c>
      <c r="K570" s="26" t="s">
        <v>3460</v>
      </c>
    </row>
    <row r="571" spans="1:11" x14ac:dyDescent="0.35">
      <c r="A571" t="s">
        <v>604</v>
      </c>
      <c r="B571" t="s">
        <v>1428</v>
      </c>
      <c r="C571" t="s">
        <v>3132</v>
      </c>
      <c r="D571" t="s">
        <v>2577</v>
      </c>
      <c r="E571">
        <v>1000</v>
      </c>
      <c r="F571" t="s">
        <v>2113</v>
      </c>
      <c r="G571" t="s">
        <v>2099</v>
      </c>
      <c r="H571">
        <v>18.600000000000001</v>
      </c>
      <c r="I571" t="s">
        <v>3481</v>
      </c>
      <c r="J571" s="57">
        <v>44572</v>
      </c>
      <c r="K571" t="s">
        <v>1947</v>
      </c>
    </row>
    <row r="572" spans="1:11" x14ac:dyDescent="0.35">
      <c r="A572" t="s">
        <v>299</v>
      </c>
      <c r="B572" t="s">
        <v>1124</v>
      </c>
      <c r="C572" t="s">
        <v>4042</v>
      </c>
      <c r="D572" t="s">
        <v>4043</v>
      </c>
      <c r="E572">
        <v>1000</v>
      </c>
      <c r="F572" t="s">
        <v>2113</v>
      </c>
      <c r="G572" t="s">
        <v>2099</v>
      </c>
      <c r="H572">
        <v>6.8000000000000005E-2</v>
      </c>
      <c r="I572" t="s">
        <v>3481</v>
      </c>
      <c r="J572" s="57">
        <v>44572</v>
      </c>
      <c r="K572" t="s">
        <v>1947</v>
      </c>
    </row>
    <row r="573" spans="1:11" x14ac:dyDescent="0.35">
      <c r="A573" t="s">
        <v>17</v>
      </c>
      <c r="B573" t="s">
        <v>846</v>
      </c>
      <c r="C573" t="s">
        <v>2600</v>
      </c>
      <c r="D573" t="s">
        <v>2577</v>
      </c>
      <c r="E573">
        <v>1000</v>
      </c>
      <c r="F573" t="s">
        <v>2113</v>
      </c>
      <c r="G573" t="s">
        <v>2099</v>
      </c>
      <c r="H573">
        <v>0.11</v>
      </c>
      <c r="I573" t="s">
        <v>3481</v>
      </c>
      <c r="J573" s="57">
        <v>44572</v>
      </c>
      <c r="K573" t="s">
        <v>1947</v>
      </c>
    </row>
    <row r="574" spans="1:11" x14ac:dyDescent="0.35">
      <c r="A574" t="s">
        <v>619</v>
      </c>
      <c r="B574" t="s">
        <v>1443</v>
      </c>
      <c r="C574" t="s">
        <v>3147</v>
      </c>
      <c r="D574" t="s">
        <v>2629</v>
      </c>
      <c r="E574">
        <v>1000</v>
      </c>
      <c r="F574" t="s">
        <v>2113</v>
      </c>
      <c r="G574" t="s">
        <v>2099</v>
      </c>
      <c r="H574">
        <v>11.6</v>
      </c>
      <c r="I574" t="s">
        <v>3481</v>
      </c>
      <c r="J574" s="57">
        <v>44572</v>
      </c>
      <c r="K574" t="s">
        <v>1947</v>
      </c>
    </row>
    <row r="575" spans="1:11" x14ac:dyDescent="0.35">
      <c r="A575" t="s">
        <v>757</v>
      </c>
      <c r="B575" t="s">
        <v>1581</v>
      </c>
      <c r="C575" t="s">
        <v>3242</v>
      </c>
      <c r="D575" t="s">
        <v>2583</v>
      </c>
      <c r="E575">
        <v>1000</v>
      </c>
      <c r="F575" t="s">
        <v>2113</v>
      </c>
      <c r="G575" t="s">
        <v>2099</v>
      </c>
      <c r="H575">
        <v>17.399999999999999</v>
      </c>
      <c r="I575" t="s">
        <v>3481</v>
      </c>
      <c r="J575" s="57">
        <v>44572</v>
      </c>
      <c r="K575" t="s">
        <v>1947</v>
      </c>
    </row>
    <row r="576" spans="1:11" x14ac:dyDescent="0.35">
      <c r="A576" t="s">
        <v>631</v>
      </c>
      <c r="B576" t="s">
        <v>1455</v>
      </c>
      <c r="C576" t="s">
        <v>3157</v>
      </c>
      <c r="D576" t="s">
        <v>2581</v>
      </c>
      <c r="E576">
        <v>1000</v>
      </c>
      <c r="F576" t="s">
        <v>2113</v>
      </c>
      <c r="G576" t="s">
        <v>2099</v>
      </c>
      <c r="H576">
        <v>21.3</v>
      </c>
      <c r="I576" t="s">
        <v>3481</v>
      </c>
      <c r="J576" s="57">
        <v>44572</v>
      </c>
      <c r="K576" t="s">
        <v>1947</v>
      </c>
    </row>
    <row r="577" spans="1:11" x14ac:dyDescent="0.35">
      <c r="A577" t="s">
        <v>272</v>
      </c>
      <c r="B577" t="s">
        <v>1098</v>
      </c>
      <c r="C577" t="s">
        <v>2844</v>
      </c>
      <c r="D577" t="s">
        <v>2845</v>
      </c>
      <c r="E577">
        <v>10</v>
      </c>
      <c r="F577" t="s">
        <v>2603</v>
      </c>
      <c r="G577" t="s">
        <v>3466</v>
      </c>
      <c r="H577">
        <v>0.2</v>
      </c>
      <c r="I577" t="s">
        <v>3480</v>
      </c>
      <c r="J577" s="57">
        <v>44572</v>
      </c>
      <c r="K577" t="s">
        <v>3460</v>
      </c>
    </row>
    <row r="578" spans="1:11" x14ac:dyDescent="0.35">
      <c r="A578" t="s">
        <v>490</v>
      </c>
      <c r="B578" t="s">
        <v>1314</v>
      </c>
      <c r="C578" t="s">
        <v>3023</v>
      </c>
      <c r="D578" t="s">
        <v>2583</v>
      </c>
      <c r="E578">
        <v>1000</v>
      </c>
      <c r="F578" t="s">
        <v>2113</v>
      </c>
      <c r="G578" t="s">
        <v>2099</v>
      </c>
      <c r="H578">
        <v>8.6300000000000008</v>
      </c>
      <c r="I578" t="s">
        <v>3481</v>
      </c>
      <c r="J578" s="57">
        <v>44572</v>
      </c>
      <c r="K578" t="s">
        <v>1947</v>
      </c>
    </row>
    <row r="579" spans="1:11" x14ac:dyDescent="0.35">
      <c r="A579" t="s">
        <v>518</v>
      </c>
      <c r="B579" t="s">
        <v>1342</v>
      </c>
      <c r="C579" t="s">
        <v>3048</v>
      </c>
      <c r="D579" t="s">
        <v>2581</v>
      </c>
      <c r="E579">
        <v>1000</v>
      </c>
      <c r="F579" t="s">
        <v>2113</v>
      </c>
      <c r="G579" t="s">
        <v>2099</v>
      </c>
      <c r="H579">
        <v>6.01</v>
      </c>
      <c r="I579" t="s">
        <v>3481</v>
      </c>
      <c r="J579" s="57">
        <v>44572</v>
      </c>
      <c r="K579" t="s">
        <v>1947</v>
      </c>
    </row>
    <row r="580" spans="1:11" x14ac:dyDescent="0.35">
      <c r="A580" t="s">
        <v>270</v>
      </c>
      <c r="B580" t="s">
        <v>1096</v>
      </c>
      <c r="H580" t="s">
        <v>1879</v>
      </c>
    </row>
    <row r="581" spans="1:11" x14ac:dyDescent="0.35">
      <c r="A581" t="s">
        <v>444</v>
      </c>
      <c r="B581" t="s">
        <v>1268</v>
      </c>
      <c r="C581" t="s">
        <v>2980</v>
      </c>
      <c r="D581" t="s">
        <v>2574</v>
      </c>
      <c r="E581">
        <v>0</v>
      </c>
      <c r="F581" t="s">
        <v>2680</v>
      </c>
      <c r="G581" t="s">
        <v>3465</v>
      </c>
      <c r="H581">
        <v>5.8000000000000003E-2</v>
      </c>
      <c r="I581" t="s">
        <v>3480</v>
      </c>
      <c r="J581" s="57">
        <v>44572</v>
      </c>
      <c r="K581" t="s">
        <v>3460</v>
      </c>
    </row>
    <row r="582" spans="1:11" x14ac:dyDescent="0.35">
      <c r="A582" t="s">
        <v>335</v>
      </c>
      <c r="B582" t="s">
        <v>1160</v>
      </c>
      <c r="C582" t="s">
        <v>2895</v>
      </c>
      <c r="D582" t="s">
        <v>2661</v>
      </c>
      <c r="E582">
        <v>1000</v>
      </c>
      <c r="F582" t="s">
        <v>2113</v>
      </c>
      <c r="G582" t="s">
        <v>2099</v>
      </c>
      <c r="H582">
        <v>46.8</v>
      </c>
      <c r="I582" t="s">
        <v>3481</v>
      </c>
      <c r="J582" s="57">
        <v>44572</v>
      </c>
      <c r="K582" t="s">
        <v>1947</v>
      </c>
    </row>
    <row r="583" spans="1:11" x14ac:dyDescent="0.35">
      <c r="A583" t="s">
        <v>265</v>
      </c>
      <c r="B583" t="s">
        <v>1091</v>
      </c>
      <c r="H583" t="s">
        <v>1879</v>
      </c>
    </row>
    <row r="584" spans="1:11" x14ac:dyDescent="0.35">
      <c r="A584" t="s">
        <v>695</v>
      </c>
      <c r="B584" t="s">
        <v>1519</v>
      </c>
      <c r="C584" t="s">
        <v>3212</v>
      </c>
      <c r="D584" t="s">
        <v>2581</v>
      </c>
      <c r="E584">
        <v>1000</v>
      </c>
      <c r="F584" t="s">
        <v>2113</v>
      </c>
      <c r="G584" t="s">
        <v>2099</v>
      </c>
      <c r="H584">
        <v>33.1</v>
      </c>
      <c r="I584" t="s">
        <v>3481</v>
      </c>
      <c r="J584" s="57">
        <v>44572</v>
      </c>
      <c r="K584" t="s">
        <v>1947</v>
      </c>
    </row>
    <row r="585" spans="1:11" x14ac:dyDescent="0.35">
      <c r="A585" t="s">
        <v>129</v>
      </c>
      <c r="B585" t="s">
        <v>958</v>
      </c>
      <c r="C585" t="s">
        <v>2723</v>
      </c>
      <c r="D585" t="s">
        <v>2629</v>
      </c>
      <c r="E585">
        <v>1000</v>
      </c>
      <c r="F585" t="s">
        <v>2113</v>
      </c>
      <c r="G585" t="s">
        <v>2099</v>
      </c>
      <c r="H585">
        <v>0.72</v>
      </c>
      <c r="I585" t="s">
        <v>3481</v>
      </c>
      <c r="J585" s="57">
        <v>44572</v>
      </c>
      <c r="K585" t="s">
        <v>1947</v>
      </c>
    </row>
    <row r="586" spans="1:11" x14ac:dyDescent="0.35">
      <c r="A586" t="s">
        <v>425</v>
      </c>
      <c r="B586" t="s">
        <v>1249</v>
      </c>
      <c r="C586" t="s">
        <v>2962</v>
      </c>
      <c r="D586" t="s">
        <v>2581</v>
      </c>
      <c r="E586">
        <v>1000</v>
      </c>
      <c r="F586" t="s">
        <v>2113</v>
      </c>
      <c r="G586" t="s">
        <v>2099</v>
      </c>
      <c r="H586">
        <v>2.5000000000000001E-2</v>
      </c>
      <c r="I586" t="s">
        <v>3481</v>
      </c>
      <c r="J586" s="57">
        <v>44572</v>
      </c>
      <c r="K586" t="s">
        <v>1947</v>
      </c>
    </row>
    <row r="587" spans="1:11" x14ac:dyDescent="0.35">
      <c r="A587" t="s">
        <v>696</v>
      </c>
      <c r="B587" t="s">
        <v>1520</v>
      </c>
      <c r="C587" t="s">
        <v>3213</v>
      </c>
      <c r="D587" t="s">
        <v>2581</v>
      </c>
      <c r="E587">
        <v>1000</v>
      </c>
      <c r="F587" t="s">
        <v>2113</v>
      </c>
      <c r="G587" t="s">
        <v>2099</v>
      </c>
      <c r="H587">
        <v>0.22</v>
      </c>
      <c r="I587" t="s">
        <v>3481</v>
      </c>
      <c r="J587" s="57">
        <v>44572</v>
      </c>
      <c r="K587" t="s">
        <v>1947</v>
      </c>
    </row>
    <row r="588" spans="1:11" x14ac:dyDescent="0.35">
      <c r="A588" t="s">
        <v>415</v>
      </c>
      <c r="B588" t="s">
        <v>1239</v>
      </c>
      <c r="C588" t="s">
        <v>2953</v>
      </c>
      <c r="D588" t="s">
        <v>2581</v>
      </c>
      <c r="E588">
        <v>1000</v>
      </c>
      <c r="F588" t="s">
        <v>2113</v>
      </c>
      <c r="G588" t="s">
        <v>2099</v>
      </c>
      <c r="H588">
        <v>4.2999999999999997E-2</v>
      </c>
      <c r="I588" t="s">
        <v>3481</v>
      </c>
      <c r="J588" s="57">
        <v>44572</v>
      </c>
      <c r="K588" t="s">
        <v>1947</v>
      </c>
    </row>
    <row r="589" spans="1:11" x14ac:dyDescent="0.35">
      <c r="A589" t="s">
        <v>57</v>
      </c>
      <c r="B589" t="s">
        <v>886</v>
      </c>
      <c r="H589" t="s">
        <v>1879</v>
      </c>
    </row>
    <row r="590" spans="1:11" x14ac:dyDescent="0.35">
      <c r="A590" t="s">
        <v>432</v>
      </c>
      <c r="B590" t="s">
        <v>1256</v>
      </c>
      <c r="C590" t="s">
        <v>2968</v>
      </c>
      <c r="D590" t="s">
        <v>2590</v>
      </c>
      <c r="E590">
        <v>100</v>
      </c>
      <c r="F590" t="s">
        <v>2143</v>
      </c>
      <c r="G590" t="s">
        <v>2099</v>
      </c>
      <c r="H590">
        <v>3.8</v>
      </c>
      <c r="I590" t="s">
        <v>3480</v>
      </c>
      <c r="J590" s="57">
        <v>44572</v>
      </c>
      <c r="K590" t="s">
        <v>3460</v>
      </c>
    </row>
    <row r="591" spans="1:11" x14ac:dyDescent="0.35">
      <c r="A591" t="s">
        <v>639</v>
      </c>
      <c r="B591" t="s">
        <v>1463</v>
      </c>
      <c r="C591" t="s">
        <v>3165</v>
      </c>
      <c r="D591" t="s">
        <v>2581</v>
      </c>
      <c r="E591">
        <v>1000</v>
      </c>
      <c r="F591" t="s">
        <v>2113</v>
      </c>
      <c r="G591" t="s">
        <v>2099</v>
      </c>
      <c r="H591">
        <v>8.24</v>
      </c>
      <c r="I591" t="s">
        <v>3481</v>
      </c>
      <c r="J591" s="57">
        <v>44572</v>
      </c>
      <c r="K591" t="s">
        <v>1947</v>
      </c>
    </row>
    <row r="592" spans="1:11" x14ac:dyDescent="0.35">
      <c r="A592" t="s">
        <v>506</v>
      </c>
      <c r="B592" t="s">
        <v>1330</v>
      </c>
      <c r="C592" t="s">
        <v>3037</v>
      </c>
      <c r="D592" t="s">
        <v>2581</v>
      </c>
      <c r="E592">
        <v>1000</v>
      </c>
      <c r="F592" t="s">
        <v>2113</v>
      </c>
      <c r="G592" t="s">
        <v>2099</v>
      </c>
      <c r="H592">
        <v>2.2000000000000001E-3</v>
      </c>
      <c r="I592" t="s">
        <v>3481</v>
      </c>
      <c r="J592" s="57">
        <v>44572</v>
      </c>
      <c r="K592" t="s">
        <v>1947</v>
      </c>
    </row>
    <row r="593" spans="1:11" x14ac:dyDescent="0.35">
      <c r="A593" t="s">
        <v>228</v>
      </c>
      <c r="B593" t="s">
        <v>1055</v>
      </c>
      <c r="C593" t="s">
        <v>2808</v>
      </c>
      <c r="D593" t="s">
        <v>2583</v>
      </c>
      <c r="E593">
        <v>1000</v>
      </c>
      <c r="F593" t="s">
        <v>2113</v>
      </c>
      <c r="G593" t="s">
        <v>2099</v>
      </c>
      <c r="H593">
        <v>5.38</v>
      </c>
      <c r="I593" t="s">
        <v>3481</v>
      </c>
      <c r="J593" s="57">
        <v>44572</v>
      </c>
      <c r="K593" t="s">
        <v>1947</v>
      </c>
    </row>
    <row r="594" spans="1:11" x14ac:dyDescent="0.35">
      <c r="A594" t="s">
        <v>697</v>
      </c>
      <c r="B594" t="s">
        <v>1521</v>
      </c>
      <c r="C594" t="s">
        <v>4044</v>
      </c>
      <c r="D594" t="s">
        <v>4009</v>
      </c>
      <c r="E594">
        <v>1000</v>
      </c>
      <c r="F594" t="s">
        <v>2113</v>
      </c>
      <c r="G594" t="s">
        <v>2099</v>
      </c>
      <c r="H594">
        <v>8.5000000000000006E-2</v>
      </c>
      <c r="I594" t="s">
        <v>3481</v>
      </c>
      <c r="J594" s="57">
        <v>44572</v>
      </c>
      <c r="K594" t="s">
        <v>1947</v>
      </c>
    </row>
    <row r="595" spans="1:11" x14ac:dyDescent="0.35">
      <c r="A595" t="s">
        <v>71</v>
      </c>
      <c r="B595" t="s">
        <v>900</v>
      </c>
      <c r="C595" t="s">
        <v>2664</v>
      </c>
      <c r="D595" t="s">
        <v>2577</v>
      </c>
      <c r="E595">
        <v>1000</v>
      </c>
      <c r="F595" t="s">
        <v>2113</v>
      </c>
      <c r="G595" t="s">
        <v>2099</v>
      </c>
      <c r="H595">
        <v>0.5</v>
      </c>
      <c r="I595" t="s">
        <v>3481</v>
      </c>
      <c r="J595" s="57">
        <v>44572</v>
      </c>
      <c r="K595" t="s">
        <v>1947</v>
      </c>
    </row>
    <row r="596" spans="1:11" x14ac:dyDescent="0.35">
      <c r="A596" t="s">
        <v>82</v>
      </c>
      <c r="B596" t="s">
        <v>911</v>
      </c>
      <c r="C596" t="s">
        <v>2673</v>
      </c>
      <c r="D596" t="s">
        <v>2629</v>
      </c>
      <c r="E596">
        <v>1000</v>
      </c>
      <c r="F596" t="s">
        <v>2113</v>
      </c>
      <c r="G596" t="s">
        <v>2099</v>
      </c>
      <c r="H596">
        <v>0.14000000000000001</v>
      </c>
      <c r="I596" t="s">
        <v>3481</v>
      </c>
      <c r="J596" s="57">
        <v>44572</v>
      </c>
      <c r="K596" t="s">
        <v>1947</v>
      </c>
    </row>
    <row r="597" spans="1:11" x14ac:dyDescent="0.35">
      <c r="A597" t="s">
        <v>43</v>
      </c>
      <c r="B597" t="s">
        <v>872</v>
      </c>
      <c r="C597" t="s">
        <v>2631</v>
      </c>
      <c r="D597" t="s">
        <v>2632</v>
      </c>
      <c r="E597">
        <v>50</v>
      </c>
      <c r="F597" t="s">
        <v>2608</v>
      </c>
      <c r="G597" t="s">
        <v>2099</v>
      </c>
      <c r="H597">
        <v>4</v>
      </c>
      <c r="I597" t="s">
        <v>3480</v>
      </c>
      <c r="J597" s="57">
        <v>44572</v>
      </c>
      <c r="K597" t="s">
        <v>3460</v>
      </c>
    </row>
    <row r="598" spans="1:11" x14ac:dyDescent="0.35">
      <c r="A598" t="s">
        <v>412</v>
      </c>
      <c r="B598" t="s">
        <v>1236</v>
      </c>
      <c r="C598" t="s">
        <v>2950</v>
      </c>
      <c r="D598" t="s">
        <v>2629</v>
      </c>
      <c r="E598">
        <v>1000</v>
      </c>
      <c r="F598" t="s">
        <v>2113</v>
      </c>
      <c r="G598" t="s">
        <v>2099</v>
      </c>
      <c r="H598">
        <v>2.83</v>
      </c>
      <c r="I598" t="s">
        <v>3481</v>
      </c>
      <c r="J598" s="57">
        <v>44572</v>
      </c>
      <c r="K598" t="s">
        <v>1947</v>
      </c>
    </row>
    <row r="599" spans="1:11" x14ac:dyDescent="0.35">
      <c r="A599" t="s">
        <v>478</v>
      </c>
      <c r="B599" t="s">
        <v>1302</v>
      </c>
      <c r="C599" t="s">
        <v>3012</v>
      </c>
      <c r="D599" t="s">
        <v>2581</v>
      </c>
      <c r="E599">
        <v>1000</v>
      </c>
      <c r="F599" t="s">
        <v>2113</v>
      </c>
      <c r="G599" t="s">
        <v>2099</v>
      </c>
      <c r="H599">
        <v>4.9000000000000004</v>
      </c>
      <c r="I599" t="s">
        <v>3481</v>
      </c>
      <c r="J599" s="57">
        <v>44572</v>
      </c>
      <c r="K599" t="s">
        <v>1947</v>
      </c>
    </row>
    <row r="600" spans="1:11" x14ac:dyDescent="0.35">
      <c r="A600" t="s">
        <v>570</v>
      </c>
      <c r="B600" t="s">
        <v>1394</v>
      </c>
      <c r="C600" t="s">
        <v>3097</v>
      </c>
      <c r="D600" t="s">
        <v>2581</v>
      </c>
      <c r="E600">
        <v>1000</v>
      </c>
      <c r="F600" t="s">
        <v>2113</v>
      </c>
      <c r="G600" t="s">
        <v>2099</v>
      </c>
      <c r="H600">
        <v>4.82</v>
      </c>
      <c r="I600" t="s">
        <v>3481</v>
      </c>
      <c r="J600" s="57">
        <v>44572</v>
      </c>
      <c r="K600" t="s">
        <v>1947</v>
      </c>
    </row>
    <row r="601" spans="1:11" x14ac:dyDescent="0.35">
      <c r="A601" t="s">
        <v>332</v>
      </c>
      <c r="B601" t="s">
        <v>1157</v>
      </c>
      <c r="C601" t="s">
        <v>2892</v>
      </c>
      <c r="D601" t="s">
        <v>2581</v>
      </c>
      <c r="E601">
        <v>1000</v>
      </c>
      <c r="F601" t="s">
        <v>2113</v>
      </c>
      <c r="G601" t="s">
        <v>2099</v>
      </c>
      <c r="H601">
        <v>1.24</v>
      </c>
      <c r="I601" t="s">
        <v>3481</v>
      </c>
      <c r="J601" s="57">
        <v>44572</v>
      </c>
      <c r="K601" t="s">
        <v>1947</v>
      </c>
    </row>
    <row r="602" spans="1:11" x14ac:dyDescent="0.35">
      <c r="A602" t="s">
        <v>554</v>
      </c>
      <c r="B602" t="s">
        <v>1378</v>
      </c>
      <c r="C602" t="s">
        <v>3082</v>
      </c>
      <c r="D602" t="s">
        <v>2661</v>
      </c>
      <c r="E602">
        <v>1000</v>
      </c>
      <c r="F602" t="s">
        <v>2113</v>
      </c>
      <c r="G602" t="s">
        <v>2099</v>
      </c>
      <c r="H602">
        <v>11.9</v>
      </c>
      <c r="I602" t="s">
        <v>3481</v>
      </c>
      <c r="J602" s="57">
        <v>44572</v>
      </c>
      <c r="K602" t="s">
        <v>1947</v>
      </c>
    </row>
    <row r="603" spans="1:11" x14ac:dyDescent="0.35">
      <c r="A603" t="s">
        <v>440</v>
      </c>
      <c r="B603" t="s">
        <v>1264</v>
      </c>
      <c r="C603" t="s">
        <v>2977</v>
      </c>
      <c r="D603" t="s">
        <v>2583</v>
      </c>
      <c r="E603">
        <v>1000</v>
      </c>
      <c r="F603" t="s">
        <v>2113</v>
      </c>
      <c r="G603" t="s">
        <v>2099</v>
      </c>
      <c r="H603">
        <v>2.38</v>
      </c>
      <c r="I603" t="s">
        <v>3481</v>
      </c>
      <c r="J603" s="57">
        <v>44572</v>
      </c>
      <c r="K603" t="s">
        <v>1947</v>
      </c>
    </row>
    <row r="604" spans="1:11" x14ac:dyDescent="0.35">
      <c r="A604" t="s">
        <v>307</v>
      </c>
      <c r="B604" t="s">
        <v>1132</v>
      </c>
      <c r="C604" t="s">
        <v>2872</v>
      </c>
      <c r="D604" t="s">
        <v>2583</v>
      </c>
      <c r="E604">
        <v>1000</v>
      </c>
      <c r="F604" t="s">
        <v>2113</v>
      </c>
      <c r="G604" t="s">
        <v>2099</v>
      </c>
      <c r="H604">
        <v>7.21</v>
      </c>
      <c r="I604" t="s">
        <v>3481</v>
      </c>
      <c r="J604" s="57">
        <v>44572</v>
      </c>
      <c r="K604" t="s">
        <v>1947</v>
      </c>
    </row>
    <row r="605" spans="1:11" x14ac:dyDescent="0.35">
      <c r="A605" t="s">
        <v>369</v>
      </c>
      <c r="B605" t="s">
        <v>1193</v>
      </c>
      <c r="C605" t="s">
        <v>2919</v>
      </c>
      <c r="D605" t="s">
        <v>2577</v>
      </c>
      <c r="E605">
        <v>1000</v>
      </c>
      <c r="F605" t="s">
        <v>2113</v>
      </c>
      <c r="G605" t="s">
        <v>2099</v>
      </c>
      <c r="H605">
        <v>1.5E-3</v>
      </c>
      <c r="I605" t="s">
        <v>3481</v>
      </c>
      <c r="J605" s="57">
        <v>44572</v>
      </c>
      <c r="K605" t="s">
        <v>1947</v>
      </c>
    </row>
    <row r="606" spans="1:11" x14ac:dyDescent="0.35">
      <c r="A606" t="s">
        <v>35</v>
      </c>
      <c r="B606" t="s">
        <v>864</v>
      </c>
      <c r="C606" t="s">
        <v>2625</v>
      </c>
      <c r="D606" t="s">
        <v>2574</v>
      </c>
      <c r="E606">
        <v>0</v>
      </c>
      <c r="F606" t="s">
        <v>2139</v>
      </c>
      <c r="G606" t="s">
        <v>3468</v>
      </c>
      <c r="H606">
        <v>2</v>
      </c>
      <c r="I606" t="s">
        <v>3480</v>
      </c>
      <c r="J606" s="57">
        <v>44572</v>
      </c>
      <c r="K606" t="s">
        <v>3460</v>
      </c>
    </row>
    <row r="607" spans="1:11" x14ac:dyDescent="0.35">
      <c r="A607" t="s">
        <v>820</v>
      </c>
      <c r="B607" t="s">
        <v>1642</v>
      </c>
      <c r="H607" t="s">
        <v>1879</v>
      </c>
    </row>
    <row r="608" spans="1:11" x14ac:dyDescent="0.35">
      <c r="A608" t="s">
        <v>797</v>
      </c>
      <c r="B608" t="s">
        <v>1620</v>
      </c>
      <c r="H608" t="s">
        <v>1879</v>
      </c>
    </row>
    <row r="609" spans="1:11" x14ac:dyDescent="0.35">
      <c r="A609" t="s">
        <v>431</v>
      </c>
      <c r="B609" t="s">
        <v>1255</v>
      </c>
      <c r="C609" t="s">
        <v>4588</v>
      </c>
      <c r="D609" t="s">
        <v>3079</v>
      </c>
      <c r="E609">
        <v>1000</v>
      </c>
      <c r="F609" t="s">
        <v>2113</v>
      </c>
      <c r="G609" t="s">
        <v>2099</v>
      </c>
      <c r="H609">
        <v>1.82</v>
      </c>
      <c r="I609" t="s">
        <v>3481</v>
      </c>
      <c r="J609" s="57">
        <v>44634</v>
      </c>
      <c r="K609" t="s">
        <v>1947</v>
      </c>
    </row>
    <row r="610" spans="1:11" x14ac:dyDescent="0.35">
      <c r="A610" t="s">
        <v>329</v>
      </c>
      <c r="B610" t="s">
        <v>1154</v>
      </c>
      <c r="C610" t="s">
        <v>2890</v>
      </c>
      <c r="D610" t="s">
        <v>2577</v>
      </c>
      <c r="E610">
        <v>1000</v>
      </c>
      <c r="F610" t="s">
        <v>2113</v>
      </c>
      <c r="G610" t="s">
        <v>2099</v>
      </c>
      <c r="H610">
        <v>21.1</v>
      </c>
      <c r="I610" t="s">
        <v>3481</v>
      </c>
      <c r="J610" s="57">
        <v>44572</v>
      </c>
      <c r="K610" t="s">
        <v>1947</v>
      </c>
    </row>
    <row r="611" spans="1:11" x14ac:dyDescent="0.35">
      <c r="A611" t="s">
        <v>324</v>
      </c>
      <c r="B611" t="s">
        <v>1149</v>
      </c>
      <c r="H611" t="s">
        <v>1879</v>
      </c>
    </row>
    <row r="612" spans="1:11" x14ac:dyDescent="0.35">
      <c r="A612" t="s">
        <v>187</v>
      </c>
      <c r="B612" t="s">
        <v>1015</v>
      </c>
      <c r="C612" t="s">
        <v>2770</v>
      </c>
      <c r="D612" t="s">
        <v>2583</v>
      </c>
      <c r="E612">
        <v>1000</v>
      </c>
      <c r="F612" t="s">
        <v>2113</v>
      </c>
      <c r="G612" t="s">
        <v>2099</v>
      </c>
      <c r="H612">
        <v>5.3999999999999999E-2</v>
      </c>
      <c r="I612" t="s">
        <v>3481</v>
      </c>
      <c r="J612" s="57">
        <v>44572</v>
      </c>
      <c r="K612" t="s">
        <v>1947</v>
      </c>
    </row>
    <row r="613" spans="1:11" x14ac:dyDescent="0.35">
      <c r="A613" t="s">
        <v>53</v>
      </c>
      <c r="B613" t="s">
        <v>882</v>
      </c>
      <c r="H613" t="s">
        <v>1879</v>
      </c>
    </row>
    <row r="614" spans="1:11" x14ac:dyDescent="0.35">
      <c r="A614" t="s">
        <v>766</v>
      </c>
      <c r="B614" t="s">
        <v>1590</v>
      </c>
      <c r="C614" t="s">
        <v>3249</v>
      </c>
      <c r="D614" t="s">
        <v>2577</v>
      </c>
      <c r="E614">
        <v>1000</v>
      </c>
      <c r="F614" t="s">
        <v>2113</v>
      </c>
      <c r="G614" t="s">
        <v>2099</v>
      </c>
      <c r="H614">
        <v>0.13</v>
      </c>
      <c r="I614" t="s">
        <v>3481</v>
      </c>
      <c r="J614" s="57">
        <v>44572</v>
      </c>
      <c r="K614" t="s">
        <v>1947</v>
      </c>
    </row>
    <row r="615" spans="1:11" x14ac:dyDescent="0.35">
      <c r="A615" t="s">
        <v>575</v>
      </c>
      <c r="B615" t="s">
        <v>1399</v>
      </c>
      <c r="C615" t="s">
        <v>3101</v>
      </c>
      <c r="D615" t="s">
        <v>2581</v>
      </c>
      <c r="E615">
        <v>1000</v>
      </c>
      <c r="F615" t="s">
        <v>2113</v>
      </c>
      <c r="G615" t="s">
        <v>2099</v>
      </c>
      <c r="H615">
        <v>0.48</v>
      </c>
      <c r="I615" t="s">
        <v>3481</v>
      </c>
      <c r="J615" s="57">
        <v>44572</v>
      </c>
      <c r="K615" t="s">
        <v>1947</v>
      </c>
    </row>
    <row r="616" spans="1:11" x14ac:dyDescent="0.35">
      <c r="A616" t="s">
        <v>623</v>
      </c>
      <c r="B616" t="s">
        <v>1447</v>
      </c>
      <c r="C616" t="s">
        <v>3151</v>
      </c>
      <c r="D616" t="s">
        <v>2574</v>
      </c>
      <c r="E616">
        <v>0</v>
      </c>
      <c r="F616" t="s">
        <v>2680</v>
      </c>
      <c r="G616" t="s">
        <v>3465</v>
      </c>
      <c r="H616">
        <v>8.6999999999999994E-3</v>
      </c>
      <c r="I616" t="s">
        <v>3480</v>
      </c>
      <c r="J616" s="57">
        <v>44572</v>
      </c>
      <c r="K616" t="s">
        <v>3460</v>
      </c>
    </row>
    <row r="617" spans="1:11" x14ac:dyDescent="0.35">
      <c r="A617" t="s">
        <v>252</v>
      </c>
      <c r="B617" t="s">
        <v>1078</v>
      </c>
      <c r="C617" t="s">
        <v>2827</v>
      </c>
      <c r="D617" t="s">
        <v>2828</v>
      </c>
      <c r="E617">
        <v>1000</v>
      </c>
      <c r="F617" t="s">
        <v>2143</v>
      </c>
      <c r="G617" t="s">
        <v>2099</v>
      </c>
      <c r="H617">
        <v>5.45</v>
      </c>
      <c r="I617" t="s">
        <v>3480</v>
      </c>
      <c r="J617" s="57">
        <v>44572</v>
      </c>
      <c r="K617" t="s">
        <v>3460</v>
      </c>
    </row>
    <row r="618" spans="1:11" x14ac:dyDescent="0.35">
      <c r="A618" t="s">
        <v>300</v>
      </c>
      <c r="B618" t="s">
        <v>1125</v>
      </c>
      <c r="C618" t="s">
        <v>2866</v>
      </c>
      <c r="D618" t="s">
        <v>2583</v>
      </c>
      <c r="E618">
        <v>1000</v>
      </c>
      <c r="F618" t="s">
        <v>2113</v>
      </c>
      <c r="G618" t="s">
        <v>2099</v>
      </c>
      <c r="H618">
        <v>0.15</v>
      </c>
      <c r="I618" t="s">
        <v>3481</v>
      </c>
      <c r="J618" s="57">
        <v>44572</v>
      </c>
      <c r="K618" t="s">
        <v>1947</v>
      </c>
    </row>
    <row r="619" spans="1:11" x14ac:dyDescent="0.35">
      <c r="A619" t="s">
        <v>267</v>
      </c>
      <c r="B619" t="s">
        <v>1093</v>
      </c>
      <c r="C619" t="s">
        <v>2840</v>
      </c>
      <c r="D619" t="s">
        <v>2581</v>
      </c>
      <c r="E619">
        <v>1000</v>
      </c>
      <c r="F619" t="s">
        <v>2113</v>
      </c>
      <c r="G619" t="s">
        <v>2099</v>
      </c>
      <c r="H619">
        <v>1.44</v>
      </c>
      <c r="I619" t="s">
        <v>3481</v>
      </c>
      <c r="J619" s="57">
        <v>44572</v>
      </c>
      <c r="K619" t="s">
        <v>1947</v>
      </c>
    </row>
    <row r="620" spans="1:11" x14ac:dyDescent="0.35">
      <c r="A620" t="s">
        <v>162</v>
      </c>
      <c r="B620" t="s">
        <v>991</v>
      </c>
      <c r="C620" t="s">
        <v>2751</v>
      </c>
      <c r="D620" t="s">
        <v>2629</v>
      </c>
      <c r="E620">
        <v>1000</v>
      </c>
      <c r="F620" t="s">
        <v>2113</v>
      </c>
      <c r="G620" t="s">
        <v>2099</v>
      </c>
      <c r="H620">
        <v>3.3E-3</v>
      </c>
      <c r="I620" t="s">
        <v>3481</v>
      </c>
      <c r="J620" s="57">
        <v>44572</v>
      </c>
      <c r="K620" t="s">
        <v>1947</v>
      </c>
    </row>
    <row r="621" spans="1:11" x14ac:dyDescent="0.35">
      <c r="A621" t="s">
        <v>523</v>
      </c>
      <c r="B621" t="s">
        <v>1347</v>
      </c>
      <c r="C621" t="s">
        <v>3052</v>
      </c>
      <c r="D621" t="s">
        <v>2583</v>
      </c>
      <c r="E621">
        <v>1000</v>
      </c>
      <c r="F621" t="s">
        <v>2113</v>
      </c>
      <c r="G621" t="s">
        <v>2099</v>
      </c>
      <c r="H621">
        <v>0.49</v>
      </c>
      <c r="I621" t="s">
        <v>3481</v>
      </c>
      <c r="J621" s="57">
        <v>44572</v>
      </c>
      <c r="K621" t="s">
        <v>1947</v>
      </c>
    </row>
    <row r="622" spans="1:11" x14ac:dyDescent="0.35">
      <c r="A622" t="s">
        <v>318</v>
      </c>
      <c r="B622" t="s">
        <v>1143</v>
      </c>
      <c r="C622" t="s">
        <v>2882</v>
      </c>
      <c r="D622" t="s">
        <v>2629</v>
      </c>
      <c r="E622">
        <v>1000</v>
      </c>
      <c r="F622" t="s">
        <v>2113</v>
      </c>
      <c r="G622" t="s">
        <v>2099</v>
      </c>
      <c r="H622">
        <v>9.1999999999999998E-3</v>
      </c>
      <c r="I622" t="s">
        <v>3481</v>
      </c>
      <c r="J622" s="57">
        <v>44572</v>
      </c>
      <c r="K622" t="s">
        <v>1947</v>
      </c>
    </row>
    <row r="623" spans="1:11" x14ac:dyDescent="0.35">
      <c r="A623" t="s">
        <v>106</v>
      </c>
      <c r="B623" t="s">
        <v>935</v>
      </c>
      <c r="C623" t="s">
        <v>2702</v>
      </c>
      <c r="D623" t="s">
        <v>2581</v>
      </c>
      <c r="E623">
        <v>1000</v>
      </c>
      <c r="F623" t="s">
        <v>2113</v>
      </c>
      <c r="G623" t="s">
        <v>2099</v>
      </c>
      <c r="H623">
        <v>0.74</v>
      </c>
      <c r="I623" t="s">
        <v>3481</v>
      </c>
      <c r="J623" s="57">
        <v>44572</v>
      </c>
      <c r="K623" t="s">
        <v>1947</v>
      </c>
    </row>
    <row r="624" spans="1:11" x14ac:dyDescent="0.35">
      <c r="A624" t="s">
        <v>150</v>
      </c>
      <c r="B624" t="s">
        <v>979</v>
      </c>
      <c r="C624" t="s">
        <v>2742</v>
      </c>
      <c r="D624" t="s">
        <v>2577</v>
      </c>
      <c r="E624">
        <v>1000</v>
      </c>
      <c r="F624" t="s">
        <v>2113</v>
      </c>
      <c r="G624" t="s">
        <v>2099</v>
      </c>
      <c r="H624">
        <v>4.5199999999999996</v>
      </c>
      <c r="I624" t="s">
        <v>3481</v>
      </c>
      <c r="J624" s="57">
        <v>44572</v>
      </c>
      <c r="K624" t="s">
        <v>1947</v>
      </c>
    </row>
    <row r="625" spans="1:11" x14ac:dyDescent="0.35">
      <c r="A625" t="s">
        <v>504</v>
      </c>
      <c r="B625" t="s">
        <v>1328</v>
      </c>
      <c r="C625" t="s">
        <v>3035</v>
      </c>
      <c r="D625" t="s">
        <v>2661</v>
      </c>
      <c r="E625">
        <v>1000</v>
      </c>
      <c r="F625" t="s">
        <v>2575</v>
      </c>
      <c r="G625" t="s">
        <v>2566</v>
      </c>
      <c r="H625">
        <v>73</v>
      </c>
      <c r="I625" t="s">
        <v>3480</v>
      </c>
      <c r="J625" s="57">
        <v>44572</v>
      </c>
      <c r="K625" t="s">
        <v>3460</v>
      </c>
    </row>
    <row r="626" spans="1:11" x14ac:dyDescent="0.35">
      <c r="A626" t="s">
        <v>698</v>
      </c>
      <c r="B626" t="s">
        <v>1522</v>
      </c>
      <c r="C626" t="s">
        <v>3214</v>
      </c>
      <c r="D626" t="s">
        <v>2605</v>
      </c>
      <c r="E626">
        <v>50</v>
      </c>
      <c r="F626" t="s">
        <v>2140</v>
      </c>
      <c r="G626" t="s">
        <v>2099</v>
      </c>
      <c r="H626">
        <v>0.78</v>
      </c>
      <c r="I626" t="s">
        <v>3480</v>
      </c>
      <c r="J626" s="57">
        <v>44572</v>
      </c>
      <c r="K626" t="s">
        <v>3460</v>
      </c>
    </row>
    <row r="627" spans="1:11" x14ac:dyDescent="0.35">
      <c r="A627" t="s">
        <v>237</v>
      </c>
      <c r="B627" t="s">
        <v>897</v>
      </c>
      <c r="H627" t="s">
        <v>1879</v>
      </c>
    </row>
    <row r="628" spans="1:11" x14ac:dyDescent="0.35">
      <c r="A628" t="s">
        <v>68</v>
      </c>
      <c r="B628" t="s">
        <v>897</v>
      </c>
      <c r="C628" t="s">
        <v>2660</v>
      </c>
      <c r="D628" t="s">
        <v>2661</v>
      </c>
      <c r="E628">
        <v>1000</v>
      </c>
      <c r="F628" t="s">
        <v>2113</v>
      </c>
      <c r="G628" t="s">
        <v>2099</v>
      </c>
      <c r="H628">
        <v>2.5</v>
      </c>
      <c r="I628" t="s">
        <v>3481</v>
      </c>
      <c r="J628" s="57">
        <v>44572</v>
      </c>
      <c r="K628" t="s">
        <v>1947</v>
      </c>
    </row>
    <row r="629" spans="1:11" x14ac:dyDescent="0.35">
      <c r="A629" t="s">
        <v>390</v>
      </c>
      <c r="B629" t="s">
        <v>1214</v>
      </c>
      <c r="C629" t="s">
        <v>2938</v>
      </c>
      <c r="D629" t="s">
        <v>2629</v>
      </c>
      <c r="E629">
        <v>1000</v>
      </c>
      <c r="F629" t="s">
        <v>2113</v>
      </c>
      <c r="G629" t="s">
        <v>2099</v>
      </c>
      <c r="H629">
        <v>0.59</v>
      </c>
      <c r="I629" t="s">
        <v>3481</v>
      </c>
      <c r="J629" s="57">
        <v>44572</v>
      </c>
      <c r="K629" t="s">
        <v>1947</v>
      </c>
    </row>
    <row r="630" spans="1:11" x14ac:dyDescent="0.35">
      <c r="A630" t="s">
        <v>334</v>
      </c>
      <c r="B630" t="s">
        <v>1159</v>
      </c>
      <c r="C630" t="s">
        <v>2894</v>
      </c>
      <c r="D630" t="s">
        <v>2581</v>
      </c>
      <c r="E630">
        <v>1000</v>
      </c>
      <c r="F630" t="s">
        <v>2113</v>
      </c>
      <c r="G630" t="s">
        <v>2099</v>
      </c>
      <c r="H630">
        <v>8.66</v>
      </c>
      <c r="I630" t="s">
        <v>3481</v>
      </c>
      <c r="J630" s="57">
        <v>44572</v>
      </c>
      <c r="K630" t="s">
        <v>1947</v>
      </c>
    </row>
    <row r="631" spans="1:11" x14ac:dyDescent="0.35">
      <c r="A631" t="s">
        <v>344</v>
      </c>
      <c r="B631" t="s">
        <v>1168</v>
      </c>
      <c r="C631" t="s">
        <v>4589</v>
      </c>
      <c r="D631" t="s">
        <v>3079</v>
      </c>
      <c r="E631">
        <v>1000</v>
      </c>
      <c r="F631" t="s">
        <v>2113</v>
      </c>
      <c r="G631" t="s">
        <v>2099</v>
      </c>
      <c r="H631">
        <v>4.3499999999999996</v>
      </c>
      <c r="I631" t="s">
        <v>3481</v>
      </c>
      <c r="J631" s="57">
        <v>44634</v>
      </c>
      <c r="K631" t="s">
        <v>1947</v>
      </c>
    </row>
    <row r="632" spans="1:11" x14ac:dyDescent="0.35">
      <c r="A632" t="s">
        <v>223</v>
      </c>
      <c r="B632" t="s">
        <v>1050</v>
      </c>
      <c r="H632" t="s">
        <v>1879</v>
      </c>
    </row>
    <row r="633" spans="1:11" x14ac:dyDescent="0.35">
      <c r="A633" t="s">
        <v>155</v>
      </c>
      <c r="B633" t="s">
        <v>984</v>
      </c>
      <c r="C633" t="s">
        <v>2746</v>
      </c>
      <c r="D633" t="s">
        <v>2583</v>
      </c>
      <c r="E633">
        <v>1000</v>
      </c>
      <c r="F633" t="s">
        <v>2113</v>
      </c>
      <c r="G633" t="s">
        <v>2099</v>
      </c>
      <c r="H633">
        <v>0.1</v>
      </c>
      <c r="I633" t="s">
        <v>3481</v>
      </c>
      <c r="J633" s="57">
        <v>44572</v>
      </c>
      <c r="K633" t="s">
        <v>1947</v>
      </c>
    </row>
    <row r="634" spans="1:11" x14ac:dyDescent="0.35">
      <c r="A634" t="s">
        <v>607</v>
      </c>
      <c r="B634" t="s">
        <v>1431</v>
      </c>
      <c r="C634" t="s">
        <v>3135</v>
      </c>
      <c r="D634" t="s">
        <v>2629</v>
      </c>
      <c r="E634">
        <v>1000</v>
      </c>
      <c r="F634" t="s">
        <v>2113</v>
      </c>
      <c r="G634" t="s">
        <v>2099</v>
      </c>
      <c r="H634">
        <v>4.1999999999999997E-3</v>
      </c>
      <c r="I634" t="s">
        <v>3481</v>
      </c>
      <c r="J634" s="57">
        <v>44572</v>
      </c>
      <c r="K634" t="s">
        <v>1947</v>
      </c>
    </row>
    <row r="635" spans="1:11" x14ac:dyDescent="0.35">
      <c r="A635" t="s">
        <v>236</v>
      </c>
      <c r="B635" t="s">
        <v>1063</v>
      </c>
      <c r="C635" t="s">
        <v>2814</v>
      </c>
      <c r="D635" t="s">
        <v>2577</v>
      </c>
      <c r="E635">
        <v>1000</v>
      </c>
      <c r="F635" t="s">
        <v>2113</v>
      </c>
      <c r="G635" t="s">
        <v>2099</v>
      </c>
      <c r="H635">
        <v>0.22</v>
      </c>
      <c r="I635" t="s">
        <v>3481</v>
      </c>
      <c r="J635" s="57">
        <v>44572</v>
      </c>
      <c r="K635" t="s">
        <v>1947</v>
      </c>
    </row>
    <row r="636" spans="1:11" x14ac:dyDescent="0.35">
      <c r="A636" t="s">
        <v>410</v>
      </c>
      <c r="B636" t="s">
        <v>1234</v>
      </c>
      <c r="H636" t="s">
        <v>1879</v>
      </c>
    </row>
    <row r="637" spans="1:11" x14ac:dyDescent="0.35">
      <c r="A637" t="s">
        <v>411</v>
      </c>
      <c r="B637" t="s">
        <v>1235</v>
      </c>
      <c r="H637" t="s">
        <v>1879</v>
      </c>
    </row>
    <row r="638" spans="1:11" x14ac:dyDescent="0.35">
      <c r="A638" t="s">
        <v>340</v>
      </c>
      <c r="B638" t="s">
        <v>1164</v>
      </c>
      <c r="C638" t="s">
        <v>2899</v>
      </c>
      <c r="D638" t="s">
        <v>2574</v>
      </c>
      <c r="E638">
        <v>0</v>
      </c>
      <c r="F638" t="s">
        <v>2599</v>
      </c>
      <c r="G638" t="s">
        <v>3464</v>
      </c>
      <c r="H638">
        <v>7.6000000000000004E-4</v>
      </c>
      <c r="I638" t="s">
        <v>3480</v>
      </c>
      <c r="J638" s="57">
        <v>44572</v>
      </c>
      <c r="K638" t="s">
        <v>3460</v>
      </c>
    </row>
    <row r="639" spans="1:11" x14ac:dyDescent="0.35">
      <c r="A639" t="s">
        <v>93</v>
      </c>
      <c r="B639" t="s">
        <v>922</v>
      </c>
      <c r="C639" t="s">
        <v>2687</v>
      </c>
      <c r="D639" t="s">
        <v>2574</v>
      </c>
      <c r="E639">
        <v>0</v>
      </c>
      <c r="F639" t="s">
        <v>2139</v>
      </c>
      <c r="G639" t="s">
        <v>3468</v>
      </c>
      <c r="H639">
        <v>2.5000000000000001E-2</v>
      </c>
      <c r="I639" t="s">
        <v>3480</v>
      </c>
      <c r="J639" s="57">
        <v>44572</v>
      </c>
      <c r="K639" t="s">
        <v>3460</v>
      </c>
    </row>
    <row r="640" spans="1:11" x14ac:dyDescent="0.35">
      <c r="A640" t="s">
        <v>30</v>
      </c>
      <c r="B640" t="s">
        <v>859</v>
      </c>
      <c r="C640" t="s">
        <v>2618</v>
      </c>
      <c r="D640" t="s">
        <v>2619</v>
      </c>
      <c r="E640">
        <v>50</v>
      </c>
      <c r="F640" t="s">
        <v>2575</v>
      </c>
      <c r="G640" t="s">
        <v>2566</v>
      </c>
      <c r="H640">
        <v>42</v>
      </c>
      <c r="I640" t="s">
        <v>3480</v>
      </c>
      <c r="J640" s="57">
        <v>44572</v>
      </c>
      <c r="K640" t="s">
        <v>3460</v>
      </c>
    </row>
    <row r="641" spans="1:11" x14ac:dyDescent="0.35">
      <c r="A641" t="s">
        <v>107</v>
      </c>
      <c r="B641" t="s">
        <v>936</v>
      </c>
      <c r="H641" t="s">
        <v>1879</v>
      </c>
    </row>
    <row r="642" spans="1:11" x14ac:dyDescent="0.35">
      <c r="A642" t="s">
        <v>108</v>
      </c>
      <c r="B642" t="s">
        <v>937</v>
      </c>
      <c r="H642" t="s">
        <v>1879</v>
      </c>
    </row>
    <row r="643" spans="1:11" x14ac:dyDescent="0.35">
      <c r="A643" t="s">
        <v>362</v>
      </c>
      <c r="B643" t="s">
        <v>1186</v>
      </c>
      <c r="H643" t="s">
        <v>1879</v>
      </c>
    </row>
    <row r="644" spans="1:11" x14ac:dyDescent="0.35">
      <c r="A644" t="s">
        <v>699</v>
      </c>
      <c r="B644" t="s">
        <v>1523</v>
      </c>
      <c r="H644" t="s">
        <v>1879</v>
      </c>
    </row>
    <row r="645" spans="1:11" x14ac:dyDescent="0.35">
      <c r="A645" t="s">
        <v>128</v>
      </c>
      <c r="B645" t="s">
        <v>957</v>
      </c>
      <c r="C645" t="s">
        <v>2722</v>
      </c>
      <c r="D645" t="s">
        <v>2581</v>
      </c>
      <c r="E645">
        <v>1000</v>
      </c>
      <c r="F645" t="s">
        <v>2113</v>
      </c>
      <c r="G645" t="s">
        <v>2099</v>
      </c>
      <c r="H645">
        <v>0.93</v>
      </c>
      <c r="I645" t="s">
        <v>3481</v>
      </c>
      <c r="J645" s="57">
        <v>44572</v>
      </c>
      <c r="K645" t="s">
        <v>1947</v>
      </c>
    </row>
    <row r="646" spans="1:11" x14ac:dyDescent="0.35">
      <c r="A646" t="s">
        <v>128</v>
      </c>
      <c r="B646" s="26" t="s">
        <v>3333</v>
      </c>
      <c r="C646" s="26"/>
      <c r="D646" s="26"/>
      <c r="E646" s="26"/>
      <c r="F646" s="26"/>
      <c r="G646" s="26"/>
      <c r="H646" s="26" t="s">
        <v>1879</v>
      </c>
      <c r="I646" s="26"/>
      <c r="J646" s="26"/>
      <c r="K646" s="26"/>
    </row>
    <row r="647" spans="1:11" x14ac:dyDescent="0.35">
      <c r="A647" t="s">
        <v>626</v>
      </c>
      <c r="B647" t="s">
        <v>1450</v>
      </c>
      <c r="C647" t="s">
        <v>3153</v>
      </c>
      <c r="D647" t="s">
        <v>2574</v>
      </c>
      <c r="E647">
        <v>0</v>
      </c>
      <c r="F647" t="s">
        <v>2603</v>
      </c>
      <c r="G647" t="s">
        <v>3466</v>
      </c>
      <c r="H647">
        <v>4.0000000000000001E-3</v>
      </c>
      <c r="I647" t="s">
        <v>3480</v>
      </c>
      <c r="J647" s="57">
        <v>44572</v>
      </c>
      <c r="K647" t="s">
        <v>3460</v>
      </c>
    </row>
    <row r="648" spans="1:11" x14ac:dyDescent="0.35">
      <c r="A648" t="s">
        <v>700</v>
      </c>
      <c r="B648" t="s">
        <v>1524</v>
      </c>
      <c r="C648" t="s">
        <v>3215</v>
      </c>
      <c r="D648" t="s">
        <v>2581</v>
      </c>
      <c r="E648">
        <v>1000</v>
      </c>
      <c r="F648" t="s">
        <v>2113</v>
      </c>
      <c r="G648" t="s">
        <v>2099</v>
      </c>
      <c r="H648">
        <v>2.5099999999999998</v>
      </c>
      <c r="I648" t="s">
        <v>3481</v>
      </c>
      <c r="J648" s="57">
        <v>44572</v>
      </c>
      <c r="K648" t="s">
        <v>1947</v>
      </c>
    </row>
    <row r="649" spans="1:11" x14ac:dyDescent="0.35">
      <c r="A649" t="s">
        <v>66</v>
      </c>
      <c r="B649" t="s">
        <v>895</v>
      </c>
      <c r="C649" t="s">
        <v>2657</v>
      </c>
      <c r="D649" t="s">
        <v>2581</v>
      </c>
      <c r="E649">
        <v>1000</v>
      </c>
      <c r="F649" t="s">
        <v>2113</v>
      </c>
      <c r="G649" t="s">
        <v>2099</v>
      </c>
      <c r="H649">
        <v>1.45</v>
      </c>
      <c r="I649" t="s">
        <v>3481</v>
      </c>
      <c r="J649" s="57">
        <v>44572</v>
      </c>
      <c r="K649" t="s">
        <v>1947</v>
      </c>
    </row>
    <row r="650" spans="1:11" x14ac:dyDescent="0.35">
      <c r="A650" t="s">
        <v>439</v>
      </c>
      <c r="B650" t="s">
        <v>1263</v>
      </c>
      <c r="C650" t="s">
        <v>2976</v>
      </c>
      <c r="D650" t="s">
        <v>2581</v>
      </c>
      <c r="E650">
        <v>1000</v>
      </c>
      <c r="F650" t="s">
        <v>2113</v>
      </c>
      <c r="G650" t="s">
        <v>2099</v>
      </c>
      <c r="H650">
        <v>3.7999999999999999E-2</v>
      </c>
      <c r="I650" t="s">
        <v>3481</v>
      </c>
      <c r="J650" s="57">
        <v>44572</v>
      </c>
      <c r="K650" t="s">
        <v>1947</v>
      </c>
    </row>
    <row r="651" spans="1:11" x14ac:dyDescent="0.35">
      <c r="A651" t="s">
        <v>471</v>
      </c>
      <c r="B651" t="s">
        <v>1295</v>
      </c>
      <c r="C651" t="s">
        <v>3005</v>
      </c>
      <c r="E651">
        <v>0</v>
      </c>
      <c r="F651" t="s">
        <v>3482</v>
      </c>
      <c r="G651" t="s">
        <v>3465</v>
      </c>
      <c r="H651">
        <v>0.33</v>
      </c>
      <c r="I651" t="s">
        <v>3480</v>
      </c>
      <c r="J651" s="57">
        <v>44572</v>
      </c>
      <c r="K651" t="s">
        <v>3460</v>
      </c>
    </row>
    <row r="652" spans="1:11" x14ac:dyDescent="0.35">
      <c r="A652" t="s">
        <v>461</v>
      </c>
      <c r="B652" t="s">
        <v>1285</v>
      </c>
      <c r="C652" t="s">
        <v>2996</v>
      </c>
      <c r="D652" t="s">
        <v>2581</v>
      </c>
      <c r="E652">
        <v>1000</v>
      </c>
      <c r="F652" t="s">
        <v>2113</v>
      </c>
      <c r="G652" t="s">
        <v>2099</v>
      </c>
      <c r="H652">
        <v>13</v>
      </c>
      <c r="I652" t="s">
        <v>3481</v>
      </c>
      <c r="J652" s="57">
        <v>44572</v>
      </c>
      <c r="K652" t="s">
        <v>1947</v>
      </c>
    </row>
    <row r="653" spans="1:11" x14ac:dyDescent="0.35">
      <c r="A653" t="s">
        <v>474</v>
      </c>
      <c r="B653" t="s">
        <v>1298</v>
      </c>
      <c r="C653" t="s">
        <v>3008</v>
      </c>
      <c r="D653" t="s">
        <v>2629</v>
      </c>
      <c r="E653">
        <v>1000</v>
      </c>
      <c r="F653" t="s">
        <v>2113</v>
      </c>
      <c r="G653" t="s">
        <v>2099</v>
      </c>
      <c r="H653">
        <v>70.7</v>
      </c>
      <c r="I653" t="s">
        <v>3481</v>
      </c>
      <c r="J653" s="57">
        <v>44572</v>
      </c>
      <c r="K653" t="s">
        <v>1947</v>
      </c>
    </row>
    <row r="654" spans="1:11" x14ac:dyDescent="0.35">
      <c r="A654" t="s">
        <v>422</v>
      </c>
      <c r="B654" t="s">
        <v>1246</v>
      </c>
      <c r="C654" t="s">
        <v>2959</v>
      </c>
      <c r="D654" t="s">
        <v>2629</v>
      </c>
      <c r="E654">
        <v>1000</v>
      </c>
      <c r="F654" t="s">
        <v>2113</v>
      </c>
      <c r="G654" t="s">
        <v>2099</v>
      </c>
      <c r="H654">
        <v>6.44</v>
      </c>
      <c r="I654" t="s">
        <v>3481</v>
      </c>
      <c r="J654" s="57">
        <v>44572</v>
      </c>
      <c r="K654" t="s">
        <v>1947</v>
      </c>
    </row>
    <row r="655" spans="1:11" x14ac:dyDescent="0.35">
      <c r="A655" t="s">
        <v>364</v>
      </c>
      <c r="B655" t="s">
        <v>1188</v>
      </c>
      <c r="C655" t="s">
        <v>2916</v>
      </c>
      <c r="D655" t="s">
        <v>2581</v>
      </c>
      <c r="E655">
        <v>1000</v>
      </c>
      <c r="F655" t="s">
        <v>2113</v>
      </c>
      <c r="G655" t="s">
        <v>2099</v>
      </c>
      <c r="H655">
        <v>20.100000000000001</v>
      </c>
      <c r="I655" t="s">
        <v>3481</v>
      </c>
      <c r="J655" s="57">
        <v>44572</v>
      </c>
      <c r="K655" t="s">
        <v>1947</v>
      </c>
    </row>
    <row r="656" spans="1:11" x14ac:dyDescent="0.35">
      <c r="A656" t="s">
        <v>192</v>
      </c>
      <c r="B656" t="s">
        <v>1020</v>
      </c>
      <c r="C656" t="s">
        <v>2776</v>
      </c>
      <c r="D656" t="s">
        <v>2629</v>
      </c>
      <c r="E656">
        <v>1000</v>
      </c>
      <c r="F656" t="s">
        <v>2113</v>
      </c>
      <c r="G656" t="s">
        <v>2099</v>
      </c>
      <c r="H656">
        <v>0.37</v>
      </c>
      <c r="I656" t="s">
        <v>3481</v>
      </c>
      <c r="J656" s="57">
        <v>44572</v>
      </c>
      <c r="K656" t="s">
        <v>1947</v>
      </c>
    </row>
    <row r="657" spans="1:11" x14ac:dyDescent="0.35">
      <c r="A657" t="s">
        <v>385</v>
      </c>
      <c r="B657" t="s">
        <v>1209</v>
      </c>
      <c r="C657" t="s">
        <v>2933</v>
      </c>
      <c r="D657" t="s">
        <v>2583</v>
      </c>
      <c r="E657">
        <v>1000</v>
      </c>
      <c r="F657" t="s">
        <v>2113</v>
      </c>
      <c r="G657" t="s">
        <v>2099</v>
      </c>
      <c r="H657">
        <v>2.95</v>
      </c>
      <c r="I657" t="s">
        <v>3481</v>
      </c>
      <c r="J657" s="57">
        <v>44572</v>
      </c>
      <c r="K657" t="s">
        <v>1947</v>
      </c>
    </row>
    <row r="658" spans="1:11" x14ac:dyDescent="0.35">
      <c r="A658" t="s">
        <v>701</v>
      </c>
      <c r="B658" t="s">
        <v>1525</v>
      </c>
      <c r="C658" t="s">
        <v>3216</v>
      </c>
      <c r="D658" t="s">
        <v>2574</v>
      </c>
      <c r="E658">
        <v>0</v>
      </c>
      <c r="F658" t="s">
        <v>2137</v>
      </c>
      <c r="G658" t="s">
        <v>3463</v>
      </c>
      <c r="H658">
        <v>15</v>
      </c>
      <c r="I658" t="s">
        <v>3480</v>
      </c>
      <c r="J658" s="57">
        <v>44572</v>
      </c>
      <c r="K658" t="s">
        <v>3460</v>
      </c>
    </row>
    <row r="659" spans="1:11" x14ac:dyDescent="0.35">
      <c r="A659" t="s">
        <v>391</v>
      </c>
      <c r="B659" t="s">
        <v>1215</v>
      </c>
      <c r="C659" t="s">
        <v>4045</v>
      </c>
      <c r="D659" t="s">
        <v>4009</v>
      </c>
      <c r="E659">
        <v>1000</v>
      </c>
      <c r="F659" t="s">
        <v>2113</v>
      </c>
      <c r="G659" t="s">
        <v>2099</v>
      </c>
      <c r="H659">
        <v>1.2999999999999999E-2</v>
      </c>
      <c r="I659" t="s">
        <v>3481</v>
      </c>
      <c r="J659" s="57">
        <v>44572</v>
      </c>
      <c r="K659" t="s">
        <v>1947</v>
      </c>
    </row>
    <row r="660" spans="1:11" x14ac:dyDescent="0.35">
      <c r="A660" t="s">
        <v>116</v>
      </c>
      <c r="B660" t="s">
        <v>945</v>
      </c>
      <c r="C660" t="s">
        <v>2710</v>
      </c>
      <c r="D660" t="s">
        <v>2583</v>
      </c>
      <c r="E660">
        <v>1000</v>
      </c>
      <c r="F660" t="s">
        <v>2113</v>
      </c>
      <c r="G660" t="s">
        <v>2099</v>
      </c>
      <c r="H660">
        <v>8.0399999999999991</v>
      </c>
      <c r="I660" t="s">
        <v>3481</v>
      </c>
      <c r="J660" s="57">
        <v>44572</v>
      </c>
      <c r="K660" t="s">
        <v>1947</v>
      </c>
    </row>
    <row r="661" spans="1:11" x14ac:dyDescent="0.35">
      <c r="A661" t="s">
        <v>408</v>
      </c>
      <c r="B661" t="s">
        <v>1232</v>
      </c>
      <c r="C661" t="s">
        <v>4046</v>
      </c>
      <c r="D661" t="s">
        <v>4020</v>
      </c>
      <c r="E661">
        <v>1000</v>
      </c>
      <c r="F661" t="s">
        <v>2113</v>
      </c>
      <c r="G661" t="s">
        <v>2099</v>
      </c>
      <c r="H661">
        <v>2.3E-3</v>
      </c>
      <c r="I661" t="s">
        <v>3481</v>
      </c>
      <c r="J661" s="57">
        <v>44572</v>
      </c>
      <c r="K661" t="s">
        <v>1947</v>
      </c>
    </row>
    <row r="662" spans="1:11" x14ac:dyDescent="0.35">
      <c r="A662" t="s">
        <v>304</v>
      </c>
      <c r="B662" t="s">
        <v>1129</v>
      </c>
      <c r="C662" t="s">
        <v>2870</v>
      </c>
      <c r="D662" t="s">
        <v>2629</v>
      </c>
      <c r="E662">
        <v>1000</v>
      </c>
      <c r="F662" t="s">
        <v>2113</v>
      </c>
      <c r="G662" t="s">
        <v>2099</v>
      </c>
      <c r="H662">
        <v>9.4E-2</v>
      </c>
      <c r="I662" t="s">
        <v>3481</v>
      </c>
      <c r="J662" s="57">
        <v>44572</v>
      </c>
      <c r="K662" t="s">
        <v>1947</v>
      </c>
    </row>
    <row r="663" spans="1:11" x14ac:dyDescent="0.35">
      <c r="A663" t="s">
        <v>576</v>
      </c>
      <c r="B663" t="s">
        <v>1400</v>
      </c>
      <c r="C663" t="s">
        <v>3102</v>
      </c>
      <c r="D663" t="s">
        <v>2581</v>
      </c>
      <c r="E663">
        <v>1000</v>
      </c>
      <c r="F663" t="s">
        <v>2113</v>
      </c>
      <c r="G663" t="s">
        <v>2099</v>
      </c>
      <c r="H663">
        <v>0.87</v>
      </c>
      <c r="I663" t="s">
        <v>3481</v>
      </c>
      <c r="J663" s="57">
        <v>44572</v>
      </c>
      <c r="K663" t="s">
        <v>1947</v>
      </c>
    </row>
    <row r="664" spans="1:11" x14ac:dyDescent="0.35">
      <c r="A664" t="s">
        <v>702</v>
      </c>
      <c r="B664" t="s">
        <v>1526</v>
      </c>
      <c r="C664" t="s">
        <v>3217</v>
      </c>
      <c r="D664" t="s">
        <v>2574</v>
      </c>
      <c r="E664">
        <v>0</v>
      </c>
      <c r="F664" t="s">
        <v>2137</v>
      </c>
      <c r="G664" t="s">
        <v>3463</v>
      </c>
      <c r="H664">
        <v>10</v>
      </c>
      <c r="I664" t="s">
        <v>3480</v>
      </c>
      <c r="J664" s="57">
        <v>44572</v>
      </c>
      <c r="K664" t="s">
        <v>3460</v>
      </c>
    </row>
    <row r="665" spans="1:11" x14ac:dyDescent="0.35">
      <c r="A665" t="s">
        <v>139</v>
      </c>
      <c r="B665" t="s">
        <v>968</v>
      </c>
      <c r="C665" t="s">
        <v>2729</v>
      </c>
      <c r="D665" t="s">
        <v>2574</v>
      </c>
      <c r="E665">
        <v>0</v>
      </c>
      <c r="F665" t="s">
        <v>2139</v>
      </c>
      <c r="G665" t="s">
        <v>3468</v>
      </c>
      <c r="H665">
        <v>2.5000000000000001E-2</v>
      </c>
      <c r="I665" t="s">
        <v>3480</v>
      </c>
      <c r="J665" s="57">
        <v>44572</v>
      </c>
      <c r="K665" t="s">
        <v>3460</v>
      </c>
    </row>
    <row r="666" spans="1:11" x14ac:dyDescent="0.35">
      <c r="A666" t="s">
        <v>138</v>
      </c>
      <c r="B666" t="s">
        <v>967</v>
      </c>
      <c r="C666" t="s">
        <v>2727</v>
      </c>
      <c r="D666" t="s">
        <v>2574</v>
      </c>
      <c r="E666">
        <v>0</v>
      </c>
      <c r="F666" t="s">
        <v>2139</v>
      </c>
      <c r="G666" t="s">
        <v>3468</v>
      </c>
      <c r="H666">
        <v>2.5000000000000001E-2</v>
      </c>
      <c r="I666" t="s">
        <v>3480</v>
      </c>
      <c r="J666" s="57">
        <v>44572</v>
      </c>
      <c r="K666" t="s">
        <v>3460</v>
      </c>
    </row>
    <row r="667" spans="1:11" x14ac:dyDescent="0.35">
      <c r="A667" t="s">
        <v>361</v>
      </c>
      <c r="B667" t="s">
        <v>1185</v>
      </c>
      <c r="C667" t="s">
        <v>2914</v>
      </c>
      <c r="D667" t="s">
        <v>2577</v>
      </c>
      <c r="E667">
        <v>1000</v>
      </c>
      <c r="F667" t="s">
        <v>2113</v>
      </c>
      <c r="G667" t="s">
        <v>2099</v>
      </c>
      <c r="H667">
        <v>0.81</v>
      </c>
      <c r="I667" t="s">
        <v>3481</v>
      </c>
      <c r="J667" s="57">
        <v>44572</v>
      </c>
      <c r="K667" t="s">
        <v>1947</v>
      </c>
    </row>
    <row r="668" spans="1:11" x14ac:dyDescent="0.35">
      <c r="A668" s="26" t="s">
        <v>3375</v>
      </c>
      <c r="B668" s="26" t="s">
        <v>3376</v>
      </c>
      <c r="C668" s="26" t="s">
        <v>4048</v>
      </c>
      <c r="D668" s="26" t="s">
        <v>4047</v>
      </c>
      <c r="E668" s="26">
        <v>10</v>
      </c>
      <c r="F668" s="26" t="s">
        <v>2603</v>
      </c>
      <c r="G668" s="26" t="s">
        <v>3466</v>
      </c>
      <c r="H668" s="26">
        <v>5.0000000000000001E-3</v>
      </c>
      <c r="I668" s="26" t="s">
        <v>3480</v>
      </c>
      <c r="J668" s="57">
        <v>44572</v>
      </c>
      <c r="K668" t="s">
        <v>3460</v>
      </c>
    </row>
    <row r="669" spans="1:11" x14ac:dyDescent="0.35">
      <c r="A669" t="s">
        <v>181</v>
      </c>
      <c r="B669" t="s">
        <v>1010</v>
      </c>
      <c r="C669" t="s">
        <v>2766</v>
      </c>
      <c r="D669" t="s">
        <v>2581</v>
      </c>
      <c r="E669">
        <v>1000</v>
      </c>
      <c r="F669" t="s">
        <v>2113</v>
      </c>
      <c r="G669" t="s">
        <v>2099</v>
      </c>
      <c r="H669">
        <v>1.41</v>
      </c>
      <c r="I669" t="s">
        <v>3481</v>
      </c>
      <c r="J669" s="57">
        <v>44572</v>
      </c>
      <c r="K669" t="s">
        <v>1947</v>
      </c>
    </row>
    <row r="670" spans="1:11" x14ac:dyDescent="0.35">
      <c r="A670" t="s">
        <v>634</v>
      </c>
      <c r="B670" t="s">
        <v>1458</v>
      </c>
      <c r="C670" t="s">
        <v>3160</v>
      </c>
      <c r="D670" t="s">
        <v>2574</v>
      </c>
      <c r="E670">
        <v>0</v>
      </c>
      <c r="F670" t="s">
        <v>2137</v>
      </c>
      <c r="G670" t="s">
        <v>3463</v>
      </c>
      <c r="H670">
        <v>100</v>
      </c>
      <c r="I670" t="s">
        <v>3480</v>
      </c>
      <c r="J670" s="57">
        <v>44572</v>
      </c>
      <c r="K670" t="s">
        <v>3460</v>
      </c>
    </row>
    <row r="671" spans="1:11" x14ac:dyDescent="0.35">
      <c r="A671" t="s">
        <v>315</v>
      </c>
      <c r="B671" t="s">
        <v>1140</v>
      </c>
      <c r="C671" t="s">
        <v>2880</v>
      </c>
      <c r="D671" t="s">
        <v>2583</v>
      </c>
      <c r="E671">
        <v>1000</v>
      </c>
      <c r="F671" t="s">
        <v>2113</v>
      </c>
      <c r="G671" t="s">
        <v>2099</v>
      </c>
      <c r="H671">
        <v>4.1100000000000003</v>
      </c>
      <c r="I671" t="s">
        <v>3481</v>
      </c>
      <c r="J671" s="57">
        <v>44572</v>
      </c>
      <c r="K671" t="s">
        <v>1947</v>
      </c>
    </row>
    <row r="672" spans="1:11" x14ac:dyDescent="0.35">
      <c r="A672" t="s">
        <v>314</v>
      </c>
      <c r="B672" t="s">
        <v>1139</v>
      </c>
      <c r="C672" t="s">
        <v>2879</v>
      </c>
      <c r="D672" t="s">
        <v>2574</v>
      </c>
      <c r="E672">
        <v>0</v>
      </c>
      <c r="F672" t="s">
        <v>2680</v>
      </c>
      <c r="G672" t="s">
        <v>3470</v>
      </c>
      <c r="H672">
        <v>0.3</v>
      </c>
      <c r="I672" t="s">
        <v>3480</v>
      </c>
      <c r="J672" s="57">
        <v>44572</v>
      </c>
      <c r="K672" t="s">
        <v>3460</v>
      </c>
    </row>
    <row r="673" spans="1:11" x14ac:dyDescent="0.35">
      <c r="A673" t="s">
        <v>758</v>
      </c>
      <c r="B673" t="s">
        <v>1582</v>
      </c>
      <c r="H673" t="s">
        <v>1879</v>
      </c>
    </row>
    <row r="674" spans="1:11" x14ac:dyDescent="0.35">
      <c r="A674" t="s">
        <v>759</v>
      </c>
      <c r="B674" t="s">
        <v>1583</v>
      </c>
      <c r="C674" t="s">
        <v>3243</v>
      </c>
      <c r="D674" t="s">
        <v>2581</v>
      </c>
      <c r="E674">
        <v>1000</v>
      </c>
      <c r="F674" t="s">
        <v>2113</v>
      </c>
      <c r="G674" t="s">
        <v>2099</v>
      </c>
      <c r="H674">
        <v>1.31</v>
      </c>
      <c r="I674" t="s">
        <v>3481</v>
      </c>
      <c r="J674" s="57">
        <v>44572</v>
      </c>
      <c r="K674" t="s">
        <v>1947</v>
      </c>
    </row>
    <row r="675" spans="1:11" x14ac:dyDescent="0.35">
      <c r="A675" t="s">
        <v>731</v>
      </c>
      <c r="B675" t="s">
        <v>1555</v>
      </c>
      <c r="H675" t="s">
        <v>1879</v>
      </c>
    </row>
    <row r="676" spans="1:11" x14ac:dyDescent="0.35">
      <c r="A676" t="s">
        <v>262</v>
      </c>
      <c r="B676" t="s">
        <v>1088</v>
      </c>
      <c r="C676" t="s">
        <v>2837</v>
      </c>
      <c r="D676" t="s">
        <v>2629</v>
      </c>
      <c r="E676">
        <v>1000</v>
      </c>
      <c r="F676" t="s">
        <v>2113</v>
      </c>
      <c r="G676" t="s">
        <v>2099</v>
      </c>
      <c r="H676">
        <v>0.16</v>
      </c>
      <c r="I676" t="s">
        <v>3481</v>
      </c>
      <c r="J676" s="57">
        <v>44572</v>
      </c>
      <c r="K676" t="s">
        <v>1947</v>
      </c>
    </row>
    <row r="677" spans="1:11" x14ac:dyDescent="0.35">
      <c r="A677" t="s">
        <v>768</v>
      </c>
      <c r="B677" t="s">
        <v>1592</v>
      </c>
      <c r="C677" t="s">
        <v>3251</v>
      </c>
      <c r="D677" t="s">
        <v>2607</v>
      </c>
      <c r="E677">
        <v>1000</v>
      </c>
      <c r="F677" t="s">
        <v>2143</v>
      </c>
      <c r="G677" t="s">
        <v>2099</v>
      </c>
      <c r="H677">
        <v>0.12</v>
      </c>
      <c r="I677" t="s">
        <v>3480</v>
      </c>
      <c r="J677" s="57">
        <v>44572</v>
      </c>
      <c r="K677" t="s">
        <v>3460</v>
      </c>
    </row>
    <row r="678" spans="1:11" x14ac:dyDescent="0.35">
      <c r="A678" t="s">
        <v>47</v>
      </c>
      <c r="B678" t="s">
        <v>876</v>
      </c>
      <c r="C678" t="s">
        <v>2637</v>
      </c>
      <c r="D678" t="s">
        <v>2574</v>
      </c>
      <c r="E678">
        <v>0</v>
      </c>
      <c r="F678" t="s">
        <v>2139</v>
      </c>
      <c r="G678" t="s">
        <v>3468</v>
      </c>
      <c r="H678">
        <v>0.4</v>
      </c>
      <c r="I678" t="s">
        <v>3480</v>
      </c>
      <c r="J678" s="57">
        <v>44572</v>
      </c>
      <c r="K678" t="s">
        <v>3460</v>
      </c>
    </row>
    <row r="679" spans="1:11" x14ac:dyDescent="0.35">
      <c r="A679" t="s">
        <v>111</v>
      </c>
      <c r="B679" t="s">
        <v>940</v>
      </c>
      <c r="C679" t="s">
        <v>2705</v>
      </c>
      <c r="D679" t="s">
        <v>2619</v>
      </c>
      <c r="E679">
        <v>1000</v>
      </c>
      <c r="F679" t="s">
        <v>2685</v>
      </c>
      <c r="G679" t="s">
        <v>2099</v>
      </c>
      <c r="H679">
        <v>49.5</v>
      </c>
      <c r="I679" t="s">
        <v>3480</v>
      </c>
      <c r="J679" s="57">
        <v>44572</v>
      </c>
      <c r="K679" t="s">
        <v>3460</v>
      </c>
    </row>
    <row r="680" spans="1:11" s="54" customFormat="1" x14ac:dyDescent="0.35">
      <c r="A680" t="s">
        <v>742</v>
      </c>
      <c r="B680" t="s">
        <v>1566</v>
      </c>
      <c r="C680"/>
      <c r="D680"/>
      <c r="E680"/>
      <c r="F680"/>
      <c r="G680"/>
      <c r="H680" t="s">
        <v>1879</v>
      </c>
      <c r="I680"/>
      <c r="J680"/>
      <c r="K680"/>
    </row>
    <row r="681" spans="1:11" x14ac:dyDescent="0.35">
      <c r="A681" t="s">
        <v>743</v>
      </c>
      <c r="B681" t="s">
        <v>1567</v>
      </c>
      <c r="C681" t="s">
        <v>3231</v>
      </c>
      <c r="D681" t="s">
        <v>2629</v>
      </c>
      <c r="E681">
        <v>1000</v>
      </c>
      <c r="F681" t="s">
        <v>2113</v>
      </c>
      <c r="G681" t="s">
        <v>2099</v>
      </c>
      <c r="H681">
        <v>0.17</v>
      </c>
      <c r="I681" t="s">
        <v>3481</v>
      </c>
      <c r="J681" s="57">
        <v>44572</v>
      </c>
      <c r="K681" t="s">
        <v>1947</v>
      </c>
    </row>
    <row r="682" spans="1:11" x14ac:dyDescent="0.35">
      <c r="A682" t="s">
        <v>744</v>
      </c>
      <c r="B682" t="s">
        <v>1568</v>
      </c>
      <c r="C682" t="s">
        <v>3232</v>
      </c>
      <c r="D682" t="s">
        <v>2629</v>
      </c>
      <c r="E682">
        <v>1000</v>
      </c>
      <c r="F682" t="s">
        <v>2113</v>
      </c>
      <c r="G682" t="s">
        <v>2099</v>
      </c>
      <c r="H682">
        <v>0.11</v>
      </c>
      <c r="I682" t="s">
        <v>3481</v>
      </c>
      <c r="J682" s="57">
        <v>44572</v>
      </c>
      <c r="K682" t="s">
        <v>1947</v>
      </c>
    </row>
    <row r="683" spans="1:11" x14ac:dyDescent="0.35">
      <c r="A683" t="s">
        <v>745</v>
      </c>
      <c r="B683" t="s">
        <v>1569</v>
      </c>
      <c r="C683" t="s">
        <v>3233</v>
      </c>
      <c r="D683" t="s">
        <v>2629</v>
      </c>
      <c r="E683">
        <v>1000</v>
      </c>
      <c r="F683" t="s">
        <v>2113</v>
      </c>
      <c r="G683" t="s">
        <v>2099</v>
      </c>
      <c r="H683">
        <v>0.5</v>
      </c>
      <c r="I683" t="s">
        <v>3481</v>
      </c>
      <c r="J683" s="57">
        <v>44572</v>
      </c>
      <c r="K683" t="s">
        <v>1947</v>
      </c>
    </row>
    <row r="684" spans="1:11" x14ac:dyDescent="0.35">
      <c r="A684" t="s">
        <v>746</v>
      </c>
      <c r="B684" t="s">
        <v>1570</v>
      </c>
      <c r="H684" t="s">
        <v>1879</v>
      </c>
    </row>
    <row r="685" spans="1:11" x14ac:dyDescent="0.35">
      <c r="A685" t="s">
        <v>747</v>
      </c>
      <c r="B685" t="s">
        <v>1571</v>
      </c>
      <c r="C685" t="s">
        <v>3234</v>
      </c>
      <c r="D685" t="s">
        <v>2574</v>
      </c>
      <c r="E685">
        <v>0</v>
      </c>
      <c r="F685" t="s">
        <v>2680</v>
      </c>
      <c r="G685" t="s">
        <v>3477</v>
      </c>
      <c r="H685">
        <v>140</v>
      </c>
      <c r="I685" t="s">
        <v>3480</v>
      </c>
      <c r="J685" s="57">
        <v>44572</v>
      </c>
      <c r="K685" t="s">
        <v>3460</v>
      </c>
    </row>
    <row r="686" spans="1:11" x14ac:dyDescent="0.35">
      <c r="A686" t="s">
        <v>748</v>
      </c>
      <c r="B686" t="s">
        <v>1572</v>
      </c>
      <c r="C686" t="s">
        <v>3235</v>
      </c>
      <c r="D686" t="s">
        <v>2822</v>
      </c>
      <c r="E686">
        <v>100</v>
      </c>
      <c r="F686" t="s">
        <v>2140</v>
      </c>
      <c r="G686" t="s">
        <v>2099</v>
      </c>
      <c r="H686">
        <v>1</v>
      </c>
      <c r="I686" t="s">
        <v>3480</v>
      </c>
      <c r="J686" s="57">
        <v>44572</v>
      </c>
      <c r="K686" t="s">
        <v>3460</v>
      </c>
    </row>
    <row r="687" spans="1:11" x14ac:dyDescent="0.35">
      <c r="A687" t="s">
        <v>749</v>
      </c>
      <c r="B687" t="s">
        <v>1573</v>
      </c>
      <c r="H687" t="s">
        <v>1879</v>
      </c>
    </row>
    <row r="688" spans="1:11" x14ac:dyDescent="0.35">
      <c r="A688" t="s">
        <v>750</v>
      </c>
      <c r="B688" t="s">
        <v>1574</v>
      </c>
      <c r="C688" t="s">
        <v>3236</v>
      </c>
      <c r="D688" t="s">
        <v>3237</v>
      </c>
      <c r="E688">
        <v>50</v>
      </c>
      <c r="F688" t="s">
        <v>2140</v>
      </c>
      <c r="G688" t="s">
        <v>2099</v>
      </c>
      <c r="H688">
        <v>0.18</v>
      </c>
      <c r="I688" t="s">
        <v>3480</v>
      </c>
      <c r="J688" s="57">
        <v>44572</v>
      </c>
      <c r="K688" t="s">
        <v>3460</v>
      </c>
    </row>
    <row r="689" spans="1:11" x14ac:dyDescent="0.35">
      <c r="A689" t="s">
        <v>751</v>
      </c>
      <c r="B689" t="s">
        <v>1575</v>
      </c>
      <c r="C689" t="s">
        <v>3238</v>
      </c>
      <c r="D689" t="s">
        <v>2629</v>
      </c>
      <c r="E689">
        <v>1000</v>
      </c>
      <c r="F689" t="s">
        <v>2113</v>
      </c>
      <c r="G689" t="s">
        <v>2099</v>
      </c>
      <c r="H689">
        <v>3.91</v>
      </c>
      <c r="I689" t="s">
        <v>3481</v>
      </c>
      <c r="J689" s="57">
        <v>44572</v>
      </c>
      <c r="K689" t="s">
        <v>1947</v>
      </c>
    </row>
    <row r="690" spans="1:11" x14ac:dyDescent="0.35">
      <c r="A690" t="s">
        <v>741</v>
      </c>
      <c r="B690" t="s">
        <v>1565</v>
      </c>
      <c r="C690" t="s">
        <v>3230</v>
      </c>
      <c r="D690" t="s">
        <v>2629</v>
      </c>
      <c r="E690">
        <v>1000</v>
      </c>
      <c r="F690" t="s">
        <v>2113</v>
      </c>
      <c r="G690" t="s">
        <v>2099</v>
      </c>
      <c r="H690">
        <v>0.1</v>
      </c>
      <c r="I690" t="s">
        <v>3481</v>
      </c>
      <c r="J690" s="57">
        <v>44572</v>
      </c>
      <c r="K690" t="s">
        <v>1947</v>
      </c>
    </row>
    <row r="691" spans="1:11" x14ac:dyDescent="0.35">
      <c r="A691" t="s">
        <v>752</v>
      </c>
      <c r="B691" t="s">
        <v>1576</v>
      </c>
      <c r="C691" t="s">
        <v>3239</v>
      </c>
      <c r="D691" t="s">
        <v>2629</v>
      </c>
      <c r="E691">
        <v>1000</v>
      </c>
      <c r="F691" t="s">
        <v>2113</v>
      </c>
      <c r="G691" t="s">
        <v>2099</v>
      </c>
      <c r="H691">
        <v>0.13</v>
      </c>
      <c r="I691" t="s">
        <v>3481</v>
      </c>
      <c r="J691" s="57">
        <v>44572</v>
      </c>
      <c r="K691" t="s">
        <v>1947</v>
      </c>
    </row>
    <row r="692" spans="1:11" x14ac:dyDescent="0.35">
      <c r="A692" t="s">
        <v>76</v>
      </c>
      <c r="B692" t="s">
        <v>905</v>
      </c>
      <c r="H692" t="s">
        <v>1879</v>
      </c>
    </row>
    <row r="693" spans="1:11" x14ac:dyDescent="0.35">
      <c r="A693" s="26" t="s">
        <v>3359</v>
      </c>
      <c r="B693" s="26" t="s">
        <v>3360</v>
      </c>
      <c r="C693" s="26" t="s">
        <v>4049</v>
      </c>
      <c r="D693" s="26" t="s">
        <v>1879</v>
      </c>
      <c r="E693" s="26">
        <v>0</v>
      </c>
      <c r="F693" s="26" t="s">
        <v>2972</v>
      </c>
      <c r="G693" s="26" t="s">
        <v>3464</v>
      </c>
      <c r="H693" s="26">
        <v>2.0000000000000001E-4</v>
      </c>
      <c r="I693" s="26" t="s">
        <v>3480</v>
      </c>
      <c r="J693" s="57">
        <v>44572</v>
      </c>
      <c r="K693" s="26" t="s">
        <v>3460</v>
      </c>
    </row>
    <row r="694" spans="1:11" x14ac:dyDescent="0.35">
      <c r="A694" t="s">
        <v>459</v>
      </c>
      <c r="B694" t="s">
        <v>1283</v>
      </c>
      <c r="C694" t="s">
        <v>2994</v>
      </c>
      <c r="D694" t="s">
        <v>2581</v>
      </c>
      <c r="E694">
        <v>1000</v>
      </c>
      <c r="F694" t="s">
        <v>2113</v>
      </c>
      <c r="G694" t="s">
        <v>2099</v>
      </c>
      <c r="H694">
        <v>1.8E-3</v>
      </c>
      <c r="I694" t="s">
        <v>3481</v>
      </c>
      <c r="J694" s="57">
        <v>44572</v>
      </c>
      <c r="K694" t="s">
        <v>1947</v>
      </c>
    </row>
    <row r="695" spans="1:11" x14ac:dyDescent="0.35">
      <c r="A695" t="s">
        <v>514</v>
      </c>
      <c r="B695" t="s">
        <v>1338</v>
      </c>
      <c r="C695" t="s">
        <v>3044</v>
      </c>
      <c r="D695" t="s">
        <v>2577</v>
      </c>
      <c r="E695">
        <v>1000</v>
      </c>
      <c r="F695" t="s">
        <v>2113</v>
      </c>
      <c r="G695" t="s">
        <v>2099</v>
      </c>
      <c r="H695">
        <v>4.8000000000000001E-2</v>
      </c>
      <c r="I695" t="s">
        <v>3481</v>
      </c>
      <c r="J695" s="57">
        <v>44572</v>
      </c>
      <c r="K695" t="s">
        <v>1947</v>
      </c>
    </row>
    <row r="696" spans="1:11" x14ac:dyDescent="0.35">
      <c r="A696" t="s">
        <v>59</v>
      </c>
      <c r="B696" t="s">
        <v>888</v>
      </c>
      <c r="C696" t="s">
        <v>2649</v>
      </c>
      <c r="D696" t="s">
        <v>2574</v>
      </c>
      <c r="E696">
        <v>0</v>
      </c>
      <c r="F696" t="s">
        <v>2603</v>
      </c>
      <c r="G696" s="52" t="s">
        <v>3466</v>
      </c>
      <c r="H696">
        <v>0.5</v>
      </c>
      <c r="I696" t="s">
        <v>3480</v>
      </c>
      <c r="J696" s="57">
        <v>44572</v>
      </c>
      <c r="K696" t="s">
        <v>3460</v>
      </c>
    </row>
    <row r="697" spans="1:11" x14ac:dyDescent="0.35">
      <c r="A697" t="s">
        <v>823</v>
      </c>
      <c r="B697" t="s">
        <v>1645</v>
      </c>
      <c r="H697" t="s">
        <v>1879</v>
      </c>
    </row>
    <row r="698" spans="1:11" x14ac:dyDescent="0.35">
      <c r="A698" t="s">
        <v>189</v>
      </c>
      <c r="B698" t="s">
        <v>1017</v>
      </c>
      <c r="C698" t="s">
        <v>2772</v>
      </c>
      <c r="D698" t="s">
        <v>2629</v>
      </c>
      <c r="E698">
        <v>1000</v>
      </c>
      <c r="F698" t="s">
        <v>2113</v>
      </c>
      <c r="G698" t="s">
        <v>2099</v>
      </c>
      <c r="H698">
        <v>21.1</v>
      </c>
      <c r="I698" t="s">
        <v>3481</v>
      </c>
      <c r="J698" s="57">
        <v>44572</v>
      </c>
      <c r="K698" t="s">
        <v>1947</v>
      </c>
    </row>
    <row r="699" spans="1:11" x14ac:dyDescent="0.35">
      <c r="A699" t="s">
        <v>18</v>
      </c>
      <c r="B699" t="s">
        <v>847</v>
      </c>
      <c r="C699" t="s">
        <v>2601</v>
      </c>
      <c r="D699" t="s">
        <v>2581</v>
      </c>
      <c r="E699">
        <v>1000</v>
      </c>
      <c r="F699" t="s">
        <v>2113</v>
      </c>
      <c r="G699" t="s">
        <v>2099</v>
      </c>
      <c r="H699">
        <v>6.2E-2</v>
      </c>
      <c r="I699" t="s">
        <v>3481</v>
      </c>
      <c r="J699" s="57">
        <v>44572</v>
      </c>
      <c r="K699" t="s">
        <v>1947</v>
      </c>
    </row>
    <row r="700" spans="1:11" x14ac:dyDescent="0.35">
      <c r="A700" t="s">
        <v>174</v>
      </c>
      <c r="B700" t="s">
        <v>1003</v>
      </c>
      <c r="C700" t="s">
        <v>2760</v>
      </c>
      <c r="D700" t="s">
        <v>2583</v>
      </c>
      <c r="E700">
        <v>1000</v>
      </c>
      <c r="F700" t="s">
        <v>2113</v>
      </c>
      <c r="G700" t="s">
        <v>2099</v>
      </c>
      <c r="H700">
        <v>28.1</v>
      </c>
      <c r="I700" t="s">
        <v>3481</v>
      </c>
      <c r="J700" s="57">
        <v>44572</v>
      </c>
      <c r="K700" t="s">
        <v>1947</v>
      </c>
    </row>
    <row r="701" spans="1:11" x14ac:dyDescent="0.35">
      <c r="A701" t="s">
        <v>291</v>
      </c>
      <c r="B701" t="s">
        <v>1116</v>
      </c>
      <c r="C701" t="s">
        <v>2859</v>
      </c>
      <c r="D701" t="s">
        <v>2581</v>
      </c>
      <c r="E701">
        <v>1000</v>
      </c>
      <c r="F701" t="s">
        <v>2113</v>
      </c>
      <c r="G701" t="s">
        <v>2099</v>
      </c>
      <c r="H701">
        <v>4.59</v>
      </c>
      <c r="I701" t="s">
        <v>3481</v>
      </c>
      <c r="J701" s="57">
        <v>44572</v>
      </c>
      <c r="K701" t="s">
        <v>1947</v>
      </c>
    </row>
    <row r="702" spans="1:11" x14ac:dyDescent="0.35">
      <c r="A702" t="s">
        <v>629</v>
      </c>
      <c r="B702" t="s">
        <v>1453</v>
      </c>
      <c r="C702" t="s">
        <v>3155</v>
      </c>
      <c r="D702" t="s">
        <v>2574</v>
      </c>
      <c r="E702">
        <v>0</v>
      </c>
      <c r="F702" t="s">
        <v>2137</v>
      </c>
      <c r="G702" t="s">
        <v>3463</v>
      </c>
      <c r="H702">
        <v>7.7</v>
      </c>
      <c r="I702" t="s">
        <v>3480</v>
      </c>
      <c r="J702" s="57">
        <v>44572</v>
      </c>
      <c r="K702" t="s">
        <v>3460</v>
      </c>
    </row>
    <row r="703" spans="1:11" x14ac:dyDescent="0.35">
      <c r="A703" t="s">
        <v>483</v>
      </c>
      <c r="B703" t="s">
        <v>1307</v>
      </c>
      <c r="C703" t="s">
        <v>3017</v>
      </c>
      <c r="D703" t="s">
        <v>2581</v>
      </c>
      <c r="E703">
        <v>1000</v>
      </c>
      <c r="F703" t="s">
        <v>2113</v>
      </c>
      <c r="G703" t="s">
        <v>2099</v>
      </c>
      <c r="H703">
        <v>73.5</v>
      </c>
      <c r="I703" t="s">
        <v>3481</v>
      </c>
      <c r="J703" s="57">
        <v>44572</v>
      </c>
      <c r="K703" t="s">
        <v>1947</v>
      </c>
    </row>
    <row r="704" spans="1:11" x14ac:dyDescent="0.35">
      <c r="A704" t="s">
        <v>375</v>
      </c>
      <c r="B704" t="s">
        <v>1199</v>
      </c>
      <c r="C704" t="s">
        <v>2923</v>
      </c>
      <c r="D704" t="s">
        <v>2607</v>
      </c>
      <c r="E704">
        <v>100</v>
      </c>
      <c r="F704" t="s">
        <v>2608</v>
      </c>
      <c r="G704" t="s">
        <v>2099</v>
      </c>
      <c r="H704">
        <v>3.3E-3</v>
      </c>
      <c r="I704" t="s">
        <v>3480</v>
      </c>
      <c r="J704" s="57">
        <v>44572</v>
      </c>
      <c r="K704" t="s">
        <v>3460</v>
      </c>
    </row>
    <row r="705" spans="1:11" x14ac:dyDescent="0.35">
      <c r="A705" t="s">
        <v>398</v>
      </c>
      <c r="B705" t="s">
        <v>1222</v>
      </c>
      <c r="C705" t="s">
        <v>2945</v>
      </c>
      <c r="D705" t="s">
        <v>2577</v>
      </c>
      <c r="E705">
        <v>1000</v>
      </c>
      <c r="F705" t="s">
        <v>2113</v>
      </c>
      <c r="G705" t="s">
        <v>2099</v>
      </c>
      <c r="H705">
        <v>1.4E-2</v>
      </c>
      <c r="I705" t="s">
        <v>3481</v>
      </c>
      <c r="J705" s="57">
        <v>44572</v>
      </c>
      <c r="K705" t="s">
        <v>1947</v>
      </c>
    </row>
    <row r="706" spans="1:11" x14ac:dyDescent="0.35">
      <c r="A706" t="s">
        <v>401</v>
      </c>
      <c r="B706" t="s">
        <v>1225</v>
      </c>
      <c r="C706" t="s">
        <v>4060</v>
      </c>
      <c r="D706" t="s">
        <v>4020</v>
      </c>
      <c r="E706">
        <v>1000</v>
      </c>
      <c r="F706" t="s">
        <v>2113</v>
      </c>
      <c r="G706" t="s">
        <v>2099</v>
      </c>
      <c r="H706">
        <v>0.31</v>
      </c>
      <c r="I706" t="s">
        <v>3481</v>
      </c>
      <c r="J706" s="57">
        <v>44572</v>
      </c>
      <c r="K706" t="s">
        <v>1947</v>
      </c>
    </row>
    <row r="707" spans="1:11" x14ac:dyDescent="0.35">
      <c r="A707" t="s">
        <v>402</v>
      </c>
      <c r="B707" t="s">
        <v>1226</v>
      </c>
      <c r="C707" t="s">
        <v>4059</v>
      </c>
      <c r="D707" t="s">
        <v>4020</v>
      </c>
      <c r="E707">
        <v>1000</v>
      </c>
      <c r="F707" t="s">
        <v>2113</v>
      </c>
      <c r="G707" t="s">
        <v>2099</v>
      </c>
      <c r="H707">
        <v>1.2999999999999999E-3</v>
      </c>
      <c r="I707" t="s">
        <v>3481</v>
      </c>
      <c r="J707" s="57">
        <v>44572</v>
      </c>
      <c r="K707" t="s">
        <v>1947</v>
      </c>
    </row>
    <row r="708" spans="1:11" x14ac:dyDescent="0.35">
      <c r="A708" t="s">
        <v>403</v>
      </c>
      <c r="B708" t="s">
        <v>1227</v>
      </c>
      <c r="H708" t="s">
        <v>1879</v>
      </c>
    </row>
    <row r="709" spans="1:11" x14ac:dyDescent="0.35">
      <c r="A709" t="s">
        <v>400</v>
      </c>
      <c r="B709" t="s">
        <v>1224</v>
      </c>
      <c r="C709" t="s">
        <v>4590</v>
      </c>
      <c r="D709" t="s">
        <v>4572</v>
      </c>
      <c r="E709">
        <v>1000</v>
      </c>
      <c r="F709" t="s">
        <v>2113</v>
      </c>
      <c r="G709" t="s">
        <v>2099</v>
      </c>
      <c r="H709">
        <v>0.11</v>
      </c>
      <c r="I709" t="s">
        <v>3481</v>
      </c>
      <c r="J709" s="57">
        <v>44634</v>
      </c>
      <c r="K709" t="s">
        <v>1947</v>
      </c>
    </row>
    <row r="710" spans="1:11" x14ac:dyDescent="0.35">
      <c r="A710" t="s">
        <v>373</v>
      </c>
      <c r="B710" t="s">
        <v>1197</v>
      </c>
      <c r="H710" t="s">
        <v>1879</v>
      </c>
    </row>
    <row r="711" spans="1:11" x14ac:dyDescent="0.35">
      <c r="A711" s="26" t="s">
        <v>3393</v>
      </c>
      <c r="B711" s="26" t="s">
        <v>3348</v>
      </c>
      <c r="C711" s="26" t="s">
        <v>3430</v>
      </c>
      <c r="D711" t="s">
        <v>2581</v>
      </c>
      <c r="E711" s="26">
        <v>1000</v>
      </c>
      <c r="F711" t="s">
        <v>2113</v>
      </c>
      <c r="G711" t="s">
        <v>2099</v>
      </c>
      <c r="H711" s="26">
        <v>28.7</v>
      </c>
      <c r="I711" t="s">
        <v>3481</v>
      </c>
      <c r="J711" s="57">
        <v>44572</v>
      </c>
      <c r="K711" t="s">
        <v>1947</v>
      </c>
    </row>
    <row r="712" spans="1:11" x14ac:dyDescent="0.35">
      <c r="A712" s="26" t="s">
        <v>3347</v>
      </c>
      <c r="B712" s="26" t="s">
        <v>3348</v>
      </c>
      <c r="C712" s="26"/>
      <c r="D712" s="26"/>
      <c r="E712" s="26"/>
      <c r="F712" s="26"/>
      <c r="G712" s="26"/>
      <c r="H712" s="26" t="s">
        <v>1879</v>
      </c>
      <c r="I712" s="26"/>
      <c r="J712" s="26"/>
      <c r="K712" s="26"/>
    </row>
    <row r="713" spans="1:11" x14ac:dyDescent="0.35">
      <c r="A713" t="s">
        <v>278</v>
      </c>
      <c r="B713" t="s">
        <v>1104</v>
      </c>
      <c r="C713" t="s">
        <v>2848</v>
      </c>
      <c r="D713" t="s">
        <v>2577</v>
      </c>
      <c r="E713">
        <v>1000</v>
      </c>
      <c r="F713" t="s">
        <v>2113</v>
      </c>
      <c r="G713" t="s">
        <v>2099</v>
      </c>
      <c r="H713">
        <v>2.27</v>
      </c>
      <c r="I713" t="s">
        <v>3481</v>
      </c>
      <c r="J713" s="57">
        <v>44572</v>
      </c>
      <c r="K713" t="s">
        <v>1947</v>
      </c>
    </row>
    <row r="714" spans="1:11" x14ac:dyDescent="0.35">
      <c r="A714" s="26" t="s">
        <v>3413</v>
      </c>
      <c r="B714" s="26" t="s">
        <v>3418</v>
      </c>
      <c r="C714" s="26" t="s">
        <v>4058</v>
      </c>
      <c r="D714" s="26" t="s">
        <v>1879</v>
      </c>
      <c r="E714" s="26">
        <v>0</v>
      </c>
      <c r="F714" s="26" t="s">
        <v>2680</v>
      </c>
      <c r="G714" s="26" t="s">
        <v>3465</v>
      </c>
      <c r="H714" s="26">
        <v>0.09</v>
      </c>
      <c r="I714" s="26" t="s">
        <v>3480</v>
      </c>
      <c r="J714" s="57">
        <v>44572</v>
      </c>
      <c r="K714" s="26" t="s">
        <v>3460</v>
      </c>
    </row>
    <row r="715" spans="1:11" ht="29" x14ac:dyDescent="0.35">
      <c r="A715" s="26" t="s">
        <v>3407</v>
      </c>
      <c r="B715" s="26" t="s">
        <v>3415</v>
      </c>
      <c r="C715" s="56" t="s">
        <v>4057</v>
      </c>
      <c r="D715" s="26" t="s">
        <v>1879</v>
      </c>
      <c r="E715" s="26">
        <v>0</v>
      </c>
      <c r="F715" s="26" t="s">
        <v>2587</v>
      </c>
      <c r="G715" s="26" t="s">
        <v>3464</v>
      </c>
      <c r="H715" s="26">
        <v>5.0000000000000001E-4</v>
      </c>
      <c r="I715" s="26" t="s">
        <v>3480</v>
      </c>
      <c r="J715" s="48">
        <v>44572</v>
      </c>
      <c r="K715" s="26" t="s">
        <v>3460</v>
      </c>
    </row>
    <row r="716" spans="1:11" x14ac:dyDescent="0.35">
      <c r="A716" t="s">
        <v>327</v>
      </c>
      <c r="B716" t="s">
        <v>1152</v>
      </c>
      <c r="C716" t="s">
        <v>2889</v>
      </c>
      <c r="D716" t="s">
        <v>2581</v>
      </c>
      <c r="E716">
        <v>1000</v>
      </c>
      <c r="F716" t="s">
        <v>2113</v>
      </c>
      <c r="G716" t="s">
        <v>2099</v>
      </c>
      <c r="H716">
        <v>0.49</v>
      </c>
      <c r="I716" t="s">
        <v>3481</v>
      </c>
      <c r="J716" s="48">
        <v>44572</v>
      </c>
      <c r="K716" t="s">
        <v>1947</v>
      </c>
    </row>
    <row r="717" spans="1:11" x14ac:dyDescent="0.35">
      <c r="A717" t="s">
        <v>521</v>
      </c>
      <c r="B717" t="s">
        <v>1345</v>
      </c>
      <c r="C717" t="s">
        <v>3051</v>
      </c>
      <c r="D717" t="s">
        <v>2581</v>
      </c>
      <c r="E717">
        <v>1000</v>
      </c>
      <c r="F717" t="s">
        <v>2113</v>
      </c>
      <c r="G717" t="s">
        <v>2099</v>
      </c>
      <c r="H717">
        <v>0.1</v>
      </c>
      <c r="I717" t="s">
        <v>3481</v>
      </c>
      <c r="J717" s="48">
        <v>44572</v>
      </c>
      <c r="K717" t="s">
        <v>1947</v>
      </c>
    </row>
    <row r="718" spans="1:11" x14ac:dyDescent="0.35">
      <c r="A718" t="s">
        <v>561</v>
      </c>
      <c r="B718" t="s">
        <v>1385</v>
      </c>
      <c r="H718" t="s">
        <v>1879</v>
      </c>
    </row>
    <row r="719" spans="1:11" x14ac:dyDescent="0.35">
      <c r="A719" t="s">
        <v>338</v>
      </c>
      <c r="B719" t="s">
        <v>1162</v>
      </c>
      <c r="C719" t="s">
        <v>2897</v>
      </c>
      <c r="D719" t="s">
        <v>2581</v>
      </c>
      <c r="E719">
        <v>1000</v>
      </c>
      <c r="F719" t="s">
        <v>2113</v>
      </c>
      <c r="G719" t="s">
        <v>2099</v>
      </c>
      <c r="H719">
        <v>1.37</v>
      </c>
      <c r="I719" t="s">
        <v>3481</v>
      </c>
      <c r="J719" s="48">
        <v>44572</v>
      </c>
      <c r="K719" t="s">
        <v>1947</v>
      </c>
    </row>
    <row r="720" spans="1:11" x14ac:dyDescent="0.35">
      <c r="A720" t="s">
        <v>83</v>
      </c>
      <c r="B720" t="s">
        <v>912</v>
      </c>
      <c r="C720" t="s">
        <v>2674</v>
      </c>
      <c r="D720" t="s">
        <v>2583</v>
      </c>
      <c r="E720">
        <v>1000</v>
      </c>
      <c r="F720" t="s">
        <v>2113</v>
      </c>
      <c r="G720" t="s">
        <v>2099</v>
      </c>
      <c r="H720">
        <v>4.57</v>
      </c>
      <c r="I720" t="s">
        <v>3481</v>
      </c>
      <c r="J720" s="48">
        <v>44572</v>
      </c>
      <c r="K720" t="s">
        <v>1947</v>
      </c>
    </row>
    <row r="721" spans="1:11" x14ac:dyDescent="0.35">
      <c r="A721" t="s">
        <v>288</v>
      </c>
      <c r="B721" t="s">
        <v>1113</v>
      </c>
      <c r="C721" t="s">
        <v>2856</v>
      </c>
      <c r="D721" t="s">
        <v>2581</v>
      </c>
      <c r="E721">
        <v>1000</v>
      </c>
      <c r="F721" t="s">
        <v>2113</v>
      </c>
      <c r="G721" t="s">
        <v>2099</v>
      </c>
      <c r="H721">
        <v>24.4</v>
      </c>
      <c r="I721" t="s">
        <v>3481</v>
      </c>
      <c r="J721" s="48">
        <v>44572</v>
      </c>
      <c r="K721" t="s">
        <v>1947</v>
      </c>
    </row>
    <row r="722" spans="1:11" x14ac:dyDescent="0.35">
      <c r="A722" t="s">
        <v>261</v>
      </c>
      <c r="B722" t="s">
        <v>1087</v>
      </c>
      <c r="C722" t="s">
        <v>2836</v>
      </c>
      <c r="D722" t="s">
        <v>2581</v>
      </c>
      <c r="E722">
        <v>1000</v>
      </c>
      <c r="F722" t="s">
        <v>2113</v>
      </c>
      <c r="G722" t="s">
        <v>2099</v>
      </c>
      <c r="H722">
        <v>21.3</v>
      </c>
      <c r="I722" t="s">
        <v>3481</v>
      </c>
      <c r="J722" s="48">
        <v>44572</v>
      </c>
      <c r="K722" t="s">
        <v>1947</v>
      </c>
    </row>
    <row r="723" spans="1:11" x14ac:dyDescent="0.35">
      <c r="A723" t="s">
        <v>520</v>
      </c>
      <c r="B723" t="s">
        <v>1344</v>
      </c>
      <c r="C723" t="s">
        <v>3050</v>
      </c>
      <c r="D723" t="s">
        <v>2629</v>
      </c>
      <c r="E723">
        <v>1000</v>
      </c>
      <c r="F723" t="s">
        <v>2113</v>
      </c>
      <c r="G723" t="s">
        <v>2099</v>
      </c>
      <c r="H723">
        <v>66.099999999999994</v>
      </c>
      <c r="I723" t="s">
        <v>3481</v>
      </c>
      <c r="J723" s="48">
        <v>44572</v>
      </c>
      <c r="K723" t="s">
        <v>1947</v>
      </c>
    </row>
    <row r="724" spans="1:11" x14ac:dyDescent="0.35">
      <c r="A724" t="s">
        <v>659</v>
      </c>
      <c r="B724" t="s">
        <v>1483</v>
      </c>
      <c r="C724" t="s">
        <v>3182</v>
      </c>
      <c r="D724" t="s">
        <v>2583</v>
      </c>
      <c r="E724">
        <v>1000</v>
      </c>
      <c r="F724" t="s">
        <v>2113</v>
      </c>
      <c r="G724" t="s">
        <v>2099</v>
      </c>
      <c r="H724">
        <v>9.11</v>
      </c>
      <c r="I724" t="s">
        <v>3481</v>
      </c>
      <c r="J724" s="48">
        <v>44572</v>
      </c>
      <c r="K724" t="s">
        <v>1947</v>
      </c>
    </row>
    <row r="725" spans="1:11" x14ac:dyDescent="0.35">
      <c r="A725" t="s">
        <v>221</v>
      </c>
      <c r="B725" t="s">
        <v>1048</v>
      </c>
      <c r="C725" t="s">
        <v>2802</v>
      </c>
      <c r="D725" t="s">
        <v>2661</v>
      </c>
      <c r="E725">
        <v>1000</v>
      </c>
      <c r="F725" t="s">
        <v>2113</v>
      </c>
      <c r="G725" t="s">
        <v>2099</v>
      </c>
      <c r="H725">
        <v>6.64</v>
      </c>
      <c r="I725" t="s">
        <v>3481</v>
      </c>
      <c r="J725" s="48">
        <v>44572</v>
      </c>
      <c r="K725" t="s">
        <v>1947</v>
      </c>
    </row>
    <row r="726" spans="1:11" x14ac:dyDescent="0.35">
      <c r="A726" t="s">
        <v>313</v>
      </c>
      <c r="B726" t="s">
        <v>1138</v>
      </c>
      <c r="C726" t="s">
        <v>2878</v>
      </c>
      <c r="D726" t="s">
        <v>2577</v>
      </c>
      <c r="E726">
        <v>1000</v>
      </c>
      <c r="F726" t="s">
        <v>2113</v>
      </c>
      <c r="G726" t="s">
        <v>2099</v>
      </c>
      <c r="H726">
        <v>1.4999999999999999E-2</v>
      </c>
      <c r="I726" t="s">
        <v>3481</v>
      </c>
      <c r="J726" s="48">
        <v>44572</v>
      </c>
      <c r="K726" t="s">
        <v>1947</v>
      </c>
    </row>
    <row r="727" spans="1:11" x14ac:dyDescent="0.35">
      <c r="A727" t="s">
        <v>673</v>
      </c>
      <c r="B727" t="s">
        <v>1497</v>
      </c>
      <c r="C727" t="s">
        <v>3195</v>
      </c>
      <c r="D727" t="s">
        <v>2590</v>
      </c>
      <c r="E727">
        <v>1000</v>
      </c>
      <c r="F727" t="s">
        <v>2685</v>
      </c>
      <c r="G727" t="s">
        <v>2099</v>
      </c>
      <c r="H727">
        <v>1</v>
      </c>
      <c r="I727" t="s">
        <v>3480</v>
      </c>
      <c r="J727" s="48">
        <v>44572</v>
      </c>
      <c r="K727" t="s">
        <v>3460</v>
      </c>
    </row>
    <row r="728" spans="1:11" x14ac:dyDescent="0.35">
      <c r="A728" t="s">
        <v>160</v>
      </c>
      <c r="B728" t="s">
        <v>989</v>
      </c>
      <c r="C728" t="s">
        <v>2749</v>
      </c>
      <c r="D728" t="s">
        <v>2581</v>
      </c>
      <c r="E728">
        <v>1000</v>
      </c>
      <c r="F728" t="s">
        <v>2113</v>
      </c>
      <c r="G728" t="s">
        <v>2099</v>
      </c>
      <c r="H728">
        <v>2.75</v>
      </c>
      <c r="I728" t="s">
        <v>3481</v>
      </c>
      <c r="J728" s="48">
        <v>44572</v>
      </c>
      <c r="K728" t="s">
        <v>1947</v>
      </c>
    </row>
    <row r="729" spans="1:11" x14ac:dyDescent="0.35">
      <c r="A729" t="s">
        <v>188</v>
      </c>
      <c r="B729" t="s">
        <v>1016</v>
      </c>
      <c r="C729" t="s">
        <v>2771</v>
      </c>
      <c r="D729" t="s">
        <v>2583</v>
      </c>
      <c r="E729">
        <v>1000</v>
      </c>
      <c r="F729" t="s">
        <v>2113</v>
      </c>
      <c r="G729" t="s">
        <v>2099</v>
      </c>
      <c r="H729">
        <v>0.13</v>
      </c>
      <c r="I729" t="s">
        <v>3481</v>
      </c>
      <c r="J729" s="48">
        <v>44572</v>
      </c>
      <c r="K729" t="s">
        <v>1947</v>
      </c>
    </row>
    <row r="730" spans="1:11" x14ac:dyDescent="0.35">
      <c r="A730" t="s">
        <v>503</v>
      </c>
      <c r="B730" t="s">
        <v>1327</v>
      </c>
      <c r="C730" t="s">
        <v>3034</v>
      </c>
      <c r="D730" t="s">
        <v>2635</v>
      </c>
      <c r="E730">
        <v>1000</v>
      </c>
      <c r="F730" t="s">
        <v>2143</v>
      </c>
      <c r="G730" t="s">
        <v>2099</v>
      </c>
      <c r="H730">
        <v>0.4</v>
      </c>
      <c r="I730" t="s">
        <v>3480</v>
      </c>
      <c r="J730" s="48">
        <v>44572</v>
      </c>
      <c r="K730" t="s">
        <v>3460</v>
      </c>
    </row>
    <row r="731" spans="1:11" x14ac:dyDescent="0.35">
      <c r="A731" t="s">
        <v>134</v>
      </c>
      <c r="B731" t="s">
        <v>963</v>
      </c>
      <c r="C731" t="s">
        <v>2726</v>
      </c>
      <c r="D731" t="s">
        <v>2574</v>
      </c>
      <c r="E731">
        <v>0</v>
      </c>
      <c r="F731" t="s">
        <v>2603</v>
      </c>
      <c r="G731" t="s">
        <v>3466</v>
      </c>
      <c r="H731">
        <v>0.5</v>
      </c>
      <c r="I731" t="s">
        <v>3480</v>
      </c>
      <c r="J731" s="48">
        <v>44572</v>
      </c>
      <c r="K731" t="s">
        <v>3460</v>
      </c>
    </row>
    <row r="732" spans="1:11" x14ac:dyDescent="0.35">
      <c r="A732" t="s">
        <v>145</v>
      </c>
      <c r="B732" t="s">
        <v>974</v>
      </c>
      <c r="C732" t="s">
        <v>2735</v>
      </c>
      <c r="D732" t="s">
        <v>2736</v>
      </c>
      <c r="E732">
        <v>0</v>
      </c>
      <c r="F732" t="s">
        <v>2594</v>
      </c>
      <c r="G732" t="s">
        <v>3467</v>
      </c>
      <c r="H732" t="s">
        <v>1879</v>
      </c>
      <c r="I732" t="s">
        <v>1879</v>
      </c>
      <c r="J732" s="48">
        <v>44572</v>
      </c>
      <c r="K732" t="s">
        <v>3478</v>
      </c>
    </row>
    <row r="733" spans="1:11" x14ac:dyDescent="0.35">
      <c r="A733" t="s">
        <v>423</v>
      </c>
      <c r="B733" t="s">
        <v>1247</v>
      </c>
      <c r="C733" t="s">
        <v>2960</v>
      </c>
      <c r="D733" t="s">
        <v>2577</v>
      </c>
      <c r="E733">
        <v>1000</v>
      </c>
      <c r="F733" t="s">
        <v>2113</v>
      </c>
      <c r="G733" t="s">
        <v>2099</v>
      </c>
      <c r="H733">
        <v>0.62</v>
      </c>
      <c r="I733" t="s">
        <v>3481</v>
      </c>
      <c r="J733" s="48">
        <v>44572</v>
      </c>
      <c r="K733" t="s">
        <v>1947</v>
      </c>
    </row>
    <row r="734" spans="1:11" x14ac:dyDescent="0.35">
      <c r="A734" t="s">
        <v>541</v>
      </c>
      <c r="B734" t="s">
        <v>1365</v>
      </c>
      <c r="C734" t="s">
        <v>3067</v>
      </c>
      <c r="D734" t="s">
        <v>3068</v>
      </c>
      <c r="E734">
        <v>1000</v>
      </c>
      <c r="F734" t="s">
        <v>2143</v>
      </c>
      <c r="G734" t="s">
        <v>2099</v>
      </c>
      <c r="H734">
        <v>0.18</v>
      </c>
      <c r="I734" t="s">
        <v>3480</v>
      </c>
      <c r="J734" s="48">
        <v>44572</v>
      </c>
      <c r="K734" t="s">
        <v>3460</v>
      </c>
    </row>
    <row r="735" spans="1:11" x14ac:dyDescent="0.35">
      <c r="A735" t="s">
        <v>195</v>
      </c>
      <c r="B735" t="s">
        <v>1023</v>
      </c>
      <c r="C735" t="s">
        <v>2780</v>
      </c>
      <c r="D735" t="s">
        <v>2574</v>
      </c>
      <c r="E735">
        <v>0</v>
      </c>
      <c r="F735" t="s">
        <v>2603</v>
      </c>
      <c r="G735" t="s">
        <v>3466</v>
      </c>
      <c r="H735">
        <v>1</v>
      </c>
      <c r="I735" t="s">
        <v>3480</v>
      </c>
      <c r="J735" s="48">
        <v>44572</v>
      </c>
      <c r="K735" t="s">
        <v>3460</v>
      </c>
    </row>
    <row r="736" spans="1:11" x14ac:dyDescent="0.35">
      <c r="A736" t="s">
        <v>660</v>
      </c>
      <c r="B736" t="s">
        <v>1484</v>
      </c>
      <c r="C736" t="s">
        <v>3183</v>
      </c>
      <c r="D736" t="s">
        <v>2629</v>
      </c>
      <c r="E736">
        <v>1000</v>
      </c>
      <c r="F736" t="s">
        <v>2113</v>
      </c>
      <c r="G736" t="s">
        <v>2099</v>
      </c>
      <c r="H736">
        <v>0.66</v>
      </c>
      <c r="I736" t="s">
        <v>3481</v>
      </c>
      <c r="J736" s="48">
        <v>44572</v>
      </c>
      <c r="K736" t="s">
        <v>1947</v>
      </c>
    </row>
    <row r="737" spans="1:11" x14ac:dyDescent="0.35">
      <c r="A737" t="s">
        <v>616</v>
      </c>
      <c r="B737" t="s">
        <v>1440</v>
      </c>
      <c r="C737" t="s">
        <v>3145</v>
      </c>
      <c r="D737" t="s">
        <v>2574</v>
      </c>
      <c r="E737">
        <v>0</v>
      </c>
      <c r="F737" t="s">
        <v>2587</v>
      </c>
      <c r="G737" t="s">
        <v>3464</v>
      </c>
      <c r="H737">
        <v>0.01</v>
      </c>
      <c r="I737" t="s">
        <v>3480</v>
      </c>
      <c r="J737" s="48">
        <v>44572</v>
      </c>
      <c r="K737" t="s">
        <v>3460</v>
      </c>
    </row>
    <row r="738" spans="1:11" x14ac:dyDescent="0.35">
      <c r="A738" t="s">
        <v>298</v>
      </c>
      <c r="B738" t="s">
        <v>1123</v>
      </c>
      <c r="C738" t="s">
        <v>2865</v>
      </c>
      <c r="D738" t="s">
        <v>2577</v>
      </c>
      <c r="E738">
        <v>1000</v>
      </c>
      <c r="F738" t="s">
        <v>2113</v>
      </c>
      <c r="G738" t="s">
        <v>2099</v>
      </c>
      <c r="H738">
        <v>0.45</v>
      </c>
      <c r="I738" t="s">
        <v>3481</v>
      </c>
      <c r="J738" s="48">
        <v>44572</v>
      </c>
      <c r="K738" t="s">
        <v>1947</v>
      </c>
    </row>
    <row r="739" spans="1:11" x14ac:dyDescent="0.35">
      <c r="A739" t="s">
        <v>263</v>
      </c>
      <c r="B739" t="s">
        <v>1089</v>
      </c>
      <c r="C739" t="s">
        <v>2838</v>
      </c>
      <c r="D739" t="s">
        <v>2619</v>
      </c>
      <c r="E739">
        <v>10</v>
      </c>
      <c r="F739" t="s">
        <v>2140</v>
      </c>
      <c r="G739" t="s">
        <v>2099</v>
      </c>
      <c r="H739">
        <v>0.41</v>
      </c>
      <c r="I739" t="s">
        <v>3480</v>
      </c>
      <c r="J739" s="48">
        <v>44572</v>
      </c>
      <c r="K739" t="s">
        <v>3460</v>
      </c>
    </row>
    <row r="740" spans="1:11" x14ac:dyDescent="0.35">
      <c r="A740" t="s">
        <v>359</v>
      </c>
      <c r="B740" t="s">
        <v>1183</v>
      </c>
      <c r="C740" t="s">
        <v>4591</v>
      </c>
      <c r="D740" t="s">
        <v>2778</v>
      </c>
      <c r="E740">
        <v>1000</v>
      </c>
      <c r="F740" t="s">
        <v>2113</v>
      </c>
      <c r="G740" t="s">
        <v>2099</v>
      </c>
      <c r="H740">
        <v>0.73</v>
      </c>
      <c r="I740" t="s">
        <v>3481</v>
      </c>
      <c r="J740" s="57">
        <v>44634</v>
      </c>
      <c r="K740" t="s">
        <v>1947</v>
      </c>
    </row>
    <row r="741" spans="1:11" x14ac:dyDescent="0.35">
      <c r="A741" t="s">
        <v>413</v>
      </c>
      <c r="B741" t="s">
        <v>1237</v>
      </c>
      <c r="C741" t="s">
        <v>2951</v>
      </c>
      <c r="D741" t="s">
        <v>2574</v>
      </c>
      <c r="E741">
        <v>10</v>
      </c>
      <c r="F741" t="s">
        <v>2680</v>
      </c>
      <c r="G741" t="s">
        <v>3465</v>
      </c>
      <c r="H741">
        <v>6.3E-2</v>
      </c>
      <c r="I741" t="s">
        <v>3480</v>
      </c>
      <c r="J741" s="48">
        <v>44572</v>
      </c>
      <c r="K741" t="s">
        <v>3460</v>
      </c>
    </row>
    <row r="742" spans="1:11" x14ac:dyDescent="0.35">
      <c r="A742" t="s">
        <v>23</v>
      </c>
      <c r="B742" t="s">
        <v>852</v>
      </c>
      <c r="C742" t="s">
        <v>2610</v>
      </c>
      <c r="E742">
        <v>10</v>
      </c>
      <c r="F742" t="s">
        <v>3127</v>
      </c>
      <c r="G742" t="s">
        <v>3472</v>
      </c>
      <c r="H742">
        <v>0.13</v>
      </c>
      <c r="I742" t="s">
        <v>3480</v>
      </c>
      <c r="J742" s="48">
        <v>44572</v>
      </c>
      <c r="K742" t="s">
        <v>3460</v>
      </c>
    </row>
    <row r="743" spans="1:11" x14ac:dyDescent="0.35">
      <c r="A743" s="26" t="s">
        <v>3330</v>
      </c>
      <c r="B743" s="26" t="s">
        <v>3331</v>
      </c>
      <c r="C743" s="26" t="s">
        <v>4055</v>
      </c>
      <c r="D743" s="26" t="s">
        <v>4056</v>
      </c>
      <c r="E743" s="26">
        <v>1000</v>
      </c>
      <c r="F743" s="26" t="s">
        <v>2113</v>
      </c>
      <c r="G743" s="26" t="s">
        <v>2099</v>
      </c>
      <c r="H743" s="26">
        <v>69.900000000000006</v>
      </c>
      <c r="I743" s="26" t="s">
        <v>3481</v>
      </c>
      <c r="J743" s="48">
        <v>44572</v>
      </c>
      <c r="K743" s="26" t="s">
        <v>1947</v>
      </c>
    </row>
    <row r="744" spans="1:11" x14ac:dyDescent="0.35">
      <c r="A744" t="s">
        <v>485</v>
      </c>
      <c r="B744" t="s">
        <v>1309</v>
      </c>
      <c r="C744" t="s">
        <v>3019</v>
      </c>
      <c r="E744">
        <v>0</v>
      </c>
      <c r="F744" t="s">
        <v>2680</v>
      </c>
      <c r="G744" t="s">
        <v>3470</v>
      </c>
      <c r="H744">
        <v>0.2</v>
      </c>
      <c r="I744" t="s">
        <v>3480</v>
      </c>
      <c r="J744" s="48">
        <v>44572</v>
      </c>
      <c r="K744" t="s">
        <v>3460</v>
      </c>
    </row>
    <row r="745" spans="1:11" x14ac:dyDescent="0.35">
      <c r="A745" t="s">
        <v>577</v>
      </c>
      <c r="B745" t="s">
        <v>1401</v>
      </c>
      <c r="C745" t="s">
        <v>3103</v>
      </c>
      <c r="D745" t="s">
        <v>2574</v>
      </c>
      <c r="E745">
        <v>0</v>
      </c>
      <c r="F745" t="s">
        <v>2137</v>
      </c>
      <c r="G745" t="s">
        <v>3463</v>
      </c>
      <c r="H745">
        <v>4.5999999999999999E-3</v>
      </c>
      <c r="I745" t="s">
        <v>3480</v>
      </c>
      <c r="J745" s="48">
        <v>44572</v>
      </c>
      <c r="K745" t="s">
        <v>3460</v>
      </c>
    </row>
    <row r="746" spans="1:11" x14ac:dyDescent="0.35">
      <c r="A746" t="s">
        <v>8</v>
      </c>
      <c r="B746" t="s">
        <v>837</v>
      </c>
      <c r="C746" t="s">
        <v>2586</v>
      </c>
      <c r="D746" t="s">
        <v>2574</v>
      </c>
      <c r="E746">
        <v>0</v>
      </c>
      <c r="F746" t="s">
        <v>2587</v>
      </c>
      <c r="G746" t="s">
        <v>3464</v>
      </c>
      <c r="H746">
        <v>1.6999999999999999E-3</v>
      </c>
      <c r="I746" t="s">
        <v>3480</v>
      </c>
      <c r="J746" s="48">
        <v>44572</v>
      </c>
      <c r="K746" t="s">
        <v>3460</v>
      </c>
    </row>
    <row r="747" spans="1:11" x14ac:dyDescent="0.35">
      <c r="A747" t="s">
        <v>13</v>
      </c>
      <c r="B747" t="s">
        <v>842</v>
      </c>
      <c r="C747" t="s">
        <v>2595</v>
      </c>
      <c r="D747" t="s">
        <v>2590</v>
      </c>
      <c r="E747">
        <v>10</v>
      </c>
      <c r="F747" t="s">
        <v>2140</v>
      </c>
      <c r="G747" t="s">
        <v>2099</v>
      </c>
      <c r="H747">
        <v>1.5E-3</v>
      </c>
      <c r="I747" t="s">
        <v>3480</v>
      </c>
      <c r="J747" s="48">
        <v>44572</v>
      </c>
      <c r="K747" t="s">
        <v>3460</v>
      </c>
    </row>
    <row r="748" spans="1:11" x14ac:dyDescent="0.35">
      <c r="A748" t="s">
        <v>144</v>
      </c>
      <c r="B748" t="s">
        <v>973</v>
      </c>
      <c r="C748" t="s">
        <v>2734</v>
      </c>
      <c r="D748" t="s">
        <v>2629</v>
      </c>
      <c r="E748">
        <v>1000</v>
      </c>
      <c r="F748" t="s">
        <v>2113</v>
      </c>
      <c r="G748" t="s">
        <v>2099</v>
      </c>
      <c r="H748">
        <v>0.27</v>
      </c>
      <c r="I748" t="s">
        <v>3481</v>
      </c>
      <c r="J748" s="57">
        <v>44572</v>
      </c>
      <c r="K748" t="s">
        <v>1947</v>
      </c>
    </row>
    <row r="749" spans="1:11" x14ac:dyDescent="0.35">
      <c r="A749" t="s">
        <v>624</v>
      </c>
      <c r="B749" t="s">
        <v>1448</v>
      </c>
      <c r="C749" t="s">
        <v>3152</v>
      </c>
      <c r="D749" t="s">
        <v>2583</v>
      </c>
      <c r="E749">
        <v>1000</v>
      </c>
      <c r="F749" t="s">
        <v>2113</v>
      </c>
      <c r="G749" t="s">
        <v>2099</v>
      </c>
      <c r="H749">
        <v>0.14000000000000001</v>
      </c>
      <c r="I749" t="s">
        <v>3481</v>
      </c>
      <c r="J749" s="57">
        <v>44572</v>
      </c>
      <c r="K749" t="s">
        <v>1947</v>
      </c>
    </row>
    <row r="750" spans="1:11" x14ac:dyDescent="0.35">
      <c r="A750" t="s">
        <v>571</v>
      </c>
      <c r="B750" t="s">
        <v>1395</v>
      </c>
      <c r="C750" t="s">
        <v>3098</v>
      </c>
      <c r="D750" t="s">
        <v>2629</v>
      </c>
      <c r="E750">
        <v>1000</v>
      </c>
      <c r="F750" t="s">
        <v>2113</v>
      </c>
      <c r="G750" t="s">
        <v>2099</v>
      </c>
      <c r="H750">
        <v>0.77</v>
      </c>
      <c r="I750" t="s">
        <v>3481</v>
      </c>
      <c r="J750" s="57">
        <v>44572</v>
      </c>
      <c r="K750" t="s">
        <v>1947</v>
      </c>
    </row>
    <row r="751" spans="1:11" x14ac:dyDescent="0.35">
      <c r="A751" t="s">
        <v>38</v>
      </c>
      <c r="B751" t="s">
        <v>867</v>
      </c>
      <c r="C751" t="s">
        <v>2627</v>
      </c>
      <c r="D751" t="s">
        <v>2581</v>
      </c>
      <c r="E751">
        <v>1000</v>
      </c>
      <c r="F751" t="s">
        <v>2113</v>
      </c>
      <c r="G751" t="s">
        <v>2099</v>
      </c>
      <c r="H751">
        <v>0.65</v>
      </c>
      <c r="I751" t="s">
        <v>3481</v>
      </c>
      <c r="J751" s="57">
        <v>44572</v>
      </c>
      <c r="K751" t="s">
        <v>1947</v>
      </c>
    </row>
    <row r="752" spans="1:11" x14ac:dyDescent="0.35">
      <c r="A752" s="26" t="s">
        <v>3334</v>
      </c>
      <c r="B752" s="26" t="s">
        <v>867</v>
      </c>
      <c r="C752" s="26"/>
      <c r="D752" s="26"/>
      <c r="E752" s="26"/>
      <c r="F752" s="26"/>
      <c r="G752" s="26"/>
      <c r="H752" s="26" t="s">
        <v>1879</v>
      </c>
      <c r="I752" s="26"/>
      <c r="J752" s="26"/>
      <c r="K752" s="26"/>
    </row>
    <row r="753" spans="1:11" x14ac:dyDescent="0.35">
      <c r="A753" t="s">
        <v>4</v>
      </c>
      <c r="B753" t="s">
        <v>833</v>
      </c>
      <c r="C753" t="s">
        <v>2582</v>
      </c>
      <c r="D753" t="s">
        <v>2583</v>
      </c>
      <c r="E753">
        <v>1000</v>
      </c>
      <c r="F753" t="s">
        <v>2113</v>
      </c>
      <c r="G753" t="s">
        <v>2099</v>
      </c>
      <c r="H753">
        <v>1.74</v>
      </c>
      <c r="I753" t="s">
        <v>3481</v>
      </c>
      <c r="J753" s="57">
        <v>44572</v>
      </c>
      <c r="K753" t="s">
        <v>1947</v>
      </c>
    </row>
    <row r="754" spans="1:11" x14ac:dyDescent="0.35">
      <c r="A754" t="s">
        <v>64</v>
      </c>
      <c r="B754" t="s">
        <v>893</v>
      </c>
      <c r="C754" t="s">
        <v>2654</v>
      </c>
      <c r="D754" t="s">
        <v>2581</v>
      </c>
      <c r="E754">
        <v>1000</v>
      </c>
      <c r="F754" t="s">
        <v>2113</v>
      </c>
      <c r="G754" t="s">
        <v>2099</v>
      </c>
      <c r="H754">
        <v>4.4999999999999997E-3</v>
      </c>
      <c r="I754" t="s">
        <v>3481</v>
      </c>
      <c r="J754" s="57">
        <v>44572</v>
      </c>
      <c r="K754" t="s">
        <v>1947</v>
      </c>
    </row>
    <row r="755" spans="1:11" x14ac:dyDescent="0.35">
      <c r="A755" t="s">
        <v>159</v>
      </c>
      <c r="B755" t="s">
        <v>988</v>
      </c>
      <c r="C755" t="s">
        <v>2747</v>
      </c>
      <c r="D755" t="s">
        <v>2748</v>
      </c>
      <c r="E755">
        <v>100</v>
      </c>
      <c r="F755" t="s">
        <v>2140</v>
      </c>
      <c r="G755" t="s">
        <v>2099</v>
      </c>
      <c r="H755">
        <v>3.1</v>
      </c>
      <c r="I755" t="s">
        <v>3480</v>
      </c>
      <c r="J755" s="57">
        <v>44572</v>
      </c>
      <c r="K755" t="s">
        <v>3460</v>
      </c>
    </row>
    <row r="756" spans="1:11" x14ac:dyDescent="0.35">
      <c r="A756" t="s">
        <v>635</v>
      </c>
      <c r="B756" t="s">
        <v>1459</v>
      </c>
      <c r="C756" t="s">
        <v>3161</v>
      </c>
      <c r="D756" t="s">
        <v>2581</v>
      </c>
      <c r="E756">
        <v>1000</v>
      </c>
      <c r="F756" t="s">
        <v>2113</v>
      </c>
      <c r="G756" t="s">
        <v>2099</v>
      </c>
      <c r="H756">
        <v>0.38</v>
      </c>
      <c r="I756" t="s">
        <v>3481</v>
      </c>
      <c r="J756" s="57">
        <v>44572</v>
      </c>
      <c r="K756" t="s">
        <v>1947</v>
      </c>
    </row>
    <row r="757" spans="1:11" x14ac:dyDescent="0.35">
      <c r="A757" t="s">
        <v>384</v>
      </c>
      <c r="B757" t="s">
        <v>1208</v>
      </c>
      <c r="C757" t="s">
        <v>2932</v>
      </c>
      <c r="D757" t="s">
        <v>2581</v>
      </c>
      <c r="E757">
        <v>1000</v>
      </c>
      <c r="F757" t="s">
        <v>2113</v>
      </c>
      <c r="G757" t="s">
        <v>2099</v>
      </c>
      <c r="H757">
        <v>0.27</v>
      </c>
      <c r="I757" t="s">
        <v>3481</v>
      </c>
      <c r="J757" s="57">
        <v>44572</v>
      </c>
      <c r="K757" t="s">
        <v>1947</v>
      </c>
    </row>
    <row r="758" spans="1:11" x14ac:dyDescent="0.35">
      <c r="A758" t="s">
        <v>527</v>
      </c>
      <c r="B758" t="s">
        <v>1351</v>
      </c>
      <c r="H758" t="s">
        <v>1879</v>
      </c>
    </row>
    <row r="759" spans="1:11" x14ac:dyDescent="0.35">
      <c r="A759" s="54" t="s">
        <v>84</v>
      </c>
      <c r="B759" s="54" t="s">
        <v>913</v>
      </c>
      <c r="C759" s="54" t="s">
        <v>2675</v>
      </c>
      <c r="D759" s="54" t="s">
        <v>2581</v>
      </c>
      <c r="E759" s="54">
        <v>1000</v>
      </c>
      <c r="F759" s="54" t="s">
        <v>2113</v>
      </c>
      <c r="G759" s="54" t="s">
        <v>2099</v>
      </c>
      <c r="H759" s="54">
        <v>35.9</v>
      </c>
      <c r="I759" s="54" t="s">
        <v>3481</v>
      </c>
      <c r="J759" s="58">
        <v>44572</v>
      </c>
      <c r="K759" s="54" t="s">
        <v>1947</v>
      </c>
    </row>
    <row r="760" spans="1:11" x14ac:dyDescent="0.35">
      <c r="A760" t="s">
        <v>165</v>
      </c>
      <c r="B760" t="s">
        <v>994</v>
      </c>
      <c r="C760" t="s">
        <v>2753</v>
      </c>
      <c r="D760" t="s">
        <v>2583</v>
      </c>
      <c r="E760">
        <v>1000</v>
      </c>
      <c r="F760" t="s">
        <v>2113</v>
      </c>
      <c r="G760" s="54" t="s">
        <v>2099</v>
      </c>
      <c r="H760">
        <v>39.1</v>
      </c>
      <c r="I760" s="54" t="s">
        <v>3481</v>
      </c>
      <c r="J760" s="58">
        <v>44572</v>
      </c>
      <c r="K760" t="s">
        <v>1947</v>
      </c>
    </row>
    <row r="761" spans="1:11" x14ac:dyDescent="0.35">
      <c r="A761" t="s">
        <v>146</v>
      </c>
      <c r="B761" t="s">
        <v>975</v>
      </c>
      <c r="C761" t="s">
        <v>2737</v>
      </c>
      <c r="D761" t="s">
        <v>2738</v>
      </c>
      <c r="E761">
        <v>100</v>
      </c>
      <c r="F761" t="s">
        <v>2140</v>
      </c>
      <c r="G761" t="s">
        <v>2099</v>
      </c>
      <c r="H761">
        <v>18</v>
      </c>
      <c r="I761" t="s">
        <v>3480</v>
      </c>
      <c r="J761" s="58">
        <v>44572</v>
      </c>
      <c r="K761" t="s">
        <v>3460</v>
      </c>
    </row>
    <row r="762" spans="1:11" x14ac:dyDescent="0.35">
      <c r="A762" t="s">
        <v>737</v>
      </c>
      <c r="B762" t="s">
        <v>1561</v>
      </c>
      <c r="C762" t="s">
        <v>3226</v>
      </c>
      <c r="D762" t="s">
        <v>2629</v>
      </c>
      <c r="E762">
        <v>1000</v>
      </c>
      <c r="F762" t="s">
        <v>2113</v>
      </c>
      <c r="G762" s="54" t="s">
        <v>2099</v>
      </c>
      <c r="H762">
        <v>1.87</v>
      </c>
      <c r="I762" s="54" t="s">
        <v>3481</v>
      </c>
      <c r="J762" s="58">
        <v>44572</v>
      </c>
      <c r="K762" t="s">
        <v>1947</v>
      </c>
    </row>
    <row r="763" spans="1:11" x14ac:dyDescent="0.35">
      <c r="A763" s="26" t="s">
        <v>3349</v>
      </c>
      <c r="B763" s="26" t="s">
        <v>3350</v>
      </c>
      <c r="C763" s="26"/>
      <c r="D763" s="26"/>
      <c r="E763" s="26"/>
      <c r="F763" s="26"/>
      <c r="G763" s="26"/>
      <c r="H763" s="26" t="s">
        <v>1879</v>
      </c>
      <c r="I763" s="26"/>
      <c r="J763" s="26"/>
      <c r="K763" s="26"/>
    </row>
    <row r="764" spans="1:11" x14ac:dyDescent="0.35">
      <c r="A764" s="26" t="s">
        <v>3394</v>
      </c>
      <c r="B764" s="26" t="s">
        <v>3395</v>
      </c>
      <c r="C764" s="26"/>
      <c r="D764" s="26"/>
      <c r="E764" s="26"/>
      <c r="F764" s="26"/>
      <c r="G764" s="26"/>
      <c r="H764" s="26" t="s">
        <v>1879</v>
      </c>
      <c r="I764" s="26"/>
      <c r="J764" s="26"/>
      <c r="K764" s="26"/>
    </row>
    <row r="765" spans="1:11" x14ac:dyDescent="0.35">
      <c r="A765" t="s">
        <v>112</v>
      </c>
      <c r="B765" t="s">
        <v>941</v>
      </c>
      <c r="C765" t="s">
        <v>2706</v>
      </c>
      <c r="D765" t="s">
        <v>2581</v>
      </c>
      <c r="E765">
        <v>1000</v>
      </c>
      <c r="F765" t="s">
        <v>2113</v>
      </c>
      <c r="G765" s="54" t="s">
        <v>2099</v>
      </c>
      <c r="H765">
        <v>4.24</v>
      </c>
      <c r="I765" s="54" t="s">
        <v>3481</v>
      </c>
      <c r="J765" s="58">
        <v>44572</v>
      </c>
      <c r="K765" t="s">
        <v>1947</v>
      </c>
    </row>
    <row r="766" spans="1:11" x14ac:dyDescent="0.35">
      <c r="A766" t="s">
        <v>90</v>
      </c>
      <c r="B766" t="s">
        <v>919</v>
      </c>
      <c r="C766" t="s">
        <v>2684</v>
      </c>
      <c r="D766" t="s">
        <v>2635</v>
      </c>
      <c r="E766">
        <v>1000</v>
      </c>
      <c r="F766" t="s">
        <v>2685</v>
      </c>
      <c r="G766" t="s">
        <v>2099</v>
      </c>
      <c r="H766">
        <v>9.0999999999999998E-2</v>
      </c>
      <c r="I766" t="s">
        <v>3480</v>
      </c>
      <c r="J766" s="58">
        <v>44572</v>
      </c>
      <c r="K766" t="s">
        <v>3460</v>
      </c>
    </row>
    <row r="767" spans="1:11" x14ac:dyDescent="0.35">
      <c r="A767" t="s">
        <v>91</v>
      </c>
      <c r="B767" t="s">
        <v>920</v>
      </c>
      <c r="C767" t="s">
        <v>4592</v>
      </c>
      <c r="D767" t="s">
        <v>2778</v>
      </c>
      <c r="E767">
        <v>1000</v>
      </c>
      <c r="F767" t="s">
        <v>4586</v>
      </c>
      <c r="G767" t="s">
        <v>2099</v>
      </c>
      <c r="H767" s="26">
        <v>0.48</v>
      </c>
      <c r="I767" s="54" t="s">
        <v>3481</v>
      </c>
      <c r="J767" s="57">
        <v>44634</v>
      </c>
      <c r="K767" s="54" t="s">
        <v>1947</v>
      </c>
    </row>
    <row r="768" spans="1:11" x14ac:dyDescent="0.35">
      <c r="A768" t="s">
        <v>167</v>
      </c>
      <c r="B768" t="s">
        <v>996</v>
      </c>
      <c r="H768" s="26" t="s">
        <v>1879</v>
      </c>
    </row>
    <row r="769" spans="1:11" x14ac:dyDescent="0.35">
      <c r="A769" t="s">
        <v>158</v>
      </c>
      <c r="B769" t="s">
        <v>987</v>
      </c>
      <c r="H769" s="26" t="s">
        <v>1879</v>
      </c>
    </row>
    <row r="770" spans="1:11" x14ac:dyDescent="0.35">
      <c r="A770" t="s">
        <v>460</v>
      </c>
      <c r="B770" t="s">
        <v>1284</v>
      </c>
      <c r="C770" t="s">
        <v>2995</v>
      </c>
      <c r="D770" t="s">
        <v>2581</v>
      </c>
      <c r="E770">
        <v>1000</v>
      </c>
      <c r="F770" t="s">
        <v>2113</v>
      </c>
      <c r="G770" s="54" t="s">
        <v>2099</v>
      </c>
      <c r="H770">
        <v>1.3</v>
      </c>
      <c r="I770" s="54" t="s">
        <v>3481</v>
      </c>
      <c r="J770" s="58">
        <v>44572</v>
      </c>
      <c r="K770" t="s">
        <v>1947</v>
      </c>
    </row>
    <row r="771" spans="1:11" x14ac:dyDescent="0.35">
      <c r="A771" t="s">
        <v>540</v>
      </c>
      <c r="B771" t="s">
        <v>1364</v>
      </c>
      <c r="C771" t="s">
        <v>3066</v>
      </c>
      <c r="D771" t="s">
        <v>2581</v>
      </c>
      <c r="E771">
        <v>1000</v>
      </c>
      <c r="F771" t="s">
        <v>2113</v>
      </c>
      <c r="G771" s="54" t="s">
        <v>2099</v>
      </c>
      <c r="H771">
        <v>2.5000000000000001E-2</v>
      </c>
      <c r="I771" s="54" t="s">
        <v>3481</v>
      </c>
      <c r="J771" s="58">
        <v>44572</v>
      </c>
      <c r="K771" t="s">
        <v>1947</v>
      </c>
    </row>
    <row r="772" spans="1:11" x14ac:dyDescent="0.35">
      <c r="A772" t="s">
        <v>590</v>
      </c>
      <c r="B772" t="s">
        <v>1414</v>
      </c>
      <c r="C772" t="s">
        <v>3116</v>
      </c>
      <c r="D772" t="s">
        <v>2574</v>
      </c>
      <c r="E772">
        <v>0</v>
      </c>
      <c r="F772" t="s">
        <v>2139</v>
      </c>
      <c r="G772" t="s">
        <v>3470</v>
      </c>
      <c r="H772">
        <v>1</v>
      </c>
      <c r="I772" t="s">
        <v>3480</v>
      </c>
      <c r="J772" s="58">
        <v>44572</v>
      </c>
      <c r="K772" t="s">
        <v>3460</v>
      </c>
    </row>
    <row r="773" spans="1:11" x14ac:dyDescent="0.35">
      <c r="A773" t="s">
        <v>88</v>
      </c>
      <c r="B773" t="s">
        <v>917</v>
      </c>
      <c r="C773" t="s">
        <v>2681</v>
      </c>
      <c r="D773" t="s">
        <v>2682</v>
      </c>
      <c r="E773">
        <v>1000</v>
      </c>
      <c r="F773" t="s">
        <v>2143</v>
      </c>
      <c r="G773" t="s">
        <v>2099</v>
      </c>
      <c r="H773">
        <v>2.63</v>
      </c>
      <c r="I773" t="s">
        <v>3480</v>
      </c>
      <c r="J773" s="58">
        <v>44572</v>
      </c>
      <c r="K773" t="s">
        <v>3460</v>
      </c>
    </row>
    <row r="774" spans="1:11" x14ac:dyDescent="0.35">
      <c r="A774" t="s">
        <v>594</v>
      </c>
      <c r="B774" t="s">
        <v>1418</v>
      </c>
      <c r="C774" t="s">
        <v>3120</v>
      </c>
      <c r="D774" t="s">
        <v>2581</v>
      </c>
      <c r="E774">
        <v>1000</v>
      </c>
      <c r="F774" t="s">
        <v>2113</v>
      </c>
      <c r="G774" s="54" t="s">
        <v>2099</v>
      </c>
      <c r="H774">
        <v>0.8</v>
      </c>
      <c r="I774" s="54" t="s">
        <v>3481</v>
      </c>
      <c r="J774" s="58">
        <v>44572</v>
      </c>
      <c r="K774" t="s">
        <v>1947</v>
      </c>
    </row>
    <row r="775" spans="1:11" x14ac:dyDescent="0.35">
      <c r="A775" t="s">
        <v>296</v>
      </c>
      <c r="B775" t="s">
        <v>1121</v>
      </c>
      <c r="C775" t="s">
        <v>2864</v>
      </c>
      <c r="D775" t="s">
        <v>2581</v>
      </c>
      <c r="E775">
        <v>1000</v>
      </c>
      <c r="F775" t="s">
        <v>2113</v>
      </c>
      <c r="G775" s="54" t="s">
        <v>2099</v>
      </c>
      <c r="H775">
        <v>0.92</v>
      </c>
      <c r="I775" s="54" t="s">
        <v>3481</v>
      </c>
      <c r="J775" s="58">
        <v>44572</v>
      </c>
      <c r="K775" t="s">
        <v>1947</v>
      </c>
    </row>
    <row r="776" spans="1:11" x14ac:dyDescent="0.35">
      <c r="A776" t="s">
        <v>164</v>
      </c>
      <c r="B776" t="s">
        <v>993</v>
      </c>
      <c r="H776" s="26" t="s">
        <v>1879</v>
      </c>
    </row>
    <row r="777" spans="1:11" x14ac:dyDescent="0.35">
      <c r="A777" t="s">
        <v>297</v>
      </c>
      <c r="B777" t="s">
        <v>1122</v>
      </c>
      <c r="H777" s="26" t="s">
        <v>1879</v>
      </c>
    </row>
    <row r="778" spans="1:11" x14ac:dyDescent="0.35">
      <c r="A778" t="s">
        <v>465</v>
      </c>
      <c r="B778" t="s">
        <v>1289</v>
      </c>
      <c r="C778" t="s">
        <v>4573</v>
      </c>
      <c r="D778" t="s">
        <v>3079</v>
      </c>
      <c r="E778">
        <v>1000</v>
      </c>
      <c r="F778" t="s">
        <v>2113</v>
      </c>
      <c r="G778" t="s">
        <v>2099</v>
      </c>
      <c r="H778" s="26">
        <v>4.2000000000000003E-2</v>
      </c>
      <c r="I778" s="26" t="s">
        <v>3481</v>
      </c>
      <c r="J778" s="57">
        <v>44634</v>
      </c>
      <c r="K778" s="26" t="s">
        <v>1947</v>
      </c>
    </row>
    <row r="779" spans="1:11" x14ac:dyDescent="0.35">
      <c r="A779" t="s">
        <v>241</v>
      </c>
      <c r="B779" t="s">
        <v>1067</v>
      </c>
      <c r="C779" t="s">
        <v>2816</v>
      </c>
      <c r="D779" t="s">
        <v>2583</v>
      </c>
      <c r="E779">
        <v>1000</v>
      </c>
      <c r="F779" t="s">
        <v>2113</v>
      </c>
      <c r="G779" s="54" t="s">
        <v>2099</v>
      </c>
      <c r="H779">
        <v>29.7</v>
      </c>
      <c r="I779" s="54" t="s">
        <v>3481</v>
      </c>
      <c r="J779" s="58">
        <v>44572</v>
      </c>
      <c r="K779" t="s">
        <v>1947</v>
      </c>
    </row>
    <row r="780" spans="1:11" x14ac:dyDescent="0.35">
      <c r="A780" t="s">
        <v>738</v>
      </c>
      <c r="B780" t="s">
        <v>1562</v>
      </c>
      <c r="C780" t="s">
        <v>3227</v>
      </c>
      <c r="D780" t="s">
        <v>2574</v>
      </c>
      <c r="E780">
        <v>0</v>
      </c>
      <c r="F780" t="s">
        <v>2137</v>
      </c>
      <c r="G780" t="s">
        <v>3463</v>
      </c>
      <c r="H780">
        <v>4.5999999999999996</v>
      </c>
      <c r="I780" t="s">
        <v>3480</v>
      </c>
      <c r="J780" s="58">
        <v>44572</v>
      </c>
      <c r="K780" t="s">
        <v>3460</v>
      </c>
    </row>
    <row r="781" spans="1:11" x14ac:dyDescent="0.35">
      <c r="A781" t="s">
        <v>592</v>
      </c>
      <c r="B781" t="s">
        <v>1416</v>
      </c>
      <c r="C781" t="s">
        <v>3118</v>
      </c>
      <c r="D781" t="s">
        <v>2581</v>
      </c>
      <c r="E781">
        <v>1000</v>
      </c>
      <c r="F781" t="s">
        <v>2113</v>
      </c>
      <c r="G781" s="54" t="s">
        <v>2099</v>
      </c>
      <c r="H781">
        <v>1.21</v>
      </c>
      <c r="I781" s="54" t="s">
        <v>3481</v>
      </c>
      <c r="J781" s="58">
        <v>44572</v>
      </c>
      <c r="K781" t="s">
        <v>1947</v>
      </c>
    </row>
    <row r="782" spans="1:11" x14ac:dyDescent="0.35">
      <c r="A782" s="26" t="s">
        <v>3409</v>
      </c>
      <c r="B782" s="26" t="s">
        <v>4005</v>
      </c>
      <c r="C782" s="56" t="s">
        <v>4006</v>
      </c>
      <c r="D782" s="26" t="s">
        <v>4007</v>
      </c>
      <c r="E782" s="26">
        <v>1000</v>
      </c>
      <c r="F782" s="26" t="s">
        <v>2113</v>
      </c>
      <c r="G782" s="26" t="s">
        <v>2099</v>
      </c>
      <c r="H782" s="26">
        <v>1.1200000000000001</v>
      </c>
      <c r="I782" s="26" t="s">
        <v>3481</v>
      </c>
      <c r="J782" s="58">
        <v>44572</v>
      </c>
      <c r="K782" s="26" t="s">
        <v>1947</v>
      </c>
    </row>
    <row r="783" spans="1:11" x14ac:dyDescent="0.35">
      <c r="A783" t="s">
        <v>760</v>
      </c>
      <c r="B783" t="s">
        <v>1584</v>
      </c>
      <c r="C783" t="s">
        <v>3244</v>
      </c>
      <c r="D783" t="s">
        <v>2581</v>
      </c>
      <c r="E783">
        <v>1000</v>
      </c>
      <c r="F783" t="s">
        <v>2113</v>
      </c>
      <c r="G783" s="54" t="s">
        <v>2099</v>
      </c>
      <c r="H783">
        <v>1.1200000000000001</v>
      </c>
      <c r="I783" s="54" t="s">
        <v>3481</v>
      </c>
      <c r="J783" s="58">
        <v>44572</v>
      </c>
      <c r="K783" t="s">
        <v>1947</v>
      </c>
    </row>
    <row r="784" spans="1:11" x14ac:dyDescent="0.35">
      <c r="A784" t="s">
        <v>525</v>
      </c>
      <c r="B784" t="s">
        <v>1349</v>
      </c>
      <c r="C784" t="s">
        <v>3054</v>
      </c>
      <c r="D784" t="s">
        <v>2581</v>
      </c>
      <c r="E784">
        <v>1000</v>
      </c>
      <c r="F784" t="s">
        <v>2113</v>
      </c>
      <c r="G784" s="54" t="s">
        <v>2099</v>
      </c>
      <c r="H784">
        <v>1.5</v>
      </c>
      <c r="I784" s="54" t="s">
        <v>3481</v>
      </c>
      <c r="J784" s="58">
        <v>44572</v>
      </c>
      <c r="K784" t="s">
        <v>1947</v>
      </c>
    </row>
    <row r="785" spans="1:11" x14ac:dyDescent="0.35">
      <c r="A785" t="s">
        <v>141</v>
      </c>
      <c r="B785" t="s">
        <v>970</v>
      </c>
      <c r="C785" t="s">
        <v>2731</v>
      </c>
      <c r="D785" t="s">
        <v>2574</v>
      </c>
      <c r="E785">
        <v>0</v>
      </c>
      <c r="F785" t="s">
        <v>2680</v>
      </c>
      <c r="G785" t="s">
        <v>3469</v>
      </c>
      <c r="H785">
        <v>0.6</v>
      </c>
      <c r="I785" t="s">
        <v>3480</v>
      </c>
      <c r="J785" s="58">
        <v>44572</v>
      </c>
      <c r="K785" t="s">
        <v>3460</v>
      </c>
    </row>
    <row r="786" spans="1:11" x14ac:dyDescent="0.35">
      <c r="A786" s="26" t="s">
        <v>3410</v>
      </c>
      <c r="B786" s="26" t="s">
        <v>4062</v>
      </c>
      <c r="C786" s="26" t="s">
        <v>4003</v>
      </c>
      <c r="D786" s="26" t="s">
        <v>4004</v>
      </c>
      <c r="E786" s="26">
        <v>1000</v>
      </c>
      <c r="F786" s="26" t="s">
        <v>4002</v>
      </c>
      <c r="G786" s="26" t="s">
        <v>2099</v>
      </c>
      <c r="H786" s="26">
        <v>1.92</v>
      </c>
      <c r="I786" s="26" t="s">
        <v>3481</v>
      </c>
      <c r="J786" s="58">
        <v>44572</v>
      </c>
      <c r="K786" s="26" t="s">
        <v>1947</v>
      </c>
    </row>
    <row r="787" spans="1:11" x14ac:dyDescent="0.35">
      <c r="A787" t="s">
        <v>589</v>
      </c>
      <c r="B787" t="s">
        <v>1413</v>
      </c>
      <c r="C787" t="s">
        <v>3115</v>
      </c>
      <c r="D787" t="s">
        <v>2581</v>
      </c>
      <c r="E787">
        <v>1000</v>
      </c>
      <c r="F787" t="s">
        <v>2113</v>
      </c>
      <c r="G787" s="54" t="s">
        <v>2099</v>
      </c>
      <c r="H787">
        <v>0.34</v>
      </c>
      <c r="I787" s="54" t="s">
        <v>3481</v>
      </c>
      <c r="J787" s="58">
        <v>44572</v>
      </c>
      <c r="K787" t="s">
        <v>1947</v>
      </c>
    </row>
    <row r="788" spans="1:11" x14ac:dyDescent="0.35">
      <c r="A788" s="26" t="s">
        <v>3396</v>
      </c>
      <c r="B788" s="26" t="s">
        <v>3397</v>
      </c>
      <c r="C788" s="26"/>
      <c r="D788" s="26"/>
      <c r="E788" s="26"/>
      <c r="F788" s="26"/>
      <c r="G788" s="26"/>
      <c r="H788" s="26" t="s">
        <v>1879</v>
      </c>
      <c r="I788" s="26"/>
      <c r="J788" s="26"/>
      <c r="K788" s="26"/>
    </row>
    <row r="789" spans="1:11" x14ac:dyDescent="0.35">
      <c r="A789" t="s">
        <v>124</v>
      </c>
      <c r="B789" t="s">
        <v>953</v>
      </c>
      <c r="C789" t="s">
        <v>2718</v>
      </c>
      <c r="D789" t="s">
        <v>2581</v>
      </c>
      <c r="E789">
        <v>1000</v>
      </c>
      <c r="F789" t="s">
        <v>2113</v>
      </c>
      <c r="G789" s="54" t="s">
        <v>2099</v>
      </c>
      <c r="H789">
        <v>0.42</v>
      </c>
      <c r="I789" s="54" t="s">
        <v>3481</v>
      </c>
      <c r="J789" s="58">
        <v>44572</v>
      </c>
      <c r="K789" t="s">
        <v>1947</v>
      </c>
    </row>
    <row r="790" spans="1:11" x14ac:dyDescent="0.35">
      <c r="A790" t="s">
        <v>533</v>
      </c>
      <c r="B790" t="s">
        <v>1357</v>
      </c>
      <c r="C790" t="s">
        <v>3060</v>
      </c>
      <c r="D790" t="s">
        <v>2581</v>
      </c>
      <c r="E790">
        <v>1000</v>
      </c>
      <c r="F790" t="s">
        <v>2113</v>
      </c>
      <c r="G790" s="54" t="s">
        <v>2099</v>
      </c>
      <c r="H790">
        <v>2.8000000000000001E-2</v>
      </c>
      <c r="I790" s="54" t="s">
        <v>3481</v>
      </c>
      <c r="J790" s="58">
        <v>44572</v>
      </c>
      <c r="K790" t="s">
        <v>1947</v>
      </c>
    </row>
    <row r="791" spans="1:11" x14ac:dyDescent="0.35">
      <c r="A791" t="s">
        <v>321</v>
      </c>
      <c r="B791" t="s">
        <v>1146</v>
      </c>
      <c r="C791" t="s">
        <v>2885</v>
      </c>
      <c r="D791" t="s">
        <v>2629</v>
      </c>
      <c r="E791">
        <v>1000</v>
      </c>
      <c r="F791" t="s">
        <v>2113</v>
      </c>
      <c r="G791" s="54" t="s">
        <v>2099</v>
      </c>
      <c r="H791">
        <v>0.22</v>
      </c>
      <c r="I791" s="54" t="s">
        <v>3481</v>
      </c>
      <c r="J791" s="58">
        <v>44572</v>
      </c>
      <c r="K791" t="s">
        <v>1947</v>
      </c>
    </row>
    <row r="792" spans="1:11" x14ac:dyDescent="0.35">
      <c r="A792" t="s">
        <v>770</v>
      </c>
      <c r="B792" t="s">
        <v>1594</v>
      </c>
      <c r="H792" s="26" t="s">
        <v>1879</v>
      </c>
    </row>
    <row r="793" spans="1:11" x14ac:dyDescent="0.35">
      <c r="A793" t="s">
        <v>642</v>
      </c>
      <c r="B793" t="s">
        <v>1466</v>
      </c>
      <c r="C793" t="s">
        <v>3168</v>
      </c>
      <c r="D793" t="s">
        <v>2581</v>
      </c>
      <c r="E793">
        <v>1000</v>
      </c>
      <c r="F793" t="s">
        <v>2113</v>
      </c>
      <c r="G793" s="54" t="s">
        <v>2099</v>
      </c>
      <c r="H793">
        <v>4.08</v>
      </c>
      <c r="I793" s="54" t="s">
        <v>3481</v>
      </c>
      <c r="J793" s="58">
        <v>44572</v>
      </c>
      <c r="K793" t="s">
        <v>1947</v>
      </c>
    </row>
    <row r="794" spans="1:11" x14ac:dyDescent="0.35">
      <c r="A794" t="s">
        <v>488</v>
      </c>
      <c r="B794" t="s">
        <v>1312</v>
      </c>
      <c r="C794" t="s">
        <v>3021</v>
      </c>
      <c r="D794" t="s">
        <v>2581</v>
      </c>
      <c r="E794">
        <v>1000</v>
      </c>
      <c r="F794" t="s">
        <v>2113</v>
      </c>
      <c r="G794" t="s">
        <v>2099</v>
      </c>
      <c r="H794">
        <v>0.08</v>
      </c>
      <c r="I794" t="s">
        <v>3481</v>
      </c>
      <c r="J794" s="57">
        <v>44572</v>
      </c>
      <c r="K794" t="s">
        <v>1947</v>
      </c>
    </row>
    <row r="795" spans="1:11" x14ac:dyDescent="0.35">
      <c r="A795" t="s">
        <v>638</v>
      </c>
      <c r="B795" t="s">
        <v>1462</v>
      </c>
      <c r="C795" t="s">
        <v>3164</v>
      </c>
      <c r="D795" t="s">
        <v>2577</v>
      </c>
      <c r="E795">
        <v>1000</v>
      </c>
      <c r="F795" t="s">
        <v>2113</v>
      </c>
      <c r="G795" t="s">
        <v>2099</v>
      </c>
      <c r="H795">
        <v>4.1000000000000003E-3</v>
      </c>
      <c r="I795" t="s">
        <v>3481</v>
      </c>
      <c r="J795" s="57">
        <v>44572</v>
      </c>
      <c r="K795" t="s">
        <v>1947</v>
      </c>
    </row>
    <row r="796" spans="1:11" x14ac:dyDescent="0.35">
      <c r="A796" t="s">
        <v>632</v>
      </c>
      <c r="B796" t="s">
        <v>1456</v>
      </c>
      <c r="C796" t="s">
        <v>3158</v>
      </c>
      <c r="D796" t="s">
        <v>2574</v>
      </c>
      <c r="E796">
        <v>0</v>
      </c>
      <c r="F796" t="s">
        <v>2680</v>
      </c>
      <c r="G796" t="s">
        <v>3465</v>
      </c>
      <c r="H796">
        <v>0.24</v>
      </c>
      <c r="I796" t="s">
        <v>3480</v>
      </c>
      <c r="J796" s="57">
        <v>44572</v>
      </c>
      <c r="K796" t="s">
        <v>3460</v>
      </c>
    </row>
    <row r="797" spans="1:11" x14ac:dyDescent="0.35">
      <c r="A797" s="26" t="s">
        <v>3351</v>
      </c>
      <c r="B797" s="26" t="s">
        <v>3352</v>
      </c>
      <c r="C797" s="26"/>
      <c r="D797" s="26"/>
      <c r="E797" s="26"/>
      <c r="F797" s="26"/>
      <c r="G797" s="26"/>
      <c r="H797" s="26" t="s">
        <v>1879</v>
      </c>
      <c r="I797" s="26"/>
      <c r="J797" s="26"/>
      <c r="K797" s="26"/>
    </row>
    <row r="798" spans="1:11" x14ac:dyDescent="0.35">
      <c r="A798" s="26" t="s">
        <v>3398</v>
      </c>
      <c r="B798" s="26" t="s">
        <v>3352</v>
      </c>
      <c r="C798" s="26"/>
      <c r="D798" s="26"/>
      <c r="E798" s="26"/>
      <c r="F798" s="26"/>
      <c r="G798" s="26"/>
      <c r="H798" s="26" t="s">
        <v>1879</v>
      </c>
      <c r="I798" s="26"/>
      <c r="J798" s="26"/>
      <c r="K798" s="26"/>
    </row>
    <row r="799" spans="1:11" x14ac:dyDescent="0.35">
      <c r="A799" t="s">
        <v>621</v>
      </c>
      <c r="B799" t="s">
        <v>1445</v>
      </c>
      <c r="C799" t="s">
        <v>3149</v>
      </c>
      <c r="E799">
        <v>0</v>
      </c>
      <c r="F799" t="s">
        <v>2680</v>
      </c>
      <c r="G799" t="s">
        <v>3465</v>
      </c>
      <c r="H799">
        <v>0.56999999999999995</v>
      </c>
      <c r="I799" t="s">
        <v>3480</v>
      </c>
      <c r="J799" s="57">
        <v>44572</v>
      </c>
      <c r="K799" t="s">
        <v>3460</v>
      </c>
    </row>
    <row r="800" spans="1:11" x14ac:dyDescent="0.35">
      <c r="A800" s="26" t="s">
        <v>3379</v>
      </c>
      <c r="B800" s="26" t="s">
        <v>3380</v>
      </c>
      <c r="C800" s="26"/>
      <c r="D800" s="26"/>
      <c r="E800" s="26"/>
      <c r="F800" s="26"/>
      <c r="G800" s="26"/>
      <c r="H800" s="26" t="s">
        <v>1879</v>
      </c>
      <c r="I800" s="26"/>
      <c r="J800" s="26"/>
      <c r="K800" s="26"/>
    </row>
    <row r="801" spans="1:11" x14ac:dyDescent="0.35">
      <c r="A801" s="26" t="s">
        <v>3401</v>
      </c>
      <c r="B801" s="26" t="s">
        <v>3402</v>
      </c>
      <c r="C801" s="26"/>
      <c r="D801" s="26"/>
      <c r="E801" s="26"/>
      <c r="F801" s="26"/>
      <c r="G801" s="26"/>
      <c r="H801" s="26" t="s">
        <v>1879</v>
      </c>
      <c r="I801" s="26"/>
      <c r="J801" s="26"/>
      <c r="K801" s="26"/>
    </row>
    <row r="802" spans="1:11" x14ac:dyDescent="0.35">
      <c r="A802" s="26" t="s">
        <v>3353</v>
      </c>
      <c r="B802" s="26" t="s">
        <v>3354</v>
      </c>
      <c r="C802" s="26"/>
      <c r="D802" s="26"/>
      <c r="E802" s="26"/>
      <c r="F802" s="26"/>
      <c r="G802" s="26"/>
      <c r="H802" s="26" t="s">
        <v>1879</v>
      </c>
      <c r="I802" s="26"/>
      <c r="J802" s="26"/>
      <c r="K802" s="26"/>
    </row>
    <row r="803" spans="1:11" x14ac:dyDescent="0.35">
      <c r="A803" s="26" t="s">
        <v>3355</v>
      </c>
      <c r="B803" s="26" t="s">
        <v>3356</v>
      </c>
      <c r="C803" s="26"/>
      <c r="D803" s="26"/>
      <c r="E803" s="26"/>
      <c r="F803" s="26"/>
      <c r="G803" s="26"/>
      <c r="H803" s="26" t="s">
        <v>1879</v>
      </c>
      <c r="I803" s="26"/>
      <c r="J803" s="26"/>
      <c r="K803" s="26"/>
    </row>
    <row r="804" spans="1:11" x14ac:dyDescent="0.35">
      <c r="A804" t="s">
        <v>10</v>
      </c>
      <c r="B804" t="s">
        <v>839</v>
      </c>
      <c r="C804" t="s">
        <v>2589</v>
      </c>
      <c r="D804" t="s">
        <v>2590</v>
      </c>
      <c r="E804">
        <v>100</v>
      </c>
      <c r="F804" t="s">
        <v>2140</v>
      </c>
      <c r="G804" t="s">
        <v>2099</v>
      </c>
      <c r="H804">
        <v>8.0000000000000004E-4</v>
      </c>
      <c r="I804" t="s">
        <v>3480</v>
      </c>
      <c r="J804" s="57">
        <v>44572</v>
      </c>
      <c r="K804" t="s">
        <v>3460</v>
      </c>
    </row>
    <row r="805" spans="1:11" x14ac:dyDescent="0.35">
      <c r="A805" t="s">
        <v>341</v>
      </c>
      <c r="B805" t="s">
        <v>1165</v>
      </c>
      <c r="C805" t="s">
        <v>2900</v>
      </c>
      <c r="D805" t="s">
        <v>2581</v>
      </c>
      <c r="E805">
        <v>1000</v>
      </c>
      <c r="F805" t="s">
        <v>2113</v>
      </c>
      <c r="G805" t="s">
        <v>2099</v>
      </c>
      <c r="H805">
        <v>3.25</v>
      </c>
      <c r="I805" t="s">
        <v>3481</v>
      </c>
      <c r="J805" s="57">
        <v>44572</v>
      </c>
      <c r="K805" t="s">
        <v>1947</v>
      </c>
    </row>
    <row r="806" spans="1:11" x14ac:dyDescent="0.35">
      <c r="A806" t="s">
        <v>92</v>
      </c>
      <c r="B806" t="s">
        <v>921</v>
      </c>
      <c r="C806" t="s">
        <v>2686</v>
      </c>
      <c r="E806">
        <v>10</v>
      </c>
      <c r="F806" t="s">
        <v>2680</v>
      </c>
      <c r="G806" t="s">
        <v>3472</v>
      </c>
      <c r="H806">
        <v>2.3000000000000001E-4</v>
      </c>
      <c r="I806" t="s">
        <v>3480</v>
      </c>
      <c r="J806" s="57">
        <v>44572</v>
      </c>
      <c r="K806" t="s">
        <v>3460</v>
      </c>
    </row>
    <row r="807" spans="1:11" x14ac:dyDescent="0.35">
      <c r="A807" t="s">
        <v>62</v>
      </c>
      <c r="B807" t="s">
        <v>891</v>
      </c>
      <c r="C807" t="s">
        <v>2652</v>
      </c>
      <c r="D807" t="s">
        <v>2619</v>
      </c>
      <c r="E807">
        <v>100</v>
      </c>
      <c r="F807" t="s">
        <v>2140</v>
      </c>
      <c r="G807" t="s">
        <v>2099</v>
      </c>
      <c r="H807">
        <v>7.0999999999999994E-2</v>
      </c>
      <c r="I807" t="s">
        <v>3480</v>
      </c>
      <c r="J807" s="57">
        <v>44572</v>
      </c>
      <c r="K807" t="s">
        <v>3460</v>
      </c>
    </row>
    <row r="808" spans="1:11" x14ac:dyDescent="0.35">
      <c r="A808" t="s">
        <v>732</v>
      </c>
      <c r="B808" t="s">
        <v>1556</v>
      </c>
      <c r="C808" t="s">
        <v>3221</v>
      </c>
      <c r="D808" t="s">
        <v>2581</v>
      </c>
      <c r="E808">
        <v>1000</v>
      </c>
      <c r="F808" t="s">
        <v>2113</v>
      </c>
      <c r="G808" t="s">
        <v>2099</v>
      </c>
      <c r="H808">
        <v>0.13</v>
      </c>
      <c r="I808" t="s">
        <v>3481</v>
      </c>
      <c r="J808" s="57">
        <v>44572</v>
      </c>
      <c r="K808" t="s">
        <v>1947</v>
      </c>
    </row>
    <row r="809" spans="1:11" x14ac:dyDescent="0.35">
      <c r="A809" t="s">
        <v>239</v>
      </c>
      <c r="B809" t="s">
        <v>1065</v>
      </c>
      <c r="H809" s="26" t="s">
        <v>1879</v>
      </c>
    </row>
    <row r="810" spans="1:11" x14ac:dyDescent="0.35">
      <c r="A810" t="s">
        <v>240</v>
      </c>
      <c r="B810" t="s">
        <v>1066</v>
      </c>
      <c r="H810" s="26" t="s">
        <v>1879</v>
      </c>
    </row>
    <row r="811" spans="1:11" x14ac:dyDescent="0.35">
      <c r="A811" t="s">
        <v>208</v>
      </c>
      <c r="B811" t="s">
        <v>1035</v>
      </c>
      <c r="C811" t="s">
        <v>2790</v>
      </c>
      <c r="E811">
        <v>1000</v>
      </c>
      <c r="F811" t="s">
        <v>3482</v>
      </c>
      <c r="G811" t="s">
        <v>3465</v>
      </c>
      <c r="H811">
        <v>1.0999999999999999E-2</v>
      </c>
      <c r="I811" t="s">
        <v>3480</v>
      </c>
      <c r="J811" s="57">
        <v>44572</v>
      </c>
      <c r="K811" t="s">
        <v>3460</v>
      </c>
    </row>
    <row r="812" spans="1:11" x14ac:dyDescent="0.35">
      <c r="A812" t="s">
        <v>572</v>
      </c>
      <c r="B812" t="s">
        <v>1396</v>
      </c>
      <c r="C812" t="s">
        <v>3099</v>
      </c>
      <c r="D812" t="s">
        <v>2607</v>
      </c>
      <c r="E812">
        <v>1000</v>
      </c>
      <c r="F812" t="s">
        <v>2143</v>
      </c>
      <c r="G812" t="s">
        <v>2099</v>
      </c>
      <c r="H812">
        <v>2.2000000000000001E-4</v>
      </c>
      <c r="I812" t="s">
        <v>3480</v>
      </c>
      <c r="J812" s="57">
        <v>44572</v>
      </c>
      <c r="K812" t="s">
        <v>3460</v>
      </c>
    </row>
    <row r="813" spans="1:11" x14ac:dyDescent="0.35">
      <c r="A813" t="s">
        <v>238</v>
      </c>
      <c r="B813" t="s">
        <v>1064</v>
      </c>
      <c r="C813" t="s">
        <v>2815</v>
      </c>
      <c r="D813" t="s">
        <v>2577</v>
      </c>
      <c r="E813">
        <v>1000</v>
      </c>
      <c r="F813" t="s">
        <v>2113</v>
      </c>
      <c r="G813" t="s">
        <v>2099</v>
      </c>
      <c r="H813">
        <v>2.9999999999999997E-4</v>
      </c>
      <c r="I813" t="s">
        <v>3481</v>
      </c>
      <c r="J813" s="57">
        <v>44572</v>
      </c>
      <c r="K813" t="s">
        <v>1947</v>
      </c>
    </row>
    <row r="814" spans="1:11" x14ac:dyDescent="0.35">
      <c r="A814" t="s">
        <v>674</v>
      </c>
      <c r="B814" t="s">
        <v>1498</v>
      </c>
      <c r="C814" t="s">
        <v>4593</v>
      </c>
      <c r="D814" t="s">
        <v>4572</v>
      </c>
      <c r="E814">
        <v>1000</v>
      </c>
      <c r="F814" t="s">
        <v>2113</v>
      </c>
      <c r="G814" t="s">
        <v>2099</v>
      </c>
      <c r="H814" s="26">
        <v>4.37</v>
      </c>
      <c r="I814" t="s">
        <v>3481</v>
      </c>
      <c r="J814" s="57">
        <v>44634</v>
      </c>
      <c r="K814" t="s">
        <v>1947</v>
      </c>
    </row>
    <row r="815" spans="1:11" x14ac:dyDescent="0.35">
      <c r="A815" t="s">
        <v>637</v>
      </c>
      <c r="B815" t="s">
        <v>1461</v>
      </c>
      <c r="C815" t="s">
        <v>3163</v>
      </c>
      <c r="D815" t="s">
        <v>2577</v>
      </c>
      <c r="E815">
        <v>1000</v>
      </c>
      <c r="F815" t="s">
        <v>2113</v>
      </c>
      <c r="G815" t="s">
        <v>2099</v>
      </c>
      <c r="H815">
        <v>8.4999999999999995E-4</v>
      </c>
      <c r="I815" t="s">
        <v>3481</v>
      </c>
      <c r="J815" s="57">
        <v>44572</v>
      </c>
      <c r="K815" t="s">
        <v>1947</v>
      </c>
    </row>
    <row r="816" spans="1:11" x14ac:dyDescent="0.35">
      <c r="A816" t="s">
        <v>206</v>
      </c>
      <c r="B816" t="s">
        <v>1033</v>
      </c>
      <c r="C816" t="s">
        <v>2788</v>
      </c>
      <c r="D816" t="s">
        <v>2789</v>
      </c>
      <c r="E816">
        <v>10</v>
      </c>
      <c r="F816" t="s">
        <v>2594</v>
      </c>
      <c r="G816" t="s">
        <v>3465</v>
      </c>
      <c r="H816">
        <v>0.22</v>
      </c>
      <c r="I816" t="s">
        <v>3480</v>
      </c>
      <c r="J816" s="57">
        <v>44572</v>
      </c>
      <c r="K816" t="s">
        <v>3460</v>
      </c>
    </row>
    <row r="817" spans="1:11" x14ac:dyDescent="0.35">
      <c r="A817" t="s">
        <v>578</v>
      </c>
      <c r="B817" t="s">
        <v>1402</v>
      </c>
      <c r="C817" t="s">
        <v>3104</v>
      </c>
      <c r="D817" t="s">
        <v>2574</v>
      </c>
      <c r="E817">
        <v>0</v>
      </c>
      <c r="F817" t="s">
        <v>2139</v>
      </c>
      <c r="G817" t="s">
        <v>3468</v>
      </c>
      <c r="H817">
        <v>10</v>
      </c>
      <c r="I817" t="s">
        <v>3480</v>
      </c>
      <c r="J817" s="57">
        <v>44572</v>
      </c>
      <c r="K817" t="s">
        <v>3460</v>
      </c>
    </row>
    <row r="818" spans="1:11" x14ac:dyDescent="0.35">
      <c r="A818" t="s">
        <v>622</v>
      </c>
      <c r="B818" t="s">
        <v>1446</v>
      </c>
      <c r="C818" t="s">
        <v>3150</v>
      </c>
      <c r="D818" t="s">
        <v>2629</v>
      </c>
      <c r="E818">
        <v>1000</v>
      </c>
      <c r="F818" t="s">
        <v>2113</v>
      </c>
      <c r="G818" t="s">
        <v>2099</v>
      </c>
      <c r="H818">
        <v>0.35</v>
      </c>
      <c r="I818" t="s">
        <v>3481</v>
      </c>
      <c r="J818" s="57">
        <v>44572</v>
      </c>
      <c r="K818" t="s">
        <v>1947</v>
      </c>
    </row>
    <row r="819" spans="1:11" x14ac:dyDescent="0.35">
      <c r="A819" s="26" t="s">
        <v>3411</v>
      </c>
      <c r="B819" s="26" t="s">
        <v>3999</v>
      </c>
      <c r="C819" s="26" t="s">
        <v>4000</v>
      </c>
      <c r="D819" s="26" t="s">
        <v>4001</v>
      </c>
      <c r="E819" s="26">
        <v>1000</v>
      </c>
      <c r="F819" s="26" t="s">
        <v>4002</v>
      </c>
      <c r="G819" s="26" t="s">
        <v>2099</v>
      </c>
      <c r="H819" s="26">
        <v>0.49819000000000002</v>
      </c>
      <c r="I819" s="26" t="s">
        <v>3481</v>
      </c>
      <c r="J819" s="57">
        <v>44572</v>
      </c>
      <c r="K819" s="26" t="s">
        <v>1947</v>
      </c>
    </row>
    <row r="820" spans="1:11" x14ac:dyDescent="0.35">
      <c r="A820" t="s">
        <v>214</v>
      </c>
      <c r="B820" t="s">
        <v>1041</v>
      </c>
      <c r="C820" t="s">
        <v>2796</v>
      </c>
      <c r="D820" t="s">
        <v>2581</v>
      </c>
      <c r="E820">
        <v>1000</v>
      </c>
      <c r="F820" t="s">
        <v>2113</v>
      </c>
      <c r="G820" t="s">
        <v>2099</v>
      </c>
      <c r="H820">
        <v>14.8</v>
      </c>
      <c r="I820" t="s">
        <v>3481</v>
      </c>
      <c r="J820" s="57">
        <v>44572</v>
      </c>
      <c r="K820" t="s">
        <v>1947</v>
      </c>
    </row>
    <row r="821" spans="1:11" x14ac:dyDescent="0.35">
      <c r="A821" t="s">
        <v>515</v>
      </c>
      <c r="B821" t="s">
        <v>1339</v>
      </c>
      <c r="H821" t="s">
        <v>1879</v>
      </c>
    </row>
    <row r="822" spans="1:11" x14ac:dyDescent="0.35">
      <c r="A822" t="s">
        <v>519</v>
      </c>
      <c r="B822" t="s">
        <v>1343</v>
      </c>
      <c r="C822" t="s">
        <v>3049</v>
      </c>
      <c r="D822" t="s">
        <v>2574</v>
      </c>
      <c r="E822">
        <v>0</v>
      </c>
      <c r="F822" t="s">
        <v>2972</v>
      </c>
      <c r="G822" t="s">
        <v>3464</v>
      </c>
      <c r="H822">
        <v>3.3</v>
      </c>
      <c r="I822" t="s">
        <v>3480</v>
      </c>
      <c r="J822" s="57">
        <v>44572</v>
      </c>
      <c r="K822" t="s">
        <v>3460</v>
      </c>
    </row>
    <row r="823" spans="1:11" x14ac:dyDescent="0.35">
      <c r="A823" s="26" t="s">
        <v>3369</v>
      </c>
      <c r="B823" s="26" t="s">
        <v>3370</v>
      </c>
      <c r="C823" s="52" t="s">
        <v>4054</v>
      </c>
      <c r="D823" s="26" t="s">
        <v>1879</v>
      </c>
      <c r="E823" s="26">
        <v>0</v>
      </c>
      <c r="F823" s="26" t="s">
        <v>2680</v>
      </c>
      <c r="G823" s="26" t="s">
        <v>3465</v>
      </c>
      <c r="H823" s="26">
        <v>0.01</v>
      </c>
      <c r="I823" s="26" t="s">
        <v>3480</v>
      </c>
      <c r="J823" s="57">
        <v>44572</v>
      </c>
      <c r="K823" s="26" t="s">
        <v>3460</v>
      </c>
    </row>
    <row r="824" spans="1:11" x14ac:dyDescent="0.35">
      <c r="A824" s="26" t="s">
        <v>3363</v>
      </c>
      <c r="B824" s="26" t="s">
        <v>3364</v>
      </c>
      <c r="C824" s="26" t="s">
        <v>4053</v>
      </c>
      <c r="D824" s="26" t="s">
        <v>1879</v>
      </c>
      <c r="E824" s="26">
        <v>0</v>
      </c>
      <c r="F824" s="26" t="s">
        <v>2680</v>
      </c>
      <c r="G824" s="26" t="s">
        <v>3465</v>
      </c>
      <c r="H824" s="26">
        <v>4.2000000000000003E-2</v>
      </c>
      <c r="I824" s="26" t="s">
        <v>3480</v>
      </c>
      <c r="J824" s="57">
        <v>44572</v>
      </c>
      <c r="K824" s="26" t="s">
        <v>3460</v>
      </c>
    </row>
    <row r="825" spans="1:11" x14ac:dyDescent="0.35">
      <c r="A825" t="s">
        <v>388</v>
      </c>
      <c r="B825" t="s">
        <v>1212</v>
      </c>
      <c r="C825" t="s">
        <v>2936</v>
      </c>
      <c r="D825" t="s">
        <v>2667</v>
      </c>
      <c r="E825">
        <v>100</v>
      </c>
      <c r="F825" t="s">
        <v>2140</v>
      </c>
      <c r="G825" t="s">
        <v>2099</v>
      </c>
      <c r="H825">
        <v>0.17</v>
      </c>
      <c r="I825" t="s">
        <v>3480</v>
      </c>
      <c r="J825" s="57">
        <v>44572</v>
      </c>
      <c r="K825" t="s">
        <v>3460</v>
      </c>
    </row>
    <row r="826" spans="1:11" x14ac:dyDescent="0.35">
      <c r="A826" t="s">
        <v>110</v>
      </c>
      <c r="B826" t="s">
        <v>939</v>
      </c>
      <c r="C826" t="s">
        <v>2704</v>
      </c>
      <c r="D826" t="s">
        <v>2581</v>
      </c>
      <c r="E826">
        <v>1000</v>
      </c>
      <c r="F826" t="s">
        <v>2113</v>
      </c>
      <c r="G826" t="s">
        <v>2099</v>
      </c>
      <c r="H826">
        <v>0.56000000000000005</v>
      </c>
      <c r="I826" t="s">
        <v>3481</v>
      </c>
      <c r="J826" s="57">
        <v>44572</v>
      </c>
      <c r="K826" t="s">
        <v>1947</v>
      </c>
    </row>
    <row r="827" spans="1:11" x14ac:dyDescent="0.35">
      <c r="A827" t="s">
        <v>661</v>
      </c>
      <c r="B827" t="s">
        <v>1485</v>
      </c>
      <c r="C827" t="s">
        <v>3184</v>
      </c>
      <c r="D827" t="s">
        <v>2581</v>
      </c>
      <c r="E827">
        <v>1000</v>
      </c>
      <c r="F827" t="s">
        <v>2113</v>
      </c>
      <c r="G827" t="s">
        <v>2099</v>
      </c>
      <c r="H827">
        <v>0.28999999999999998</v>
      </c>
      <c r="I827" t="s">
        <v>3481</v>
      </c>
      <c r="J827" s="57">
        <v>44572</v>
      </c>
      <c r="K827" t="s">
        <v>1947</v>
      </c>
    </row>
    <row r="828" spans="1:11" x14ac:dyDescent="0.35">
      <c r="A828" t="s">
        <v>476</v>
      </c>
      <c r="B828" t="s">
        <v>1300</v>
      </c>
      <c r="C828" t="s">
        <v>3010</v>
      </c>
      <c r="D828" t="s">
        <v>2629</v>
      </c>
      <c r="E828">
        <v>1000</v>
      </c>
      <c r="F828" t="s">
        <v>2113</v>
      </c>
      <c r="G828" t="s">
        <v>2099</v>
      </c>
      <c r="H828">
        <v>2.23</v>
      </c>
      <c r="I828" t="s">
        <v>3481</v>
      </c>
      <c r="J828" s="57">
        <v>44572</v>
      </c>
      <c r="K828" t="s">
        <v>1947</v>
      </c>
    </row>
    <row r="829" spans="1:11" x14ac:dyDescent="0.35">
      <c r="A829" t="s">
        <v>613</v>
      </c>
      <c r="B829" t="s">
        <v>1437</v>
      </c>
      <c r="C829" t="s">
        <v>3141</v>
      </c>
      <c r="D829" t="s">
        <v>2581</v>
      </c>
      <c r="E829">
        <v>1000</v>
      </c>
      <c r="F829" t="s">
        <v>2113</v>
      </c>
      <c r="G829" t="s">
        <v>2099</v>
      </c>
      <c r="H829">
        <v>20.399999999999999</v>
      </c>
      <c r="I829" t="s">
        <v>3481</v>
      </c>
      <c r="J829" s="57">
        <v>44572</v>
      </c>
      <c r="K829" t="s">
        <v>1947</v>
      </c>
    </row>
    <row r="830" spans="1:11" x14ac:dyDescent="0.35">
      <c r="A830" t="s">
        <v>170</v>
      </c>
      <c r="B830" t="s">
        <v>999</v>
      </c>
      <c r="C830" t="s">
        <v>2756</v>
      </c>
      <c r="D830" t="s">
        <v>2581</v>
      </c>
      <c r="E830">
        <v>1000</v>
      </c>
      <c r="F830" t="s">
        <v>2113</v>
      </c>
      <c r="G830" t="s">
        <v>2099</v>
      </c>
      <c r="H830">
        <v>5.01</v>
      </c>
      <c r="I830" t="s">
        <v>3481</v>
      </c>
      <c r="J830" s="57">
        <v>44572</v>
      </c>
      <c r="K830" t="s">
        <v>1947</v>
      </c>
    </row>
    <row r="831" spans="1:11" x14ac:dyDescent="0.35">
      <c r="A831" t="s">
        <v>548</v>
      </c>
      <c r="B831" t="s">
        <v>1372</v>
      </c>
      <c r="C831" t="s">
        <v>3076</v>
      </c>
      <c r="D831" t="s">
        <v>2581</v>
      </c>
      <c r="E831">
        <v>1000</v>
      </c>
      <c r="F831" t="s">
        <v>2113</v>
      </c>
      <c r="G831" t="s">
        <v>2099</v>
      </c>
      <c r="H831">
        <v>0.19</v>
      </c>
      <c r="I831" t="s">
        <v>3481</v>
      </c>
      <c r="J831" s="57">
        <v>44572</v>
      </c>
      <c r="K831" t="s">
        <v>1947</v>
      </c>
    </row>
    <row r="832" spans="1:11" s="26" customFormat="1" x14ac:dyDescent="0.35">
      <c r="A832" t="s">
        <v>396</v>
      </c>
      <c r="B832" t="s">
        <v>1220</v>
      </c>
      <c r="C832" t="s">
        <v>2943</v>
      </c>
      <c r="D832" t="s">
        <v>2629</v>
      </c>
      <c r="E832">
        <v>1000</v>
      </c>
      <c r="F832" t="s">
        <v>2113</v>
      </c>
      <c r="G832" t="s">
        <v>2099</v>
      </c>
      <c r="H832">
        <v>0.78</v>
      </c>
      <c r="I832" t="s">
        <v>3481</v>
      </c>
      <c r="J832" s="57">
        <v>44572</v>
      </c>
      <c r="K832" t="s">
        <v>1947</v>
      </c>
    </row>
    <row r="833" spans="1:11" s="26" customFormat="1" x14ac:dyDescent="0.35">
      <c r="A833" t="s">
        <v>377</v>
      </c>
      <c r="B833" t="s">
        <v>1201</v>
      </c>
      <c r="C833" t="s">
        <v>2924</v>
      </c>
      <c r="D833" t="s">
        <v>2925</v>
      </c>
      <c r="E833">
        <v>50</v>
      </c>
      <c r="F833" t="s">
        <v>2575</v>
      </c>
      <c r="G833" t="s">
        <v>2566</v>
      </c>
      <c r="H833">
        <v>8</v>
      </c>
      <c r="I833" t="s">
        <v>3480</v>
      </c>
      <c r="J833" s="57">
        <v>44572</v>
      </c>
      <c r="K833" t="s">
        <v>3460</v>
      </c>
    </row>
    <row r="834" spans="1:11" s="26" customFormat="1" x14ac:dyDescent="0.35">
      <c r="A834" t="s">
        <v>328</v>
      </c>
      <c r="B834" t="s">
        <v>1153</v>
      </c>
      <c r="C834"/>
      <c r="D834"/>
      <c r="E834"/>
      <c r="F834"/>
      <c r="G834"/>
      <c r="H834" t="s">
        <v>1879</v>
      </c>
      <c r="I834"/>
      <c r="J834"/>
      <c r="K834"/>
    </row>
    <row r="835" spans="1:11" s="26" customFormat="1" x14ac:dyDescent="0.35">
      <c r="A835" t="s">
        <v>5</v>
      </c>
      <c r="B835" t="s">
        <v>834</v>
      </c>
      <c r="C835" t="s">
        <v>2584</v>
      </c>
      <c r="D835" t="s">
        <v>2577</v>
      </c>
      <c r="E835">
        <v>1000</v>
      </c>
      <c r="F835" t="s">
        <v>2113</v>
      </c>
      <c r="G835" t="s">
        <v>2099</v>
      </c>
      <c r="H835">
        <v>15.3</v>
      </c>
      <c r="I835" t="s">
        <v>3481</v>
      </c>
      <c r="J835" s="57">
        <v>44572</v>
      </c>
      <c r="K835" t="s">
        <v>1947</v>
      </c>
    </row>
    <row r="836" spans="1:11" s="26" customFormat="1" x14ac:dyDescent="0.35">
      <c r="A836" t="s">
        <v>275</v>
      </c>
      <c r="B836" t="s">
        <v>1101</v>
      </c>
      <c r="C836" t="s">
        <v>4595</v>
      </c>
      <c r="D836" t="s">
        <v>3079</v>
      </c>
      <c r="E836">
        <v>1000</v>
      </c>
      <c r="F836" t="s">
        <v>2113</v>
      </c>
      <c r="G836" t="s">
        <v>2099</v>
      </c>
      <c r="H836">
        <v>0.04</v>
      </c>
      <c r="I836" t="s">
        <v>3481</v>
      </c>
      <c r="J836" s="57">
        <v>44634</v>
      </c>
      <c r="K836" t="s">
        <v>1947</v>
      </c>
    </row>
    <row r="837" spans="1:11" s="26" customFormat="1" x14ac:dyDescent="0.35">
      <c r="A837" t="s">
        <v>316</v>
      </c>
      <c r="B837" t="s">
        <v>1141</v>
      </c>
      <c r="C837" t="s">
        <v>4596</v>
      </c>
      <c r="D837" t="s">
        <v>3079</v>
      </c>
      <c r="E837">
        <v>1000</v>
      </c>
      <c r="F837" t="s">
        <v>2113</v>
      </c>
      <c r="G837" t="s">
        <v>2099</v>
      </c>
      <c r="H837">
        <v>4.7000000000000002E-3</v>
      </c>
      <c r="I837" t="s">
        <v>3481</v>
      </c>
      <c r="J837" s="57">
        <v>44634</v>
      </c>
      <c r="K837" t="s">
        <v>1947</v>
      </c>
    </row>
    <row r="838" spans="1:11" s="26" customFormat="1" x14ac:dyDescent="0.35">
      <c r="A838" t="s">
        <v>178</v>
      </c>
      <c r="B838" t="s">
        <v>1007</v>
      </c>
      <c r="C838"/>
      <c r="D838"/>
      <c r="E838"/>
      <c r="F838"/>
      <c r="G838"/>
      <c r="H838" t="s">
        <v>1879</v>
      </c>
      <c r="I838"/>
      <c r="J838"/>
      <c r="K838"/>
    </row>
    <row r="839" spans="1:11" s="26" customFormat="1" x14ac:dyDescent="0.35">
      <c r="A839" t="s">
        <v>235</v>
      </c>
      <c r="B839" t="s">
        <v>1062</v>
      </c>
      <c r="C839" t="s">
        <v>2813</v>
      </c>
      <c r="D839" t="s">
        <v>2583</v>
      </c>
      <c r="E839">
        <v>1000</v>
      </c>
      <c r="F839" t="s">
        <v>2113</v>
      </c>
      <c r="G839" t="s">
        <v>2099</v>
      </c>
      <c r="H839">
        <v>0.49</v>
      </c>
      <c r="I839" t="s">
        <v>3481</v>
      </c>
      <c r="J839" s="57">
        <v>44572</v>
      </c>
      <c r="K839" t="s">
        <v>1947</v>
      </c>
    </row>
    <row r="840" spans="1:11" s="26" customFormat="1" x14ac:dyDescent="0.35">
      <c r="A840" t="s">
        <v>393</v>
      </c>
      <c r="B840" t="s">
        <v>1217</v>
      </c>
      <c r="C840" t="s">
        <v>2940</v>
      </c>
      <c r="D840" t="s">
        <v>2583</v>
      </c>
      <c r="E840">
        <v>1000</v>
      </c>
      <c r="F840" t="s">
        <v>2113</v>
      </c>
      <c r="G840" t="s">
        <v>2099</v>
      </c>
      <c r="H840">
        <v>8.65</v>
      </c>
      <c r="I840" t="s">
        <v>3481</v>
      </c>
      <c r="J840" s="57">
        <v>44572</v>
      </c>
      <c r="K840" t="s">
        <v>1947</v>
      </c>
    </row>
    <row r="841" spans="1:11" s="26" customFormat="1" x14ac:dyDescent="0.35">
      <c r="A841" t="s">
        <v>209</v>
      </c>
      <c r="B841" t="s">
        <v>1036</v>
      </c>
      <c r="C841" t="s">
        <v>2791</v>
      </c>
      <c r="D841" t="s">
        <v>2581</v>
      </c>
      <c r="E841">
        <v>1000</v>
      </c>
      <c r="F841" t="s">
        <v>2113</v>
      </c>
      <c r="G841" t="s">
        <v>2099</v>
      </c>
      <c r="H841">
        <v>3.65</v>
      </c>
      <c r="I841" t="s">
        <v>3481</v>
      </c>
      <c r="J841" s="57">
        <v>44572</v>
      </c>
      <c r="K841" t="s">
        <v>1947</v>
      </c>
    </row>
    <row r="842" spans="1:11" s="26" customFormat="1" x14ac:dyDescent="0.35">
      <c r="A842" t="s">
        <v>151</v>
      </c>
      <c r="B842" t="s">
        <v>980</v>
      </c>
      <c r="C842" t="s">
        <v>2743</v>
      </c>
      <c r="D842" t="s">
        <v>2629</v>
      </c>
      <c r="E842">
        <v>1000</v>
      </c>
      <c r="F842" t="s">
        <v>2113</v>
      </c>
      <c r="G842" t="s">
        <v>2099</v>
      </c>
      <c r="H842">
        <v>7.1999999999999998E-3</v>
      </c>
      <c r="I842" t="s">
        <v>3481</v>
      </c>
      <c r="J842" s="57">
        <v>44572</v>
      </c>
      <c r="K842" t="s">
        <v>1947</v>
      </c>
    </row>
    <row r="843" spans="1:11" s="26" customFormat="1" x14ac:dyDescent="0.35">
      <c r="A843" t="s">
        <v>761</v>
      </c>
      <c r="B843" t="s">
        <v>1585</v>
      </c>
      <c r="C843" t="s">
        <v>3245</v>
      </c>
      <c r="D843" t="s">
        <v>2629</v>
      </c>
      <c r="E843">
        <v>1000</v>
      </c>
      <c r="F843" t="s">
        <v>2113</v>
      </c>
      <c r="G843" t="s">
        <v>2099</v>
      </c>
      <c r="H843">
        <v>3.14</v>
      </c>
      <c r="I843" t="s">
        <v>3481</v>
      </c>
      <c r="J843" s="57">
        <v>44572</v>
      </c>
      <c r="K843" t="s">
        <v>1947</v>
      </c>
    </row>
    <row r="844" spans="1:11" s="26" customFormat="1" x14ac:dyDescent="0.35">
      <c r="A844" t="s">
        <v>424</v>
      </c>
      <c r="B844" t="s">
        <v>1248</v>
      </c>
      <c r="C844" t="s">
        <v>2961</v>
      </c>
      <c r="D844" t="s">
        <v>2577</v>
      </c>
      <c r="E844">
        <v>1000</v>
      </c>
      <c r="F844" t="s">
        <v>2113</v>
      </c>
      <c r="G844" t="s">
        <v>2099</v>
      </c>
      <c r="H844">
        <v>0.47</v>
      </c>
      <c r="I844" t="s">
        <v>3481</v>
      </c>
      <c r="J844" s="57">
        <v>44572</v>
      </c>
      <c r="K844" t="s">
        <v>1947</v>
      </c>
    </row>
    <row r="845" spans="1:11" s="26" customFormat="1" x14ac:dyDescent="0.35">
      <c r="A845" t="s">
        <v>317</v>
      </c>
      <c r="B845" t="s">
        <v>1142</v>
      </c>
      <c r="C845" t="s">
        <v>2881</v>
      </c>
      <c r="D845" t="s">
        <v>2583</v>
      </c>
      <c r="E845">
        <v>1000</v>
      </c>
      <c r="F845" t="s">
        <v>2113</v>
      </c>
      <c r="G845" t="s">
        <v>2099</v>
      </c>
      <c r="H845">
        <v>0.01</v>
      </c>
      <c r="I845" t="s">
        <v>3481</v>
      </c>
      <c r="J845" s="57">
        <v>44572</v>
      </c>
      <c r="K845" t="s">
        <v>1947</v>
      </c>
    </row>
    <row r="846" spans="1:11" s="26" customFormat="1" x14ac:dyDescent="0.35">
      <c r="A846" t="s">
        <v>96</v>
      </c>
      <c r="B846" t="s">
        <v>925</v>
      </c>
      <c r="C846" t="s">
        <v>2692</v>
      </c>
      <c r="D846" t="s">
        <v>2577</v>
      </c>
      <c r="E846">
        <v>1000</v>
      </c>
      <c r="F846" t="s">
        <v>2113</v>
      </c>
      <c r="G846" t="s">
        <v>2099</v>
      </c>
      <c r="H846">
        <v>0.15</v>
      </c>
      <c r="I846" t="s">
        <v>3481</v>
      </c>
      <c r="J846" s="57">
        <v>44572</v>
      </c>
      <c r="K846" t="s">
        <v>1947</v>
      </c>
    </row>
    <row r="847" spans="1:11" s="26" customFormat="1" x14ac:dyDescent="0.35">
      <c r="A847" t="s">
        <v>580</v>
      </c>
      <c r="B847" t="s">
        <v>1404</v>
      </c>
      <c r="C847" t="s">
        <v>3106</v>
      </c>
      <c r="D847" t="s">
        <v>2574</v>
      </c>
      <c r="E847">
        <v>0</v>
      </c>
      <c r="F847" t="s">
        <v>2587</v>
      </c>
      <c r="G847" t="s">
        <v>3464</v>
      </c>
      <c r="H847">
        <v>66</v>
      </c>
      <c r="I847" t="s">
        <v>3480</v>
      </c>
      <c r="J847" s="57">
        <v>44572</v>
      </c>
      <c r="K847" t="s">
        <v>3460</v>
      </c>
    </row>
    <row r="848" spans="1:11" s="26" customFormat="1" x14ac:dyDescent="0.35">
      <c r="A848" t="s">
        <v>580</v>
      </c>
      <c r="B848" t="s">
        <v>1404</v>
      </c>
      <c r="C848" t="s">
        <v>3107</v>
      </c>
      <c r="D848" t="s">
        <v>2574</v>
      </c>
      <c r="E848">
        <v>0</v>
      </c>
      <c r="F848" t="s">
        <v>2137</v>
      </c>
      <c r="G848" t="s">
        <v>3463</v>
      </c>
      <c r="H848">
        <v>82</v>
      </c>
      <c r="I848" t="s">
        <v>3480</v>
      </c>
      <c r="J848" s="57">
        <v>44572</v>
      </c>
      <c r="K848" t="s">
        <v>3460</v>
      </c>
    </row>
    <row r="849" spans="1:11" s="26" customFormat="1" x14ac:dyDescent="0.35">
      <c r="A849" t="s">
        <v>560</v>
      </c>
      <c r="B849" t="s">
        <v>1384</v>
      </c>
      <c r="C849" t="s">
        <v>3088</v>
      </c>
      <c r="D849" t="s">
        <v>2581</v>
      </c>
      <c r="E849">
        <v>1000</v>
      </c>
      <c r="F849" t="s">
        <v>2113</v>
      </c>
      <c r="G849" t="s">
        <v>2099</v>
      </c>
      <c r="H849">
        <v>3.44</v>
      </c>
      <c r="I849" t="s">
        <v>3481</v>
      </c>
      <c r="J849" s="57">
        <v>44572</v>
      </c>
      <c r="K849" t="s">
        <v>1947</v>
      </c>
    </row>
    <row r="850" spans="1:11" s="26" customFormat="1" x14ac:dyDescent="0.35">
      <c r="A850" t="s">
        <v>651</v>
      </c>
      <c r="B850" t="s">
        <v>1475</v>
      </c>
      <c r="C850" t="s">
        <v>3176</v>
      </c>
      <c r="D850" t="s">
        <v>2607</v>
      </c>
      <c r="E850">
        <v>50</v>
      </c>
      <c r="F850" t="s">
        <v>2140</v>
      </c>
      <c r="G850" t="s">
        <v>2099</v>
      </c>
      <c r="H850">
        <v>1.1000000000000001E-3</v>
      </c>
      <c r="I850" t="s">
        <v>3480</v>
      </c>
      <c r="J850" s="57">
        <v>44572</v>
      </c>
      <c r="K850" t="s">
        <v>3460</v>
      </c>
    </row>
    <row r="851" spans="1:11" s="26" customFormat="1" x14ac:dyDescent="0.35">
      <c r="A851" t="s">
        <v>245</v>
      </c>
      <c r="B851" t="s">
        <v>1071</v>
      </c>
      <c r="C851" t="s">
        <v>2819</v>
      </c>
      <c r="D851"/>
      <c r="E851">
        <v>0</v>
      </c>
      <c r="F851" t="s">
        <v>2680</v>
      </c>
      <c r="G851" t="s">
        <v>3470</v>
      </c>
      <c r="H851">
        <v>700</v>
      </c>
      <c r="I851" t="s">
        <v>3480</v>
      </c>
      <c r="J851" s="57">
        <v>44572</v>
      </c>
      <c r="K851" t="s">
        <v>3460</v>
      </c>
    </row>
    <row r="852" spans="1:11" s="26" customFormat="1" x14ac:dyDescent="0.35">
      <c r="A852" t="s">
        <v>343</v>
      </c>
      <c r="B852" t="s">
        <v>1167</v>
      </c>
      <c r="C852" t="s">
        <v>2902</v>
      </c>
      <c r="D852" t="s">
        <v>2903</v>
      </c>
      <c r="E852">
        <v>10</v>
      </c>
      <c r="F852" t="s">
        <v>2904</v>
      </c>
      <c r="G852" t="s">
        <v>3474</v>
      </c>
      <c r="H852">
        <v>0.02</v>
      </c>
      <c r="I852" t="s">
        <v>3480</v>
      </c>
      <c r="J852" s="57">
        <v>44572</v>
      </c>
      <c r="K852" t="s">
        <v>3460</v>
      </c>
    </row>
    <row r="853" spans="1:11" s="26" customFormat="1" x14ac:dyDescent="0.35">
      <c r="A853" t="s">
        <v>100</v>
      </c>
      <c r="B853" t="s">
        <v>929</v>
      </c>
      <c r="C853" t="s">
        <v>2696</v>
      </c>
      <c r="D853" t="s">
        <v>2581</v>
      </c>
      <c r="E853">
        <v>1000</v>
      </c>
      <c r="F853" t="s">
        <v>2113</v>
      </c>
      <c r="G853" t="s">
        <v>2099</v>
      </c>
      <c r="H853">
        <v>73.900000000000006</v>
      </c>
      <c r="I853" t="s">
        <v>3481</v>
      </c>
      <c r="J853" s="57">
        <v>44572</v>
      </c>
      <c r="K853" t="s">
        <v>1947</v>
      </c>
    </row>
    <row r="854" spans="1:11" s="26" customFormat="1" x14ac:dyDescent="0.35">
      <c r="A854" t="s">
        <v>99</v>
      </c>
      <c r="B854" t="s">
        <v>928</v>
      </c>
      <c r="C854" t="s">
        <v>2695</v>
      </c>
      <c r="D854" t="s">
        <v>2642</v>
      </c>
      <c r="E854">
        <v>50</v>
      </c>
      <c r="F854" t="s">
        <v>2594</v>
      </c>
      <c r="G854" t="s">
        <v>3467</v>
      </c>
      <c r="H854">
        <v>632</v>
      </c>
      <c r="I854" t="s">
        <v>3480</v>
      </c>
      <c r="J854" s="57">
        <v>44572</v>
      </c>
      <c r="K854" t="s">
        <v>3460</v>
      </c>
    </row>
    <row r="855" spans="1:11" s="26" customFormat="1" x14ac:dyDescent="0.35">
      <c r="A855" t="s">
        <v>816</v>
      </c>
      <c r="B855" t="s">
        <v>1639</v>
      </c>
      <c r="C855"/>
      <c r="D855"/>
      <c r="E855"/>
      <c r="F855"/>
      <c r="G855"/>
      <c r="H855" t="s">
        <v>1879</v>
      </c>
      <c r="I855"/>
      <c r="J855"/>
      <c r="K855"/>
    </row>
    <row r="856" spans="1:11" s="26" customFormat="1" x14ac:dyDescent="0.35">
      <c r="A856" t="s">
        <v>535</v>
      </c>
      <c r="B856" t="s">
        <v>1359</v>
      </c>
      <c r="C856" t="s">
        <v>3062</v>
      </c>
      <c r="D856"/>
      <c r="E856">
        <v>0</v>
      </c>
      <c r="F856" t="s">
        <v>2680</v>
      </c>
      <c r="G856" t="s">
        <v>3470</v>
      </c>
      <c r="H856">
        <v>0.27</v>
      </c>
      <c r="I856" t="s">
        <v>3480</v>
      </c>
      <c r="J856" s="57">
        <v>44572</v>
      </c>
      <c r="K856" t="s">
        <v>3460</v>
      </c>
    </row>
    <row r="857" spans="1:11" s="26" customFormat="1" x14ac:dyDescent="0.35">
      <c r="A857" t="s">
        <v>507</v>
      </c>
      <c r="B857" t="s">
        <v>1331</v>
      </c>
      <c r="C857" t="s">
        <v>3038</v>
      </c>
      <c r="D857" t="s">
        <v>2574</v>
      </c>
      <c r="E857">
        <v>0</v>
      </c>
      <c r="F857" t="s">
        <v>2139</v>
      </c>
      <c r="G857" t="s">
        <v>3468</v>
      </c>
      <c r="H857">
        <v>0.03</v>
      </c>
      <c r="I857" t="s">
        <v>3480</v>
      </c>
      <c r="J857" s="57">
        <v>44572</v>
      </c>
      <c r="K857" t="s">
        <v>3460</v>
      </c>
    </row>
    <row r="858" spans="1:11" s="26" customFormat="1" x14ac:dyDescent="0.35">
      <c r="A858" t="s">
        <v>127</v>
      </c>
      <c r="B858" t="s">
        <v>956</v>
      </c>
      <c r="C858" t="s">
        <v>2721</v>
      </c>
      <c r="D858" t="s">
        <v>2574</v>
      </c>
      <c r="E858">
        <v>0</v>
      </c>
      <c r="F858" t="s">
        <v>2137</v>
      </c>
      <c r="G858" t="s">
        <v>3463</v>
      </c>
      <c r="H858">
        <v>100</v>
      </c>
      <c r="I858" t="s">
        <v>3480</v>
      </c>
      <c r="J858" s="57">
        <v>44572</v>
      </c>
      <c r="K858" t="s">
        <v>3460</v>
      </c>
    </row>
    <row r="859" spans="1:11" s="26" customFormat="1" x14ac:dyDescent="0.35">
      <c r="A859" t="s">
        <v>612</v>
      </c>
      <c r="B859" t="s">
        <v>1436</v>
      </c>
      <c r="C859" t="s">
        <v>3140</v>
      </c>
      <c r="D859" t="s">
        <v>2574</v>
      </c>
      <c r="E859">
        <v>0</v>
      </c>
      <c r="F859" t="s">
        <v>2137</v>
      </c>
      <c r="G859" t="s">
        <v>3463</v>
      </c>
      <c r="H859">
        <v>0.74</v>
      </c>
      <c r="I859" t="s">
        <v>3480</v>
      </c>
      <c r="J859" s="57">
        <v>44572</v>
      </c>
      <c r="K859" t="s">
        <v>3460</v>
      </c>
    </row>
    <row r="860" spans="1:11" s="26" customFormat="1" x14ac:dyDescent="0.35">
      <c r="A860" t="s">
        <v>550</v>
      </c>
      <c r="B860" t="s">
        <v>1374</v>
      </c>
      <c r="C860" t="s">
        <v>3078</v>
      </c>
      <c r="D860" t="s">
        <v>3079</v>
      </c>
      <c r="E860">
        <v>1000</v>
      </c>
      <c r="F860" t="s">
        <v>2594</v>
      </c>
      <c r="G860" t="s">
        <v>3467</v>
      </c>
      <c r="H860">
        <v>1.1000000000000001</v>
      </c>
      <c r="I860" t="s">
        <v>3480</v>
      </c>
      <c r="J860" s="57">
        <v>44572</v>
      </c>
      <c r="K860" t="s">
        <v>3460</v>
      </c>
    </row>
    <row r="861" spans="1:11" s="26" customFormat="1" x14ac:dyDescent="0.35">
      <c r="A861" t="s">
        <v>95</v>
      </c>
      <c r="B861" t="s">
        <v>924</v>
      </c>
      <c r="C861" t="s">
        <v>2689</v>
      </c>
      <c r="D861" t="s">
        <v>2690</v>
      </c>
      <c r="E861">
        <v>1000</v>
      </c>
      <c r="F861" t="s">
        <v>2575</v>
      </c>
      <c r="G861" t="s">
        <v>2566</v>
      </c>
      <c r="H861">
        <v>24</v>
      </c>
      <c r="I861" t="s">
        <v>3480</v>
      </c>
      <c r="J861" s="57">
        <v>44572</v>
      </c>
      <c r="K861" t="s">
        <v>3460</v>
      </c>
    </row>
    <row r="862" spans="1:11" s="26" customFormat="1" x14ac:dyDescent="0.35">
      <c r="A862" t="s">
        <v>95</v>
      </c>
      <c r="B862" t="s">
        <v>924</v>
      </c>
      <c r="C862" t="s">
        <v>2691</v>
      </c>
      <c r="D862" t="s">
        <v>2577</v>
      </c>
      <c r="E862">
        <v>1000</v>
      </c>
      <c r="F862" t="s">
        <v>2113</v>
      </c>
      <c r="G862" t="s">
        <v>2099</v>
      </c>
      <c r="H862">
        <v>0.14000000000000001</v>
      </c>
      <c r="I862" t="s">
        <v>3481</v>
      </c>
      <c r="J862" s="57">
        <v>44572</v>
      </c>
      <c r="K862" t="s">
        <v>1947</v>
      </c>
    </row>
    <row r="863" spans="1:11" s="26" customFormat="1" x14ac:dyDescent="0.35">
      <c r="A863" t="s">
        <v>95</v>
      </c>
      <c r="B863" t="s">
        <v>924</v>
      </c>
      <c r="C863" t="s">
        <v>3483</v>
      </c>
      <c r="D863"/>
      <c r="E863">
        <v>1000</v>
      </c>
      <c r="F863" t="s">
        <v>2575</v>
      </c>
      <c r="G863" t="s">
        <v>2566</v>
      </c>
      <c r="H863">
        <v>24</v>
      </c>
      <c r="I863" t="s">
        <v>3480</v>
      </c>
      <c r="J863" s="57">
        <v>44572</v>
      </c>
      <c r="K863" t="s">
        <v>3460</v>
      </c>
    </row>
    <row r="864" spans="1:11" s="26" customFormat="1" x14ac:dyDescent="0.35">
      <c r="A864" t="s">
        <v>611</v>
      </c>
      <c r="B864" t="s">
        <v>1435</v>
      </c>
      <c r="C864" t="s">
        <v>3138</v>
      </c>
      <c r="D864" t="s">
        <v>3139</v>
      </c>
      <c r="E864">
        <v>50</v>
      </c>
      <c r="F864" t="s">
        <v>2782</v>
      </c>
      <c r="G864" t="s">
        <v>3466</v>
      </c>
      <c r="H864">
        <v>4</v>
      </c>
      <c r="I864" t="s">
        <v>3480</v>
      </c>
      <c r="J864" s="57">
        <v>44572</v>
      </c>
      <c r="K864" t="s">
        <v>3460</v>
      </c>
    </row>
    <row r="865" spans="1:11" s="26" customFormat="1" x14ac:dyDescent="0.35">
      <c r="A865" t="s">
        <v>551</v>
      </c>
      <c r="B865" t="s">
        <v>1375</v>
      </c>
      <c r="C865" t="s">
        <v>3080</v>
      </c>
      <c r="D865" t="s">
        <v>2778</v>
      </c>
      <c r="E865">
        <v>50</v>
      </c>
      <c r="F865" t="s">
        <v>2594</v>
      </c>
      <c r="G865" t="s">
        <v>3467</v>
      </c>
      <c r="H865">
        <v>120</v>
      </c>
      <c r="I865" t="s">
        <v>3480</v>
      </c>
      <c r="J865" s="57">
        <v>44572</v>
      </c>
      <c r="K865" t="s">
        <v>3460</v>
      </c>
    </row>
    <row r="866" spans="1:11" s="26" customFormat="1" x14ac:dyDescent="0.35">
      <c r="A866" t="s">
        <v>200</v>
      </c>
      <c r="B866" t="s">
        <v>1028</v>
      </c>
      <c r="C866"/>
      <c r="D866"/>
      <c r="E866"/>
      <c r="F866"/>
      <c r="G866"/>
      <c r="H866" t="s">
        <v>1879</v>
      </c>
      <c r="I866"/>
      <c r="J866"/>
      <c r="K866"/>
    </row>
    <row r="867" spans="1:11" s="26" customFormat="1" x14ac:dyDescent="0.35">
      <c r="A867" t="s">
        <v>367</v>
      </c>
      <c r="B867" t="s">
        <v>1191</v>
      </c>
      <c r="C867"/>
      <c r="D867"/>
      <c r="E867"/>
      <c r="F867"/>
      <c r="G867"/>
      <c r="H867" t="s">
        <v>1879</v>
      </c>
      <c r="I867"/>
      <c r="J867"/>
      <c r="K867"/>
    </row>
    <row r="868" spans="1:11" s="26" customFormat="1" x14ac:dyDescent="0.35">
      <c r="A868" t="s">
        <v>98</v>
      </c>
      <c r="B868" t="s">
        <v>927</v>
      </c>
      <c r="C868" t="s">
        <v>2694</v>
      </c>
      <c r="D868" t="s">
        <v>2581</v>
      </c>
      <c r="E868">
        <v>1000</v>
      </c>
      <c r="F868" t="s">
        <v>2113</v>
      </c>
      <c r="G868" t="s">
        <v>2099</v>
      </c>
      <c r="H868">
        <v>3.9E-2</v>
      </c>
      <c r="I868" t="s">
        <v>3481</v>
      </c>
      <c r="J868" s="57">
        <v>44572</v>
      </c>
      <c r="K868" t="s">
        <v>1947</v>
      </c>
    </row>
    <row r="869" spans="1:11" s="26" customFormat="1" x14ac:dyDescent="0.35">
      <c r="A869" t="s">
        <v>421</v>
      </c>
      <c r="B869" t="s">
        <v>1245</v>
      </c>
      <c r="C869" t="s">
        <v>2958</v>
      </c>
      <c r="D869" t="s">
        <v>2581</v>
      </c>
      <c r="E869">
        <v>1000</v>
      </c>
      <c r="F869" t="s">
        <v>2113</v>
      </c>
      <c r="G869" t="s">
        <v>2099</v>
      </c>
      <c r="H869">
        <v>0.91</v>
      </c>
      <c r="I869" t="s">
        <v>3481</v>
      </c>
      <c r="J869" s="57">
        <v>44572</v>
      </c>
      <c r="K869" t="s">
        <v>1947</v>
      </c>
    </row>
    <row r="870" spans="1:11" s="26" customFormat="1" x14ac:dyDescent="0.35">
      <c r="A870" t="s">
        <v>762</v>
      </c>
      <c r="B870" t="s">
        <v>1586</v>
      </c>
      <c r="C870" t="s">
        <v>3246</v>
      </c>
      <c r="D870" t="s">
        <v>2581</v>
      </c>
      <c r="E870">
        <v>1000</v>
      </c>
      <c r="F870" t="s">
        <v>2113</v>
      </c>
      <c r="G870" t="s">
        <v>2099</v>
      </c>
      <c r="H870">
        <v>0.28000000000000003</v>
      </c>
      <c r="I870" t="s">
        <v>3481</v>
      </c>
      <c r="J870" s="57">
        <v>44572</v>
      </c>
      <c r="K870" t="s">
        <v>1947</v>
      </c>
    </row>
    <row r="871" spans="1:11" s="26" customFormat="1" x14ac:dyDescent="0.35">
      <c r="A871" t="s">
        <v>587</v>
      </c>
      <c r="B871" t="s">
        <v>1411</v>
      </c>
      <c r="C871" t="s">
        <v>3114</v>
      </c>
      <c r="D871" t="s">
        <v>2581</v>
      </c>
      <c r="E871">
        <v>1000</v>
      </c>
      <c r="F871" t="s">
        <v>2113</v>
      </c>
      <c r="G871" t="s">
        <v>2099</v>
      </c>
      <c r="H871">
        <v>0.95</v>
      </c>
      <c r="I871" t="s">
        <v>3481</v>
      </c>
      <c r="J871" s="57">
        <v>44572</v>
      </c>
      <c r="K871" t="s">
        <v>1947</v>
      </c>
    </row>
    <row r="872" spans="1:11" s="26" customFormat="1" x14ac:dyDescent="0.35">
      <c r="A872" t="s">
        <v>499</v>
      </c>
      <c r="B872" t="s">
        <v>1323</v>
      </c>
      <c r="C872" t="s">
        <v>4598</v>
      </c>
      <c r="D872" t="s">
        <v>2778</v>
      </c>
      <c r="E872">
        <v>1000</v>
      </c>
      <c r="F872" t="s">
        <v>2113</v>
      </c>
      <c r="G872" t="s">
        <v>2099</v>
      </c>
      <c r="H872">
        <v>0.16</v>
      </c>
      <c r="I872" t="s">
        <v>3481</v>
      </c>
      <c r="J872" s="57">
        <v>44634</v>
      </c>
      <c r="K872" t="s">
        <v>1947</v>
      </c>
    </row>
    <row r="873" spans="1:11" s="26" customFormat="1" x14ac:dyDescent="0.35">
      <c r="A873" t="s">
        <v>545</v>
      </c>
      <c r="B873" t="s">
        <v>1369</v>
      </c>
      <c r="C873" t="s">
        <v>3073</v>
      </c>
      <c r="D873" t="s">
        <v>2590</v>
      </c>
      <c r="E873">
        <v>10</v>
      </c>
      <c r="F873" t="s">
        <v>2680</v>
      </c>
      <c r="G873" t="s">
        <v>3469</v>
      </c>
      <c r="H873">
        <v>560</v>
      </c>
      <c r="I873" t="s">
        <v>3480</v>
      </c>
      <c r="J873" s="57">
        <v>44572</v>
      </c>
      <c r="K873" t="s">
        <v>3460</v>
      </c>
    </row>
    <row r="874" spans="1:11" s="26" customFormat="1" x14ac:dyDescent="0.35">
      <c r="A874" t="s">
        <v>538</v>
      </c>
      <c r="B874" t="s">
        <v>1362</v>
      </c>
      <c r="C874" t="s">
        <v>3065</v>
      </c>
      <c r="D874" t="s">
        <v>2581</v>
      </c>
      <c r="E874">
        <v>1000</v>
      </c>
      <c r="F874" t="s">
        <v>2113</v>
      </c>
      <c r="G874" t="s">
        <v>2099</v>
      </c>
      <c r="H874">
        <v>3.8E-3</v>
      </c>
      <c r="I874" t="s">
        <v>3481</v>
      </c>
      <c r="J874" s="57">
        <v>44572</v>
      </c>
      <c r="K874" t="s">
        <v>1947</v>
      </c>
    </row>
    <row r="875" spans="1:11" s="26" customFormat="1" x14ac:dyDescent="0.35">
      <c r="A875" t="s">
        <v>29</v>
      </c>
      <c r="B875" t="s">
        <v>858</v>
      </c>
      <c r="C875" t="s">
        <v>2616</v>
      </c>
      <c r="D875" t="s">
        <v>2617</v>
      </c>
      <c r="E875">
        <v>100</v>
      </c>
      <c r="F875" t="s">
        <v>2116</v>
      </c>
      <c r="G875" t="s">
        <v>3471</v>
      </c>
      <c r="H875">
        <v>3.7999999999999999E-2</v>
      </c>
      <c r="I875" t="s">
        <v>3480</v>
      </c>
      <c r="J875" s="57">
        <v>44572</v>
      </c>
      <c r="K875" t="s">
        <v>3460</v>
      </c>
    </row>
    <row r="876" spans="1:11" s="26" customFormat="1" x14ac:dyDescent="0.35">
      <c r="A876" t="s">
        <v>733</v>
      </c>
      <c r="B876" t="s">
        <v>1557</v>
      </c>
      <c r="C876" t="s">
        <v>3222</v>
      </c>
      <c r="D876" t="s">
        <v>2629</v>
      </c>
      <c r="E876">
        <v>1000</v>
      </c>
      <c r="F876" t="s">
        <v>2113</v>
      </c>
      <c r="G876" t="s">
        <v>2099</v>
      </c>
      <c r="H876">
        <v>0.14000000000000001</v>
      </c>
      <c r="I876" t="s">
        <v>3481</v>
      </c>
      <c r="J876" s="57">
        <v>44572</v>
      </c>
      <c r="K876" t="s">
        <v>1947</v>
      </c>
    </row>
    <row r="877" spans="1:11" s="26" customFormat="1" x14ac:dyDescent="0.35">
      <c r="A877" t="s">
        <v>184</v>
      </c>
      <c r="B877"/>
      <c r="C877"/>
      <c r="D877"/>
      <c r="E877"/>
      <c r="F877"/>
      <c r="G877"/>
      <c r="H877" t="s">
        <v>1879</v>
      </c>
      <c r="I877"/>
      <c r="J877"/>
      <c r="K877"/>
    </row>
    <row r="878" spans="1:11" s="26" customFormat="1" x14ac:dyDescent="0.35">
      <c r="A878" t="s">
        <v>203</v>
      </c>
      <c r="B878"/>
      <c r="C878"/>
      <c r="D878"/>
      <c r="E878"/>
      <c r="F878"/>
      <c r="G878"/>
      <c r="H878" t="s">
        <v>1879</v>
      </c>
      <c r="I878"/>
      <c r="J878"/>
      <c r="K878"/>
    </row>
    <row r="879" spans="1:11" s="26" customFormat="1" x14ac:dyDescent="0.35">
      <c r="A879" t="s">
        <v>284</v>
      </c>
      <c r="B879"/>
      <c r="C879"/>
      <c r="D879"/>
      <c r="E879"/>
      <c r="F879"/>
      <c r="G879"/>
      <c r="H879" t="s">
        <v>1879</v>
      </c>
      <c r="I879"/>
      <c r="J879"/>
      <c r="K879"/>
    </row>
    <row r="880" spans="1:11" s="26" customFormat="1" x14ac:dyDescent="0.35">
      <c r="A880" t="s">
        <v>819</v>
      </c>
      <c r="B880"/>
      <c r="C880"/>
      <c r="D880"/>
      <c r="E880"/>
      <c r="F880"/>
      <c r="G880"/>
      <c r="H880" t="s">
        <v>1879</v>
      </c>
      <c r="I880"/>
      <c r="J880"/>
      <c r="K880"/>
    </row>
    <row r="881" spans="1:11" s="26" customFormat="1" x14ac:dyDescent="0.35">
      <c r="A881" t="s">
        <v>78</v>
      </c>
      <c r="B881" t="s">
        <v>907</v>
      </c>
      <c r="C881" t="s">
        <v>4052</v>
      </c>
      <c r="D881" t="s">
        <v>4051</v>
      </c>
      <c r="E881">
        <v>1000</v>
      </c>
      <c r="F881" t="s">
        <v>2685</v>
      </c>
      <c r="G881" t="s">
        <v>2099</v>
      </c>
      <c r="H881">
        <v>12</v>
      </c>
      <c r="I881" t="s">
        <v>3480</v>
      </c>
      <c r="J881" s="57">
        <v>44572</v>
      </c>
      <c r="K881" t="s">
        <v>3460</v>
      </c>
    </row>
    <row r="882" spans="1:11" s="26" customFormat="1" x14ac:dyDescent="0.35">
      <c r="A882" t="s">
        <v>542</v>
      </c>
      <c r="B882" t="s">
        <v>1366</v>
      </c>
      <c r="C882" t="s">
        <v>3069</v>
      </c>
      <c r="D882" t="s">
        <v>2581</v>
      </c>
      <c r="E882">
        <v>1000</v>
      </c>
      <c r="F882" t="s">
        <v>2113</v>
      </c>
      <c r="G882" t="s">
        <v>2099</v>
      </c>
      <c r="H882">
        <v>10.3</v>
      </c>
      <c r="I882" t="s">
        <v>3481</v>
      </c>
      <c r="J882" s="48">
        <v>44572</v>
      </c>
      <c r="K882" t="s">
        <v>1947</v>
      </c>
    </row>
    <row r="883" spans="1:11" s="26" customFormat="1" x14ac:dyDescent="0.35">
      <c r="A883" t="s">
        <v>303</v>
      </c>
      <c r="B883" t="s">
        <v>1128</v>
      </c>
      <c r="C883" t="s">
        <v>2869</v>
      </c>
      <c r="D883" t="s">
        <v>2583</v>
      </c>
      <c r="E883">
        <v>1000</v>
      </c>
      <c r="F883" t="s">
        <v>2113</v>
      </c>
      <c r="G883" t="s">
        <v>2099</v>
      </c>
      <c r="H883">
        <v>7.6999999999999999E-2</v>
      </c>
      <c r="I883" t="s">
        <v>3481</v>
      </c>
      <c r="J883" s="48">
        <v>44572</v>
      </c>
      <c r="K883" t="s">
        <v>1947</v>
      </c>
    </row>
    <row r="884" spans="1:11" s="26" customFormat="1" x14ac:dyDescent="0.35">
      <c r="A884" s="26" t="s">
        <v>3325</v>
      </c>
      <c r="B884" s="26" t="s">
        <v>4061</v>
      </c>
      <c r="C884" s="26" t="s">
        <v>4050</v>
      </c>
      <c r="D884" s="26" t="s">
        <v>4009</v>
      </c>
      <c r="E884" s="26">
        <v>1000</v>
      </c>
      <c r="F884" s="26" t="s">
        <v>2113</v>
      </c>
      <c r="G884" s="26" t="s">
        <v>2099</v>
      </c>
      <c r="H884" s="26">
        <v>8.0000000000000002E-3</v>
      </c>
      <c r="I884" s="26" t="s">
        <v>3481</v>
      </c>
      <c r="J884" s="48">
        <v>44572</v>
      </c>
      <c r="K884" s="26" t="s">
        <v>1947</v>
      </c>
    </row>
  </sheetData>
  <autoFilter ref="A1:K884" xr:uid="{85B383FE-9B46-40C7-B91C-C4CC6F71E929}">
    <sortState xmlns:xlrd2="http://schemas.microsoft.com/office/spreadsheetml/2017/richdata2" ref="A32:K843">
      <sortCondition ref="B1:B884"/>
    </sortState>
  </autoFilter>
  <pageMargins left="0.7" right="0.7" top="0.75" bottom="0.75" header="0.3" footer="0.3"/>
  <pageSetup orientation="portrait" horizontalDpi="300" verticalDpi="3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81E49D-23B9-46ED-BA98-D31EF341C44A}">
  <dimension ref="A1:F884"/>
  <sheetViews>
    <sheetView tabSelected="1" workbookViewId="0">
      <pane ySplit="1" topLeftCell="A8" activePane="bottomLeft" state="frozen"/>
      <selection pane="bottomLeft" sqref="A1:B1048576"/>
    </sheetView>
  </sheetViews>
  <sheetFormatPr defaultRowHeight="14.5" x14ac:dyDescent="0.35"/>
  <cols>
    <col min="1" max="1" width="12.54296875" customWidth="1"/>
    <col min="2" max="2" width="21.7265625" customWidth="1"/>
    <col min="3" max="5" width="15.1796875" customWidth="1"/>
  </cols>
  <sheetData>
    <row r="1" spans="1:6" s="20" customFormat="1" x14ac:dyDescent="0.35">
      <c r="A1" s="19" t="s">
        <v>828</v>
      </c>
      <c r="B1" s="19" t="s">
        <v>1650</v>
      </c>
      <c r="C1" s="21" t="s">
        <v>1705</v>
      </c>
      <c r="D1" s="21" t="s">
        <v>3479</v>
      </c>
      <c r="E1" s="21" t="s">
        <v>4152</v>
      </c>
      <c r="F1" s="21" t="s">
        <v>1669</v>
      </c>
    </row>
    <row r="2" spans="1:6" x14ac:dyDescent="0.35">
      <c r="A2" t="s">
        <v>0</v>
      </c>
      <c r="B2" s="7" t="s">
        <v>829</v>
      </c>
    </row>
    <row r="3" spans="1:6" x14ac:dyDescent="0.35">
      <c r="A3" t="s">
        <v>1</v>
      </c>
      <c r="B3" s="7" t="s">
        <v>830</v>
      </c>
    </row>
    <row r="4" spans="1:6" x14ac:dyDescent="0.35">
      <c r="A4" t="s">
        <v>2</v>
      </c>
      <c r="B4" s="7" t="s">
        <v>831</v>
      </c>
    </row>
    <row r="5" spans="1:6" x14ac:dyDescent="0.35">
      <c r="A5" t="s">
        <v>3</v>
      </c>
      <c r="B5" s="7" t="s">
        <v>832</v>
      </c>
    </row>
    <row r="6" spans="1:6" x14ac:dyDescent="0.35">
      <c r="A6" t="s">
        <v>4</v>
      </c>
      <c r="B6" s="7" t="s">
        <v>833</v>
      </c>
    </row>
    <row r="7" spans="1:6" x14ac:dyDescent="0.35">
      <c r="A7" t="s">
        <v>5</v>
      </c>
      <c r="B7" s="7" t="s">
        <v>834</v>
      </c>
    </row>
    <row r="8" spans="1:6" x14ac:dyDescent="0.35">
      <c r="A8" t="s">
        <v>6</v>
      </c>
      <c r="B8" s="7" t="s">
        <v>835</v>
      </c>
    </row>
    <row r="9" spans="1:6" x14ac:dyDescent="0.35">
      <c r="A9" s="1" t="s">
        <v>7</v>
      </c>
      <c r="B9" s="7" t="s">
        <v>836</v>
      </c>
    </row>
    <row r="10" spans="1:6" x14ac:dyDescent="0.35">
      <c r="A10" t="s">
        <v>8</v>
      </c>
      <c r="B10" s="7" t="s">
        <v>837</v>
      </c>
    </row>
    <row r="11" spans="1:6" x14ac:dyDescent="0.35">
      <c r="A11" t="s">
        <v>9</v>
      </c>
      <c r="B11" s="7" t="s">
        <v>838</v>
      </c>
    </row>
    <row r="12" spans="1:6" x14ac:dyDescent="0.35">
      <c r="A12" t="s">
        <v>10</v>
      </c>
      <c r="B12" s="7" t="s">
        <v>839</v>
      </c>
    </row>
    <row r="13" spans="1:6" x14ac:dyDescent="0.35">
      <c r="A13" t="s">
        <v>11</v>
      </c>
      <c r="B13" s="7" t="s">
        <v>840</v>
      </c>
    </row>
    <row r="14" spans="1:6" x14ac:dyDescent="0.35">
      <c r="A14" t="s">
        <v>12</v>
      </c>
      <c r="B14" s="7" t="s">
        <v>841</v>
      </c>
    </row>
    <row r="15" spans="1:6" x14ac:dyDescent="0.35">
      <c r="A15" t="s">
        <v>13</v>
      </c>
      <c r="B15" s="7" t="s">
        <v>842</v>
      </c>
    </row>
    <row r="16" spans="1:6" x14ac:dyDescent="0.35">
      <c r="A16" t="s">
        <v>14</v>
      </c>
      <c r="B16" s="7" t="s">
        <v>843</v>
      </c>
    </row>
    <row r="17" spans="1:2" x14ac:dyDescent="0.35">
      <c r="A17" t="s">
        <v>15</v>
      </c>
      <c r="B17" s="7" t="s">
        <v>844</v>
      </c>
    </row>
    <row r="18" spans="1:2" x14ac:dyDescent="0.35">
      <c r="A18" t="s">
        <v>16</v>
      </c>
      <c r="B18" s="7" t="s">
        <v>845</v>
      </c>
    </row>
    <row r="19" spans="1:2" x14ac:dyDescent="0.35">
      <c r="A19" t="s">
        <v>17</v>
      </c>
      <c r="B19" s="7" t="s">
        <v>846</v>
      </c>
    </row>
    <row r="20" spans="1:2" x14ac:dyDescent="0.35">
      <c r="A20" t="s">
        <v>18</v>
      </c>
      <c r="B20" s="7" t="s">
        <v>847</v>
      </c>
    </row>
    <row r="21" spans="1:2" x14ac:dyDescent="0.35">
      <c r="A21" t="s">
        <v>19</v>
      </c>
      <c r="B21" s="7" t="s">
        <v>848</v>
      </c>
    </row>
    <row r="22" spans="1:2" x14ac:dyDescent="0.35">
      <c r="A22" t="s">
        <v>20</v>
      </c>
      <c r="B22" s="7" t="s">
        <v>849</v>
      </c>
    </row>
    <row r="23" spans="1:2" x14ac:dyDescent="0.35">
      <c r="A23" t="s">
        <v>21</v>
      </c>
      <c r="B23" s="7" t="s">
        <v>850</v>
      </c>
    </row>
    <row r="24" spans="1:2" x14ac:dyDescent="0.35">
      <c r="A24" t="s">
        <v>22</v>
      </c>
      <c r="B24" s="7" t="s">
        <v>851</v>
      </c>
    </row>
    <row r="25" spans="1:2" x14ac:dyDescent="0.35">
      <c r="A25" t="s">
        <v>23</v>
      </c>
      <c r="B25" s="7" t="s">
        <v>852</v>
      </c>
    </row>
    <row r="26" spans="1:2" x14ac:dyDescent="0.35">
      <c r="A26" t="s">
        <v>24</v>
      </c>
      <c r="B26" s="7" t="s">
        <v>853</v>
      </c>
    </row>
    <row r="27" spans="1:2" x14ac:dyDescent="0.35">
      <c r="A27" t="s">
        <v>25</v>
      </c>
      <c r="B27" s="7" t="s">
        <v>854</v>
      </c>
    </row>
    <row r="28" spans="1:2" x14ac:dyDescent="0.35">
      <c r="A28" t="s">
        <v>26</v>
      </c>
      <c r="B28" s="7" t="s">
        <v>855</v>
      </c>
    </row>
    <row r="29" spans="1:2" x14ac:dyDescent="0.35">
      <c r="A29" t="s">
        <v>27</v>
      </c>
      <c r="B29" s="7" t="s">
        <v>856</v>
      </c>
    </row>
    <row r="30" spans="1:2" x14ac:dyDescent="0.35">
      <c r="A30" t="s">
        <v>28</v>
      </c>
      <c r="B30" s="7" t="s">
        <v>857</v>
      </c>
    </row>
    <row r="31" spans="1:2" x14ac:dyDescent="0.35">
      <c r="A31" t="s">
        <v>29</v>
      </c>
      <c r="B31" s="7" t="s">
        <v>858</v>
      </c>
    </row>
    <row r="32" spans="1:2" x14ac:dyDescent="0.35">
      <c r="A32" t="s">
        <v>30</v>
      </c>
      <c r="B32" s="7" t="s">
        <v>859</v>
      </c>
    </row>
    <row r="33" spans="1:6" x14ac:dyDescent="0.35">
      <c r="A33" t="s">
        <v>31</v>
      </c>
      <c r="B33" s="7" t="s">
        <v>860</v>
      </c>
    </row>
    <row r="34" spans="1:6" x14ac:dyDescent="0.35">
      <c r="A34" t="s">
        <v>32</v>
      </c>
      <c r="B34" s="7" t="s">
        <v>861</v>
      </c>
    </row>
    <row r="35" spans="1:6" x14ac:dyDescent="0.35">
      <c r="A35" t="s">
        <v>620</v>
      </c>
      <c r="B35" s="7" t="s">
        <v>1444</v>
      </c>
      <c r="C35">
        <v>35.909999999999997</v>
      </c>
      <c r="D35" t="s">
        <v>3481</v>
      </c>
      <c r="E35" s="57">
        <v>44580</v>
      </c>
      <c r="F35" t="s">
        <v>3321</v>
      </c>
    </row>
    <row r="36" spans="1:6" x14ac:dyDescent="0.35">
      <c r="A36" t="s">
        <v>34</v>
      </c>
      <c r="B36" s="7" t="s">
        <v>863</v>
      </c>
    </row>
    <row r="37" spans="1:6" x14ac:dyDescent="0.35">
      <c r="A37" t="s">
        <v>487</v>
      </c>
      <c r="B37" s="7" t="s">
        <v>1311</v>
      </c>
      <c r="C37">
        <v>13.42</v>
      </c>
      <c r="D37" t="s">
        <v>3481</v>
      </c>
      <c r="E37" s="57">
        <v>44580</v>
      </c>
      <c r="F37" t="s">
        <v>3321</v>
      </c>
    </row>
    <row r="38" spans="1:6" x14ac:dyDescent="0.35">
      <c r="A38" t="s">
        <v>36</v>
      </c>
      <c r="B38" s="7" t="s">
        <v>865</v>
      </c>
    </row>
    <row r="39" spans="1:6" x14ac:dyDescent="0.35">
      <c r="A39" t="s">
        <v>37</v>
      </c>
      <c r="B39" s="7" t="s">
        <v>866</v>
      </c>
      <c r="C39">
        <v>75.37</v>
      </c>
      <c r="D39" t="s">
        <v>3481</v>
      </c>
      <c r="E39" s="57">
        <v>44580</v>
      </c>
      <c r="F39" t="s">
        <v>3321</v>
      </c>
    </row>
    <row r="40" spans="1:6" x14ac:dyDescent="0.35">
      <c r="A40" s="1" t="s">
        <v>38</v>
      </c>
      <c r="B40" s="7" t="s">
        <v>867</v>
      </c>
    </row>
    <row r="41" spans="1:6" x14ac:dyDescent="0.35">
      <c r="A41" t="s">
        <v>39</v>
      </c>
      <c r="B41" s="7" t="s">
        <v>868</v>
      </c>
    </row>
    <row r="42" spans="1:6" x14ac:dyDescent="0.35">
      <c r="A42" t="s">
        <v>40</v>
      </c>
      <c r="B42" s="7" t="s">
        <v>869</v>
      </c>
    </row>
    <row r="43" spans="1:6" x14ac:dyDescent="0.35">
      <c r="A43" t="s">
        <v>41</v>
      </c>
      <c r="B43" s="7" t="s">
        <v>870</v>
      </c>
    </row>
    <row r="44" spans="1:6" x14ac:dyDescent="0.35">
      <c r="A44" t="s">
        <v>42</v>
      </c>
      <c r="B44" s="7" t="s">
        <v>871</v>
      </c>
    </row>
    <row r="45" spans="1:6" x14ac:dyDescent="0.35">
      <c r="A45" t="s">
        <v>43</v>
      </c>
      <c r="B45" s="7" t="s">
        <v>872</v>
      </c>
    </row>
    <row r="46" spans="1:6" x14ac:dyDescent="0.35">
      <c r="A46" t="s">
        <v>44</v>
      </c>
      <c r="B46" s="7" t="s">
        <v>873</v>
      </c>
    </row>
    <row r="47" spans="1:6" x14ac:dyDescent="0.35">
      <c r="A47" t="s">
        <v>45</v>
      </c>
      <c r="B47" s="7" t="s">
        <v>874</v>
      </c>
    </row>
    <row r="48" spans="1:6" x14ac:dyDescent="0.35">
      <c r="A48" t="s">
        <v>46</v>
      </c>
      <c r="B48" s="7" t="s">
        <v>875</v>
      </c>
    </row>
    <row r="49" spans="1:6" x14ac:dyDescent="0.35">
      <c r="A49" t="s">
        <v>47</v>
      </c>
      <c r="B49" s="7" t="s">
        <v>876</v>
      </c>
    </row>
    <row r="50" spans="1:6" x14ac:dyDescent="0.35">
      <c r="A50" t="s">
        <v>48</v>
      </c>
      <c r="B50" s="7" t="s">
        <v>877</v>
      </c>
    </row>
    <row r="51" spans="1:6" x14ac:dyDescent="0.35">
      <c r="A51" t="s">
        <v>49</v>
      </c>
      <c r="B51" s="7" t="s">
        <v>878</v>
      </c>
    </row>
    <row r="52" spans="1:6" x14ac:dyDescent="0.35">
      <c r="A52" t="s">
        <v>50</v>
      </c>
      <c r="B52" s="7" t="s">
        <v>879</v>
      </c>
    </row>
    <row r="53" spans="1:6" x14ac:dyDescent="0.35">
      <c r="A53" t="s">
        <v>216</v>
      </c>
      <c r="B53" s="7" t="s">
        <v>1043</v>
      </c>
      <c r="C53">
        <v>25.79</v>
      </c>
      <c r="D53" t="s">
        <v>3481</v>
      </c>
      <c r="E53" s="57">
        <v>44580</v>
      </c>
      <c r="F53" t="s">
        <v>3321</v>
      </c>
    </row>
    <row r="54" spans="1:6" x14ac:dyDescent="0.35">
      <c r="A54" t="s">
        <v>52</v>
      </c>
      <c r="B54" s="7" t="s">
        <v>881</v>
      </c>
    </row>
    <row r="55" spans="1:6" x14ac:dyDescent="0.35">
      <c r="A55" t="s">
        <v>53</v>
      </c>
      <c r="B55" s="7" t="s">
        <v>882</v>
      </c>
    </row>
    <row r="56" spans="1:6" x14ac:dyDescent="0.35">
      <c r="A56" t="s">
        <v>54</v>
      </c>
      <c r="B56" s="7" t="s">
        <v>883</v>
      </c>
    </row>
    <row r="57" spans="1:6" x14ac:dyDescent="0.35">
      <c r="A57" t="s">
        <v>55</v>
      </c>
      <c r="B57" s="7" t="s">
        <v>884</v>
      </c>
    </row>
    <row r="58" spans="1:6" x14ac:dyDescent="0.35">
      <c r="A58" t="s">
        <v>56</v>
      </c>
      <c r="B58" s="7" t="s">
        <v>885</v>
      </c>
    </row>
    <row r="59" spans="1:6" x14ac:dyDescent="0.35">
      <c r="A59" t="s">
        <v>57</v>
      </c>
      <c r="B59" s="7" t="s">
        <v>886</v>
      </c>
    </row>
    <row r="60" spans="1:6" x14ac:dyDescent="0.35">
      <c r="A60" t="s">
        <v>58</v>
      </c>
      <c r="B60" s="7" t="s">
        <v>887</v>
      </c>
    </row>
    <row r="61" spans="1:6" x14ac:dyDescent="0.35">
      <c r="A61" s="6" t="s">
        <v>792</v>
      </c>
      <c r="B61" s="7" t="s">
        <v>1615</v>
      </c>
      <c r="C61">
        <v>8.2729999999999997</v>
      </c>
      <c r="D61" t="s">
        <v>3481</v>
      </c>
      <c r="E61" s="57">
        <v>44580</v>
      </c>
      <c r="F61" t="s">
        <v>3321</v>
      </c>
    </row>
    <row r="62" spans="1:6" x14ac:dyDescent="0.35">
      <c r="A62" t="s">
        <v>60</v>
      </c>
      <c r="B62" s="7" t="s">
        <v>889</v>
      </c>
    </row>
    <row r="63" spans="1:6" x14ac:dyDescent="0.35">
      <c r="A63" t="s">
        <v>61</v>
      </c>
      <c r="B63" s="7" t="s">
        <v>890</v>
      </c>
    </row>
    <row r="64" spans="1:6" x14ac:dyDescent="0.35">
      <c r="A64" t="s">
        <v>62</v>
      </c>
      <c r="B64" s="7" t="s">
        <v>891</v>
      </c>
    </row>
    <row r="65" spans="1:6" x14ac:dyDescent="0.35">
      <c r="A65" t="s">
        <v>63</v>
      </c>
      <c r="B65" s="7" t="s">
        <v>892</v>
      </c>
    </row>
    <row r="66" spans="1:6" x14ac:dyDescent="0.35">
      <c r="A66" t="s">
        <v>64</v>
      </c>
      <c r="B66" s="7" t="s">
        <v>893</v>
      </c>
    </row>
    <row r="67" spans="1:6" x14ac:dyDescent="0.35">
      <c r="A67" t="s">
        <v>65</v>
      </c>
      <c r="B67" s="7" t="s">
        <v>894</v>
      </c>
    </row>
    <row r="68" spans="1:6" x14ac:dyDescent="0.35">
      <c r="A68" t="s">
        <v>66</v>
      </c>
      <c r="B68" s="7" t="s">
        <v>895</v>
      </c>
    </row>
    <row r="69" spans="1:6" x14ac:dyDescent="0.35">
      <c r="A69" t="s">
        <v>67</v>
      </c>
      <c r="B69" s="7" t="s">
        <v>896</v>
      </c>
    </row>
    <row r="70" spans="1:6" x14ac:dyDescent="0.35">
      <c r="A70" t="s">
        <v>68</v>
      </c>
      <c r="B70" s="7" t="s">
        <v>897</v>
      </c>
    </row>
    <row r="71" spans="1:6" x14ac:dyDescent="0.35">
      <c r="A71" t="s">
        <v>69</v>
      </c>
      <c r="B71" s="7" t="s">
        <v>898</v>
      </c>
    </row>
    <row r="72" spans="1:6" x14ac:dyDescent="0.35">
      <c r="A72" t="s">
        <v>70</v>
      </c>
      <c r="B72" s="7" t="s">
        <v>899</v>
      </c>
    </row>
    <row r="73" spans="1:6" x14ac:dyDescent="0.35">
      <c r="A73" t="s">
        <v>71</v>
      </c>
      <c r="B73" s="7" t="s">
        <v>900</v>
      </c>
    </row>
    <row r="74" spans="1:6" x14ac:dyDescent="0.35">
      <c r="A74" t="s">
        <v>72</v>
      </c>
      <c r="B74" s="7" t="s">
        <v>901</v>
      </c>
    </row>
    <row r="75" spans="1:6" x14ac:dyDescent="0.35">
      <c r="A75" t="s">
        <v>73</v>
      </c>
      <c r="B75" s="7" t="s">
        <v>902</v>
      </c>
    </row>
    <row r="76" spans="1:6" x14ac:dyDescent="0.35">
      <c r="A76" t="s">
        <v>74</v>
      </c>
      <c r="B76" s="7" t="s">
        <v>903</v>
      </c>
    </row>
    <row r="77" spans="1:6" x14ac:dyDescent="0.35">
      <c r="A77" t="s">
        <v>33</v>
      </c>
      <c r="B77" s="7" t="s">
        <v>862</v>
      </c>
      <c r="C77">
        <v>72.16</v>
      </c>
      <c r="D77" t="s">
        <v>3481</v>
      </c>
      <c r="E77" s="57">
        <v>44580</v>
      </c>
      <c r="F77" t="s">
        <v>3321</v>
      </c>
    </row>
    <row r="78" spans="1:6" x14ac:dyDescent="0.35">
      <c r="A78" t="s">
        <v>76</v>
      </c>
      <c r="B78" s="7" t="s">
        <v>905</v>
      </c>
    </row>
    <row r="79" spans="1:6" x14ac:dyDescent="0.35">
      <c r="A79" t="s">
        <v>77</v>
      </c>
      <c r="B79" s="7" t="s">
        <v>906</v>
      </c>
    </row>
    <row r="80" spans="1:6" x14ac:dyDescent="0.35">
      <c r="A80" t="s">
        <v>78</v>
      </c>
      <c r="B80" s="7" t="s">
        <v>907</v>
      </c>
    </row>
    <row r="81" spans="1:2" x14ac:dyDescent="0.35">
      <c r="A81" t="s">
        <v>79</v>
      </c>
      <c r="B81" s="7" t="s">
        <v>908</v>
      </c>
    </row>
    <row r="82" spans="1:2" x14ac:dyDescent="0.35">
      <c r="A82" t="s">
        <v>80</v>
      </c>
      <c r="B82" s="7" t="s">
        <v>909</v>
      </c>
    </row>
    <row r="83" spans="1:2" x14ac:dyDescent="0.35">
      <c r="A83" t="s">
        <v>81</v>
      </c>
      <c r="B83" s="7" t="s">
        <v>910</v>
      </c>
    </row>
    <row r="84" spans="1:2" x14ac:dyDescent="0.35">
      <c r="A84" t="s">
        <v>82</v>
      </c>
      <c r="B84" s="7" t="s">
        <v>911</v>
      </c>
    </row>
    <row r="85" spans="1:2" x14ac:dyDescent="0.35">
      <c r="A85" t="s">
        <v>83</v>
      </c>
      <c r="B85" s="7" t="s">
        <v>912</v>
      </c>
    </row>
    <row r="86" spans="1:2" x14ac:dyDescent="0.35">
      <c r="A86" t="s">
        <v>84</v>
      </c>
      <c r="B86" s="7" t="s">
        <v>913</v>
      </c>
    </row>
    <row r="87" spans="1:2" x14ac:dyDescent="0.35">
      <c r="A87" t="s">
        <v>85</v>
      </c>
      <c r="B87" s="7" t="s">
        <v>914</v>
      </c>
    </row>
    <row r="88" spans="1:2" x14ac:dyDescent="0.35">
      <c r="A88" t="s">
        <v>86</v>
      </c>
      <c r="B88" s="7" t="s">
        <v>915</v>
      </c>
    </row>
    <row r="89" spans="1:2" x14ac:dyDescent="0.35">
      <c r="A89" t="s">
        <v>87</v>
      </c>
      <c r="B89" s="7" t="s">
        <v>916</v>
      </c>
    </row>
    <row r="90" spans="1:2" x14ac:dyDescent="0.35">
      <c r="A90" t="s">
        <v>88</v>
      </c>
      <c r="B90" s="7" t="s">
        <v>917</v>
      </c>
    </row>
    <row r="91" spans="1:2" x14ac:dyDescent="0.35">
      <c r="A91" t="s">
        <v>89</v>
      </c>
      <c r="B91" s="7" t="s">
        <v>918</v>
      </c>
    </row>
    <row r="92" spans="1:2" x14ac:dyDescent="0.35">
      <c r="A92" t="s">
        <v>90</v>
      </c>
      <c r="B92" s="7" t="s">
        <v>919</v>
      </c>
    </row>
    <row r="93" spans="1:2" x14ac:dyDescent="0.35">
      <c r="A93" t="s">
        <v>91</v>
      </c>
      <c r="B93" s="7" t="s">
        <v>920</v>
      </c>
    </row>
    <row r="94" spans="1:2" x14ac:dyDescent="0.35">
      <c r="A94" t="s">
        <v>92</v>
      </c>
      <c r="B94" s="7" t="s">
        <v>921</v>
      </c>
    </row>
    <row r="95" spans="1:2" x14ac:dyDescent="0.35">
      <c r="A95" t="s">
        <v>93</v>
      </c>
      <c r="B95" s="7" t="s">
        <v>922</v>
      </c>
    </row>
    <row r="96" spans="1:2" x14ac:dyDescent="0.35">
      <c r="A96" t="s">
        <v>94</v>
      </c>
      <c r="B96" s="7" t="s">
        <v>923</v>
      </c>
    </row>
    <row r="97" spans="1:6" x14ac:dyDescent="0.35">
      <c r="A97" t="s">
        <v>95</v>
      </c>
      <c r="B97" s="7" t="s">
        <v>924</v>
      </c>
    </row>
    <row r="98" spans="1:6" x14ac:dyDescent="0.35">
      <c r="A98" t="s">
        <v>96</v>
      </c>
      <c r="B98" s="7" t="s">
        <v>925</v>
      </c>
    </row>
    <row r="99" spans="1:6" x14ac:dyDescent="0.35">
      <c r="A99" t="s">
        <v>97</v>
      </c>
      <c r="B99" s="7" t="s">
        <v>926</v>
      </c>
    </row>
    <row r="100" spans="1:6" x14ac:dyDescent="0.35">
      <c r="A100" t="s">
        <v>98</v>
      </c>
      <c r="B100" s="7" t="s">
        <v>927</v>
      </c>
    </row>
    <row r="101" spans="1:6" x14ac:dyDescent="0.35">
      <c r="A101" t="s">
        <v>99</v>
      </c>
      <c r="B101" s="7" t="s">
        <v>928</v>
      </c>
    </row>
    <row r="102" spans="1:6" x14ac:dyDescent="0.35">
      <c r="A102" t="s">
        <v>100</v>
      </c>
      <c r="B102" s="7" t="s">
        <v>929</v>
      </c>
    </row>
    <row r="103" spans="1:6" x14ac:dyDescent="0.35">
      <c r="A103" t="s">
        <v>406</v>
      </c>
      <c r="B103" s="7" t="s">
        <v>1230</v>
      </c>
      <c r="C103">
        <v>7.6159999999999997</v>
      </c>
      <c r="D103" t="s">
        <v>3481</v>
      </c>
      <c r="E103" s="57">
        <v>44580</v>
      </c>
      <c r="F103" t="s">
        <v>3321</v>
      </c>
    </row>
    <row r="104" spans="1:6" x14ac:dyDescent="0.35">
      <c r="A104" t="s">
        <v>102</v>
      </c>
      <c r="B104" s="7" t="s">
        <v>931</v>
      </c>
    </row>
    <row r="105" spans="1:6" x14ac:dyDescent="0.35">
      <c r="A105" t="s">
        <v>103</v>
      </c>
      <c r="B105" s="7" t="s">
        <v>932</v>
      </c>
    </row>
    <row r="106" spans="1:6" x14ac:dyDescent="0.35">
      <c r="A106" t="s">
        <v>104</v>
      </c>
      <c r="B106" s="7" t="s">
        <v>933</v>
      </c>
    </row>
    <row r="107" spans="1:6" x14ac:dyDescent="0.35">
      <c r="A107" t="s">
        <v>105</v>
      </c>
      <c r="B107" s="7" t="s">
        <v>934</v>
      </c>
    </row>
    <row r="108" spans="1:6" x14ac:dyDescent="0.35">
      <c r="A108" t="s">
        <v>106</v>
      </c>
      <c r="B108" s="7" t="s">
        <v>935</v>
      </c>
    </row>
    <row r="109" spans="1:6" x14ac:dyDescent="0.35">
      <c r="A109" t="s">
        <v>107</v>
      </c>
      <c r="B109" s="7" t="s">
        <v>936</v>
      </c>
    </row>
    <row r="110" spans="1:6" x14ac:dyDescent="0.35">
      <c r="A110" t="s">
        <v>108</v>
      </c>
      <c r="B110" s="7" t="s">
        <v>937</v>
      </c>
    </row>
    <row r="111" spans="1:6" x14ac:dyDescent="0.35">
      <c r="A111" t="s">
        <v>109</v>
      </c>
      <c r="B111" s="7" t="s">
        <v>938</v>
      </c>
    </row>
    <row r="112" spans="1:6" x14ac:dyDescent="0.35">
      <c r="A112" t="s">
        <v>110</v>
      </c>
      <c r="B112" s="7" t="s">
        <v>939</v>
      </c>
    </row>
    <row r="113" spans="1:2" x14ac:dyDescent="0.35">
      <c r="A113" t="s">
        <v>111</v>
      </c>
      <c r="B113" s="7" t="s">
        <v>940</v>
      </c>
    </row>
    <row r="114" spans="1:2" x14ac:dyDescent="0.35">
      <c r="A114" t="s">
        <v>112</v>
      </c>
      <c r="B114" s="7" t="s">
        <v>941</v>
      </c>
    </row>
    <row r="115" spans="1:2" x14ac:dyDescent="0.35">
      <c r="A115" t="s">
        <v>113</v>
      </c>
      <c r="B115" s="7" t="s">
        <v>942</v>
      </c>
    </row>
    <row r="116" spans="1:2" x14ac:dyDescent="0.35">
      <c r="A116" t="s">
        <v>114</v>
      </c>
      <c r="B116" s="7" t="s">
        <v>943</v>
      </c>
    </row>
    <row r="117" spans="1:2" x14ac:dyDescent="0.35">
      <c r="A117" t="s">
        <v>115</v>
      </c>
      <c r="B117" s="7" t="s">
        <v>944</v>
      </c>
    </row>
    <row r="118" spans="1:2" x14ac:dyDescent="0.35">
      <c r="A118" t="s">
        <v>116</v>
      </c>
      <c r="B118" s="7" t="s">
        <v>945</v>
      </c>
    </row>
    <row r="119" spans="1:2" x14ac:dyDescent="0.35">
      <c r="A119" t="s">
        <v>117</v>
      </c>
      <c r="B119" s="7" t="s">
        <v>946</v>
      </c>
    </row>
    <row r="120" spans="1:2" x14ac:dyDescent="0.35">
      <c r="A120" t="s">
        <v>118</v>
      </c>
      <c r="B120" s="7" t="s">
        <v>947</v>
      </c>
    </row>
    <row r="121" spans="1:2" x14ac:dyDescent="0.35">
      <c r="A121" t="s">
        <v>119</v>
      </c>
      <c r="B121" s="7" t="s">
        <v>948</v>
      </c>
    </row>
    <row r="122" spans="1:2" x14ac:dyDescent="0.35">
      <c r="A122" t="s">
        <v>120</v>
      </c>
      <c r="B122" s="7" t="s">
        <v>949</v>
      </c>
    </row>
    <row r="123" spans="1:2" x14ac:dyDescent="0.35">
      <c r="A123" t="s">
        <v>121</v>
      </c>
      <c r="B123" s="7" t="s">
        <v>950</v>
      </c>
    </row>
    <row r="124" spans="1:2" x14ac:dyDescent="0.35">
      <c r="A124" t="s">
        <v>122</v>
      </c>
      <c r="B124" s="7" t="s">
        <v>951</v>
      </c>
    </row>
    <row r="125" spans="1:2" x14ac:dyDescent="0.35">
      <c r="A125" t="s">
        <v>123</v>
      </c>
      <c r="B125" s="7" t="s">
        <v>952</v>
      </c>
    </row>
    <row r="126" spans="1:2" x14ac:dyDescent="0.35">
      <c r="A126" t="s">
        <v>124</v>
      </c>
      <c r="B126" s="7" t="s">
        <v>953</v>
      </c>
    </row>
    <row r="127" spans="1:2" x14ac:dyDescent="0.35">
      <c r="A127" t="s">
        <v>125</v>
      </c>
      <c r="B127" s="7" t="s">
        <v>954</v>
      </c>
    </row>
    <row r="128" spans="1:2" x14ac:dyDescent="0.35">
      <c r="A128" t="s">
        <v>126</v>
      </c>
      <c r="B128" s="7" t="s">
        <v>955</v>
      </c>
    </row>
    <row r="129" spans="1:2" x14ac:dyDescent="0.35">
      <c r="A129" t="s">
        <v>127</v>
      </c>
      <c r="B129" s="7" t="s">
        <v>956</v>
      </c>
    </row>
    <row r="130" spans="1:2" x14ac:dyDescent="0.35">
      <c r="A130" t="s">
        <v>128</v>
      </c>
      <c r="B130" s="7" t="s">
        <v>957</v>
      </c>
    </row>
    <row r="131" spans="1:2" x14ac:dyDescent="0.35">
      <c r="A131" t="s">
        <v>129</v>
      </c>
      <c r="B131" s="7" t="s">
        <v>958</v>
      </c>
    </row>
    <row r="132" spans="1:2" x14ac:dyDescent="0.35">
      <c r="A132" t="s">
        <v>130</v>
      </c>
      <c r="B132" s="7" t="s">
        <v>959</v>
      </c>
    </row>
    <row r="133" spans="1:2" x14ac:dyDescent="0.35">
      <c r="A133" t="s">
        <v>131</v>
      </c>
      <c r="B133" s="7" t="s">
        <v>960</v>
      </c>
    </row>
    <row r="134" spans="1:2" x14ac:dyDescent="0.35">
      <c r="A134" t="s">
        <v>132</v>
      </c>
      <c r="B134" s="7" t="s">
        <v>961</v>
      </c>
    </row>
    <row r="135" spans="1:2" x14ac:dyDescent="0.35">
      <c r="A135" t="s">
        <v>133</v>
      </c>
      <c r="B135" s="7" t="s">
        <v>962</v>
      </c>
    </row>
    <row r="136" spans="1:2" x14ac:dyDescent="0.35">
      <c r="A136" t="s">
        <v>134</v>
      </c>
      <c r="B136" s="7" t="s">
        <v>963</v>
      </c>
    </row>
    <row r="137" spans="1:2" x14ac:dyDescent="0.35">
      <c r="A137" t="s">
        <v>135</v>
      </c>
      <c r="B137" s="7" t="s">
        <v>964</v>
      </c>
    </row>
    <row r="138" spans="1:2" x14ac:dyDescent="0.35">
      <c r="A138" t="s">
        <v>136</v>
      </c>
      <c r="B138" s="7" t="s">
        <v>965</v>
      </c>
    </row>
    <row r="139" spans="1:2" x14ac:dyDescent="0.35">
      <c r="A139" t="s">
        <v>137</v>
      </c>
      <c r="B139" s="7" t="s">
        <v>966</v>
      </c>
    </row>
    <row r="140" spans="1:2" x14ac:dyDescent="0.35">
      <c r="A140" t="s">
        <v>138</v>
      </c>
      <c r="B140" s="7" t="s">
        <v>967</v>
      </c>
    </row>
    <row r="141" spans="1:2" x14ac:dyDescent="0.35">
      <c r="A141" t="s">
        <v>139</v>
      </c>
      <c r="B141" s="7" t="s">
        <v>968</v>
      </c>
    </row>
    <row r="142" spans="1:2" x14ac:dyDescent="0.35">
      <c r="A142" t="s">
        <v>140</v>
      </c>
      <c r="B142" s="7" t="s">
        <v>969</v>
      </c>
    </row>
    <row r="143" spans="1:2" x14ac:dyDescent="0.35">
      <c r="A143" t="s">
        <v>141</v>
      </c>
      <c r="B143" s="7" t="s">
        <v>970</v>
      </c>
    </row>
    <row r="144" spans="1:2" x14ac:dyDescent="0.35">
      <c r="A144" t="s">
        <v>142</v>
      </c>
      <c r="B144" s="7" t="s">
        <v>971</v>
      </c>
    </row>
    <row r="145" spans="1:2" x14ac:dyDescent="0.35">
      <c r="A145" t="s">
        <v>143</v>
      </c>
      <c r="B145" s="7" t="s">
        <v>972</v>
      </c>
    </row>
    <row r="146" spans="1:2" x14ac:dyDescent="0.35">
      <c r="A146" t="s">
        <v>144</v>
      </c>
      <c r="B146" s="7" t="s">
        <v>973</v>
      </c>
    </row>
    <row r="147" spans="1:2" x14ac:dyDescent="0.35">
      <c r="A147" t="s">
        <v>145</v>
      </c>
      <c r="B147" s="7" t="s">
        <v>974</v>
      </c>
    </row>
    <row r="148" spans="1:2" x14ac:dyDescent="0.35">
      <c r="A148" t="s">
        <v>146</v>
      </c>
      <c r="B148" s="7" t="s">
        <v>975</v>
      </c>
    </row>
    <row r="149" spans="1:2" x14ac:dyDescent="0.35">
      <c r="A149" t="s">
        <v>147</v>
      </c>
      <c r="B149" s="7" t="s">
        <v>976</v>
      </c>
    </row>
    <row r="150" spans="1:2" x14ac:dyDescent="0.35">
      <c r="A150" t="s">
        <v>148</v>
      </c>
      <c r="B150" s="7" t="s">
        <v>977</v>
      </c>
    </row>
    <row r="151" spans="1:2" x14ac:dyDescent="0.35">
      <c r="A151" t="s">
        <v>149</v>
      </c>
      <c r="B151" s="7" t="s">
        <v>978</v>
      </c>
    </row>
    <row r="152" spans="1:2" x14ac:dyDescent="0.35">
      <c r="A152" t="s">
        <v>150</v>
      </c>
      <c r="B152" s="7" t="s">
        <v>979</v>
      </c>
    </row>
    <row r="153" spans="1:2" x14ac:dyDescent="0.35">
      <c r="A153" t="s">
        <v>151</v>
      </c>
      <c r="B153" s="7" t="s">
        <v>980</v>
      </c>
    </row>
    <row r="154" spans="1:2" x14ac:dyDescent="0.35">
      <c r="A154" t="s">
        <v>152</v>
      </c>
      <c r="B154" s="7" t="s">
        <v>981</v>
      </c>
    </row>
    <row r="155" spans="1:2" x14ac:dyDescent="0.35">
      <c r="A155" t="s">
        <v>153</v>
      </c>
      <c r="B155" s="7" t="s">
        <v>982</v>
      </c>
    </row>
    <row r="156" spans="1:2" x14ac:dyDescent="0.35">
      <c r="A156" t="s">
        <v>154</v>
      </c>
      <c r="B156" s="7" t="s">
        <v>983</v>
      </c>
    </row>
    <row r="157" spans="1:2" x14ac:dyDescent="0.35">
      <c r="A157" t="s">
        <v>155</v>
      </c>
      <c r="B157" s="7" t="s">
        <v>984</v>
      </c>
    </row>
    <row r="158" spans="1:2" x14ac:dyDescent="0.35">
      <c r="A158" t="s">
        <v>156</v>
      </c>
      <c r="B158" s="7" t="s">
        <v>985</v>
      </c>
    </row>
    <row r="159" spans="1:2" x14ac:dyDescent="0.35">
      <c r="A159" t="s">
        <v>157</v>
      </c>
      <c r="B159" s="7" t="s">
        <v>986</v>
      </c>
    </row>
    <row r="160" spans="1:2" x14ac:dyDescent="0.35">
      <c r="A160" t="s">
        <v>158</v>
      </c>
      <c r="B160" s="7" t="s">
        <v>987</v>
      </c>
    </row>
    <row r="161" spans="1:2" x14ac:dyDescent="0.35">
      <c r="A161" t="s">
        <v>159</v>
      </c>
      <c r="B161" s="7" t="s">
        <v>988</v>
      </c>
    </row>
    <row r="162" spans="1:2" x14ac:dyDescent="0.35">
      <c r="A162" t="s">
        <v>160</v>
      </c>
      <c r="B162" s="7" t="s">
        <v>989</v>
      </c>
    </row>
    <row r="163" spans="1:2" x14ac:dyDescent="0.35">
      <c r="A163" t="s">
        <v>161</v>
      </c>
      <c r="B163" s="7" t="s">
        <v>990</v>
      </c>
    </row>
    <row r="164" spans="1:2" x14ac:dyDescent="0.35">
      <c r="A164" t="s">
        <v>162</v>
      </c>
      <c r="B164" s="7" t="s">
        <v>991</v>
      </c>
    </row>
    <row r="165" spans="1:2" x14ac:dyDescent="0.35">
      <c r="A165" t="s">
        <v>163</v>
      </c>
      <c r="B165" s="7" t="s">
        <v>992</v>
      </c>
    </row>
    <row r="166" spans="1:2" x14ac:dyDescent="0.35">
      <c r="A166" t="s">
        <v>164</v>
      </c>
      <c r="B166" s="7" t="s">
        <v>993</v>
      </c>
    </row>
    <row r="167" spans="1:2" x14ac:dyDescent="0.35">
      <c r="A167" t="s">
        <v>165</v>
      </c>
      <c r="B167" s="7" t="s">
        <v>994</v>
      </c>
    </row>
    <row r="168" spans="1:2" x14ac:dyDescent="0.35">
      <c r="A168" t="s">
        <v>166</v>
      </c>
      <c r="B168" s="7" t="s">
        <v>995</v>
      </c>
    </row>
    <row r="169" spans="1:2" x14ac:dyDescent="0.35">
      <c r="A169" t="s">
        <v>167</v>
      </c>
      <c r="B169" s="7" t="s">
        <v>996</v>
      </c>
    </row>
    <row r="170" spans="1:2" x14ac:dyDescent="0.35">
      <c r="A170" t="s">
        <v>168</v>
      </c>
      <c r="B170" s="7" t="s">
        <v>997</v>
      </c>
    </row>
    <row r="171" spans="1:2" x14ac:dyDescent="0.35">
      <c r="A171" t="s">
        <v>169</v>
      </c>
      <c r="B171" s="7" t="s">
        <v>998</v>
      </c>
    </row>
    <row r="172" spans="1:2" x14ac:dyDescent="0.35">
      <c r="A172" t="s">
        <v>170</v>
      </c>
      <c r="B172" s="7" t="s">
        <v>999</v>
      </c>
    </row>
    <row r="173" spans="1:2" x14ac:dyDescent="0.35">
      <c r="A173" t="s">
        <v>171</v>
      </c>
      <c r="B173" s="7" t="s">
        <v>1000</v>
      </c>
    </row>
    <row r="174" spans="1:2" x14ac:dyDescent="0.35">
      <c r="A174" t="s">
        <v>172</v>
      </c>
      <c r="B174" s="7" t="s">
        <v>1001</v>
      </c>
    </row>
    <row r="175" spans="1:2" x14ac:dyDescent="0.35">
      <c r="A175" t="s">
        <v>173</v>
      </c>
      <c r="B175" s="7" t="s">
        <v>1002</v>
      </c>
    </row>
    <row r="176" spans="1:2" x14ac:dyDescent="0.35">
      <c r="A176" t="s">
        <v>174</v>
      </c>
      <c r="B176" s="7" t="s">
        <v>1003</v>
      </c>
    </row>
    <row r="177" spans="1:2" x14ac:dyDescent="0.35">
      <c r="A177" t="s">
        <v>175</v>
      </c>
      <c r="B177" s="7" t="s">
        <v>1004</v>
      </c>
    </row>
    <row r="178" spans="1:2" x14ac:dyDescent="0.35">
      <c r="A178" t="s">
        <v>176</v>
      </c>
      <c r="B178" s="7" t="s">
        <v>1005</v>
      </c>
    </row>
    <row r="179" spans="1:2" x14ac:dyDescent="0.35">
      <c r="A179" t="s">
        <v>177</v>
      </c>
      <c r="B179" s="7" t="s">
        <v>1006</v>
      </c>
    </row>
    <row r="180" spans="1:2" x14ac:dyDescent="0.35">
      <c r="A180" t="s">
        <v>178</v>
      </c>
      <c r="B180" s="7" t="s">
        <v>1007</v>
      </c>
    </row>
    <row r="181" spans="1:2" x14ac:dyDescent="0.35">
      <c r="A181" t="s">
        <v>179</v>
      </c>
      <c r="B181" s="7" t="s">
        <v>1008</v>
      </c>
    </row>
    <row r="182" spans="1:2" x14ac:dyDescent="0.35">
      <c r="A182" t="s">
        <v>180</v>
      </c>
      <c r="B182" s="7" t="s">
        <v>1009</v>
      </c>
    </row>
    <row r="183" spans="1:2" x14ac:dyDescent="0.35">
      <c r="A183" t="s">
        <v>181</v>
      </c>
      <c r="B183" s="7" t="s">
        <v>1010</v>
      </c>
    </row>
    <row r="184" spans="1:2" x14ac:dyDescent="0.35">
      <c r="A184" t="s">
        <v>182</v>
      </c>
      <c r="B184" s="7" t="s">
        <v>1011</v>
      </c>
    </row>
    <row r="185" spans="1:2" x14ac:dyDescent="0.35">
      <c r="A185" t="s">
        <v>183</v>
      </c>
      <c r="B185" s="7" t="s">
        <v>1012</v>
      </c>
    </row>
    <row r="186" spans="1:2" x14ac:dyDescent="0.35">
      <c r="A186" s="2" t="s">
        <v>184</v>
      </c>
    </row>
    <row r="187" spans="1:2" x14ac:dyDescent="0.35">
      <c r="A187" t="s">
        <v>185</v>
      </c>
      <c r="B187" s="7" t="s">
        <v>1013</v>
      </c>
    </row>
    <row r="188" spans="1:2" x14ac:dyDescent="0.35">
      <c r="A188" t="s">
        <v>186</v>
      </c>
      <c r="B188" s="7" t="s">
        <v>1014</v>
      </c>
    </row>
    <row r="189" spans="1:2" x14ac:dyDescent="0.35">
      <c r="A189" t="s">
        <v>187</v>
      </c>
      <c r="B189" s="7" t="s">
        <v>1015</v>
      </c>
    </row>
    <row r="190" spans="1:2" x14ac:dyDescent="0.35">
      <c r="A190" t="s">
        <v>188</v>
      </c>
      <c r="B190" s="7" t="s">
        <v>1016</v>
      </c>
    </row>
    <row r="191" spans="1:2" x14ac:dyDescent="0.35">
      <c r="A191" t="s">
        <v>189</v>
      </c>
      <c r="B191" s="7" t="s">
        <v>1017</v>
      </c>
    </row>
    <row r="192" spans="1:2" x14ac:dyDescent="0.35">
      <c r="A192" t="s">
        <v>190</v>
      </c>
      <c r="B192" s="7" t="s">
        <v>1018</v>
      </c>
    </row>
    <row r="193" spans="1:2" x14ac:dyDescent="0.35">
      <c r="A193" t="s">
        <v>191</v>
      </c>
      <c r="B193" s="7" t="s">
        <v>1019</v>
      </c>
    </row>
    <row r="194" spans="1:2" x14ac:dyDescent="0.35">
      <c r="A194" t="s">
        <v>192</v>
      </c>
      <c r="B194" s="7" t="s">
        <v>1020</v>
      </c>
    </row>
    <row r="195" spans="1:2" x14ac:dyDescent="0.35">
      <c r="A195" t="s">
        <v>193</v>
      </c>
      <c r="B195" s="7" t="s">
        <v>1021</v>
      </c>
    </row>
    <row r="196" spans="1:2" x14ac:dyDescent="0.35">
      <c r="A196" t="s">
        <v>194</v>
      </c>
      <c r="B196" s="7" t="s">
        <v>1022</v>
      </c>
    </row>
    <row r="197" spans="1:2" x14ac:dyDescent="0.35">
      <c r="A197" t="s">
        <v>195</v>
      </c>
      <c r="B197" s="7" t="s">
        <v>1023</v>
      </c>
    </row>
    <row r="198" spans="1:2" x14ac:dyDescent="0.35">
      <c r="A198" t="s">
        <v>196</v>
      </c>
      <c r="B198" s="7" t="s">
        <v>1024</v>
      </c>
    </row>
    <row r="199" spans="1:2" x14ac:dyDescent="0.35">
      <c r="A199" t="s">
        <v>197</v>
      </c>
      <c r="B199" s="7" t="s">
        <v>1025</v>
      </c>
    </row>
    <row r="200" spans="1:2" x14ac:dyDescent="0.35">
      <c r="A200" t="s">
        <v>198</v>
      </c>
      <c r="B200" s="7" t="s">
        <v>1026</v>
      </c>
    </row>
    <row r="201" spans="1:2" x14ac:dyDescent="0.35">
      <c r="A201" t="s">
        <v>199</v>
      </c>
      <c r="B201" s="7" t="s">
        <v>1027</v>
      </c>
    </row>
    <row r="202" spans="1:2" x14ac:dyDescent="0.35">
      <c r="A202" t="s">
        <v>200</v>
      </c>
      <c r="B202" s="7" t="s">
        <v>1028</v>
      </c>
    </row>
    <row r="203" spans="1:2" x14ac:dyDescent="0.35">
      <c r="A203" t="s">
        <v>201</v>
      </c>
      <c r="B203" s="7" t="s">
        <v>1029</v>
      </c>
    </row>
    <row r="204" spans="1:2" x14ac:dyDescent="0.35">
      <c r="A204" t="s">
        <v>202</v>
      </c>
      <c r="B204" s="7" t="s">
        <v>1030</v>
      </c>
    </row>
    <row r="205" spans="1:2" x14ac:dyDescent="0.35">
      <c r="A205" s="2" t="s">
        <v>203</v>
      </c>
    </row>
    <row r="206" spans="1:2" x14ac:dyDescent="0.35">
      <c r="A206" t="s">
        <v>204</v>
      </c>
      <c r="B206" s="7" t="s">
        <v>1031</v>
      </c>
    </row>
    <row r="207" spans="1:2" x14ac:dyDescent="0.35">
      <c r="A207" t="s">
        <v>205</v>
      </c>
      <c r="B207" s="7" t="s">
        <v>1032</v>
      </c>
    </row>
    <row r="208" spans="1:2" x14ac:dyDescent="0.35">
      <c r="A208" t="s">
        <v>206</v>
      </c>
      <c r="B208" s="7" t="s">
        <v>1033</v>
      </c>
    </row>
    <row r="209" spans="1:6" x14ac:dyDescent="0.35">
      <c r="A209" t="s">
        <v>207</v>
      </c>
      <c r="B209" s="7" t="s">
        <v>1034</v>
      </c>
    </row>
    <row r="210" spans="1:6" x14ac:dyDescent="0.35">
      <c r="A210" t="s">
        <v>208</v>
      </c>
      <c r="B210" s="7" t="s">
        <v>1035</v>
      </c>
    </row>
    <row r="211" spans="1:6" x14ac:dyDescent="0.35">
      <c r="A211" t="s">
        <v>209</v>
      </c>
      <c r="B211" s="7" t="s">
        <v>1036</v>
      </c>
    </row>
    <row r="212" spans="1:6" x14ac:dyDescent="0.35">
      <c r="A212" t="s">
        <v>210</v>
      </c>
      <c r="B212" s="7" t="s">
        <v>1037</v>
      </c>
    </row>
    <row r="213" spans="1:6" x14ac:dyDescent="0.35">
      <c r="A213" t="s">
        <v>211</v>
      </c>
      <c r="B213" s="7" t="s">
        <v>1038</v>
      </c>
    </row>
    <row r="214" spans="1:6" x14ac:dyDescent="0.35">
      <c r="A214" t="s">
        <v>212</v>
      </c>
      <c r="B214" s="7" t="s">
        <v>1039</v>
      </c>
    </row>
    <row r="215" spans="1:6" x14ac:dyDescent="0.35">
      <c r="A215" t="s">
        <v>213</v>
      </c>
      <c r="B215" s="7" t="s">
        <v>1040</v>
      </c>
    </row>
    <row r="216" spans="1:6" x14ac:dyDescent="0.35">
      <c r="A216" t="s">
        <v>214</v>
      </c>
      <c r="B216" s="7" t="s">
        <v>1041</v>
      </c>
    </row>
    <row r="217" spans="1:6" x14ac:dyDescent="0.35">
      <c r="A217" t="s">
        <v>215</v>
      </c>
      <c r="B217" s="7" t="s">
        <v>1042</v>
      </c>
    </row>
    <row r="218" spans="1:6" x14ac:dyDescent="0.35">
      <c r="A218" t="s">
        <v>508</v>
      </c>
      <c r="B218" s="7" t="s">
        <v>1332</v>
      </c>
      <c r="C218">
        <v>2.8380000000000001</v>
      </c>
      <c r="D218" t="s">
        <v>3481</v>
      </c>
      <c r="E218" s="57">
        <v>44611</v>
      </c>
      <c r="F218" t="s">
        <v>3321</v>
      </c>
    </row>
    <row r="219" spans="1:6" x14ac:dyDescent="0.35">
      <c r="A219" t="s">
        <v>217</v>
      </c>
      <c r="B219" s="7" t="s">
        <v>1044</v>
      </c>
    </row>
    <row r="220" spans="1:6" x14ac:dyDescent="0.35">
      <c r="A220" t="s">
        <v>218</v>
      </c>
      <c r="B220" s="7" t="s">
        <v>1045</v>
      </c>
    </row>
    <row r="221" spans="1:6" x14ac:dyDescent="0.35">
      <c r="A221" t="s">
        <v>219</v>
      </c>
      <c r="B221" s="7" t="s">
        <v>1046</v>
      </c>
    </row>
    <row r="222" spans="1:6" x14ac:dyDescent="0.35">
      <c r="A222" t="s">
        <v>220</v>
      </c>
      <c r="B222" s="7" t="s">
        <v>1047</v>
      </c>
    </row>
    <row r="223" spans="1:6" x14ac:dyDescent="0.35">
      <c r="A223" t="s">
        <v>221</v>
      </c>
      <c r="B223" s="7" t="s">
        <v>1048</v>
      </c>
    </row>
    <row r="224" spans="1:6" x14ac:dyDescent="0.35">
      <c r="A224" t="s">
        <v>222</v>
      </c>
      <c r="B224" s="7" t="s">
        <v>1049</v>
      </c>
    </row>
    <row r="225" spans="1:6" x14ac:dyDescent="0.35">
      <c r="A225" t="s">
        <v>223</v>
      </c>
      <c r="B225" s="7" t="s">
        <v>1050</v>
      </c>
    </row>
    <row r="226" spans="1:6" x14ac:dyDescent="0.35">
      <c r="A226" t="s">
        <v>224</v>
      </c>
      <c r="B226" s="7" t="s">
        <v>1051</v>
      </c>
    </row>
    <row r="227" spans="1:6" x14ac:dyDescent="0.35">
      <c r="A227" t="s">
        <v>225</v>
      </c>
      <c r="B227" s="7" t="s">
        <v>1052</v>
      </c>
    </row>
    <row r="228" spans="1:6" x14ac:dyDescent="0.35">
      <c r="A228" t="s">
        <v>226</v>
      </c>
      <c r="B228" s="7" t="s">
        <v>1053</v>
      </c>
    </row>
    <row r="229" spans="1:6" x14ac:dyDescent="0.35">
      <c r="A229" t="s">
        <v>227</v>
      </c>
      <c r="B229" s="7" t="s">
        <v>1054</v>
      </c>
    </row>
    <row r="230" spans="1:6" x14ac:dyDescent="0.35">
      <c r="A230" t="s">
        <v>228</v>
      </c>
      <c r="B230" s="7" t="s">
        <v>1055</v>
      </c>
    </row>
    <row r="231" spans="1:6" x14ac:dyDescent="0.35">
      <c r="A231" t="s">
        <v>229</v>
      </c>
      <c r="B231" s="7" t="s">
        <v>1056</v>
      </c>
    </row>
    <row r="232" spans="1:6" x14ac:dyDescent="0.35">
      <c r="A232" t="s">
        <v>230</v>
      </c>
      <c r="B232" s="7" t="s">
        <v>1057</v>
      </c>
    </row>
    <row r="233" spans="1:6" x14ac:dyDescent="0.35">
      <c r="A233" t="s">
        <v>231</v>
      </c>
      <c r="B233" s="7" t="s">
        <v>1058</v>
      </c>
    </row>
    <row r="234" spans="1:6" x14ac:dyDescent="0.35">
      <c r="A234" t="s">
        <v>232</v>
      </c>
      <c r="B234" s="7" t="s">
        <v>1059</v>
      </c>
    </row>
    <row r="235" spans="1:6" x14ac:dyDescent="0.35">
      <c r="A235" t="s">
        <v>796</v>
      </c>
      <c r="B235" s="7" t="s">
        <v>1619</v>
      </c>
      <c r="C235">
        <v>0.3513</v>
      </c>
      <c r="D235" t="s">
        <v>3481</v>
      </c>
      <c r="E235" s="57">
        <v>44580</v>
      </c>
      <c r="F235" t="s">
        <v>3321</v>
      </c>
    </row>
    <row r="236" spans="1:6" x14ac:dyDescent="0.35">
      <c r="A236" t="s">
        <v>234</v>
      </c>
      <c r="B236" s="7" t="s">
        <v>1061</v>
      </c>
    </row>
    <row r="237" spans="1:6" x14ac:dyDescent="0.35">
      <c r="A237" t="s">
        <v>235</v>
      </c>
      <c r="B237" s="7" t="s">
        <v>1062</v>
      </c>
    </row>
    <row r="238" spans="1:6" x14ac:dyDescent="0.35">
      <c r="A238" t="s">
        <v>236</v>
      </c>
      <c r="B238" s="7" t="s">
        <v>1063</v>
      </c>
    </row>
    <row r="239" spans="1:6" x14ac:dyDescent="0.35">
      <c r="A239" t="s">
        <v>237</v>
      </c>
      <c r="B239" s="7" t="s">
        <v>897</v>
      </c>
    </row>
    <row r="240" spans="1:6" x14ac:dyDescent="0.35">
      <c r="A240" t="s">
        <v>238</v>
      </c>
      <c r="B240" s="7" t="s">
        <v>1064</v>
      </c>
    </row>
    <row r="241" spans="1:2" x14ac:dyDescent="0.35">
      <c r="A241" t="s">
        <v>239</v>
      </c>
      <c r="B241" s="7" t="s">
        <v>1065</v>
      </c>
    </row>
    <row r="242" spans="1:2" x14ac:dyDescent="0.35">
      <c r="A242" t="s">
        <v>240</v>
      </c>
      <c r="B242" s="7" t="s">
        <v>1066</v>
      </c>
    </row>
    <row r="243" spans="1:2" x14ac:dyDescent="0.35">
      <c r="A243" t="s">
        <v>241</v>
      </c>
      <c r="B243" s="7" t="s">
        <v>1067</v>
      </c>
    </row>
    <row r="244" spans="1:2" x14ac:dyDescent="0.35">
      <c r="A244" t="s">
        <v>242</v>
      </c>
      <c r="B244" s="7" t="s">
        <v>1068</v>
      </c>
    </row>
    <row r="245" spans="1:2" x14ac:dyDescent="0.35">
      <c r="A245" t="s">
        <v>243</v>
      </c>
      <c r="B245" s="7" t="s">
        <v>1069</v>
      </c>
    </row>
    <row r="246" spans="1:2" x14ac:dyDescent="0.35">
      <c r="A246" t="s">
        <v>244</v>
      </c>
      <c r="B246" s="7" t="s">
        <v>1070</v>
      </c>
    </row>
    <row r="247" spans="1:2" x14ac:dyDescent="0.35">
      <c r="A247" t="s">
        <v>245</v>
      </c>
      <c r="B247" s="7" t="s">
        <v>1071</v>
      </c>
    </row>
    <row r="248" spans="1:2" x14ac:dyDescent="0.35">
      <c r="A248" t="s">
        <v>246</v>
      </c>
      <c r="B248" s="7" t="s">
        <v>1072</v>
      </c>
    </row>
    <row r="249" spans="1:2" x14ac:dyDescent="0.35">
      <c r="A249" t="s">
        <v>247</v>
      </c>
      <c r="B249" s="7" t="s">
        <v>1073</v>
      </c>
    </row>
    <row r="250" spans="1:2" x14ac:dyDescent="0.35">
      <c r="A250" t="s">
        <v>248</v>
      </c>
      <c r="B250" s="7" t="s">
        <v>1074</v>
      </c>
    </row>
    <row r="251" spans="1:2" x14ac:dyDescent="0.35">
      <c r="A251" t="s">
        <v>249</v>
      </c>
      <c r="B251" s="7" t="s">
        <v>1075</v>
      </c>
    </row>
    <row r="252" spans="1:2" x14ac:dyDescent="0.35">
      <c r="A252" t="s">
        <v>250</v>
      </c>
      <c r="B252" s="7" t="s">
        <v>1076</v>
      </c>
    </row>
    <row r="253" spans="1:2" x14ac:dyDescent="0.35">
      <c r="A253" t="s">
        <v>251</v>
      </c>
      <c r="B253" s="7" t="s">
        <v>1077</v>
      </c>
    </row>
    <row r="254" spans="1:2" x14ac:dyDescent="0.35">
      <c r="A254" t="s">
        <v>252</v>
      </c>
      <c r="B254" s="7" t="s">
        <v>1078</v>
      </c>
    </row>
    <row r="255" spans="1:2" x14ac:dyDescent="0.35">
      <c r="A255" t="s">
        <v>253</v>
      </c>
      <c r="B255" s="7" t="s">
        <v>1079</v>
      </c>
    </row>
    <row r="256" spans="1:2" x14ac:dyDescent="0.35">
      <c r="A256" t="s">
        <v>254</v>
      </c>
      <c r="B256" s="7" t="s">
        <v>1080</v>
      </c>
    </row>
    <row r="257" spans="1:6" x14ac:dyDescent="0.35">
      <c r="A257" t="s">
        <v>806</v>
      </c>
      <c r="B257" s="7" t="s">
        <v>1629</v>
      </c>
      <c r="C257">
        <v>2.9710000000000001</v>
      </c>
      <c r="D257" t="s">
        <v>3481</v>
      </c>
      <c r="E257" s="57">
        <v>44580</v>
      </c>
      <c r="F257" t="s">
        <v>3321</v>
      </c>
    </row>
    <row r="258" spans="1:6" x14ac:dyDescent="0.35">
      <c r="A258" t="s">
        <v>256</v>
      </c>
      <c r="B258" s="7" t="s">
        <v>1082</v>
      </c>
    </row>
    <row r="259" spans="1:6" x14ac:dyDescent="0.35">
      <c r="A259" t="s">
        <v>257</v>
      </c>
      <c r="B259" s="7" t="s">
        <v>1083</v>
      </c>
    </row>
    <row r="260" spans="1:6" x14ac:dyDescent="0.35">
      <c r="A260" t="s">
        <v>258</v>
      </c>
      <c r="B260" s="7" t="s">
        <v>1084</v>
      </c>
    </row>
    <row r="261" spans="1:6" x14ac:dyDescent="0.35">
      <c r="A261" t="s">
        <v>259</v>
      </c>
      <c r="B261" s="7" t="s">
        <v>1085</v>
      </c>
    </row>
    <row r="262" spans="1:6" x14ac:dyDescent="0.35">
      <c r="A262" t="s">
        <v>260</v>
      </c>
      <c r="B262" s="7" t="s">
        <v>1086</v>
      </c>
    </row>
    <row r="263" spans="1:6" x14ac:dyDescent="0.35">
      <c r="A263" t="s">
        <v>261</v>
      </c>
      <c r="B263" s="7" t="s">
        <v>1087</v>
      </c>
    </row>
    <row r="264" spans="1:6" x14ac:dyDescent="0.35">
      <c r="A264" t="s">
        <v>262</v>
      </c>
      <c r="B264" s="7" t="s">
        <v>1088</v>
      </c>
    </row>
    <row r="265" spans="1:6" x14ac:dyDescent="0.35">
      <c r="A265" t="s">
        <v>263</v>
      </c>
      <c r="B265" s="7" t="s">
        <v>1089</v>
      </c>
    </row>
    <row r="266" spans="1:6" x14ac:dyDescent="0.35">
      <c r="A266" t="s">
        <v>264</v>
      </c>
      <c r="B266" s="7" t="s">
        <v>1090</v>
      </c>
    </row>
    <row r="267" spans="1:6" x14ac:dyDescent="0.35">
      <c r="A267" t="s">
        <v>265</v>
      </c>
      <c r="B267" s="7" t="s">
        <v>1091</v>
      </c>
    </row>
    <row r="268" spans="1:6" x14ac:dyDescent="0.35">
      <c r="A268" t="s">
        <v>266</v>
      </c>
      <c r="B268" s="7" t="s">
        <v>1092</v>
      </c>
    </row>
    <row r="269" spans="1:6" x14ac:dyDescent="0.35">
      <c r="A269" t="s">
        <v>267</v>
      </c>
      <c r="B269" s="7" t="s">
        <v>1093</v>
      </c>
    </row>
    <row r="270" spans="1:6" x14ac:dyDescent="0.35">
      <c r="A270" t="s">
        <v>268</v>
      </c>
      <c r="B270" s="7" t="s">
        <v>1094</v>
      </c>
    </row>
    <row r="271" spans="1:6" x14ac:dyDescent="0.35">
      <c r="A271" t="s">
        <v>269</v>
      </c>
      <c r="B271" s="7" t="s">
        <v>1095</v>
      </c>
    </row>
    <row r="272" spans="1:6" x14ac:dyDescent="0.35">
      <c r="A272" t="s">
        <v>270</v>
      </c>
      <c r="B272" s="7" t="s">
        <v>1096</v>
      </c>
    </row>
    <row r="273" spans="1:6" x14ac:dyDescent="0.35">
      <c r="A273" t="s">
        <v>271</v>
      </c>
      <c r="B273" s="7" t="s">
        <v>1097</v>
      </c>
    </row>
    <row r="274" spans="1:6" x14ac:dyDescent="0.35">
      <c r="A274" t="s">
        <v>272</v>
      </c>
      <c r="B274" s="7" t="s">
        <v>1098</v>
      </c>
    </row>
    <row r="275" spans="1:6" x14ac:dyDescent="0.35">
      <c r="A275" t="s">
        <v>273</v>
      </c>
      <c r="B275" s="7" t="s">
        <v>1099</v>
      </c>
    </row>
    <row r="276" spans="1:6" x14ac:dyDescent="0.35">
      <c r="A276" t="s">
        <v>274</v>
      </c>
      <c r="B276" s="7" t="s">
        <v>1100</v>
      </c>
    </row>
    <row r="277" spans="1:6" x14ac:dyDescent="0.35">
      <c r="A277" t="s">
        <v>275</v>
      </c>
      <c r="B277" s="7" t="s">
        <v>1101</v>
      </c>
    </row>
    <row r="278" spans="1:6" x14ac:dyDescent="0.35">
      <c r="A278" t="s">
        <v>276</v>
      </c>
      <c r="B278" s="7" t="s">
        <v>1102</v>
      </c>
    </row>
    <row r="279" spans="1:6" x14ac:dyDescent="0.35">
      <c r="A279" t="s">
        <v>277</v>
      </c>
      <c r="B279" s="7" t="s">
        <v>1103</v>
      </c>
    </row>
    <row r="280" spans="1:6" x14ac:dyDescent="0.35">
      <c r="A280" t="s">
        <v>278</v>
      </c>
      <c r="B280" s="7" t="s">
        <v>1104</v>
      </c>
    </row>
    <row r="281" spans="1:6" x14ac:dyDescent="0.35">
      <c r="A281" t="s">
        <v>279</v>
      </c>
      <c r="B281" s="7" t="s">
        <v>1105</v>
      </c>
    </row>
    <row r="282" spans="1:6" x14ac:dyDescent="0.35">
      <c r="A282" t="s">
        <v>280</v>
      </c>
      <c r="B282" s="7" t="s">
        <v>1106</v>
      </c>
    </row>
    <row r="283" spans="1:6" x14ac:dyDescent="0.35">
      <c r="A283" t="s">
        <v>281</v>
      </c>
      <c r="B283" s="7" t="s">
        <v>1107</v>
      </c>
    </row>
    <row r="284" spans="1:6" x14ac:dyDescent="0.35">
      <c r="A284" t="s">
        <v>282</v>
      </c>
      <c r="B284" s="7" t="s">
        <v>1108</v>
      </c>
    </row>
    <row r="285" spans="1:6" x14ac:dyDescent="0.35">
      <c r="A285" t="s">
        <v>283</v>
      </c>
      <c r="B285" s="7" t="s">
        <v>1109</v>
      </c>
    </row>
    <row r="286" spans="1:6" x14ac:dyDescent="0.35">
      <c r="A286" s="2" t="s">
        <v>284</v>
      </c>
    </row>
    <row r="287" spans="1:6" x14ac:dyDescent="0.35">
      <c r="A287" t="s">
        <v>285</v>
      </c>
      <c r="B287" s="7" t="s">
        <v>1110</v>
      </c>
    </row>
    <row r="288" spans="1:6" x14ac:dyDescent="0.35">
      <c r="A288" t="s">
        <v>101</v>
      </c>
      <c r="B288" s="7" t="s">
        <v>930</v>
      </c>
      <c r="C288">
        <v>8.0069999999999997</v>
      </c>
      <c r="D288" t="s">
        <v>3481</v>
      </c>
      <c r="E288" s="57">
        <v>44580</v>
      </c>
      <c r="F288" t="s">
        <v>3321</v>
      </c>
    </row>
    <row r="289" spans="1:2" x14ac:dyDescent="0.35">
      <c r="A289" t="s">
        <v>287</v>
      </c>
      <c r="B289" s="7" t="s">
        <v>1112</v>
      </c>
    </row>
    <row r="290" spans="1:2" x14ac:dyDescent="0.35">
      <c r="A290" t="s">
        <v>288</v>
      </c>
      <c r="B290" s="7" t="s">
        <v>1113</v>
      </c>
    </row>
    <row r="291" spans="1:2" x14ac:dyDescent="0.35">
      <c r="A291" t="s">
        <v>289</v>
      </c>
      <c r="B291" s="7" t="s">
        <v>1114</v>
      </c>
    </row>
    <row r="292" spans="1:2" x14ac:dyDescent="0.35">
      <c r="A292" t="s">
        <v>290</v>
      </c>
      <c r="B292" s="7" t="s">
        <v>1115</v>
      </c>
    </row>
    <row r="293" spans="1:2" x14ac:dyDescent="0.35">
      <c r="A293" t="s">
        <v>291</v>
      </c>
      <c r="B293" s="7" t="s">
        <v>1116</v>
      </c>
    </row>
    <row r="294" spans="1:2" x14ac:dyDescent="0.35">
      <c r="A294" t="s">
        <v>292</v>
      </c>
      <c r="B294" s="7" t="s">
        <v>1117</v>
      </c>
    </row>
    <row r="295" spans="1:2" x14ac:dyDescent="0.35">
      <c r="A295" t="s">
        <v>293</v>
      </c>
      <c r="B295" s="7" t="s">
        <v>1118</v>
      </c>
    </row>
    <row r="296" spans="1:2" x14ac:dyDescent="0.35">
      <c r="A296" t="s">
        <v>294</v>
      </c>
      <c r="B296" s="7" t="s">
        <v>1119</v>
      </c>
    </row>
    <row r="297" spans="1:2" x14ac:dyDescent="0.35">
      <c r="A297" t="s">
        <v>295</v>
      </c>
      <c r="B297" s="7" t="s">
        <v>1120</v>
      </c>
    </row>
    <row r="298" spans="1:2" x14ac:dyDescent="0.35">
      <c r="A298" t="s">
        <v>296</v>
      </c>
      <c r="B298" s="7" t="s">
        <v>1121</v>
      </c>
    </row>
    <row r="299" spans="1:2" x14ac:dyDescent="0.35">
      <c r="A299" t="s">
        <v>297</v>
      </c>
      <c r="B299" s="7" t="s">
        <v>1122</v>
      </c>
    </row>
    <row r="300" spans="1:2" x14ac:dyDescent="0.35">
      <c r="A300" t="s">
        <v>298</v>
      </c>
      <c r="B300" s="7" t="s">
        <v>1123</v>
      </c>
    </row>
    <row r="301" spans="1:2" x14ac:dyDescent="0.35">
      <c r="A301" t="s">
        <v>299</v>
      </c>
      <c r="B301" s="7" t="s">
        <v>1124</v>
      </c>
    </row>
    <row r="302" spans="1:2" x14ac:dyDescent="0.35">
      <c r="A302" t="s">
        <v>300</v>
      </c>
      <c r="B302" s="7" t="s">
        <v>1125</v>
      </c>
    </row>
    <row r="303" spans="1:2" x14ac:dyDescent="0.35">
      <c r="A303" t="s">
        <v>301</v>
      </c>
      <c r="B303" s="7" t="s">
        <v>1126</v>
      </c>
    </row>
    <row r="304" spans="1:2" x14ac:dyDescent="0.35">
      <c r="A304" t="s">
        <v>302</v>
      </c>
      <c r="B304" s="7" t="s">
        <v>1127</v>
      </c>
    </row>
    <row r="305" spans="1:2" x14ac:dyDescent="0.35">
      <c r="A305" t="s">
        <v>303</v>
      </c>
      <c r="B305" s="7" t="s">
        <v>1128</v>
      </c>
    </row>
    <row r="306" spans="1:2" x14ac:dyDescent="0.35">
      <c r="A306" t="s">
        <v>304</v>
      </c>
      <c r="B306" s="7" t="s">
        <v>1129</v>
      </c>
    </row>
    <row r="307" spans="1:2" x14ac:dyDescent="0.35">
      <c r="A307" t="s">
        <v>305</v>
      </c>
      <c r="B307" s="7" t="s">
        <v>1130</v>
      </c>
    </row>
    <row r="308" spans="1:2" x14ac:dyDescent="0.35">
      <c r="A308" t="s">
        <v>306</v>
      </c>
      <c r="B308" s="7" t="s">
        <v>1131</v>
      </c>
    </row>
    <row r="309" spans="1:2" x14ac:dyDescent="0.35">
      <c r="A309" t="s">
        <v>307</v>
      </c>
      <c r="B309" s="7" t="s">
        <v>1132</v>
      </c>
    </row>
    <row r="310" spans="1:2" x14ac:dyDescent="0.35">
      <c r="A310" t="s">
        <v>308</v>
      </c>
      <c r="B310" s="7" t="s">
        <v>1133</v>
      </c>
    </row>
    <row r="311" spans="1:2" x14ac:dyDescent="0.35">
      <c r="A311" t="s">
        <v>309</v>
      </c>
      <c r="B311" s="7" t="s">
        <v>1134</v>
      </c>
    </row>
    <row r="312" spans="1:2" x14ac:dyDescent="0.35">
      <c r="A312" t="s">
        <v>310</v>
      </c>
      <c r="B312" s="7" t="s">
        <v>1135</v>
      </c>
    </row>
    <row r="313" spans="1:2" x14ac:dyDescent="0.35">
      <c r="A313" t="s">
        <v>311</v>
      </c>
      <c r="B313" s="7" t="s">
        <v>1136</v>
      </c>
    </row>
    <row r="314" spans="1:2" x14ac:dyDescent="0.35">
      <c r="A314" t="s">
        <v>312</v>
      </c>
      <c r="B314" s="7" t="s">
        <v>1137</v>
      </c>
    </row>
    <row r="315" spans="1:2" x14ac:dyDescent="0.35">
      <c r="A315" t="s">
        <v>313</v>
      </c>
      <c r="B315" s="7" t="s">
        <v>1138</v>
      </c>
    </row>
    <row r="316" spans="1:2" x14ac:dyDescent="0.35">
      <c r="A316" t="s">
        <v>314</v>
      </c>
      <c r="B316" s="7" t="s">
        <v>1139</v>
      </c>
    </row>
    <row r="317" spans="1:2" x14ac:dyDescent="0.35">
      <c r="A317" t="s">
        <v>315</v>
      </c>
      <c r="B317" s="7" t="s">
        <v>1140</v>
      </c>
    </row>
    <row r="318" spans="1:2" x14ac:dyDescent="0.35">
      <c r="A318" t="s">
        <v>316</v>
      </c>
      <c r="B318" s="7" t="s">
        <v>1141</v>
      </c>
    </row>
    <row r="319" spans="1:2" x14ac:dyDescent="0.35">
      <c r="A319" t="s">
        <v>317</v>
      </c>
      <c r="B319" s="7" t="s">
        <v>1142</v>
      </c>
    </row>
    <row r="320" spans="1:2" x14ac:dyDescent="0.35">
      <c r="A320" t="s">
        <v>318</v>
      </c>
      <c r="B320" s="7" t="s">
        <v>1143</v>
      </c>
    </row>
    <row r="321" spans="1:2" x14ac:dyDescent="0.35">
      <c r="A321" t="s">
        <v>319</v>
      </c>
      <c r="B321" s="7" t="s">
        <v>1144</v>
      </c>
    </row>
    <row r="322" spans="1:2" x14ac:dyDescent="0.35">
      <c r="A322" t="s">
        <v>320</v>
      </c>
      <c r="B322" s="7" t="s">
        <v>1145</v>
      </c>
    </row>
    <row r="323" spans="1:2" x14ac:dyDescent="0.35">
      <c r="A323" t="s">
        <v>321</v>
      </c>
      <c r="B323" s="7" t="s">
        <v>1146</v>
      </c>
    </row>
    <row r="324" spans="1:2" x14ac:dyDescent="0.35">
      <c r="A324" t="s">
        <v>322</v>
      </c>
      <c r="B324" s="7" t="s">
        <v>1147</v>
      </c>
    </row>
    <row r="325" spans="1:2" x14ac:dyDescent="0.35">
      <c r="A325" t="s">
        <v>323</v>
      </c>
      <c r="B325" s="7" t="s">
        <v>1148</v>
      </c>
    </row>
    <row r="326" spans="1:2" x14ac:dyDescent="0.35">
      <c r="A326" t="s">
        <v>324</v>
      </c>
      <c r="B326" s="7" t="s">
        <v>1149</v>
      </c>
    </row>
    <row r="327" spans="1:2" x14ac:dyDescent="0.35">
      <c r="A327" t="s">
        <v>325</v>
      </c>
      <c r="B327" s="7" t="s">
        <v>1150</v>
      </c>
    </row>
    <row r="328" spans="1:2" x14ac:dyDescent="0.35">
      <c r="A328" t="s">
        <v>326</v>
      </c>
      <c r="B328" s="7" t="s">
        <v>1151</v>
      </c>
    </row>
    <row r="329" spans="1:2" x14ac:dyDescent="0.35">
      <c r="A329" t="s">
        <v>327</v>
      </c>
      <c r="B329" s="7" t="s">
        <v>1152</v>
      </c>
    </row>
    <row r="330" spans="1:2" x14ac:dyDescent="0.35">
      <c r="A330" t="s">
        <v>328</v>
      </c>
      <c r="B330" s="7" t="s">
        <v>1153</v>
      </c>
    </row>
    <row r="331" spans="1:2" x14ac:dyDescent="0.35">
      <c r="A331" t="s">
        <v>329</v>
      </c>
      <c r="B331" s="7" t="s">
        <v>1154</v>
      </c>
    </row>
    <row r="332" spans="1:2" x14ac:dyDescent="0.35">
      <c r="A332" t="s">
        <v>330</v>
      </c>
      <c r="B332" s="7" t="s">
        <v>1155</v>
      </c>
    </row>
    <row r="333" spans="1:2" x14ac:dyDescent="0.35">
      <c r="A333" t="s">
        <v>331</v>
      </c>
      <c r="B333" s="7" t="s">
        <v>1156</v>
      </c>
    </row>
    <row r="334" spans="1:2" x14ac:dyDescent="0.35">
      <c r="A334" t="s">
        <v>332</v>
      </c>
      <c r="B334" s="7" t="s">
        <v>1157</v>
      </c>
    </row>
    <row r="335" spans="1:2" x14ac:dyDescent="0.35">
      <c r="A335" t="s">
        <v>333</v>
      </c>
      <c r="B335" s="7" t="s">
        <v>1158</v>
      </c>
    </row>
    <row r="336" spans="1:2" x14ac:dyDescent="0.35">
      <c r="A336" t="s">
        <v>334</v>
      </c>
      <c r="B336" s="7" t="s">
        <v>1159</v>
      </c>
    </row>
    <row r="337" spans="1:2" x14ac:dyDescent="0.35">
      <c r="A337" t="s">
        <v>335</v>
      </c>
      <c r="B337" s="7" t="s">
        <v>1160</v>
      </c>
    </row>
    <row r="338" spans="1:2" x14ac:dyDescent="0.35">
      <c r="A338" t="s">
        <v>336</v>
      </c>
      <c r="B338" s="7" t="s">
        <v>1161</v>
      </c>
    </row>
    <row r="339" spans="1:2" x14ac:dyDescent="0.35">
      <c r="A339" t="s">
        <v>337</v>
      </c>
      <c r="B339" s="7" t="s">
        <v>1161</v>
      </c>
    </row>
    <row r="340" spans="1:2" x14ac:dyDescent="0.35">
      <c r="A340" t="s">
        <v>338</v>
      </c>
      <c r="B340" s="7" t="s">
        <v>1162</v>
      </c>
    </row>
    <row r="341" spans="1:2" x14ac:dyDescent="0.35">
      <c r="A341" t="s">
        <v>339</v>
      </c>
      <c r="B341" s="7" t="s">
        <v>1163</v>
      </c>
    </row>
    <row r="342" spans="1:2" x14ac:dyDescent="0.35">
      <c r="A342" t="s">
        <v>340</v>
      </c>
      <c r="B342" s="7" t="s">
        <v>1164</v>
      </c>
    </row>
    <row r="343" spans="1:2" x14ac:dyDescent="0.35">
      <c r="A343" t="s">
        <v>341</v>
      </c>
      <c r="B343" s="7" t="s">
        <v>1165</v>
      </c>
    </row>
    <row r="344" spans="1:2" x14ac:dyDescent="0.35">
      <c r="A344" t="s">
        <v>342</v>
      </c>
      <c r="B344" s="7" t="s">
        <v>1166</v>
      </c>
    </row>
    <row r="345" spans="1:2" x14ac:dyDescent="0.35">
      <c r="A345" t="s">
        <v>343</v>
      </c>
      <c r="B345" s="7" t="s">
        <v>1167</v>
      </c>
    </row>
    <row r="346" spans="1:2" x14ac:dyDescent="0.35">
      <c r="A346" t="s">
        <v>344</v>
      </c>
      <c r="B346" s="7" t="s">
        <v>1168</v>
      </c>
    </row>
    <row r="347" spans="1:2" x14ac:dyDescent="0.35">
      <c r="A347" t="s">
        <v>345</v>
      </c>
      <c r="B347" s="7" t="s">
        <v>1169</v>
      </c>
    </row>
    <row r="348" spans="1:2" x14ac:dyDescent="0.35">
      <c r="A348" t="s">
        <v>346</v>
      </c>
      <c r="B348" s="7" t="s">
        <v>1170</v>
      </c>
    </row>
    <row r="349" spans="1:2" x14ac:dyDescent="0.35">
      <c r="A349" t="s">
        <v>347</v>
      </c>
      <c r="B349" s="7" t="s">
        <v>1171</v>
      </c>
    </row>
    <row r="350" spans="1:2" x14ac:dyDescent="0.35">
      <c r="A350" t="s">
        <v>348</v>
      </c>
      <c r="B350" s="7" t="s">
        <v>1172</v>
      </c>
    </row>
    <row r="351" spans="1:2" x14ac:dyDescent="0.35">
      <c r="A351" t="s">
        <v>349</v>
      </c>
      <c r="B351" s="7" t="s">
        <v>1173</v>
      </c>
    </row>
    <row r="352" spans="1:2" x14ac:dyDescent="0.35">
      <c r="A352" t="s">
        <v>350</v>
      </c>
      <c r="B352" s="7" t="s">
        <v>1174</v>
      </c>
    </row>
    <row r="353" spans="1:2" x14ac:dyDescent="0.35">
      <c r="A353" t="s">
        <v>351</v>
      </c>
      <c r="B353" s="7" t="s">
        <v>1175</v>
      </c>
    </row>
    <row r="354" spans="1:2" x14ac:dyDescent="0.35">
      <c r="A354" t="s">
        <v>352</v>
      </c>
      <c r="B354" s="7" t="s">
        <v>1176</v>
      </c>
    </row>
    <row r="355" spans="1:2" x14ac:dyDescent="0.35">
      <c r="A355" t="s">
        <v>353</v>
      </c>
      <c r="B355" s="7" t="s">
        <v>1177</v>
      </c>
    </row>
    <row r="356" spans="1:2" x14ac:dyDescent="0.35">
      <c r="A356" t="s">
        <v>354</v>
      </c>
      <c r="B356" s="7" t="s">
        <v>1178</v>
      </c>
    </row>
    <row r="357" spans="1:2" x14ac:dyDescent="0.35">
      <c r="A357" t="s">
        <v>355</v>
      </c>
      <c r="B357" s="7" t="s">
        <v>1179</v>
      </c>
    </row>
    <row r="358" spans="1:2" x14ac:dyDescent="0.35">
      <c r="A358" t="s">
        <v>356</v>
      </c>
      <c r="B358" s="7" t="s">
        <v>1180</v>
      </c>
    </row>
    <row r="359" spans="1:2" x14ac:dyDescent="0.35">
      <c r="A359" t="s">
        <v>357</v>
      </c>
      <c r="B359" s="7" t="s">
        <v>1181</v>
      </c>
    </row>
    <row r="360" spans="1:2" x14ac:dyDescent="0.35">
      <c r="A360" t="s">
        <v>358</v>
      </c>
      <c r="B360" s="7" t="s">
        <v>1182</v>
      </c>
    </row>
    <row r="361" spans="1:2" x14ac:dyDescent="0.35">
      <c r="A361" t="s">
        <v>359</v>
      </c>
      <c r="B361" s="7" t="s">
        <v>1183</v>
      </c>
    </row>
    <row r="362" spans="1:2" x14ac:dyDescent="0.35">
      <c r="A362" t="s">
        <v>360</v>
      </c>
      <c r="B362" s="7" t="s">
        <v>1184</v>
      </c>
    </row>
    <row r="363" spans="1:2" x14ac:dyDescent="0.35">
      <c r="A363" t="s">
        <v>361</v>
      </c>
      <c r="B363" s="7" t="s">
        <v>1185</v>
      </c>
    </row>
    <row r="364" spans="1:2" x14ac:dyDescent="0.35">
      <c r="A364" t="s">
        <v>362</v>
      </c>
      <c r="B364" s="7" t="s">
        <v>1186</v>
      </c>
    </row>
    <row r="365" spans="1:2" x14ac:dyDescent="0.35">
      <c r="A365" t="s">
        <v>363</v>
      </c>
      <c r="B365" s="7" t="s">
        <v>1187</v>
      </c>
    </row>
    <row r="366" spans="1:2" x14ac:dyDescent="0.35">
      <c r="A366" t="s">
        <v>364</v>
      </c>
      <c r="B366" s="7" t="s">
        <v>1188</v>
      </c>
    </row>
    <row r="367" spans="1:2" x14ac:dyDescent="0.35">
      <c r="A367" t="s">
        <v>365</v>
      </c>
      <c r="B367" s="7" t="s">
        <v>1189</v>
      </c>
    </row>
    <row r="368" spans="1:2" x14ac:dyDescent="0.35">
      <c r="A368" t="s">
        <v>366</v>
      </c>
      <c r="B368" s="7" t="s">
        <v>1190</v>
      </c>
    </row>
    <row r="369" spans="1:2" x14ac:dyDescent="0.35">
      <c r="A369" t="s">
        <v>367</v>
      </c>
      <c r="B369" s="7" t="s">
        <v>1191</v>
      </c>
    </row>
    <row r="370" spans="1:2" x14ac:dyDescent="0.35">
      <c r="A370" t="s">
        <v>368</v>
      </c>
      <c r="B370" s="7" t="s">
        <v>1192</v>
      </c>
    </row>
    <row r="371" spans="1:2" x14ac:dyDescent="0.35">
      <c r="A371" t="s">
        <v>369</v>
      </c>
      <c r="B371" s="7" t="s">
        <v>1193</v>
      </c>
    </row>
    <row r="372" spans="1:2" x14ac:dyDescent="0.35">
      <c r="A372" t="s">
        <v>370</v>
      </c>
      <c r="B372" s="7" t="s">
        <v>1194</v>
      </c>
    </row>
    <row r="373" spans="1:2" x14ac:dyDescent="0.35">
      <c r="A373" t="s">
        <v>371</v>
      </c>
      <c r="B373" s="7" t="s">
        <v>1195</v>
      </c>
    </row>
    <row r="374" spans="1:2" x14ac:dyDescent="0.35">
      <c r="A374" t="s">
        <v>372</v>
      </c>
      <c r="B374" s="7" t="s">
        <v>1196</v>
      </c>
    </row>
    <row r="375" spans="1:2" x14ac:dyDescent="0.35">
      <c r="A375" t="s">
        <v>373</v>
      </c>
      <c r="B375" s="7" t="s">
        <v>1197</v>
      </c>
    </row>
    <row r="376" spans="1:2" x14ac:dyDescent="0.35">
      <c r="A376" t="s">
        <v>374</v>
      </c>
      <c r="B376" s="7" t="s">
        <v>1198</v>
      </c>
    </row>
    <row r="377" spans="1:2" x14ac:dyDescent="0.35">
      <c r="A377" t="s">
        <v>375</v>
      </c>
      <c r="B377" s="7" t="s">
        <v>1199</v>
      </c>
    </row>
    <row r="378" spans="1:2" x14ac:dyDescent="0.35">
      <c r="A378" t="s">
        <v>376</v>
      </c>
      <c r="B378" s="7" t="s">
        <v>1200</v>
      </c>
    </row>
    <row r="379" spans="1:2" x14ac:dyDescent="0.35">
      <c r="A379" t="s">
        <v>377</v>
      </c>
      <c r="B379" s="7" t="s">
        <v>1201</v>
      </c>
    </row>
    <row r="380" spans="1:2" x14ac:dyDescent="0.35">
      <c r="A380" t="s">
        <v>378</v>
      </c>
      <c r="B380" s="7" t="s">
        <v>1202</v>
      </c>
    </row>
    <row r="381" spans="1:2" x14ac:dyDescent="0.35">
      <c r="A381" t="s">
        <v>379</v>
      </c>
      <c r="B381" s="7" t="s">
        <v>1203</v>
      </c>
    </row>
    <row r="382" spans="1:2" x14ac:dyDescent="0.35">
      <c r="A382" t="s">
        <v>380</v>
      </c>
      <c r="B382" s="7" t="s">
        <v>1204</v>
      </c>
    </row>
    <row r="383" spans="1:2" x14ac:dyDescent="0.35">
      <c r="A383" t="s">
        <v>381</v>
      </c>
      <c r="B383" s="7" t="s">
        <v>1205</v>
      </c>
    </row>
    <row r="384" spans="1:2" x14ac:dyDescent="0.35">
      <c r="A384" t="s">
        <v>382</v>
      </c>
      <c r="B384" s="7" t="s">
        <v>1206</v>
      </c>
    </row>
    <row r="385" spans="1:2" x14ac:dyDescent="0.35">
      <c r="A385" t="s">
        <v>383</v>
      </c>
      <c r="B385" s="7" t="s">
        <v>1207</v>
      </c>
    </row>
    <row r="386" spans="1:2" x14ac:dyDescent="0.35">
      <c r="A386" t="s">
        <v>384</v>
      </c>
      <c r="B386" s="7" t="s">
        <v>1208</v>
      </c>
    </row>
    <row r="387" spans="1:2" x14ac:dyDescent="0.35">
      <c r="A387" t="s">
        <v>385</v>
      </c>
      <c r="B387" s="7" t="s">
        <v>1209</v>
      </c>
    </row>
    <row r="388" spans="1:2" x14ac:dyDescent="0.35">
      <c r="A388" t="s">
        <v>386</v>
      </c>
      <c r="B388" s="7" t="s">
        <v>1210</v>
      </c>
    </row>
    <row r="389" spans="1:2" x14ac:dyDescent="0.35">
      <c r="A389" t="s">
        <v>387</v>
      </c>
      <c r="B389" s="7" t="s">
        <v>1211</v>
      </c>
    </row>
    <row r="390" spans="1:2" x14ac:dyDescent="0.35">
      <c r="A390" t="s">
        <v>388</v>
      </c>
      <c r="B390" s="7" t="s">
        <v>1212</v>
      </c>
    </row>
    <row r="391" spans="1:2" x14ac:dyDescent="0.35">
      <c r="A391" t="s">
        <v>389</v>
      </c>
      <c r="B391" s="7" t="s">
        <v>1213</v>
      </c>
    </row>
    <row r="392" spans="1:2" x14ac:dyDescent="0.35">
      <c r="A392" t="s">
        <v>390</v>
      </c>
      <c r="B392" s="7" t="s">
        <v>1214</v>
      </c>
    </row>
    <row r="393" spans="1:2" x14ac:dyDescent="0.35">
      <c r="A393" t="s">
        <v>391</v>
      </c>
      <c r="B393" s="7" t="s">
        <v>1215</v>
      </c>
    </row>
    <row r="394" spans="1:2" x14ac:dyDescent="0.35">
      <c r="A394" t="s">
        <v>392</v>
      </c>
      <c r="B394" s="7" t="s">
        <v>1216</v>
      </c>
    </row>
    <row r="395" spans="1:2" x14ac:dyDescent="0.35">
      <c r="A395" t="s">
        <v>393</v>
      </c>
      <c r="B395" s="7" t="s">
        <v>1217</v>
      </c>
    </row>
    <row r="396" spans="1:2" x14ac:dyDescent="0.35">
      <c r="A396" t="s">
        <v>394</v>
      </c>
      <c r="B396" s="7" t="s">
        <v>1218</v>
      </c>
    </row>
    <row r="397" spans="1:2" x14ac:dyDescent="0.35">
      <c r="A397" t="s">
        <v>395</v>
      </c>
      <c r="B397" s="7" t="s">
        <v>1219</v>
      </c>
    </row>
    <row r="398" spans="1:2" x14ac:dyDescent="0.35">
      <c r="A398" t="s">
        <v>396</v>
      </c>
      <c r="B398" s="7" t="s">
        <v>1220</v>
      </c>
    </row>
    <row r="399" spans="1:2" x14ac:dyDescent="0.35">
      <c r="A399" t="s">
        <v>397</v>
      </c>
      <c r="B399" s="7" t="s">
        <v>1221</v>
      </c>
    </row>
    <row r="400" spans="1:2" x14ac:dyDescent="0.35">
      <c r="A400" t="s">
        <v>398</v>
      </c>
      <c r="B400" s="7" t="s">
        <v>1222</v>
      </c>
    </row>
    <row r="401" spans="1:6" x14ac:dyDescent="0.35">
      <c r="A401" t="s">
        <v>399</v>
      </c>
      <c r="B401" s="7" t="s">
        <v>1223</v>
      </c>
    </row>
    <row r="402" spans="1:6" x14ac:dyDescent="0.35">
      <c r="A402" t="s">
        <v>400</v>
      </c>
      <c r="B402" s="7" t="s">
        <v>1224</v>
      </c>
    </row>
    <row r="403" spans="1:6" x14ac:dyDescent="0.35">
      <c r="A403" t="s">
        <v>401</v>
      </c>
      <c r="B403" s="7" t="s">
        <v>1225</v>
      </c>
    </row>
    <row r="404" spans="1:6" x14ac:dyDescent="0.35">
      <c r="A404" t="s">
        <v>402</v>
      </c>
      <c r="B404" s="7" t="s">
        <v>1226</v>
      </c>
    </row>
    <row r="405" spans="1:6" x14ac:dyDescent="0.35">
      <c r="A405" t="s">
        <v>403</v>
      </c>
      <c r="B405" s="7" t="s">
        <v>1227</v>
      </c>
    </row>
    <row r="406" spans="1:6" x14ac:dyDescent="0.35">
      <c r="A406" t="s">
        <v>404</v>
      </c>
      <c r="B406" s="7" t="s">
        <v>1228</v>
      </c>
    </row>
    <row r="407" spans="1:6" x14ac:dyDescent="0.35">
      <c r="A407" t="s">
        <v>405</v>
      </c>
      <c r="B407" s="7" t="s">
        <v>1229</v>
      </c>
    </row>
    <row r="408" spans="1:6" x14ac:dyDescent="0.35">
      <c r="A408" t="s">
        <v>75</v>
      </c>
      <c r="B408" s="7" t="s">
        <v>904</v>
      </c>
      <c r="C408">
        <v>55.85</v>
      </c>
      <c r="D408" t="s">
        <v>3481</v>
      </c>
      <c r="E408" s="57">
        <v>44580</v>
      </c>
      <c r="F408" t="s">
        <v>3321</v>
      </c>
    </row>
    <row r="409" spans="1:6" x14ac:dyDescent="0.35">
      <c r="A409" t="s">
        <v>407</v>
      </c>
      <c r="B409" s="7" t="s">
        <v>1231</v>
      </c>
    </row>
    <row r="410" spans="1:6" x14ac:dyDescent="0.35">
      <c r="A410" s="3" t="s">
        <v>408</v>
      </c>
      <c r="B410" s="7" t="s">
        <v>1232</v>
      </c>
    </row>
    <row r="411" spans="1:6" x14ac:dyDescent="0.35">
      <c r="A411" t="s">
        <v>409</v>
      </c>
      <c r="B411" s="7" t="s">
        <v>1233</v>
      </c>
    </row>
    <row r="412" spans="1:6" x14ac:dyDescent="0.35">
      <c r="A412" t="s">
        <v>410</v>
      </c>
      <c r="B412" s="7" t="s">
        <v>1234</v>
      </c>
    </row>
    <row r="413" spans="1:6" x14ac:dyDescent="0.35">
      <c r="A413" t="s">
        <v>411</v>
      </c>
      <c r="B413" s="7" t="s">
        <v>1235</v>
      </c>
    </row>
    <row r="414" spans="1:6" x14ac:dyDescent="0.35">
      <c r="A414" t="s">
        <v>412</v>
      </c>
      <c r="B414" s="7" t="s">
        <v>1236</v>
      </c>
    </row>
    <row r="415" spans="1:6" x14ac:dyDescent="0.35">
      <c r="A415" t="s">
        <v>413</v>
      </c>
      <c r="B415" s="7" t="s">
        <v>1237</v>
      </c>
    </row>
    <row r="416" spans="1:6" x14ac:dyDescent="0.35">
      <c r="A416" t="s">
        <v>414</v>
      </c>
      <c r="B416" s="7" t="s">
        <v>1238</v>
      </c>
    </row>
    <row r="417" spans="1:2" x14ac:dyDescent="0.35">
      <c r="A417" t="s">
        <v>415</v>
      </c>
      <c r="B417" s="7" t="s">
        <v>1239</v>
      </c>
    </row>
    <row r="418" spans="1:2" x14ac:dyDescent="0.35">
      <c r="A418" t="s">
        <v>416</v>
      </c>
      <c r="B418" s="7" t="s">
        <v>1240</v>
      </c>
    </row>
    <row r="419" spans="1:2" x14ac:dyDescent="0.35">
      <c r="A419" t="s">
        <v>417</v>
      </c>
      <c r="B419" s="7" t="s">
        <v>1241</v>
      </c>
    </row>
    <row r="420" spans="1:2" x14ac:dyDescent="0.35">
      <c r="A420" t="s">
        <v>418</v>
      </c>
      <c r="B420" s="7" t="s">
        <v>1242</v>
      </c>
    </row>
    <row r="421" spans="1:2" x14ac:dyDescent="0.35">
      <c r="A421" t="s">
        <v>419</v>
      </c>
      <c r="B421" s="7" t="s">
        <v>1243</v>
      </c>
    </row>
    <row r="422" spans="1:2" x14ac:dyDescent="0.35">
      <c r="A422" t="s">
        <v>420</v>
      </c>
      <c r="B422" s="7" t="s">
        <v>1244</v>
      </c>
    </row>
    <row r="423" spans="1:2" x14ac:dyDescent="0.35">
      <c r="A423" t="s">
        <v>421</v>
      </c>
      <c r="B423" s="7" t="s">
        <v>1245</v>
      </c>
    </row>
    <row r="424" spans="1:2" x14ac:dyDescent="0.35">
      <c r="A424" t="s">
        <v>422</v>
      </c>
      <c r="B424" s="7" t="s">
        <v>1246</v>
      </c>
    </row>
    <row r="425" spans="1:2" x14ac:dyDescent="0.35">
      <c r="A425" t="s">
        <v>423</v>
      </c>
      <c r="B425" s="7" t="s">
        <v>1247</v>
      </c>
    </row>
    <row r="426" spans="1:2" x14ac:dyDescent="0.35">
      <c r="A426" t="s">
        <v>424</v>
      </c>
      <c r="B426" s="7" t="s">
        <v>1248</v>
      </c>
    </row>
    <row r="427" spans="1:2" x14ac:dyDescent="0.35">
      <c r="A427" t="s">
        <v>425</v>
      </c>
      <c r="B427" s="7" t="s">
        <v>1249</v>
      </c>
    </row>
    <row r="428" spans="1:2" x14ac:dyDescent="0.35">
      <c r="A428" t="s">
        <v>426</v>
      </c>
      <c r="B428" s="7" t="s">
        <v>1250</v>
      </c>
    </row>
    <row r="429" spans="1:2" x14ac:dyDescent="0.35">
      <c r="A429" t="s">
        <v>427</v>
      </c>
      <c r="B429" s="7" t="s">
        <v>1251</v>
      </c>
    </row>
    <row r="430" spans="1:2" x14ac:dyDescent="0.35">
      <c r="A430" t="s">
        <v>428</v>
      </c>
      <c r="B430" s="7" t="s">
        <v>1252</v>
      </c>
    </row>
    <row r="431" spans="1:2" x14ac:dyDescent="0.35">
      <c r="A431" t="s">
        <v>429</v>
      </c>
      <c r="B431" s="7" t="s">
        <v>1253</v>
      </c>
    </row>
    <row r="432" spans="1:2" x14ac:dyDescent="0.35">
      <c r="A432" t="s">
        <v>430</v>
      </c>
      <c r="B432" s="7" t="s">
        <v>1254</v>
      </c>
    </row>
    <row r="433" spans="1:6" x14ac:dyDescent="0.35">
      <c r="A433" t="s">
        <v>431</v>
      </c>
      <c r="B433" s="7" t="s">
        <v>1255</v>
      </c>
    </row>
    <row r="434" spans="1:6" x14ac:dyDescent="0.35">
      <c r="A434" t="s">
        <v>432</v>
      </c>
      <c r="B434" s="7" t="s">
        <v>1256</v>
      </c>
    </row>
    <row r="435" spans="1:6" x14ac:dyDescent="0.35">
      <c r="A435" t="s">
        <v>433</v>
      </c>
      <c r="B435" s="7" t="s">
        <v>1257</v>
      </c>
    </row>
    <row r="436" spans="1:6" x14ac:dyDescent="0.35">
      <c r="A436" t="s">
        <v>434</v>
      </c>
      <c r="B436" s="7" t="s">
        <v>1258</v>
      </c>
    </row>
    <row r="437" spans="1:6" x14ac:dyDescent="0.35">
      <c r="A437" t="s">
        <v>446</v>
      </c>
      <c r="B437" s="7" t="s">
        <v>1270</v>
      </c>
      <c r="C437">
        <v>306.89999999999998</v>
      </c>
      <c r="D437" t="s">
        <v>3481</v>
      </c>
      <c r="E437" s="57">
        <v>44580</v>
      </c>
      <c r="F437" t="s">
        <v>3321</v>
      </c>
    </row>
    <row r="438" spans="1:6" x14ac:dyDescent="0.35">
      <c r="A438" t="s">
        <v>436</v>
      </c>
      <c r="B438" s="7" t="s">
        <v>1260</v>
      </c>
    </row>
    <row r="439" spans="1:6" x14ac:dyDescent="0.35">
      <c r="A439" t="s">
        <v>437</v>
      </c>
      <c r="B439" s="7" t="s">
        <v>1261</v>
      </c>
    </row>
    <row r="440" spans="1:6" x14ac:dyDescent="0.35">
      <c r="A440" t="s">
        <v>438</v>
      </c>
      <c r="B440" s="7" t="s">
        <v>1262</v>
      </c>
    </row>
    <row r="441" spans="1:6" x14ac:dyDescent="0.35">
      <c r="A441" t="s">
        <v>439</v>
      </c>
      <c r="B441" s="7" t="s">
        <v>1263</v>
      </c>
    </row>
    <row r="442" spans="1:6" x14ac:dyDescent="0.35">
      <c r="A442" t="s">
        <v>440</v>
      </c>
      <c r="B442" s="7" t="s">
        <v>1264</v>
      </c>
    </row>
    <row r="443" spans="1:6" x14ac:dyDescent="0.35">
      <c r="A443" t="s">
        <v>441</v>
      </c>
      <c r="B443" s="7" t="s">
        <v>1265</v>
      </c>
    </row>
    <row r="444" spans="1:6" x14ac:dyDescent="0.35">
      <c r="A444" t="s">
        <v>442</v>
      </c>
      <c r="B444" s="7" t="s">
        <v>1266</v>
      </c>
    </row>
    <row r="445" spans="1:6" x14ac:dyDescent="0.35">
      <c r="A445" t="s">
        <v>443</v>
      </c>
      <c r="B445" s="7" t="s">
        <v>1267</v>
      </c>
    </row>
    <row r="446" spans="1:6" x14ac:dyDescent="0.35">
      <c r="A446" t="s">
        <v>444</v>
      </c>
      <c r="B446" s="7" t="s">
        <v>1268</v>
      </c>
    </row>
    <row r="447" spans="1:6" x14ac:dyDescent="0.35">
      <c r="A447" t="s">
        <v>445</v>
      </c>
      <c r="B447" s="7" t="s">
        <v>1269</v>
      </c>
    </row>
    <row r="448" spans="1:6" x14ac:dyDescent="0.35">
      <c r="A448" t="s">
        <v>598</v>
      </c>
      <c r="B448" s="7" t="s">
        <v>1422</v>
      </c>
      <c r="C448">
        <v>20.73</v>
      </c>
      <c r="D448" t="s">
        <v>3481</v>
      </c>
      <c r="E448" s="57">
        <v>44580</v>
      </c>
      <c r="F448" t="s">
        <v>3321</v>
      </c>
    </row>
    <row r="449" spans="1:6" x14ac:dyDescent="0.35">
      <c r="A449" t="s">
        <v>447</v>
      </c>
      <c r="B449" s="7" t="s">
        <v>1271</v>
      </c>
    </row>
    <row r="450" spans="1:6" x14ac:dyDescent="0.35">
      <c r="A450" t="s">
        <v>448</v>
      </c>
      <c r="B450" s="7" t="s">
        <v>1272</v>
      </c>
    </row>
    <row r="451" spans="1:6" x14ac:dyDescent="0.35">
      <c r="A451" t="s">
        <v>233</v>
      </c>
      <c r="B451" s="7" t="s">
        <v>1060</v>
      </c>
      <c r="C451">
        <v>2.2269999999999999</v>
      </c>
      <c r="D451" t="s">
        <v>3481</v>
      </c>
      <c r="E451" s="57">
        <v>44580</v>
      </c>
      <c r="F451" t="s">
        <v>3321</v>
      </c>
    </row>
    <row r="452" spans="1:6" x14ac:dyDescent="0.35">
      <c r="A452" t="s">
        <v>286</v>
      </c>
      <c r="B452" s="7" t="s">
        <v>1111</v>
      </c>
      <c r="C452">
        <v>0.95730000000000004</v>
      </c>
      <c r="D452" t="s">
        <v>3481</v>
      </c>
      <c r="E452" s="57">
        <v>44580</v>
      </c>
      <c r="F452" t="s">
        <v>3321</v>
      </c>
    </row>
    <row r="453" spans="1:6" x14ac:dyDescent="0.35">
      <c r="A453" t="s">
        <v>451</v>
      </c>
      <c r="B453" s="7" t="s">
        <v>1275</v>
      </c>
      <c r="C453">
        <v>0.6774</v>
      </c>
      <c r="D453" t="s">
        <v>3481</v>
      </c>
      <c r="E453" s="57">
        <v>44580</v>
      </c>
      <c r="F453" t="s">
        <v>3321</v>
      </c>
    </row>
    <row r="454" spans="1:6" x14ac:dyDescent="0.35">
      <c r="A454" t="s">
        <v>452</v>
      </c>
      <c r="B454" s="7" t="s">
        <v>1276</v>
      </c>
    </row>
    <row r="455" spans="1:6" x14ac:dyDescent="0.35">
      <c r="A455" t="s">
        <v>453</v>
      </c>
      <c r="B455" s="7" t="s">
        <v>1277</v>
      </c>
    </row>
    <row r="456" spans="1:6" x14ac:dyDescent="0.35">
      <c r="A456" t="s">
        <v>454</v>
      </c>
      <c r="B456" s="7" t="s">
        <v>1278</v>
      </c>
    </row>
    <row r="457" spans="1:6" x14ac:dyDescent="0.35">
      <c r="A457" t="s">
        <v>455</v>
      </c>
      <c r="B457" s="7" t="s">
        <v>1279</v>
      </c>
    </row>
    <row r="458" spans="1:6" x14ac:dyDescent="0.35">
      <c r="A458" t="s">
        <v>456</v>
      </c>
      <c r="B458" s="7" t="s">
        <v>1280</v>
      </c>
    </row>
    <row r="459" spans="1:6" x14ac:dyDescent="0.35">
      <c r="A459" t="s">
        <v>457</v>
      </c>
      <c r="B459" s="7" t="s">
        <v>1281</v>
      </c>
    </row>
    <row r="460" spans="1:6" x14ac:dyDescent="0.35">
      <c r="A460" t="s">
        <v>458</v>
      </c>
      <c r="B460" s="7" t="s">
        <v>1282</v>
      </c>
    </row>
    <row r="461" spans="1:6" x14ac:dyDescent="0.35">
      <c r="A461" t="s">
        <v>467</v>
      </c>
      <c r="B461" s="7" t="s">
        <v>1291</v>
      </c>
      <c r="C461">
        <v>0.90080000000000005</v>
      </c>
      <c r="D461" t="s">
        <v>3481</v>
      </c>
      <c r="E461" s="57">
        <v>44580</v>
      </c>
      <c r="F461" t="s">
        <v>3321</v>
      </c>
    </row>
    <row r="462" spans="1:6" x14ac:dyDescent="0.35">
      <c r="A462" t="s">
        <v>460</v>
      </c>
      <c r="B462" s="7" t="s">
        <v>1284</v>
      </c>
    </row>
    <row r="463" spans="1:6" x14ac:dyDescent="0.35">
      <c r="A463" t="s">
        <v>461</v>
      </c>
      <c r="B463" s="7" t="s">
        <v>1285</v>
      </c>
    </row>
    <row r="464" spans="1:6" x14ac:dyDescent="0.35">
      <c r="A464" t="s">
        <v>462</v>
      </c>
      <c r="B464" s="7" t="s">
        <v>1286</v>
      </c>
    </row>
    <row r="465" spans="1:6" x14ac:dyDescent="0.35">
      <c r="A465" t="s">
        <v>463</v>
      </c>
      <c r="B465" s="7" t="s">
        <v>1287</v>
      </c>
    </row>
    <row r="466" spans="1:6" x14ac:dyDescent="0.35">
      <c r="A466" t="s">
        <v>464</v>
      </c>
      <c r="B466" s="7" t="s">
        <v>1288</v>
      </c>
    </row>
    <row r="467" spans="1:6" x14ac:dyDescent="0.35">
      <c r="A467" t="s">
        <v>465</v>
      </c>
      <c r="B467" s="7" t="s">
        <v>1289</v>
      </c>
    </row>
    <row r="468" spans="1:6" x14ac:dyDescent="0.35">
      <c r="A468" t="s">
        <v>449</v>
      </c>
      <c r="B468" s="7" t="s">
        <v>1273</v>
      </c>
      <c r="C468">
        <v>0.64149999999999996</v>
      </c>
      <c r="D468" t="s">
        <v>3481</v>
      </c>
      <c r="E468" s="57">
        <v>44580</v>
      </c>
      <c r="F468" t="s">
        <v>3321</v>
      </c>
    </row>
    <row r="469" spans="1:6" x14ac:dyDescent="0.35">
      <c r="A469" t="s">
        <v>435</v>
      </c>
      <c r="B469" s="7" t="s">
        <v>1259</v>
      </c>
      <c r="C469">
        <v>2.0419999999999998</v>
      </c>
      <c r="D469" t="s">
        <v>3481</v>
      </c>
      <c r="E469" s="57">
        <v>44580</v>
      </c>
      <c r="F469" t="s">
        <v>3321</v>
      </c>
    </row>
    <row r="470" spans="1:6" x14ac:dyDescent="0.35">
      <c r="A470" t="s">
        <v>468</v>
      </c>
      <c r="B470" s="7" t="s">
        <v>1292</v>
      </c>
    </row>
    <row r="471" spans="1:6" x14ac:dyDescent="0.35">
      <c r="A471" t="s">
        <v>469</v>
      </c>
      <c r="B471" s="7" t="s">
        <v>1293</v>
      </c>
    </row>
    <row r="472" spans="1:6" x14ac:dyDescent="0.35">
      <c r="A472" t="s">
        <v>470</v>
      </c>
      <c r="B472" s="7" t="s">
        <v>1294</v>
      </c>
    </row>
    <row r="473" spans="1:6" x14ac:dyDescent="0.35">
      <c r="A473" t="s">
        <v>471</v>
      </c>
      <c r="B473" s="7" t="s">
        <v>1295</v>
      </c>
    </row>
    <row r="474" spans="1:6" x14ac:dyDescent="0.35">
      <c r="A474" t="s">
        <v>472</v>
      </c>
      <c r="B474" s="7" t="s">
        <v>1296</v>
      </c>
    </row>
    <row r="475" spans="1:6" x14ac:dyDescent="0.35">
      <c r="A475" t="s">
        <v>473</v>
      </c>
      <c r="B475" s="7" t="s">
        <v>1297</v>
      </c>
    </row>
    <row r="476" spans="1:6" x14ac:dyDescent="0.35">
      <c r="A476" t="s">
        <v>474</v>
      </c>
      <c r="B476" s="7" t="s">
        <v>1298</v>
      </c>
    </row>
    <row r="477" spans="1:6" x14ac:dyDescent="0.35">
      <c r="A477" t="s">
        <v>475</v>
      </c>
      <c r="B477" s="7" t="s">
        <v>1299</v>
      </c>
    </row>
    <row r="478" spans="1:6" x14ac:dyDescent="0.35">
      <c r="A478" t="s">
        <v>476</v>
      </c>
      <c r="B478" s="7" t="s">
        <v>1300</v>
      </c>
    </row>
    <row r="479" spans="1:6" x14ac:dyDescent="0.35">
      <c r="A479" t="s">
        <v>477</v>
      </c>
      <c r="B479" s="7" t="s">
        <v>1301</v>
      </c>
    </row>
    <row r="480" spans="1:6" x14ac:dyDescent="0.35">
      <c r="A480" t="s">
        <v>478</v>
      </c>
      <c r="B480" s="7" t="s">
        <v>1302</v>
      </c>
    </row>
    <row r="481" spans="1:6" x14ac:dyDescent="0.35">
      <c r="A481" t="s">
        <v>479</v>
      </c>
      <c r="B481" s="7" t="s">
        <v>1303</v>
      </c>
    </row>
    <row r="482" spans="1:6" x14ac:dyDescent="0.35">
      <c r="A482" t="s">
        <v>480</v>
      </c>
      <c r="B482" s="7" t="s">
        <v>1304</v>
      </c>
    </row>
    <row r="483" spans="1:6" x14ac:dyDescent="0.35">
      <c r="A483" t="s">
        <v>481</v>
      </c>
      <c r="B483" s="7" t="s">
        <v>1305</v>
      </c>
    </row>
    <row r="484" spans="1:6" x14ac:dyDescent="0.35">
      <c r="A484" t="s">
        <v>482</v>
      </c>
      <c r="B484" s="7" t="s">
        <v>1306</v>
      </c>
    </row>
    <row r="485" spans="1:6" x14ac:dyDescent="0.35">
      <c r="A485" s="2" t="s">
        <v>483</v>
      </c>
      <c r="B485" t="s">
        <v>1307</v>
      </c>
    </row>
    <row r="486" spans="1:6" x14ac:dyDescent="0.35">
      <c r="A486" t="s">
        <v>484</v>
      </c>
      <c r="B486" s="7" t="s">
        <v>1308</v>
      </c>
    </row>
    <row r="487" spans="1:6" x14ac:dyDescent="0.35">
      <c r="A487" t="s">
        <v>485</v>
      </c>
      <c r="B487" s="7" t="s">
        <v>1309</v>
      </c>
    </row>
    <row r="488" spans="1:6" x14ac:dyDescent="0.35">
      <c r="A488" t="s">
        <v>486</v>
      </c>
      <c r="B488" s="7" t="s">
        <v>1310</v>
      </c>
    </row>
    <row r="489" spans="1:6" x14ac:dyDescent="0.35">
      <c r="A489" t="s">
        <v>255</v>
      </c>
      <c r="B489" s="7" t="s">
        <v>1081</v>
      </c>
      <c r="C489">
        <v>0.28249999999999997</v>
      </c>
      <c r="D489" t="s">
        <v>3481</v>
      </c>
      <c r="E489" s="57">
        <v>44580</v>
      </c>
      <c r="F489" t="s">
        <v>3321</v>
      </c>
    </row>
    <row r="490" spans="1:6" x14ac:dyDescent="0.35">
      <c r="A490" t="s">
        <v>488</v>
      </c>
      <c r="B490" s="7" t="s">
        <v>1312</v>
      </c>
    </row>
    <row r="491" spans="1:6" x14ac:dyDescent="0.35">
      <c r="A491" t="s">
        <v>489</v>
      </c>
      <c r="B491" s="7" t="s">
        <v>1313</v>
      </c>
    </row>
    <row r="492" spans="1:6" x14ac:dyDescent="0.35">
      <c r="A492" t="s">
        <v>490</v>
      </c>
      <c r="B492" s="7" t="s">
        <v>1314</v>
      </c>
    </row>
    <row r="493" spans="1:6" x14ac:dyDescent="0.35">
      <c r="A493" t="s">
        <v>491</v>
      </c>
      <c r="B493" s="7" t="s">
        <v>1315</v>
      </c>
    </row>
    <row r="494" spans="1:6" x14ac:dyDescent="0.35">
      <c r="A494" t="s">
        <v>492</v>
      </c>
      <c r="B494" s="7" t="s">
        <v>1316</v>
      </c>
    </row>
    <row r="495" spans="1:6" x14ac:dyDescent="0.35">
      <c r="A495" t="s">
        <v>493</v>
      </c>
      <c r="B495" s="7" t="s">
        <v>1317</v>
      </c>
    </row>
    <row r="496" spans="1:6" x14ac:dyDescent="0.35">
      <c r="A496" t="s">
        <v>494</v>
      </c>
      <c r="B496" s="7" t="s">
        <v>1318</v>
      </c>
    </row>
    <row r="497" spans="1:6" x14ac:dyDescent="0.35">
      <c r="A497" t="s">
        <v>495</v>
      </c>
      <c r="B497" s="7" t="s">
        <v>1319</v>
      </c>
    </row>
    <row r="498" spans="1:6" x14ac:dyDescent="0.35">
      <c r="A498" t="s">
        <v>496</v>
      </c>
      <c r="B498" s="7" t="s">
        <v>1320</v>
      </c>
    </row>
    <row r="499" spans="1:6" x14ac:dyDescent="0.35">
      <c r="A499" t="s">
        <v>497</v>
      </c>
      <c r="B499" s="7" t="s">
        <v>1321</v>
      </c>
    </row>
    <row r="500" spans="1:6" x14ac:dyDescent="0.35">
      <c r="A500" t="s">
        <v>498</v>
      </c>
      <c r="B500" s="7" t="s">
        <v>1322</v>
      </c>
    </row>
    <row r="501" spans="1:6" x14ac:dyDescent="0.35">
      <c r="A501" s="2" t="s">
        <v>499</v>
      </c>
      <c r="B501" s="7" t="s">
        <v>1323</v>
      </c>
    </row>
    <row r="502" spans="1:6" x14ac:dyDescent="0.35">
      <c r="A502" t="s">
        <v>500</v>
      </c>
      <c r="B502" s="7" t="s">
        <v>1324</v>
      </c>
    </row>
    <row r="503" spans="1:6" x14ac:dyDescent="0.35">
      <c r="A503" t="s">
        <v>501</v>
      </c>
      <c r="B503" s="7" t="s">
        <v>1325</v>
      </c>
    </row>
    <row r="504" spans="1:6" x14ac:dyDescent="0.35">
      <c r="A504" t="s">
        <v>502</v>
      </c>
      <c r="B504" s="7" t="s">
        <v>1326</v>
      </c>
    </row>
    <row r="505" spans="1:6" x14ac:dyDescent="0.35">
      <c r="A505" t="s">
        <v>503</v>
      </c>
      <c r="B505" s="7" t="s">
        <v>1327</v>
      </c>
    </row>
    <row r="506" spans="1:6" x14ac:dyDescent="0.35">
      <c r="A506" t="s">
        <v>504</v>
      </c>
      <c r="B506" s="7" t="s">
        <v>1328</v>
      </c>
    </row>
    <row r="507" spans="1:6" x14ac:dyDescent="0.35">
      <c r="A507" t="s">
        <v>505</v>
      </c>
      <c r="B507" s="7" t="s">
        <v>1329</v>
      </c>
    </row>
    <row r="508" spans="1:6" x14ac:dyDescent="0.35">
      <c r="A508" t="s">
        <v>506</v>
      </c>
      <c r="B508" s="7" t="s">
        <v>1330</v>
      </c>
    </row>
    <row r="509" spans="1:6" x14ac:dyDescent="0.35">
      <c r="A509" t="s">
        <v>507</v>
      </c>
      <c r="B509" s="7" t="s">
        <v>1331</v>
      </c>
    </row>
    <row r="510" spans="1:6" x14ac:dyDescent="0.35">
      <c r="A510" t="s">
        <v>450</v>
      </c>
      <c r="B510" s="7" t="s">
        <v>1274</v>
      </c>
      <c r="C510">
        <v>7.109</v>
      </c>
      <c r="D510" t="s">
        <v>3481</v>
      </c>
      <c r="E510" s="57">
        <v>44580</v>
      </c>
      <c r="F510" t="s">
        <v>3321</v>
      </c>
    </row>
    <row r="511" spans="1:6" x14ac:dyDescent="0.35">
      <c r="A511" t="s">
        <v>509</v>
      </c>
      <c r="B511" s="7" t="s">
        <v>1333</v>
      </c>
    </row>
    <row r="512" spans="1:6" x14ac:dyDescent="0.35">
      <c r="A512" t="s">
        <v>510</v>
      </c>
      <c r="B512" s="7" t="s">
        <v>1334</v>
      </c>
    </row>
    <row r="513" spans="1:2" x14ac:dyDescent="0.35">
      <c r="A513" t="s">
        <v>511</v>
      </c>
      <c r="B513" s="7" t="s">
        <v>1335</v>
      </c>
    </row>
    <row r="514" spans="1:2" x14ac:dyDescent="0.35">
      <c r="A514" t="s">
        <v>512</v>
      </c>
      <c r="B514" s="7" t="s">
        <v>1336</v>
      </c>
    </row>
    <row r="515" spans="1:2" x14ac:dyDescent="0.35">
      <c r="A515" t="s">
        <v>513</v>
      </c>
      <c r="B515" s="7" t="s">
        <v>1337</v>
      </c>
    </row>
    <row r="516" spans="1:2" x14ac:dyDescent="0.35">
      <c r="A516" t="s">
        <v>514</v>
      </c>
      <c r="B516" s="7" t="s">
        <v>1338</v>
      </c>
    </row>
    <row r="517" spans="1:2" x14ac:dyDescent="0.35">
      <c r="A517" t="s">
        <v>515</v>
      </c>
      <c r="B517" s="7" t="s">
        <v>1339</v>
      </c>
    </row>
    <row r="518" spans="1:2" x14ac:dyDescent="0.35">
      <c r="A518" t="s">
        <v>516</v>
      </c>
      <c r="B518" s="7" t="s">
        <v>1340</v>
      </c>
    </row>
    <row r="519" spans="1:2" x14ac:dyDescent="0.35">
      <c r="A519" t="s">
        <v>517</v>
      </c>
      <c r="B519" s="7" t="s">
        <v>1341</v>
      </c>
    </row>
    <row r="520" spans="1:2" x14ac:dyDescent="0.35">
      <c r="A520" t="s">
        <v>518</v>
      </c>
      <c r="B520" s="7" t="s">
        <v>1342</v>
      </c>
    </row>
    <row r="521" spans="1:2" x14ac:dyDescent="0.35">
      <c r="A521" t="s">
        <v>519</v>
      </c>
      <c r="B521" s="7" t="s">
        <v>1343</v>
      </c>
    </row>
    <row r="522" spans="1:2" x14ac:dyDescent="0.35">
      <c r="A522" t="s">
        <v>520</v>
      </c>
      <c r="B522" s="7" t="s">
        <v>1344</v>
      </c>
    </row>
    <row r="523" spans="1:2" x14ac:dyDescent="0.35">
      <c r="A523" t="s">
        <v>521</v>
      </c>
      <c r="B523" s="7" t="s">
        <v>1345</v>
      </c>
    </row>
    <row r="524" spans="1:2" x14ac:dyDescent="0.35">
      <c r="A524" t="s">
        <v>522</v>
      </c>
      <c r="B524" s="7" t="s">
        <v>1346</v>
      </c>
    </row>
    <row r="525" spans="1:2" x14ac:dyDescent="0.35">
      <c r="A525" t="s">
        <v>523</v>
      </c>
      <c r="B525" s="7" t="s">
        <v>1347</v>
      </c>
    </row>
    <row r="526" spans="1:2" x14ac:dyDescent="0.35">
      <c r="A526" t="s">
        <v>524</v>
      </c>
      <c r="B526" s="7" t="s">
        <v>1348</v>
      </c>
    </row>
    <row r="527" spans="1:2" x14ac:dyDescent="0.35">
      <c r="A527" t="s">
        <v>525</v>
      </c>
      <c r="B527" s="7" t="s">
        <v>1349</v>
      </c>
    </row>
    <row r="528" spans="1:2" x14ac:dyDescent="0.35">
      <c r="A528" t="s">
        <v>526</v>
      </c>
      <c r="B528" s="7" t="s">
        <v>1350</v>
      </c>
    </row>
    <row r="529" spans="1:2" x14ac:dyDescent="0.35">
      <c r="A529" t="s">
        <v>527</v>
      </c>
      <c r="B529" s="7" t="s">
        <v>1351</v>
      </c>
    </row>
    <row r="530" spans="1:2" x14ac:dyDescent="0.35">
      <c r="A530" t="s">
        <v>528</v>
      </c>
      <c r="B530" s="7" t="s">
        <v>1352</v>
      </c>
    </row>
    <row r="531" spans="1:2" x14ac:dyDescent="0.35">
      <c r="A531" t="s">
        <v>529</v>
      </c>
      <c r="B531" s="7" t="s">
        <v>1353</v>
      </c>
    </row>
    <row r="532" spans="1:2" x14ac:dyDescent="0.35">
      <c r="A532" t="s">
        <v>530</v>
      </c>
      <c r="B532" s="7" t="s">
        <v>1354</v>
      </c>
    </row>
    <row r="533" spans="1:2" x14ac:dyDescent="0.35">
      <c r="A533" t="s">
        <v>531</v>
      </c>
      <c r="B533" s="7" t="s">
        <v>1355</v>
      </c>
    </row>
    <row r="534" spans="1:2" x14ac:dyDescent="0.35">
      <c r="A534" t="s">
        <v>532</v>
      </c>
      <c r="B534" s="7" t="s">
        <v>1356</v>
      </c>
    </row>
    <row r="535" spans="1:2" x14ac:dyDescent="0.35">
      <c r="A535" t="s">
        <v>533</v>
      </c>
      <c r="B535" s="7" t="s">
        <v>1357</v>
      </c>
    </row>
    <row r="536" spans="1:2" x14ac:dyDescent="0.35">
      <c r="A536" t="s">
        <v>534</v>
      </c>
      <c r="B536" s="7" t="s">
        <v>1358</v>
      </c>
    </row>
    <row r="537" spans="1:2" x14ac:dyDescent="0.35">
      <c r="A537" t="s">
        <v>535</v>
      </c>
      <c r="B537" s="7" t="s">
        <v>1359</v>
      </c>
    </row>
    <row r="538" spans="1:2" x14ac:dyDescent="0.35">
      <c r="A538" t="s">
        <v>536</v>
      </c>
      <c r="B538" s="7" t="s">
        <v>1360</v>
      </c>
    </row>
    <row r="539" spans="1:2" x14ac:dyDescent="0.35">
      <c r="A539" t="s">
        <v>537</v>
      </c>
      <c r="B539" s="7" t="s">
        <v>1361</v>
      </c>
    </row>
    <row r="540" spans="1:2" x14ac:dyDescent="0.35">
      <c r="A540" t="s">
        <v>538</v>
      </c>
      <c r="B540" s="7" t="s">
        <v>1362</v>
      </c>
    </row>
    <row r="541" spans="1:2" x14ac:dyDescent="0.35">
      <c r="A541" t="s">
        <v>539</v>
      </c>
      <c r="B541" s="7" t="s">
        <v>1363</v>
      </c>
    </row>
    <row r="542" spans="1:2" x14ac:dyDescent="0.35">
      <c r="A542" t="s">
        <v>540</v>
      </c>
      <c r="B542" s="7" t="s">
        <v>1364</v>
      </c>
    </row>
    <row r="543" spans="1:2" x14ac:dyDescent="0.35">
      <c r="A543" t="s">
        <v>541</v>
      </c>
      <c r="B543" s="7" t="s">
        <v>1365</v>
      </c>
    </row>
    <row r="544" spans="1:2" x14ac:dyDescent="0.35">
      <c r="A544" t="s">
        <v>542</v>
      </c>
      <c r="B544" s="7" t="s">
        <v>1366</v>
      </c>
    </row>
    <row r="545" spans="1:2" x14ac:dyDescent="0.35">
      <c r="A545" t="s">
        <v>543</v>
      </c>
      <c r="B545" s="7" t="s">
        <v>1367</v>
      </c>
    </row>
    <row r="546" spans="1:2" x14ac:dyDescent="0.35">
      <c r="A546" t="s">
        <v>544</v>
      </c>
      <c r="B546" s="7" t="s">
        <v>1368</v>
      </c>
    </row>
    <row r="547" spans="1:2" x14ac:dyDescent="0.35">
      <c r="A547" t="s">
        <v>545</v>
      </c>
      <c r="B547" s="7" t="s">
        <v>1369</v>
      </c>
    </row>
    <row r="548" spans="1:2" x14ac:dyDescent="0.35">
      <c r="A548" t="s">
        <v>546</v>
      </c>
      <c r="B548" s="7" t="s">
        <v>1370</v>
      </c>
    </row>
    <row r="549" spans="1:2" x14ac:dyDescent="0.35">
      <c r="A549" t="s">
        <v>547</v>
      </c>
      <c r="B549" s="7" t="s">
        <v>1371</v>
      </c>
    </row>
    <row r="550" spans="1:2" x14ac:dyDescent="0.35">
      <c r="A550" t="s">
        <v>548</v>
      </c>
      <c r="B550" s="7" t="s">
        <v>1372</v>
      </c>
    </row>
    <row r="551" spans="1:2" x14ac:dyDescent="0.35">
      <c r="A551" t="s">
        <v>549</v>
      </c>
      <c r="B551" s="7" t="s">
        <v>1373</v>
      </c>
    </row>
    <row r="552" spans="1:2" x14ac:dyDescent="0.35">
      <c r="A552" t="s">
        <v>550</v>
      </c>
      <c r="B552" s="7" t="s">
        <v>1374</v>
      </c>
    </row>
    <row r="553" spans="1:2" x14ac:dyDescent="0.35">
      <c r="A553" t="s">
        <v>551</v>
      </c>
      <c r="B553" s="7" t="s">
        <v>1375</v>
      </c>
    </row>
    <row r="554" spans="1:2" x14ac:dyDescent="0.35">
      <c r="A554" t="s">
        <v>552</v>
      </c>
      <c r="B554" s="7" t="s">
        <v>1376</v>
      </c>
    </row>
    <row r="555" spans="1:2" x14ac:dyDescent="0.35">
      <c r="A555" t="s">
        <v>553</v>
      </c>
      <c r="B555" s="7" t="s">
        <v>1377</v>
      </c>
    </row>
    <row r="556" spans="1:2" x14ac:dyDescent="0.35">
      <c r="A556" t="s">
        <v>554</v>
      </c>
      <c r="B556" s="7" t="s">
        <v>1378</v>
      </c>
    </row>
    <row r="557" spans="1:2" x14ac:dyDescent="0.35">
      <c r="A557" t="s">
        <v>555</v>
      </c>
      <c r="B557" s="7" t="s">
        <v>1379</v>
      </c>
    </row>
    <row r="558" spans="1:2" x14ac:dyDescent="0.35">
      <c r="A558" t="s">
        <v>556</v>
      </c>
      <c r="B558" s="7" t="s">
        <v>1380</v>
      </c>
    </row>
    <row r="559" spans="1:2" x14ac:dyDescent="0.35">
      <c r="A559" t="s">
        <v>557</v>
      </c>
      <c r="B559" s="7" t="s">
        <v>1381</v>
      </c>
    </row>
    <row r="560" spans="1:2" x14ac:dyDescent="0.35">
      <c r="A560" t="s">
        <v>558</v>
      </c>
      <c r="B560" s="7" t="s">
        <v>1382</v>
      </c>
    </row>
    <row r="561" spans="1:2" x14ac:dyDescent="0.35">
      <c r="A561" t="s">
        <v>559</v>
      </c>
      <c r="B561" s="7" t="s">
        <v>1383</v>
      </c>
    </row>
    <row r="562" spans="1:2" x14ac:dyDescent="0.35">
      <c r="A562" t="s">
        <v>560</v>
      </c>
      <c r="B562" s="7" t="s">
        <v>1384</v>
      </c>
    </row>
    <row r="563" spans="1:2" x14ac:dyDescent="0.35">
      <c r="A563" t="s">
        <v>561</v>
      </c>
      <c r="B563" s="7" t="s">
        <v>1385</v>
      </c>
    </row>
    <row r="564" spans="1:2" x14ac:dyDescent="0.35">
      <c r="A564" t="s">
        <v>562</v>
      </c>
      <c r="B564" s="7" t="s">
        <v>1386</v>
      </c>
    </row>
    <row r="565" spans="1:2" x14ac:dyDescent="0.35">
      <c r="A565" t="s">
        <v>563</v>
      </c>
      <c r="B565" s="7" t="s">
        <v>1387</v>
      </c>
    </row>
    <row r="566" spans="1:2" x14ac:dyDescent="0.35">
      <c r="A566" t="s">
        <v>564</v>
      </c>
      <c r="B566" s="7" t="s">
        <v>1388</v>
      </c>
    </row>
    <row r="567" spans="1:2" x14ac:dyDescent="0.35">
      <c r="A567" t="s">
        <v>565</v>
      </c>
      <c r="B567" s="7" t="s">
        <v>1389</v>
      </c>
    </row>
    <row r="568" spans="1:2" x14ac:dyDescent="0.35">
      <c r="A568" t="s">
        <v>566</v>
      </c>
      <c r="B568" s="7" t="s">
        <v>1390</v>
      </c>
    </row>
    <row r="569" spans="1:2" x14ac:dyDescent="0.35">
      <c r="A569" t="s">
        <v>567</v>
      </c>
      <c r="B569" s="7" t="s">
        <v>1391</v>
      </c>
    </row>
    <row r="570" spans="1:2" x14ac:dyDescent="0.35">
      <c r="A570" t="s">
        <v>568</v>
      </c>
      <c r="B570" s="7" t="s">
        <v>1392</v>
      </c>
    </row>
    <row r="571" spans="1:2" x14ac:dyDescent="0.35">
      <c r="A571" t="s">
        <v>569</v>
      </c>
      <c r="B571" s="7" t="s">
        <v>1393</v>
      </c>
    </row>
    <row r="572" spans="1:2" x14ac:dyDescent="0.35">
      <c r="A572" t="s">
        <v>570</v>
      </c>
      <c r="B572" s="7" t="s">
        <v>1394</v>
      </c>
    </row>
    <row r="573" spans="1:2" x14ac:dyDescent="0.35">
      <c r="A573" t="s">
        <v>571</v>
      </c>
      <c r="B573" s="7" t="s">
        <v>1395</v>
      </c>
    </row>
    <row r="574" spans="1:2" x14ac:dyDescent="0.35">
      <c r="A574" t="s">
        <v>572</v>
      </c>
      <c r="B574" s="7" t="s">
        <v>1396</v>
      </c>
    </row>
    <row r="575" spans="1:2" x14ac:dyDescent="0.35">
      <c r="A575" t="s">
        <v>573</v>
      </c>
      <c r="B575" t="s">
        <v>1397</v>
      </c>
    </row>
    <row r="576" spans="1:2" x14ac:dyDescent="0.35">
      <c r="A576" t="s">
        <v>574</v>
      </c>
      <c r="B576" s="7" t="s">
        <v>1398</v>
      </c>
    </row>
    <row r="577" spans="1:6" x14ac:dyDescent="0.35">
      <c r="A577" t="s">
        <v>575</v>
      </c>
      <c r="B577" s="7" t="s">
        <v>1399</v>
      </c>
    </row>
    <row r="578" spans="1:6" x14ac:dyDescent="0.35">
      <c r="A578" t="s">
        <v>576</v>
      </c>
      <c r="B578" s="7" t="s">
        <v>1400</v>
      </c>
    </row>
    <row r="579" spans="1:6" x14ac:dyDescent="0.35">
      <c r="A579" t="s">
        <v>51</v>
      </c>
      <c r="B579" s="7" t="s">
        <v>880</v>
      </c>
      <c r="C579">
        <v>39.299999999999997</v>
      </c>
      <c r="D579" t="s">
        <v>3481</v>
      </c>
      <c r="E579" s="57">
        <v>44580</v>
      </c>
      <c r="F579" t="s">
        <v>3321</v>
      </c>
    </row>
    <row r="580" spans="1:6" x14ac:dyDescent="0.35">
      <c r="A580" t="s">
        <v>578</v>
      </c>
      <c r="B580" s="7" t="s">
        <v>1402</v>
      </c>
    </row>
    <row r="581" spans="1:6" x14ac:dyDescent="0.35">
      <c r="A581" t="s">
        <v>579</v>
      </c>
      <c r="B581" s="7" t="s">
        <v>1403</v>
      </c>
    </row>
    <row r="582" spans="1:6" x14ac:dyDescent="0.35">
      <c r="A582" t="s">
        <v>580</v>
      </c>
      <c r="B582" s="7" t="s">
        <v>1404</v>
      </c>
    </row>
    <row r="583" spans="1:6" x14ac:dyDescent="0.35">
      <c r="A583" t="s">
        <v>581</v>
      </c>
      <c r="B583" s="7" t="s">
        <v>1405</v>
      </c>
    </row>
    <row r="584" spans="1:6" x14ac:dyDescent="0.35">
      <c r="A584" t="s">
        <v>582</v>
      </c>
      <c r="B584" s="7" t="s">
        <v>1406</v>
      </c>
    </row>
    <row r="585" spans="1:6" x14ac:dyDescent="0.35">
      <c r="A585" t="s">
        <v>583</v>
      </c>
      <c r="B585" s="7" t="s">
        <v>1407</v>
      </c>
    </row>
    <row r="586" spans="1:6" x14ac:dyDescent="0.35">
      <c r="A586" t="s">
        <v>584</v>
      </c>
      <c r="B586" s="7" t="s">
        <v>1408</v>
      </c>
    </row>
    <row r="587" spans="1:6" x14ac:dyDescent="0.35">
      <c r="A587" t="s">
        <v>585</v>
      </c>
      <c r="B587" s="7" t="s">
        <v>1409</v>
      </c>
    </row>
    <row r="588" spans="1:6" x14ac:dyDescent="0.35">
      <c r="A588" t="s">
        <v>586</v>
      </c>
      <c r="B588" s="7" t="s">
        <v>1410</v>
      </c>
    </row>
    <row r="589" spans="1:6" x14ac:dyDescent="0.35">
      <c r="A589" t="s">
        <v>587</v>
      </c>
      <c r="B589" s="7" t="s">
        <v>1411</v>
      </c>
    </row>
    <row r="590" spans="1:6" x14ac:dyDescent="0.35">
      <c r="A590" t="s">
        <v>588</v>
      </c>
      <c r="B590" s="7" t="s">
        <v>1412</v>
      </c>
    </row>
    <row r="591" spans="1:6" x14ac:dyDescent="0.35">
      <c r="A591" t="s">
        <v>589</v>
      </c>
      <c r="B591" s="7" t="s">
        <v>1413</v>
      </c>
    </row>
    <row r="592" spans="1:6" x14ac:dyDescent="0.35">
      <c r="A592" t="s">
        <v>590</v>
      </c>
      <c r="B592" s="7" t="s">
        <v>1414</v>
      </c>
    </row>
    <row r="593" spans="1:6" x14ac:dyDescent="0.35">
      <c r="A593" t="s">
        <v>591</v>
      </c>
      <c r="B593" s="7" t="s">
        <v>1415</v>
      </c>
    </row>
    <row r="594" spans="1:6" x14ac:dyDescent="0.35">
      <c r="A594" t="s">
        <v>592</v>
      </c>
      <c r="B594" s="7" t="s">
        <v>1416</v>
      </c>
    </row>
    <row r="595" spans="1:6" x14ac:dyDescent="0.35">
      <c r="A595" t="s">
        <v>593</v>
      </c>
      <c r="B595" s="7" t="s">
        <v>1417</v>
      </c>
    </row>
    <row r="596" spans="1:6" x14ac:dyDescent="0.35">
      <c r="A596" t="s">
        <v>594</v>
      </c>
      <c r="B596" s="7" t="s">
        <v>1418</v>
      </c>
    </row>
    <row r="597" spans="1:6" x14ac:dyDescent="0.35">
      <c r="A597" t="s">
        <v>595</v>
      </c>
      <c r="B597" s="7" t="s">
        <v>1419</v>
      </c>
    </row>
    <row r="598" spans="1:6" x14ac:dyDescent="0.35">
      <c r="A598" t="s">
        <v>596</v>
      </c>
      <c r="B598" s="7" t="s">
        <v>1420</v>
      </c>
    </row>
    <row r="599" spans="1:6" x14ac:dyDescent="0.35">
      <c r="A599" t="s">
        <v>597</v>
      </c>
      <c r="B599" s="7" t="s">
        <v>1421</v>
      </c>
    </row>
    <row r="600" spans="1:6" x14ac:dyDescent="0.35">
      <c r="A600" t="s">
        <v>466</v>
      </c>
      <c r="B600" s="7" t="s">
        <v>1290</v>
      </c>
      <c r="C600">
        <v>0.27500000000000002</v>
      </c>
      <c r="D600" t="s">
        <v>3481</v>
      </c>
      <c r="E600" s="57">
        <v>44580</v>
      </c>
      <c r="F600" t="s">
        <v>3321</v>
      </c>
    </row>
    <row r="601" spans="1:6" x14ac:dyDescent="0.35">
      <c r="A601" t="s">
        <v>599</v>
      </c>
      <c r="B601" s="7" t="s">
        <v>1423</v>
      </c>
    </row>
    <row r="602" spans="1:6" x14ac:dyDescent="0.35">
      <c r="A602" t="s">
        <v>600</v>
      </c>
      <c r="B602" s="7" t="s">
        <v>1424</v>
      </c>
    </row>
    <row r="603" spans="1:6" x14ac:dyDescent="0.35">
      <c r="A603" t="s">
        <v>601</v>
      </c>
      <c r="B603" s="7" t="s">
        <v>1425</v>
      </c>
    </row>
    <row r="604" spans="1:6" x14ac:dyDescent="0.35">
      <c r="A604" t="s">
        <v>602</v>
      </c>
      <c r="B604" s="7" t="s">
        <v>1426</v>
      </c>
    </row>
    <row r="605" spans="1:6" x14ac:dyDescent="0.35">
      <c r="A605" t="s">
        <v>603</v>
      </c>
      <c r="B605" s="7" t="s">
        <v>1427</v>
      </c>
    </row>
    <row r="606" spans="1:6" x14ac:dyDescent="0.35">
      <c r="A606" t="s">
        <v>604</v>
      </c>
      <c r="B606" s="7" t="s">
        <v>1428</v>
      </c>
    </row>
    <row r="607" spans="1:6" x14ac:dyDescent="0.35">
      <c r="A607" t="s">
        <v>605</v>
      </c>
      <c r="B607" s="7" t="s">
        <v>1429</v>
      </c>
    </row>
    <row r="608" spans="1:6" x14ac:dyDescent="0.35">
      <c r="A608" t="s">
        <v>606</v>
      </c>
      <c r="B608" s="7" t="s">
        <v>1430</v>
      </c>
    </row>
    <row r="609" spans="1:6" x14ac:dyDescent="0.35">
      <c r="A609" t="s">
        <v>607</v>
      </c>
      <c r="B609" s="7" t="s">
        <v>1431</v>
      </c>
    </row>
    <row r="610" spans="1:6" x14ac:dyDescent="0.35">
      <c r="A610" t="s">
        <v>608</v>
      </c>
      <c r="B610" s="7" t="s">
        <v>1432</v>
      </c>
    </row>
    <row r="611" spans="1:6" x14ac:dyDescent="0.35">
      <c r="A611" t="s">
        <v>609</v>
      </c>
      <c r="B611" s="7" t="s">
        <v>1433</v>
      </c>
    </row>
    <row r="612" spans="1:6" x14ac:dyDescent="0.35">
      <c r="A612" t="s">
        <v>610</v>
      </c>
      <c r="B612" s="7" t="s">
        <v>1434</v>
      </c>
    </row>
    <row r="613" spans="1:6" x14ac:dyDescent="0.35">
      <c r="A613" t="s">
        <v>611</v>
      </c>
      <c r="B613" s="7" t="s">
        <v>1435</v>
      </c>
    </row>
    <row r="614" spans="1:6" x14ac:dyDescent="0.35">
      <c r="A614" t="s">
        <v>612</v>
      </c>
      <c r="B614" s="7" t="s">
        <v>1436</v>
      </c>
    </row>
    <row r="615" spans="1:6" x14ac:dyDescent="0.35">
      <c r="A615" t="s">
        <v>613</v>
      </c>
      <c r="B615" s="7" t="s">
        <v>1437</v>
      </c>
    </row>
    <row r="616" spans="1:6" x14ac:dyDescent="0.35">
      <c r="A616" t="s">
        <v>614</v>
      </c>
      <c r="B616" s="7" t="s">
        <v>1438</v>
      </c>
    </row>
    <row r="617" spans="1:6" x14ac:dyDescent="0.35">
      <c r="A617" t="s">
        <v>615</v>
      </c>
      <c r="B617" s="7" t="s">
        <v>1439</v>
      </c>
    </row>
    <row r="618" spans="1:6" x14ac:dyDescent="0.35">
      <c r="A618" t="s">
        <v>616</v>
      </c>
      <c r="B618" s="7" t="s">
        <v>1440</v>
      </c>
    </row>
    <row r="619" spans="1:6" x14ac:dyDescent="0.35">
      <c r="A619" t="s">
        <v>617</v>
      </c>
      <c r="B619" s="7" t="s">
        <v>1441</v>
      </c>
    </row>
    <row r="620" spans="1:6" x14ac:dyDescent="0.35">
      <c r="A620" t="s">
        <v>618</v>
      </c>
      <c r="B620" s="7" t="s">
        <v>1442</v>
      </c>
    </row>
    <row r="621" spans="1:6" x14ac:dyDescent="0.35">
      <c r="A621" t="s">
        <v>619</v>
      </c>
      <c r="B621" s="7" t="s">
        <v>1443</v>
      </c>
    </row>
    <row r="622" spans="1:6" x14ac:dyDescent="0.35">
      <c r="A622" t="s">
        <v>35</v>
      </c>
      <c r="B622" s="7" t="s">
        <v>864</v>
      </c>
      <c r="C622">
        <v>193.5</v>
      </c>
      <c r="D622" t="s">
        <v>3481</v>
      </c>
      <c r="E622" s="57">
        <v>44580</v>
      </c>
      <c r="F622" t="s">
        <v>3321</v>
      </c>
    </row>
    <row r="623" spans="1:6" x14ac:dyDescent="0.35">
      <c r="A623" t="s">
        <v>621</v>
      </c>
      <c r="B623" s="7" t="s">
        <v>1445</v>
      </c>
    </row>
    <row r="624" spans="1:6" x14ac:dyDescent="0.35">
      <c r="A624" t="s">
        <v>622</v>
      </c>
      <c r="B624" s="7" t="s">
        <v>1446</v>
      </c>
    </row>
    <row r="625" spans="1:2" x14ac:dyDescent="0.35">
      <c r="A625" t="s">
        <v>623</v>
      </c>
      <c r="B625" s="7" t="s">
        <v>1447</v>
      </c>
    </row>
    <row r="626" spans="1:2" x14ac:dyDescent="0.35">
      <c r="A626" t="s">
        <v>624</v>
      </c>
      <c r="B626" s="7" t="s">
        <v>1448</v>
      </c>
    </row>
    <row r="627" spans="1:2" x14ac:dyDescent="0.35">
      <c r="A627" t="s">
        <v>625</v>
      </c>
      <c r="B627" s="7" t="s">
        <v>1449</v>
      </c>
    </row>
    <row r="628" spans="1:2" x14ac:dyDescent="0.35">
      <c r="A628" t="s">
        <v>626</v>
      </c>
      <c r="B628" s="7" t="s">
        <v>1450</v>
      </c>
    </row>
    <row r="629" spans="1:2" x14ac:dyDescent="0.35">
      <c r="A629" t="s">
        <v>627</v>
      </c>
      <c r="B629" s="7" t="s">
        <v>1451</v>
      </c>
    </row>
    <row r="630" spans="1:2" x14ac:dyDescent="0.35">
      <c r="A630" t="s">
        <v>628</v>
      </c>
      <c r="B630" s="7" t="s">
        <v>1452</v>
      </c>
    </row>
    <row r="631" spans="1:2" x14ac:dyDescent="0.35">
      <c r="A631" t="s">
        <v>629</v>
      </c>
      <c r="B631" s="7" t="s">
        <v>1453</v>
      </c>
    </row>
    <row r="632" spans="1:2" x14ac:dyDescent="0.35">
      <c r="A632" t="s">
        <v>630</v>
      </c>
      <c r="B632" s="7" t="s">
        <v>1454</v>
      </c>
    </row>
    <row r="633" spans="1:2" x14ac:dyDescent="0.35">
      <c r="A633" t="s">
        <v>631</v>
      </c>
      <c r="B633" s="7" t="s">
        <v>1455</v>
      </c>
    </row>
    <row r="634" spans="1:2" x14ac:dyDescent="0.35">
      <c r="A634" t="s">
        <v>632</v>
      </c>
      <c r="B634" s="7" t="s">
        <v>1456</v>
      </c>
    </row>
    <row r="635" spans="1:2" x14ac:dyDescent="0.35">
      <c r="A635" t="s">
        <v>633</v>
      </c>
      <c r="B635" s="7" t="s">
        <v>1457</v>
      </c>
    </row>
    <row r="636" spans="1:2" x14ac:dyDescent="0.35">
      <c r="A636" t="s">
        <v>634</v>
      </c>
      <c r="B636" s="7" t="s">
        <v>1458</v>
      </c>
    </row>
    <row r="637" spans="1:2" x14ac:dyDescent="0.35">
      <c r="A637" t="s">
        <v>635</v>
      </c>
      <c r="B637" s="7" t="s">
        <v>1459</v>
      </c>
    </row>
    <row r="638" spans="1:2" x14ac:dyDescent="0.35">
      <c r="A638" t="s">
        <v>636</v>
      </c>
      <c r="B638" s="7" t="s">
        <v>1460</v>
      </c>
    </row>
    <row r="639" spans="1:2" x14ac:dyDescent="0.35">
      <c r="A639" t="s">
        <v>637</v>
      </c>
      <c r="B639" s="7" t="s">
        <v>1461</v>
      </c>
    </row>
    <row r="640" spans="1:2" x14ac:dyDescent="0.35">
      <c r="A640" t="s">
        <v>638</v>
      </c>
      <c r="B640" s="7" t="s">
        <v>1462</v>
      </c>
    </row>
    <row r="641" spans="1:2" x14ac:dyDescent="0.35">
      <c r="A641" t="s">
        <v>639</v>
      </c>
      <c r="B641" s="7" t="s">
        <v>1463</v>
      </c>
    </row>
    <row r="642" spans="1:2" x14ac:dyDescent="0.35">
      <c r="A642" t="s">
        <v>640</v>
      </c>
      <c r="B642" s="7" t="s">
        <v>1464</v>
      </c>
    </row>
    <row r="643" spans="1:2" x14ac:dyDescent="0.35">
      <c r="A643" t="s">
        <v>641</v>
      </c>
      <c r="B643" s="7" t="s">
        <v>1465</v>
      </c>
    </row>
    <row r="644" spans="1:2" x14ac:dyDescent="0.35">
      <c r="A644" t="s">
        <v>642</v>
      </c>
      <c r="B644" s="7" t="s">
        <v>1466</v>
      </c>
    </row>
    <row r="645" spans="1:2" x14ac:dyDescent="0.35">
      <c r="A645" t="s">
        <v>643</v>
      </c>
      <c r="B645" s="7" t="s">
        <v>1467</v>
      </c>
    </row>
    <row r="646" spans="1:2" x14ac:dyDescent="0.35">
      <c r="A646" t="s">
        <v>644</v>
      </c>
      <c r="B646" s="7" t="s">
        <v>1468</v>
      </c>
    </row>
    <row r="647" spans="1:2" x14ac:dyDescent="0.35">
      <c r="A647" t="s">
        <v>645</v>
      </c>
      <c r="B647" s="7" t="s">
        <v>1469</v>
      </c>
    </row>
    <row r="648" spans="1:2" x14ac:dyDescent="0.35">
      <c r="A648" t="s">
        <v>646</v>
      </c>
      <c r="B648" s="7" t="s">
        <v>1470</v>
      </c>
    </row>
    <row r="649" spans="1:2" x14ac:dyDescent="0.35">
      <c r="A649" t="s">
        <v>647</v>
      </c>
      <c r="B649" s="7" t="s">
        <v>1471</v>
      </c>
    </row>
    <row r="650" spans="1:2" x14ac:dyDescent="0.35">
      <c r="A650" t="s">
        <v>648</v>
      </c>
      <c r="B650" s="7" t="s">
        <v>1472</v>
      </c>
    </row>
    <row r="651" spans="1:2" x14ac:dyDescent="0.35">
      <c r="A651" t="s">
        <v>649</v>
      </c>
      <c r="B651" s="7" t="s">
        <v>1473</v>
      </c>
    </row>
    <row r="652" spans="1:2" x14ac:dyDescent="0.35">
      <c r="A652" t="s">
        <v>650</v>
      </c>
      <c r="B652" s="7" t="s">
        <v>1474</v>
      </c>
    </row>
    <row r="653" spans="1:2" x14ac:dyDescent="0.35">
      <c r="A653" t="s">
        <v>651</v>
      </c>
      <c r="B653" s="7" t="s">
        <v>1475</v>
      </c>
    </row>
    <row r="654" spans="1:2" x14ac:dyDescent="0.35">
      <c r="A654" t="s">
        <v>652</v>
      </c>
      <c r="B654" s="7" t="s">
        <v>1476</v>
      </c>
    </row>
    <row r="655" spans="1:2" x14ac:dyDescent="0.35">
      <c r="A655" t="s">
        <v>653</v>
      </c>
      <c r="B655" s="7" t="s">
        <v>1477</v>
      </c>
    </row>
    <row r="656" spans="1:2" x14ac:dyDescent="0.35">
      <c r="A656" t="s">
        <v>654</v>
      </c>
      <c r="B656" s="7" t="s">
        <v>1478</v>
      </c>
    </row>
    <row r="657" spans="1:2" x14ac:dyDescent="0.35">
      <c r="A657" t="s">
        <v>655</v>
      </c>
      <c r="B657" s="7" t="s">
        <v>1479</v>
      </c>
    </row>
    <row r="658" spans="1:2" x14ac:dyDescent="0.35">
      <c r="A658" t="s">
        <v>656</v>
      </c>
      <c r="B658" s="7" t="s">
        <v>1480</v>
      </c>
    </row>
    <row r="659" spans="1:2" x14ac:dyDescent="0.35">
      <c r="A659" t="s">
        <v>657</v>
      </c>
      <c r="B659" s="7" t="s">
        <v>1481</v>
      </c>
    </row>
    <row r="660" spans="1:2" x14ac:dyDescent="0.35">
      <c r="A660" t="s">
        <v>658</v>
      </c>
      <c r="B660" s="7" t="s">
        <v>1482</v>
      </c>
    </row>
    <row r="661" spans="1:2" x14ac:dyDescent="0.35">
      <c r="A661" t="s">
        <v>659</v>
      </c>
      <c r="B661" s="7" t="s">
        <v>1483</v>
      </c>
    </row>
    <row r="662" spans="1:2" x14ac:dyDescent="0.35">
      <c r="A662" t="s">
        <v>660</v>
      </c>
      <c r="B662" s="7" t="s">
        <v>1484</v>
      </c>
    </row>
    <row r="663" spans="1:2" x14ac:dyDescent="0.35">
      <c r="A663" t="s">
        <v>661</v>
      </c>
      <c r="B663" s="7" t="s">
        <v>1485</v>
      </c>
    </row>
    <row r="664" spans="1:2" x14ac:dyDescent="0.35">
      <c r="A664" t="s">
        <v>662</v>
      </c>
      <c r="B664" s="7" t="s">
        <v>1486</v>
      </c>
    </row>
    <row r="665" spans="1:2" x14ac:dyDescent="0.35">
      <c r="A665" t="s">
        <v>663</v>
      </c>
      <c r="B665" s="7" t="s">
        <v>1487</v>
      </c>
    </row>
    <row r="666" spans="1:2" x14ac:dyDescent="0.35">
      <c r="A666" t="s">
        <v>664</v>
      </c>
      <c r="B666" s="7" t="s">
        <v>1488</v>
      </c>
    </row>
    <row r="667" spans="1:2" x14ac:dyDescent="0.35">
      <c r="A667" t="s">
        <v>665</v>
      </c>
      <c r="B667" s="7" t="s">
        <v>1489</v>
      </c>
    </row>
    <row r="668" spans="1:2" x14ac:dyDescent="0.35">
      <c r="A668" t="s">
        <v>666</v>
      </c>
      <c r="B668" s="7" t="s">
        <v>1490</v>
      </c>
    </row>
    <row r="669" spans="1:2" x14ac:dyDescent="0.35">
      <c r="A669" t="s">
        <v>667</v>
      </c>
      <c r="B669" s="7" t="s">
        <v>1491</v>
      </c>
    </row>
    <row r="670" spans="1:2" x14ac:dyDescent="0.35">
      <c r="A670" t="s">
        <v>668</v>
      </c>
      <c r="B670" s="7" t="s">
        <v>1492</v>
      </c>
    </row>
    <row r="671" spans="1:2" x14ac:dyDescent="0.35">
      <c r="A671" t="s">
        <v>669</v>
      </c>
      <c r="B671" s="7" t="s">
        <v>1493</v>
      </c>
    </row>
    <row r="672" spans="1:2" x14ac:dyDescent="0.35">
      <c r="A672" t="s">
        <v>670</v>
      </c>
      <c r="B672" s="7" t="s">
        <v>1494</v>
      </c>
    </row>
    <row r="673" spans="1:2" x14ac:dyDescent="0.35">
      <c r="A673" t="s">
        <v>671</v>
      </c>
      <c r="B673" s="7" t="s">
        <v>1495</v>
      </c>
    </row>
    <row r="674" spans="1:2" x14ac:dyDescent="0.35">
      <c r="A674" t="s">
        <v>672</v>
      </c>
      <c r="B674" s="7" t="s">
        <v>1496</v>
      </c>
    </row>
    <row r="675" spans="1:2" x14ac:dyDescent="0.35">
      <c r="A675" t="s">
        <v>673</v>
      </c>
      <c r="B675" s="7" t="s">
        <v>1497</v>
      </c>
    </row>
    <row r="676" spans="1:2" x14ac:dyDescent="0.35">
      <c r="A676" t="s">
        <v>674</v>
      </c>
      <c r="B676" s="7" t="s">
        <v>1498</v>
      </c>
    </row>
    <row r="677" spans="1:2" x14ac:dyDescent="0.35">
      <c r="A677" t="s">
        <v>675</v>
      </c>
      <c r="B677" s="7" t="s">
        <v>1499</v>
      </c>
    </row>
    <row r="678" spans="1:2" x14ac:dyDescent="0.35">
      <c r="A678" t="s">
        <v>676</v>
      </c>
      <c r="B678" s="7" t="s">
        <v>1500</v>
      </c>
    </row>
    <row r="679" spans="1:2" x14ac:dyDescent="0.35">
      <c r="A679" t="s">
        <v>677</v>
      </c>
      <c r="B679" s="7" t="s">
        <v>1501</v>
      </c>
    </row>
    <row r="680" spans="1:2" x14ac:dyDescent="0.35">
      <c r="A680" t="s">
        <v>678</v>
      </c>
      <c r="B680" s="7" t="s">
        <v>1502</v>
      </c>
    </row>
    <row r="681" spans="1:2" x14ac:dyDescent="0.35">
      <c r="A681" t="s">
        <v>679</v>
      </c>
      <c r="B681" s="7" t="s">
        <v>1503</v>
      </c>
    </row>
    <row r="682" spans="1:2" x14ac:dyDescent="0.35">
      <c r="A682" t="s">
        <v>680</v>
      </c>
      <c r="B682" s="7" t="s">
        <v>1504</v>
      </c>
    </row>
    <row r="683" spans="1:2" x14ac:dyDescent="0.35">
      <c r="A683" t="s">
        <v>681</v>
      </c>
      <c r="B683" s="7" t="s">
        <v>1505</v>
      </c>
    </row>
    <row r="684" spans="1:2" x14ac:dyDescent="0.35">
      <c r="A684" t="s">
        <v>682</v>
      </c>
      <c r="B684" s="7" t="s">
        <v>1506</v>
      </c>
    </row>
    <row r="685" spans="1:2" x14ac:dyDescent="0.35">
      <c r="A685" t="s">
        <v>683</v>
      </c>
      <c r="B685" s="7" t="s">
        <v>1507</v>
      </c>
    </row>
    <row r="686" spans="1:2" x14ac:dyDescent="0.35">
      <c r="A686" t="s">
        <v>684</v>
      </c>
      <c r="B686" s="7" t="s">
        <v>1508</v>
      </c>
    </row>
    <row r="687" spans="1:2" x14ac:dyDescent="0.35">
      <c r="A687" t="s">
        <v>685</v>
      </c>
      <c r="B687" s="7" t="s">
        <v>1509</v>
      </c>
    </row>
    <row r="688" spans="1:2" x14ac:dyDescent="0.35">
      <c r="A688" t="s">
        <v>686</v>
      </c>
      <c r="B688" s="7" t="s">
        <v>1510</v>
      </c>
    </row>
    <row r="689" spans="1:2" x14ac:dyDescent="0.35">
      <c r="A689" t="s">
        <v>687</v>
      </c>
      <c r="B689" s="7" t="s">
        <v>1511</v>
      </c>
    </row>
    <row r="690" spans="1:2" x14ac:dyDescent="0.35">
      <c r="A690" t="s">
        <v>688</v>
      </c>
      <c r="B690" s="7" t="s">
        <v>1512</v>
      </c>
    </row>
    <row r="691" spans="1:2" x14ac:dyDescent="0.35">
      <c r="A691" t="s">
        <v>689</v>
      </c>
      <c r="B691" s="7" t="s">
        <v>1513</v>
      </c>
    </row>
    <row r="692" spans="1:2" x14ac:dyDescent="0.35">
      <c r="A692" t="s">
        <v>690</v>
      </c>
      <c r="B692" s="7" t="s">
        <v>1514</v>
      </c>
    </row>
    <row r="693" spans="1:2" x14ac:dyDescent="0.35">
      <c r="A693" t="s">
        <v>691</v>
      </c>
      <c r="B693" s="7" t="s">
        <v>1515</v>
      </c>
    </row>
    <row r="694" spans="1:2" x14ac:dyDescent="0.35">
      <c r="A694" t="s">
        <v>692</v>
      </c>
      <c r="B694" s="7" t="s">
        <v>1516</v>
      </c>
    </row>
    <row r="695" spans="1:2" x14ac:dyDescent="0.35">
      <c r="A695" t="s">
        <v>693</v>
      </c>
      <c r="B695" s="7" t="s">
        <v>1517</v>
      </c>
    </row>
    <row r="696" spans="1:2" x14ac:dyDescent="0.35">
      <c r="A696" t="s">
        <v>694</v>
      </c>
      <c r="B696" s="7" t="s">
        <v>1518</v>
      </c>
    </row>
    <row r="697" spans="1:2" x14ac:dyDescent="0.35">
      <c r="A697" t="s">
        <v>695</v>
      </c>
      <c r="B697" s="7" t="s">
        <v>1519</v>
      </c>
    </row>
    <row r="698" spans="1:2" x14ac:dyDescent="0.35">
      <c r="A698" t="s">
        <v>696</v>
      </c>
      <c r="B698" s="7" t="s">
        <v>1520</v>
      </c>
    </row>
    <row r="699" spans="1:2" x14ac:dyDescent="0.35">
      <c r="A699" t="s">
        <v>697</v>
      </c>
      <c r="B699" s="7" t="s">
        <v>1521</v>
      </c>
    </row>
    <row r="700" spans="1:2" x14ac:dyDescent="0.35">
      <c r="A700" t="s">
        <v>698</v>
      </c>
      <c r="B700" s="7" t="s">
        <v>1522</v>
      </c>
    </row>
    <row r="701" spans="1:2" x14ac:dyDescent="0.35">
      <c r="A701" t="s">
        <v>699</v>
      </c>
      <c r="B701" s="7" t="s">
        <v>1523</v>
      </c>
    </row>
    <row r="702" spans="1:2" x14ac:dyDescent="0.35">
      <c r="A702" t="s">
        <v>700</v>
      </c>
      <c r="B702" s="7" t="s">
        <v>1524</v>
      </c>
    </row>
    <row r="703" spans="1:2" x14ac:dyDescent="0.35">
      <c r="A703" t="s">
        <v>701</v>
      </c>
      <c r="B703" s="7" t="s">
        <v>1525</v>
      </c>
    </row>
    <row r="704" spans="1:2" x14ac:dyDescent="0.35">
      <c r="A704" t="s">
        <v>702</v>
      </c>
      <c r="B704" s="7" t="s">
        <v>1526</v>
      </c>
    </row>
    <row r="705" spans="1:2" x14ac:dyDescent="0.35">
      <c r="A705" t="s">
        <v>703</v>
      </c>
      <c r="B705" s="7" t="s">
        <v>1527</v>
      </c>
    </row>
    <row r="706" spans="1:2" x14ac:dyDescent="0.35">
      <c r="A706" t="s">
        <v>704</v>
      </c>
      <c r="B706" s="7" t="s">
        <v>1528</v>
      </c>
    </row>
    <row r="707" spans="1:2" x14ac:dyDescent="0.35">
      <c r="A707" t="s">
        <v>705</v>
      </c>
      <c r="B707" s="7" t="s">
        <v>1529</v>
      </c>
    </row>
    <row r="708" spans="1:2" x14ac:dyDescent="0.35">
      <c r="A708" t="s">
        <v>706</v>
      </c>
      <c r="B708" s="7" t="s">
        <v>1530</v>
      </c>
    </row>
    <row r="709" spans="1:2" x14ac:dyDescent="0.35">
      <c r="A709" t="s">
        <v>707</v>
      </c>
      <c r="B709" s="7" t="s">
        <v>1531</v>
      </c>
    </row>
    <row r="710" spans="1:2" x14ac:dyDescent="0.35">
      <c r="A710" t="s">
        <v>708</v>
      </c>
      <c r="B710" s="7" t="s">
        <v>1532</v>
      </c>
    </row>
    <row r="711" spans="1:2" x14ac:dyDescent="0.35">
      <c r="A711" t="s">
        <v>709</v>
      </c>
      <c r="B711" s="7" t="s">
        <v>1533</v>
      </c>
    </row>
    <row r="712" spans="1:2" x14ac:dyDescent="0.35">
      <c r="A712" t="s">
        <v>710</v>
      </c>
      <c r="B712" s="7" t="s">
        <v>1534</v>
      </c>
    </row>
    <row r="713" spans="1:2" x14ac:dyDescent="0.35">
      <c r="A713" t="s">
        <v>711</v>
      </c>
      <c r="B713" s="7" t="s">
        <v>1535</v>
      </c>
    </row>
    <row r="714" spans="1:2" x14ac:dyDescent="0.35">
      <c r="A714" t="s">
        <v>712</v>
      </c>
      <c r="B714" s="7" t="s">
        <v>1536</v>
      </c>
    </row>
    <row r="715" spans="1:2" x14ac:dyDescent="0.35">
      <c r="A715" t="s">
        <v>713</v>
      </c>
      <c r="B715" s="7" t="s">
        <v>1537</v>
      </c>
    </row>
    <row r="716" spans="1:2" x14ac:dyDescent="0.35">
      <c r="A716" t="s">
        <v>714</v>
      </c>
      <c r="B716" s="7" t="s">
        <v>1538</v>
      </c>
    </row>
    <row r="717" spans="1:2" x14ac:dyDescent="0.35">
      <c r="A717" t="s">
        <v>715</v>
      </c>
      <c r="B717" s="7" t="s">
        <v>1539</v>
      </c>
    </row>
    <row r="718" spans="1:2" x14ac:dyDescent="0.35">
      <c r="A718" t="s">
        <v>716</v>
      </c>
      <c r="B718" s="7" t="s">
        <v>1540</v>
      </c>
    </row>
    <row r="719" spans="1:2" x14ac:dyDescent="0.35">
      <c r="A719" t="s">
        <v>717</v>
      </c>
      <c r="B719" s="7" t="s">
        <v>1541</v>
      </c>
    </row>
    <row r="720" spans="1:2" x14ac:dyDescent="0.35">
      <c r="A720" t="s">
        <v>718</v>
      </c>
      <c r="B720" s="7" t="s">
        <v>1542</v>
      </c>
    </row>
    <row r="721" spans="1:2" x14ac:dyDescent="0.35">
      <c r="A721" t="s">
        <v>719</v>
      </c>
      <c r="B721" s="7" t="s">
        <v>1543</v>
      </c>
    </row>
    <row r="722" spans="1:2" x14ac:dyDescent="0.35">
      <c r="A722" t="s">
        <v>720</v>
      </c>
      <c r="B722" s="7" t="s">
        <v>1544</v>
      </c>
    </row>
    <row r="723" spans="1:2" x14ac:dyDescent="0.35">
      <c r="A723" t="s">
        <v>721</v>
      </c>
      <c r="B723" s="7" t="s">
        <v>1545</v>
      </c>
    </row>
    <row r="724" spans="1:2" x14ac:dyDescent="0.35">
      <c r="A724" t="s">
        <v>722</v>
      </c>
      <c r="B724" s="7" t="s">
        <v>1546</v>
      </c>
    </row>
    <row r="725" spans="1:2" x14ac:dyDescent="0.35">
      <c r="A725" t="s">
        <v>723</v>
      </c>
      <c r="B725" s="7" t="s">
        <v>1547</v>
      </c>
    </row>
    <row r="726" spans="1:2" x14ac:dyDescent="0.35">
      <c r="A726" t="s">
        <v>724</v>
      </c>
      <c r="B726" s="7" t="s">
        <v>1548</v>
      </c>
    </row>
    <row r="727" spans="1:2" x14ac:dyDescent="0.35">
      <c r="A727" t="s">
        <v>725</v>
      </c>
      <c r="B727" s="7" t="s">
        <v>1549</v>
      </c>
    </row>
    <row r="728" spans="1:2" x14ac:dyDescent="0.35">
      <c r="A728" t="s">
        <v>726</v>
      </c>
      <c r="B728" s="7" t="s">
        <v>1550</v>
      </c>
    </row>
    <row r="729" spans="1:2" x14ac:dyDescent="0.35">
      <c r="A729" t="s">
        <v>727</v>
      </c>
      <c r="B729" s="7" t="s">
        <v>1551</v>
      </c>
    </row>
    <row r="730" spans="1:2" x14ac:dyDescent="0.35">
      <c r="A730" t="s">
        <v>728</v>
      </c>
      <c r="B730" s="7" t="s">
        <v>1552</v>
      </c>
    </row>
    <row r="731" spans="1:2" x14ac:dyDescent="0.35">
      <c r="A731" t="s">
        <v>729</v>
      </c>
      <c r="B731" s="7" t="s">
        <v>1553</v>
      </c>
    </row>
    <row r="732" spans="1:2" x14ac:dyDescent="0.35">
      <c r="A732" t="s">
        <v>730</v>
      </c>
      <c r="B732" s="7" t="s">
        <v>1554</v>
      </c>
    </row>
    <row r="733" spans="1:2" x14ac:dyDescent="0.35">
      <c r="A733" t="s">
        <v>731</v>
      </c>
      <c r="B733" s="7" t="s">
        <v>1555</v>
      </c>
    </row>
    <row r="734" spans="1:2" x14ac:dyDescent="0.35">
      <c r="A734" t="s">
        <v>732</v>
      </c>
      <c r="B734" s="7" t="s">
        <v>1556</v>
      </c>
    </row>
    <row r="735" spans="1:2" x14ac:dyDescent="0.35">
      <c r="A735" t="s">
        <v>733</v>
      </c>
      <c r="B735" s="7" t="s">
        <v>1557</v>
      </c>
    </row>
    <row r="736" spans="1:2" x14ac:dyDescent="0.35">
      <c r="A736" t="s">
        <v>734</v>
      </c>
      <c r="B736" s="7" t="s">
        <v>1558</v>
      </c>
    </row>
    <row r="737" spans="1:2" x14ac:dyDescent="0.35">
      <c r="A737" t="s">
        <v>735</v>
      </c>
      <c r="B737" s="7" t="s">
        <v>1559</v>
      </c>
    </row>
    <row r="738" spans="1:2" x14ac:dyDescent="0.35">
      <c r="A738" t="s">
        <v>736</v>
      </c>
      <c r="B738" s="7" t="s">
        <v>1560</v>
      </c>
    </row>
    <row r="739" spans="1:2" x14ac:dyDescent="0.35">
      <c r="A739" t="s">
        <v>737</v>
      </c>
      <c r="B739" s="7" t="s">
        <v>1561</v>
      </c>
    </row>
    <row r="740" spans="1:2" x14ac:dyDescent="0.35">
      <c r="A740" t="s">
        <v>738</v>
      </c>
      <c r="B740" s="7" t="s">
        <v>1562</v>
      </c>
    </row>
    <row r="741" spans="1:2" x14ac:dyDescent="0.35">
      <c r="A741" t="s">
        <v>739</v>
      </c>
      <c r="B741" s="7" t="s">
        <v>1563</v>
      </c>
    </row>
    <row r="742" spans="1:2" x14ac:dyDescent="0.35">
      <c r="A742" t="s">
        <v>740</v>
      </c>
      <c r="B742" s="7" t="s">
        <v>1564</v>
      </c>
    </row>
    <row r="743" spans="1:2" x14ac:dyDescent="0.35">
      <c r="A743" t="s">
        <v>741</v>
      </c>
      <c r="B743" s="7" t="s">
        <v>1565</v>
      </c>
    </row>
    <row r="744" spans="1:2" x14ac:dyDescent="0.35">
      <c r="A744" t="s">
        <v>742</v>
      </c>
      <c r="B744" s="7" t="s">
        <v>1566</v>
      </c>
    </row>
    <row r="745" spans="1:2" x14ac:dyDescent="0.35">
      <c r="A745" t="s">
        <v>743</v>
      </c>
      <c r="B745" s="7" t="s">
        <v>1567</v>
      </c>
    </row>
    <row r="746" spans="1:2" x14ac:dyDescent="0.35">
      <c r="A746" t="s">
        <v>744</v>
      </c>
      <c r="B746" s="7" t="s">
        <v>1568</v>
      </c>
    </row>
    <row r="747" spans="1:2" x14ac:dyDescent="0.35">
      <c r="A747" t="s">
        <v>745</v>
      </c>
      <c r="B747" s="7" t="s">
        <v>1569</v>
      </c>
    </row>
    <row r="748" spans="1:2" x14ac:dyDescent="0.35">
      <c r="A748" t="s">
        <v>746</v>
      </c>
      <c r="B748" s="7" t="s">
        <v>1570</v>
      </c>
    </row>
    <row r="749" spans="1:2" x14ac:dyDescent="0.35">
      <c r="A749" t="s">
        <v>747</v>
      </c>
      <c r="B749" s="7" t="s">
        <v>1571</v>
      </c>
    </row>
    <row r="750" spans="1:2" x14ac:dyDescent="0.35">
      <c r="A750" t="s">
        <v>748</v>
      </c>
      <c r="B750" s="7" t="s">
        <v>1572</v>
      </c>
    </row>
    <row r="751" spans="1:2" x14ac:dyDescent="0.35">
      <c r="A751" t="s">
        <v>749</v>
      </c>
      <c r="B751" s="7" t="s">
        <v>1573</v>
      </c>
    </row>
    <row r="752" spans="1:2" x14ac:dyDescent="0.35">
      <c r="A752" t="s">
        <v>750</v>
      </c>
      <c r="B752" s="7" t="s">
        <v>1574</v>
      </c>
    </row>
    <row r="753" spans="1:2" x14ac:dyDescent="0.35">
      <c r="A753" t="s">
        <v>751</v>
      </c>
      <c r="B753" s="7" t="s">
        <v>1575</v>
      </c>
    </row>
    <row r="754" spans="1:2" x14ac:dyDescent="0.35">
      <c r="A754" t="s">
        <v>752</v>
      </c>
      <c r="B754" s="7" t="s">
        <v>1576</v>
      </c>
    </row>
    <row r="755" spans="1:2" x14ac:dyDescent="0.35">
      <c r="A755" t="s">
        <v>753</v>
      </c>
      <c r="B755" s="7" t="s">
        <v>1577</v>
      </c>
    </row>
    <row r="756" spans="1:2" x14ac:dyDescent="0.35">
      <c r="A756" t="s">
        <v>754</v>
      </c>
      <c r="B756" s="7" t="s">
        <v>1578</v>
      </c>
    </row>
    <row r="757" spans="1:2" x14ac:dyDescent="0.35">
      <c r="A757" t="s">
        <v>755</v>
      </c>
      <c r="B757" s="7" t="s">
        <v>1579</v>
      </c>
    </row>
    <row r="758" spans="1:2" x14ac:dyDescent="0.35">
      <c r="A758" t="s">
        <v>756</v>
      </c>
      <c r="B758" s="7" t="s">
        <v>1580</v>
      </c>
    </row>
    <row r="759" spans="1:2" x14ac:dyDescent="0.35">
      <c r="A759" t="s">
        <v>757</v>
      </c>
      <c r="B759" s="7" t="s">
        <v>1581</v>
      </c>
    </row>
    <row r="760" spans="1:2" x14ac:dyDescent="0.35">
      <c r="A760" t="s">
        <v>758</v>
      </c>
      <c r="B760" s="7" t="s">
        <v>1582</v>
      </c>
    </row>
    <row r="761" spans="1:2" x14ac:dyDescent="0.35">
      <c r="A761" t="s">
        <v>759</v>
      </c>
      <c r="B761" s="7" t="s">
        <v>1583</v>
      </c>
    </row>
    <row r="762" spans="1:2" x14ac:dyDescent="0.35">
      <c r="A762" t="s">
        <v>760</v>
      </c>
      <c r="B762" s="7" t="s">
        <v>1584</v>
      </c>
    </row>
    <row r="763" spans="1:2" x14ac:dyDescent="0.35">
      <c r="A763" t="s">
        <v>761</v>
      </c>
      <c r="B763" s="7" t="s">
        <v>1585</v>
      </c>
    </row>
    <row r="764" spans="1:2" x14ac:dyDescent="0.35">
      <c r="A764" t="s">
        <v>762</v>
      </c>
      <c r="B764" s="7" t="s">
        <v>1586</v>
      </c>
    </row>
    <row r="765" spans="1:2" x14ac:dyDescent="0.35">
      <c r="A765" t="s">
        <v>763</v>
      </c>
      <c r="B765" s="7" t="s">
        <v>1587</v>
      </c>
    </row>
    <row r="766" spans="1:2" x14ac:dyDescent="0.35">
      <c r="A766" t="s">
        <v>764</v>
      </c>
      <c r="B766" s="7" t="s">
        <v>1588</v>
      </c>
    </row>
    <row r="767" spans="1:2" x14ac:dyDescent="0.35">
      <c r="A767" t="s">
        <v>765</v>
      </c>
      <c r="B767" s="7" t="s">
        <v>1589</v>
      </c>
    </row>
    <row r="768" spans="1:2" x14ac:dyDescent="0.35">
      <c r="A768" t="s">
        <v>766</v>
      </c>
      <c r="B768" s="7" t="s">
        <v>1590</v>
      </c>
    </row>
    <row r="769" spans="1:2" x14ac:dyDescent="0.35">
      <c r="A769" t="s">
        <v>767</v>
      </c>
      <c r="B769" s="7" t="s">
        <v>1591</v>
      </c>
    </row>
    <row r="770" spans="1:2" x14ac:dyDescent="0.35">
      <c r="A770" t="s">
        <v>768</v>
      </c>
      <c r="B770" s="7" t="s">
        <v>1592</v>
      </c>
    </row>
    <row r="771" spans="1:2" x14ac:dyDescent="0.35">
      <c r="A771" t="s">
        <v>769</v>
      </c>
      <c r="B771" s="7" t="s">
        <v>1593</v>
      </c>
    </row>
    <row r="772" spans="1:2" x14ac:dyDescent="0.35">
      <c r="A772" t="s">
        <v>770</v>
      </c>
      <c r="B772" s="7" t="s">
        <v>1594</v>
      </c>
    </row>
    <row r="773" spans="1:2" x14ac:dyDescent="0.35">
      <c r="A773" t="s">
        <v>771</v>
      </c>
      <c r="B773" s="7" t="s">
        <v>1595</v>
      </c>
    </row>
    <row r="774" spans="1:2" x14ac:dyDescent="0.35">
      <c r="A774" t="s">
        <v>772</v>
      </c>
      <c r="B774" s="7" t="s">
        <v>1596</v>
      </c>
    </row>
    <row r="775" spans="1:2" x14ac:dyDescent="0.35">
      <c r="A775" t="s">
        <v>773</v>
      </c>
      <c r="B775" s="7" t="s">
        <v>1597</v>
      </c>
    </row>
    <row r="776" spans="1:2" x14ac:dyDescent="0.35">
      <c r="A776" t="s">
        <v>774</v>
      </c>
      <c r="B776" s="7" t="s">
        <v>1598</v>
      </c>
    </row>
    <row r="777" spans="1:2" x14ac:dyDescent="0.35">
      <c r="A777" t="s">
        <v>775</v>
      </c>
      <c r="B777" s="7" t="s">
        <v>1599</v>
      </c>
    </row>
    <row r="778" spans="1:2" x14ac:dyDescent="0.35">
      <c r="A778" t="s">
        <v>776</v>
      </c>
      <c r="B778" s="7" t="s">
        <v>1600</v>
      </c>
    </row>
    <row r="779" spans="1:2" x14ac:dyDescent="0.35">
      <c r="A779" t="s">
        <v>777</v>
      </c>
      <c r="B779" s="7" t="s">
        <v>1601</v>
      </c>
    </row>
    <row r="780" spans="1:2" x14ac:dyDescent="0.35">
      <c r="A780" t="s">
        <v>778</v>
      </c>
      <c r="B780" s="7" t="s">
        <v>854</v>
      </c>
    </row>
    <row r="781" spans="1:2" x14ac:dyDescent="0.35">
      <c r="A781" s="4" t="s">
        <v>779</v>
      </c>
      <c r="B781" s="7" t="s">
        <v>1602</v>
      </c>
    </row>
    <row r="782" spans="1:2" x14ac:dyDescent="0.35">
      <c r="A782" s="4" t="s">
        <v>451</v>
      </c>
      <c r="B782" t="s">
        <v>1603</v>
      </c>
    </row>
    <row r="783" spans="1:2" x14ac:dyDescent="0.35">
      <c r="A783" s="4" t="s">
        <v>780</v>
      </c>
      <c r="B783" s="7" t="s">
        <v>843</v>
      </c>
    </row>
    <row r="784" spans="1:2" x14ac:dyDescent="0.35">
      <c r="A784" t="s">
        <v>781</v>
      </c>
      <c r="B784" s="7" t="s">
        <v>1604</v>
      </c>
    </row>
    <row r="785" spans="1:6" x14ac:dyDescent="0.35">
      <c r="A785" s="5" t="s">
        <v>782</v>
      </c>
      <c r="B785" s="7" t="s">
        <v>1605</v>
      </c>
    </row>
    <row r="786" spans="1:6" x14ac:dyDescent="0.35">
      <c r="A786" t="s">
        <v>783</v>
      </c>
      <c r="B786" s="7" t="s">
        <v>1606</v>
      </c>
    </row>
    <row r="787" spans="1:6" x14ac:dyDescent="0.35">
      <c r="A787" t="s">
        <v>784</v>
      </c>
      <c r="B787" s="7" t="s">
        <v>1607</v>
      </c>
    </row>
    <row r="788" spans="1:6" x14ac:dyDescent="0.35">
      <c r="A788" t="s">
        <v>785</v>
      </c>
      <c r="B788" s="7" t="s">
        <v>1608</v>
      </c>
    </row>
    <row r="789" spans="1:6" x14ac:dyDescent="0.35">
      <c r="A789" t="s">
        <v>786</v>
      </c>
      <c r="B789" s="7" t="s">
        <v>1609</v>
      </c>
    </row>
    <row r="790" spans="1:6" x14ac:dyDescent="0.35">
      <c r="A790" s="6" t="s">
        <v>787</v>
      </c>
      <c r="B790" s="7" t="s">
        <v>1610</v>
      </c>
    </row>
    <row r="791" spans="1:6" x14ac:dyDescent="0.35">
      <c r="A791" s="6" t="s">
        <v>788</v>
      </c>
      <c r="B791" t="s">
        <v>1611</v>
      </c>
    </row>
    <row r="792" spans="1:6" x14ac:dyDescent="0.35">
      <c r="A792" t="s">
        <v>789</v>
      </c>
      <c r="B792" s="7" t="s">
        <v>1612</v>
      </c>
    </row>
    <row r="793" spans="1:6" x14ac:dyDescent="0.35">
      <c r="A793" t="s">
        <v>790</v>
      </c>
      <c r="B793" s="7" t="s">
        <v>1613</v>
      </c>
    </row>
    <row r="794" spans="1:6" x14ac:dyDescent="0.35">
      <c r="A794" t="s">
        <v>791</v>
      </c>
      <c r="B794" s="7" t="s">
        <v>1614</v>
      </c>
    </row>
    <row r="795" spans="1:6" x14ac:dyDescent="0.35">
      <c r="A795" s="4" t="s">
        <v>793</v>
      </c>
      <c r="B795" s="4" t="s">
        <v>1616</v>
      </c>
    </row>
    <row r="796" spans="1:6" x14ac:dyDescent="0.35">
      <c r="A796" t="s">
        <v>794</v>
      </c>
      <c r="B796" s="7" t="s">
        <v>1617</v>
      </c>
    </row>
    <row r="797" spans="1:6" x14ac:dyDescent="0.35">
      <c r="A797" t="s">
        <v>795</v>
      </c>
      <c r="B797" s="7" t="s">
        <v>1618</v>
      </c>
    </row>
    <row r="798" spans="1:6" x14ac:dyDescent="0.35">
      <c r="A798" t="s">
        <v>459</v>
      </c>
      <c r="B798" s="7" t="s">
        <v>1283</v>
      </c>
      <c r="C798">
        <v>0.90080000000000005</v>
      </c>
      <c r="D798" t="s">
        <v>3481</v>
      </c>
      <c r="E798" s="57">
        <v>44580</v>
      </c>
      <c r="F798" t="s">
        <v>3321</v>
      </c>
    </row>
    <row r="799" spans="1:6" x14ac:dyDescent="0.35">
      <c r="A799" s="6" t="s">
        <v>797</v>
      </c>
      <c r="B799" s="7" t="s">
        <v>1620</v>
      </c>
    </row>
    <row r="800" spans="1:6" x14ac:dyDescent="0.35">
      <c r="A800" t="s">
        <v>798</v>
      </c>
      <c r="B800" s="7" t="s">
        <v>1621</v>
      </c>
    </row>
    <row r="801" spans="1:6" x14ac:dyDescent="0.35">
      <c r="A801" t="s">
        <v>799</v>
      </c>
      <c r="B801" s="7" t="s">
        <v>1622</v>
      </c>
    </row>
    <row r="802" spans="1:6" x14ac:dyDescent="0.35">
      <c r="A802" t="s">
        <v>800</v>
      </c>
      <c r="B802" s="7" t="s">
        <v>1623</v>
      </c>
    </row>
    <row r="803" spans="1:6" x14ac:dyDescent="0.35">
      <c r="A803" t="s">
        <v>801</v>
      </c>
      <c r="B803" s="7" t="s">
        <v>1624</v>
      </c>
    </row>
    <row r="804" spans="1:6" x14ac:dyDescent="0.35">
      <c r="A804" t="s">
        <v>802</v>
      </c>
      <c r="B804" s="7" t="s">
        <v>1625</v>
      </c>
    </row>
    <row r="805" spans="1:6" x14ac:dyDescent="0.35">
      <c r="A805" t="s">
        <v>803</v>
      </c>
      <c r="B805" s="7" t="s">
        <v>1626</v>
      </c>
    </row>
    <row r="806" spans="1:6" x14ac:dyDescent="0.35">
      <c r="A806" t="s">
        <v>804</v>
      </c>
      <c r="B806" s="7" t="s">
        <v>1627</v>
      </c>
    </row>
    <row r="807" spans="1:6" x14ac:dyDescent="0.35">
      <c r="A807" t="s">
        <v>805</v>
      </c>
      <c r="B807" s="7" t="s">
        <v>1628</v>
      </c>
    </row>
    <row r="808" spans="1:6" x14ac:dyDescent="0.35">
      <c r="A808" t="s">
        <v>59</v>
      </c>
      <c r="B808" s="7" t="s">
        <v>888</v>
      </c>
      <c r="C808">
        <v>19.13</v>
      </c>
      <c r="D808" t="s">
        <v>3481</v>
      </c>
      <c r="E808" s="57">
        <v>44580</v>
      </c>
      <c r="F808" t="s">
        <v>3321</v>
      </c>
    </row>
    <row r="809" spans="1:6" x14ac:dyDescent="0.35">
      <c r="A809" t="s">
        <v>807</v>
      </c>
      <c r="B809" s="7" t="s">
        <v>1630</v>
      </c>
    </row>
    <row r="810" spans="1:6" x14ac:dyDescent="0.35">
      <c r="A810" s="4" t="s">
        <v>808</v>
      </c>
      <c r="B810" t="s">
        <v>1631</v>
      </c>
    </row>
    <row r="811" spans="1:6" x14ac:dyDescent="0.35">
      <c r="A811" t="s">
        <v>809</v>
      </c>
      <c r="B811" s="7" t="s">
        <v>1632</v>
      </c>
    </row>
    <row r="812" spans="1:6" x14ac:dyDescent="0.35">
      <c r="A812" t="s">
        <v>810</v>
      </c>
      <c r="B812" s="7" t="s">
        <v>1633</v>
      </c>
    </row>
    <row r="813" spans="1:6" x14ac:dyDescent="0.35">
      <c r="A813" t="s">
        <v>811</v>
      </c>
      <c r="B813" s="7" t="s">
        <v>1634</v>
      </c>
    </row>
    <row r="814" spans="1:6" x14ac:dyDescent="0.35">
      <c r="A814" s="6" t="s">
        <v>812</v>
      </c>
      <c r="B814" s="7" t="s">
        <v>1635</v>
      </c>
    </row>
    <row r="815" spans="1:6" x14ac:dyDescent="0.35">
      <c r="A815" t="s">
        <v>813</v>
      </c>
      <c r="B815" s="7" t="s">
        <v>1636</v>
      </c>
    </row>
    <row r="816" spans="1:6" x14ac:dyDescent="0.35">
      <c r="A816" t="s">
        <v>814</v>
      </c>
      <c r="B816" s="7" t="s">
        <v>1637</v>
      </c>
    </row>
    <row r="817" spans="1:6" x14ac:dyDescent="0.35">
      <c r="A817" t="s">
        <v>815</v>
      </c>
      <c r="B817" t="s">
        <v>1638</v>
      </c>
    </row>
    <row r="818" spans="1:6" x14ac:dyDescent="0.35">
      <c r="A818" s="6" t="s">
        <v>816</v>
      </c>
      <c r="B818" s="7" t="s">
        <v>1639</v>
      </c>
    </row>
    <row r="819" spans="1:6" x14ac:dyDescent="0.35">
      <c r="A819" s="6" t="s">
        <v>817</v>
      </c>
      <c r="B819" t="s">
        <v>1640</v>
      </c>
    </row>
    <row r="820" spans="1:6" x14ac:dyDescent="0.35">
      <c r="A820" t="s">
        <v>818</v>
      </c>
      <c r="B820" t="s">
        <v>1641</v>
      </c>
    </row>
    <row r="821" spans="1:6" x14ac:dyDescent="0.35">
      <c r="A821" t="s">
        <v>819</v>
      </c>
    </row>
    <row r="822" spans="1:6" x14ac:dyDescent="0.35">
      <c r="A822" t="s">
        <v>820</v>
      </c>
      <c r="B822" s="7" t="s">
        <v>1642</v>
      </c>
    </row>
    <row r="823" spans="1:6" x14ac:dyDescent="0.35">
      <c r="A823" s="6" t="s">
        <v>821</v>
      </c>
      <c r="B823" s="7" t="s">
        <v>1643</v>
      </c>
    </row>
    <row r="824" spans="1:6" x14ac:dyDescent="0.35">
      <c r="A824" t="s">
        <v>822</v>
      </c>
      <c r="B824" s="7" t="s">
        <v>1644</v>
      </c>
    </row>
    <row r="825" spans="1:6" x14ac:dyDescent="0.35">
      <c r="A825" t="s">
        <v>823</v>
      </c>
      <c r="B825" s="7" t="s">
        <v>1645</v>
      </c>
    </row>
    <row r="826" spans="1:6" x14ac:dyDescent="0.35">
      <c r="A826" t="s">
        <v>824</v>
      </c>
      <c r="B826" s="7" t="s">
        <v>1646</v>
      </c>
    </row>
    <row r="827" spans="1:6" x14ac:dyDescent="0.35">
      <c r="A827" s="4" t="s">
        <v>825</v>
      </c>
      <c r="B827" s="7" t="s">
        <v>1647</v>
      </c>
    </row>
    <row r="828" spans="1:6" x14ac:dyDescent="0.35">
      <c r="A828" s="4" t="s">
        <v>826</v>
      </c>
      <c r="B828" s="7" t="s">
        <v>1648</v>
      </c>
    </row>
    <row r="829" spans="1:6" x14ac:dyDescent="0.35">
      <c r="A829" s="4" t="s">
        <v>565</v>
      </c>
      <c r="B829" t="s">
        <v>1389</v>
      </c>
    </row>
    <row r="830" spans="1:6" x14ac:dyDescent="0.35">
      <c r="A830" t="s">
        <v>577</v>
      </c>
      <c r="B830" s="7" t="s">
        <v>1401</v>
      </c>
      <c r="C830">
        <v>10.11</v>
      </c>
      <c r="D830" t="s">
        <v>3481</v>
      </c>
      <c r="E830" s="57">
        <v>44580</v>
      </c>
      <c r="F830" t="s">
        <v>3321</v>
      </c>
    </row>
    <row r="831" spans="1:6" x14ac:dyDescent="0.35">
      <c r="A831" t="s">
        <v>827</v>
      </c>
      <c r="B831" s="7" t="s">
        <v>1649</v>
      </c>
    </row>
    <row r="832" spans="1:6" s="26" customFormat="1" x14ac:dyDescent="0.35">
      <c r="A832" s="26" t="s">
        <v>3325</v>
      </c>
    </row>
    <row r="833" spans="1:2" s="26" customFormat="1" x14ac:dyDescent="0.35">
      <c r="A833" s="26" t="s">
        <v>3326</v>
      </c>
      <c r="B833" s="26" t="s">
        <v>3327</v>
      </c>
    </row>
    <row r="834" spans="1:2" s="26" customFormat="1" x14ac:dyDescent="0.35">
      <c r="A834" s="26" t="s">
        <v>3328</v>
      </c>
      <c r="B834" s="26" t="s">
        <v>3329</v>
      </c>
    </row>
    <row r="835" spans="1:2" s="26" customFormat="1" x14ac:dyDescent="0.35">
      <c r="A835" s="26" t="s">
        <v>3330</v>
      </c>
      <c r="B835" s="26" t="s">
        <v>3331</v>
      </c>
    </row>
    <row r="836" spans="1:2" s="26" customFormat="1" x14ac:dyDescent="0.35">
      <c r="A836" s="26" t="s">
        <v>3332</v>
      </c>
      <c r="B836" s="26" t="s">
        <v>3333</v>
      </c>
    </row>
    <row r="837" spans="1:2" s="26" customFormat="1" x14ac:dyDescent="0.35">
      <c r="A837" s="26" t="s">
        <v>3334</v>
      </c>
      <c r="B837" s="26" t="s">
        <v>867</v>
      </c>
    </row>
    <row r="838" spans="1:2" s="26" customFormat="1" x14ac:dyDescent="0.35">
      <c r="A838" s="26" t="s">
        <v>3335</v>
      </c>
      <c r="B838" s="26" t="s">
        <v>3336</v>
      </c>
    </row>
    <row r="839" spans="1:2" s="26" customFormat="1" x14ac:dyDescent="0.35">
      <c r="A839" s="26" t="s">
        <v>3337</v>
      </c>
      <c r="B839" s="26" t="s">
        <v>1397</v>
      </c>
    </row>
    <row r="840" spans="1:2" s="26" customFormat="1" x14ac:dyDescent="0.35">
      <c r="A840" s="26" t="s">
        <v>3338</v>
      </c>
      <c r="B840" s="26" t="s">
        <v>3339</v>
      </c>
    </row>
    <row r="841" spans="1:2" s="26" customFormat="1" x14ac:dyDescent="0.35">
      <c r="A841" s="26" t="s">
        <v>3340</v>
      </c>
      <c r="B841" s="26" t="s">
        <v>3341</v>
      </c>
    </row>
    <row r="842" spans="1:2" s="26" customFormat="1" x14ac:dyDescent="0.35">
      <c r="A842" s="26" t="s">
        <v>3342</v>
      </c>
      <c r="B842" s="26" t="s">
        <v>3343</v>
      </c>
    </row>
    <row r="843" spans="1:2" s="26" customFormat="1" x14ac:dyDescent="0.35">
      <c r="A843" s="26" t="s">
        <v>1879</v>
      </c>
      <c r="B843" s="26" t="s">
        <v>3344</v>
      </c>
    </row>
    <row r="844" spans="1:2" s="26" customFormat="1" x14ac:dyDescent="0.35">
      <c r="A844" s="26" t="s">
        <v>3345</v>
      </c>
      <c r="B844" s="26" t="s">
        <v>3346</v>
      </c>
    </row>
    <row r="845" spans="1:2" s="26" customFormat="1" x14ac:dyDescent="0.35">
      <c r="A845" s="26" t="s">
        <v>3347</v>
      </c>
      <c r="B845" s="26" t="s">
        <v>3348</v>
      </c>
    </row>
    <row r="846" spans="1:2" s="26" customFormat="1" x14ac:dyDescent="0.35">
      <c r="A846" s="26" t="s">
        <v>3349</v>
      </c>
      <c r="B846" s="26" t="s">
        <v>3350</v>
      </c>
    </row>
    <row r="847" spans="1:2" s="26" customFormat="1" x14ac:dyDescent="0.35">
      <c r="A847" s="26" t="s">
        <v>3351</v>
      </c>
      <c r="B847" s="26" t="s">
        <v>3352</v>
      </c>
    </row>
    <row r="848" spans="1:2" s="26" customFormat="1" x14ac:dyDescent="0.35">
      <c r="A848" s="26" t="s">
        <v>3353</v>
      </c>
      <c r="B848" s="26" t="s">
        <v>3354</v>
      </c>
    </row>
    <row r="849" spans="1:2" s="26" customFormat="1" x14ac:dyDescent="0.35">
      <c r="A849" s="26" t="s">
        <v>3355</v>
      </c>
      <c r="B849" s="26" t="s">
        <v>3356</v>
      </c>
    </row>
    <row r="850" spans="1:2" s="26" customFormat="1" x14ac:dyDescent="0.35">
      <c r="A850" s="26" t="s">
        <v>3357</v>
      </c>
      <c r="B850" s="26" t="s">
        <v>3358</v>
      </c>
    </row>
    <row r="851" spans="1:2" s="26" customFormat="1" x14ac:dyDescent="0.35">
      <c r="A851" s="26" t="s">
        <v>3359</v>
      </c>
      <c r="B851" s="26" t="s">
        <v>3360</v>
      </c>
    </row>
    <row r="852" spans="1:2" s="26" customFormat="1" x14ac:dyDescent="0.35">
      <c r="A852" s="26" t="s">
        <v>3361</v>
      </c>
      <c r="B852" s="26" t="s">
        <v>3362</v>
      </c>
    </row>
    <row r="853" spans="1:2" s="26" customFormat="1" x14ac:dyDescent="0.35">
      <c r="A853" s="26" t="s">
        <v>3363</v>
      </c>
      <c r="B853" s="26" t="s">
        <v>3364</v>
      </c>
    </row>
    <row r="854" spans="1:2" s="26" customFormat="1" x14ac:dyDescent="0.35">
      <c r="A854" s="26" t="s">
        <v>3365</v>
      </c>
      <c r="B854" s="26" t="s">
        <v>3366</v>
      </c>
    </row>
    <row r="855" spans="1:2" s="26" customFormat="1" x14ac:dyDescent="0.35">
      <c r="A855" s="26" t="s">
        <v>3367</v>
      </c>
      <c r="B855" s="26" t="s">
        <v>3368</v>
      </c>
    </row>
    <row r="856" spans="1:2" s="26" customFormat="1" x14ac:dyDescent="0.35">
      <c r="A856" s="26" t="s">
        <v>3369</v>
      </c>
      <c r="B856" s="26" t="s">
        <v>3370</v>
      </c>
    </row>
    <row r="857" spans="1:2" s="26" customFormat="1" x14ac:dyDescent="0.35">
      <c r="A857" s="26" t="s">
        <v>3371</v>
      </c>
      <c r="B857" s="26" t="s">
        <v>3372</v>
      </c>
    </row>
    <row r="858" spans="1:2" s="26" customFormat="1" x14ac:dyDescent="0.35">
      <c r="A858" s="26" t="s">
        <v>3373</v>
      </c>
      <c r="B858" s="26" t="s">
        <v>3374</v>
      </c>
    </row>
    <row r="859" spans="1:2" s="26" customFormat="1" x14ac:dyDescent="0.35">
      <c r="A859" s="26" t="s">
        <v>3375</v>
      </c>
      <c r="B859" s="26" t="s">
        <v>3376</v>
      </c>
    </row>
    <row r="860" spans="1:2" s="26" customFormat="1" x14ac:dyDescent="0.35">
      <c r="A860" s="26" t="s">
        <v>3377</v>
      </c>
      <c r="B860" s="26" t="s">
        <v>3339</v>
      </c>
    </row>
    <row r="861" spans="1:2" s="26" customFormat="1" x14ac:dyDescent="0.35">
      <c r="A861" s="26" t="s">
        <v>3378</v>
      </c>
      <c r="B861" s="26" t="s">
        <v>3341</v>
      </c>
    </row>
    <row r="862" spans="1:2" s="26" customFormat="1" x14ac:dyDescent="0.35">
      <c r="A862" s="26" t="s">
        <v>3379</v>
      </c>
      <c r="B862" s="26" t="s">
        <v>3380</v>
      </c>
    </row>
    <row r="863" spans="1:2" s="26" customFormat="1" x14ac:dyDescent="0.35">
      <c r="A863" s="26" t="s">
        <v>3381</v>
      </c>
      <c r="B863" s="26" t="s">
        <v>3382</v>
      </c>
    </row>
    <row r="864" spans="1:2" s="26" customFormat="1" x14ac:dyDescent="0.35">
      <c r="A864" s="26" t="s">
        <v>3383</v>
      </c>
      <c r="B864" s="26" t="s">
        <v>3384</v>
      </c>
    </row>
    <row r="865" spans="1:2" s="26" customFormat="1" x14ac:dyDescent="0.35">
      <c r="A865" s="26" t="s">
        <v>3385</v>
      </c>
      <c r="B865" s="26" t="s">
        <v>3386</v>
      </c>
    </row>
    <row r="866" spans="1:2" s="26" customFormat="1" x14ac:dyDescent="0.35">
      <c r="A866" s="26" t="s">
        <v>3387</v>
      </c>
      <c r="B866" s="26" t="s">
        <v>3388</v>
      </c>
    </row>
    <row r="867" spans="1:2" s="26" customFormat="1" x14ac:dyDescent="0.35">
      <c r="A867" s="26" t="s">
        <v>3389</v>
      </c>
      <c r="B867" s="26" t="s">
        <v>3390</v>
      </c>
    </row>
    <row r="868" spans="1:2" s="26" customFormat="1" x14ac:dyDescent="0.35">
      <c r="A868" s="26" t="s">
        <v>3391</v>
      </c>
      <c r="B868" s="26" t="s">
        <v>3392</v>
      </c>
    </row>
    <row r="869" spans="1:2" s="26" customFormat="1" x14ac:dyDescent="0.35">
      <c r="A869" s="26" t="s">
        <v>3393</v>
      </c>
      <c r="B869" s="26" t="s">
        <v>3348</v>
      </c>
    </row>
    <row r="870" spans="1:2" s="26" customFormat="1" x14ac:dyDescent="0.35">
      <c r="A870" s="26" t="s">
        <v>3394</v>
      </c>
      <c r="B870" s="26" t="s">
        <v>3395</v>
      </c>
    </row>
    <row r="871" spans="1:2" s="26" customFormat="1" x14ac:dyDescent="0.35">
      <c r="A871" s="26" t="s">
        <v>3396</v>
      </c>
      <c r="B871" s="26" t="s">
        <v>3397</v>
      </c>
    </row>
    <row r="872" spans="1:2" s="26" customFormat="1" x14ac:dyDescent="0.35">
      <c r="A872" s="26" t="s">
        <v>3398</v>
      </c>
      <c r="B872" s="26" t="s">
        <v>3352</v>
      </c>
    </row>
    <row r="873" spans="1:2" s="26" customFormat="1" x14ac:dyDescent="0.35">
      <c r="A873" s="26" t="s">
        <v>3399</v>
      </c>
      <c r="B873" s="26" t="s">
        <v>3400</v>
      </c>
    </row>
    <row r="874" spans="1:2" s="26" customFormat="1" x14ac:dyDescent="0.35">
      <c r="A874" s="26" t="s">
        <v>3401</v>
      </c>
      <c r="B874" s="26" t="s">
        <v>3402</v>
      </c>
    </row>
    <row r="875" spans="1:2" s="26" customFormat="1" x14ac:dyDescent="0.35">
      <c r="A875" s="26" t="s">
        <v>3403</v>
      </c>
      <c r="B875" s="26" t="s">
        <v>3404</v>
      </c>
    </row>
    <row r="876" spans="1:2" s="26" customFormat="1" x14ac:dyDescent="0.35">
      <c r="A876" s="26" t="s">
        <v>3405</v>
      </c>
      <c r="B876" s="26" t="s">
        <v>3406</v>
      </c>
    </row>
    <row r="877" spans="1:2" s="26" customFormat="1" x14ac:dyDescent="0.35">
      <c r="A877" s="26" t="s">
        <v>3407</v>
      </c>
      <c r="B877" s="26" t="s">
        <v>3415</v>
      </c>
    </row>
    <row r="878" spans="1:2" s="26" customFormat="1" x14ac:dyDescent="0.35">
      <c r="A878" s="26" t="s">
        <v>3408</v>
      </c>
      <c r="B878" s="26" t="s">
        <v>3416</v>
      </c>
    </row>
    <row r="879" spans="1:2" s="26" customFormat="1" x14ac:dyDescent="0.35">
      <c r="A879" s="26" t="s">
        <v>3409</v>
      </c>
    </row>
    <row r="880" spans="1:2" s="26" customFormat="1" x14ac:dyDescent="0.35">
      <c r="A880" s="26" t="s">
        <v>3410</v>
      </c>
    </row>
    <row r="881" spans="1:2" s="26" customFormat="1" x14ac:dyDescent="0.35">
      <c r="A881" s="26" t="s">
        <v>3411</v>
      </c>
    </row>
    <row r="882" spans="1:2" s="26" customFormat="1" x14ac:dyDescent="0.35">
      <c r="A882" s="26" t="s">
        <v>3412</v>
      </c>
      <c r="B882" s="26" t="s">
        <v>3417</v>
      </c>
    </row>
    <row r="883" spans="1:2" s="26" customFormat="1" x14ac:dyDescent="0.35">
      <c r="A883" s="26" t="s">
        <v>3413</v>
      </c>
      <c r="B883" s="26" t="s">
        <v>3418</v>
      </c>
    </row>
    <row r="884" spans="1:2" s="26" customFormat="1" x14ac:dyDescent="0.35">
      <c r="A884" s="26" t="s">
        <v>3414</v>
      </c>
      <c r="B884" s="26" t="s">
        <v>3419</v>
      </c>
    </row>
  </sheetData>
  <autoFilter ref="A1:F884" xr:uid="{BAB942AC-6943-47AA-95C1-A2F7C03564F3}">
    <sortState xmlns:xlrd2="http://schemas.microsoft.com/office/spreadsheetml/2017/richdata2" ref="A35:F830">
      <sortCondition ref="B1:B884"/>
    </sortState>
  </autoFilter>
  <hyperlinks>
    <hyperlink ref="A41" r:id="rId1" display="DTXSID5037523" xr:uid="{65CA95DA-19F3-421A-8C46-4F3443B72DB6}"/>
    <hyperlink ref="A42" r:id="rId2" display="DTXSID1032482" xr:uid="{5EC7944F-E190-4E5E-8C63-3B760EDF42A6}"/>
    <hyperlink ref="A43" r:id="rId3" display="DTXSID4058499" xr:uid="{0D938A77-2AEE-4A42-8539-E647A5391AE7}"/>
    <hyperlink ref="A44" r:id="rId4" display="DTXSID9037539" xr:uid="{7A820FE1-178D-437B-92DA-C33DFA42C9C7}"/>
    <hyperlink ref="A45" r:id="rId5" display="DTXSID1032640" xr:uid="{30AA3EB2-7B43-4541-827A-CA2011211BDB}"/>
    <hyperlink ref="A46" r:id="rId6" display="DTXSID2052736" xr:uid="{765DEF39-1B69-4FAF-B068-B32E4049ECC8}"/>
    <hyperlink ref="A47" r:id="rId7" display="DTXSID6020147" xr:uid="{BD684B1B-FD71-4D88-BAB2-133AFA24DBC0}"/>
    <hyperlink ref="A48" r:id="rId8" display="DTXSID5020819" xr:uid="{B15461BA-84C9-467B-8026-65AEB6373137}"/>
    <hyperlink ref="A49" r:id="rId9" display="DTXSID5037571" xr:uid="{1921296F-6ECC-48CE-AA15-8D11FB5A21FF}"/>
    <hyperlink ref="A50" r:id="rId10" display="DTXSID1023445" xr:uid="{529356DB-D2DF-46FB-BEBC-C071288DEA42}"/>
    <hyperlink ref="A51" r:id="rId11" display="DTXSID0020442" xr:uid="{B5F04626-5712-4383-A45C-CCE0B676C279}"/>
    <hyperlink ref="A52" r:id="rId12" display="DTXSID4024195" xr:uid="{755A610F-B367-409E-8886-8EC2167E2D00}"/>
    <hyperlink ref="A579" r:id="rId13" display="DTXSID2024113" xr:uid="{49ED564C-7D4B-40CE-B974-EA7CD3E6D795}"/>
    <hyperlink ref="A54" r:id="rId14" display="DTXSID9020322" xr:uid="{1889771E-2BC1-4AC6-A727-0F92CDED3BCC}"/>
    <hyperlink ref="A55" r:id="rId15" display="DTXSID9034868" xr:uid="{344BD8C8-DE70-49C1-A600-21B8128D2F00}"/>
    <hyperlink ref="A56" r:id="rId16" display="DTXSID2020636" xr:uid="{3C207A6D-102D-4853-8902-A9CC309D2A08}"/>
    <hyperlink ref="A57" r:id="rId17" display="DTXSID9024194" xr:uid="{E4B95B92-6820-43A4-B33C-48A6C53B767A}"/>
    <hyperlink ref="A58" r:id="rId18" display="DTXSID5040675" xr:uid="{12AFEE51-3FB3-4538-8417-038DB22541EA}"/>
    <hyperlink ref="A59" r:id="rId19" display="DTXSID8023975" xr:uid="{F31F7495-FF73-4835-BC61-C57C1DAF4BEC}"/>
    <hyperlink ref="A60" r:id="rId20" display="DTXSID1024465" xr:uid="{F9085392-D0FF-4A43-ABD3-05599539DA54}"/>
    <hyperlink ref="A808" r:id="rId21" display="DTXSID6023737" xr:uid="{4DACB1BB-322A-4870-9BF9-CD4F535F9DEA}"/>
    <hyperlink ref="A62" r:id="rId22" display="DTXSID40869118" xr:uid="{35BAA80D-E815-45E0-B945-57270EAE455C}"/>
    <hyperlink ref="A63" r:id="rId23" display="DTXSID5023114" xr:uid="{84F50F91-8945-434D-98A1-F635B3DA4C45}"/>
    <hyperlink ref="A64" r:id="rId24" display="DTXSID4020161" xr:uid="{0D760909-6254-4736-8ED6-DEDD51992C21}"/>
    <hyperlink ref="A65" r:id="rId25" display="DTXSID4020878" xr:uid="{048A448D-29B6-49A2-98A1-8E687BD72FD2}"/>
    <hyperlink ref="A66" r:id="rId26" display="DTXSID4022658" xr:uid="{BFDF4DB9-9ACE-45BB-B1BD-8106BFFE9A86}"/>
    <hyperlink ref="A67" r:id="rId27" display="DTXSID8020913" xr:uid="{6D78C0B0-CAC0-4570-97CA-22EC780D35E3}"/>
    <hyperlink ref="A68" r:id="rId28" display="DTXSID0023955" xr:uid="{4CB605FB-E5AD-426D-9E5B-172DA12709C9}"/>
    <hyperlink ref="A69" r:id="rId29" display="DTXSID9020877" xr:uid="{26E635E1-78C2-4F7A-8BA8-9E062C80FCC1}"/>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9916E-BDB3-437D-BA1A-32759A907FA5}">
  <dimension ref="A1:H3458"/>
  <sheetViews>
    <sheetView workbookViewId="0">
      <selection activeCell="G13" sqref="G13"/>
    </sheetView>
  </sheetViews>
  <sheetFormatPr defaultRowHeight="14.5" x14ac:dyDescent="0.35"/>
  <cols>
    <col min="2" max="2" width="36.36328125" bestFit="1" customWidth="1"/>
    <col min="3" max="3" width="8.54296875" bestFit="1" customWidth="1"/>
    <col min="7" max="7" width="125.1796875" bestFit="1" customWidth="1"/>
  </cols>
  <sheetData>
    <row r="1" spans="1:8" s="49" customFormat="1" x14ac:dyDescent="0.35">
      <c r="A1" s="49" t="s">
        <v>2103</v>
      </c>
      <c r="B1" s="49" t="s">
        <v>1650</v>
      </c>
      <c r="C1" s="49" t="s">
        <v>4176</v>
      </c>
      <c r="D1" s="49" t="s">
        <v>1951</v>
      </c>
      <c r="E1" s="49" t="s">
        <v>1689</v>
      </c>
      <c r="F1" s="49" t="s">
        <v>4177</v>
      </c>
      <c r="G1" s="49" t="s">
        <v>4379</v>
      </c>
      <c r="H1" s="49" t="s">
        <v>4178</v>
      </c>
    </row>
    <row r="2" spans="1:8" x14ac:dyDescent="0.35">
      <c r="A2" t="s">
        <v>12</v>
      </c>
      <c r="B2" t="s">
        <v>841</v>
      </c>
      <c r="C2" t="s">
        <v>4179</v>
      </c>
      <c r="D2">
        <v>5.6000000000000001E-2</v>
      </c>
      <c r="E2" t="s">
        <v>1720</v>
      </c>
      <c r="F2" t="s">
        <v>1721</v>
      </c>
      <c r="G2" t="s">
        <v>4380</v>
      </c>
      <c r="H2" t="s">
        <v>4180</v>
      </c>
    </row>
    <row r="3" spans="1:8" x14ac:dyDescent="0.35">
      <c r="A3" t="s">
        <v>12</v>
      </c>
      <c r="B3" t="s">
        <v>841</v>
      </c>
      <c r="C3" t="s">
        <v>4179</v>
      </c>
      <c r="D3">
        <v>0.22</v>
      </c>
      <c r="E3" t="s">
        <v>1720</v>
      </c>
      <c r="F3" t="s">
        <v>1724</v>
      </c>
      <c r="G3" t="s">
        <v>4380</v>
      </c>
      <c r="H3" t="s">
        <v>4180</v>
      </c>
    </row>
    <row r="4" spans="1:8" x14ac:dyDescent="0.35">
      <c r="A4" t="s">
        <v>12</v>
      </c>
      <c r="B4" t="s">
        <v>841</v>
      </c>
      <c r="C4" t="s">
        <v>4181</v>
      </c>
      <c r="D4">
        <v>5.6000000000000001E-2</v>
      </c>
      <c r="E4" t="s">
        <v>1720</v>
      </c>
      <c r="F4" t="s">
        <v>1721</v>
      </c>
      <c r="G4" t="s">
        <v>4381</v>
      </c>
      <c r="H4" t="s">
        <v>4182</v>
      </c>
    </row>
    <row r="5" spans="1:8" x14ac:dyDescent="0.35">
      <c r="A5" t="s">
        <v>12</v>
      </c>
      <c r="B5" t="s">
        <v>841</v>
      </c>
      <c r="C5" t="s">
        <v>4181</v>
      </c>
      <c r="D5">
        <v>0.11</v>
      </c>
      <c r="E5" t="s">
        <v>1720</v>
      </c>
      <c r="F5" t="s">
        <v>1724</v>
      </c>
      <c r="G5" t="s">
        <v>4381</v>
      </c>
      <c r="H5" t="s">
        <v>4182</v>
      </c>
    </row>
    <row r="6" spans="1:8" x14ac:dyDescent="0.35">
      <c r="A6" t="s">
        <v>12</v>
      </c>
      <c r="B6" t="s">
        <v>841</v>
      </c>
      <c r="C6" t="s">
        <v>4183</v>
      </c>
      <c r="D6">
        <v>5.6000000000000001E-2</v>
      </c>
      <c r="E6" t="s">
        <v>1720</v>
      </c>
      <c r="F6" t="s">
        <v>1721</v>
      </c>
      <c r="G6" t="s">
        <v>4382</v>
      </c>
      <c r="H6" t="s">
        <v>4184</v>
      </c>
    </row>
    <row r="7" spans="1:8" x14ac:dyDescent="0.35">
      <c r="A7" t="s">
        <v>12</v>
      </c>
      <c r="B7" t="s">
        <v>841</v>
      </c>
      <c r="C7" t="s">
        <v>4183</v>
      </c>
      <c r="D7">
        <v>0.22</v>
      </c>
      <c r="E7" t="s">
        <v>1720</v>
      </c>
      <c r="F7" t="s">
        <v>1724</v>
      </c>
      <c r="G7" t="s">
        <v>4382</v>
      </c>
      <c r="H7" t="s">
        <v>4184</v>
      </c>
    </row>
    <row r="8" spans="1:8" x14ac:dyDescent="0.35">
      <c r="A8" t="s">
        <v>12</v>
      </c>
      <c r="B8" t="s">
        <v>841</v>
      </c>
      <c r="C8" t="s">
        <v>4185</v>
      </c>
      <c r="D8">
        <v>5.6000000000000001E-2</v>
      </c>
      <c r="E8" t="s">
        <v>1720</v>
      </c>
      <c r="F8" t="s">
        <v>1721</v>
      </c>
      <c r="G8" t="s">
        <v>4383</v>
      </c>
      <c r="H8" t="s">
        <v>4186</v>
      </c>
    </row>
    <row r="9" spans="1:8" x14ac:dyDescent="0.35">
      <c r="A9" t="s">
        <v>12</v>
      </c>
      <c r="B9" t="s">
        <v>841</v>
      </c>
      <c r="C9" t="s">
        <v>4185</v>
      </c>
      <c r="D9">
        <v>0.22</v>
      </c>
      <c r="E9" t="s">
        <v>1720</v>
      </c>
      <c r="F9" t="s">
        <v>1724</v>
      </c>
      <c r="G9" t="s">
        <v>4383</v>
      </c>
      <c r="H9" t="s">
        <v>4186</v>
      </c>
    </row>
    <row r="10" spans="1:8" x14ac:dyDescent="0.35">
      <c r="A10" t="s">
        <v>12</v>
      </c>
      <c r="B10" t="s">
        <v>841</v>
      </c>
      <c r="C10" t="s">
        <v>4187</v>
      </c>
      <c r="D10">
        <v>5.6000000000000001E-2</v>
      </c>
      <c r="E10" t="s">
        <v>1720</v>
      </c>
      <c r="F10" t="s">
        <v>1721</v>
      </c>
      <c r="G10" t="s">
        <v>4384</v>
      </c>
      <c r="H10" t="s">
        <v>4188</v>
      </c>
    </row>
    <row r="11" spans="1:8" x14ac:dyDescent="0.35">
      <c r="A11" t="s">
        <v>12</v>
      </c>
      <c r="B11" t="s">
        <v>841</v>
      </c>
      <c r="C11" t="s">
        <v>4187</v>
      </c>
      <c r="D11">
        <v>0.22</v>
      </c>
      <c r="E11" t="s">
        <v>1720</v>
      </c>
      <c r="F11" t="s">
        <v>1724</v>
      </c>
      <c r="G11" t="s">
        <v>4384</v>
      </c>
      <c r="H11" t="s">
        <v>4188</v>
      </c>
    </row>
    <row r="12" spans="1:8" x14ac:dyDescent="0.35">
      <c r="A12" t="s">
        <v>12</v>
      </c>
      <c r="B12" t="s">
        <v>841</v>
      </c>
      <c r="C12" t="s">
        <v>4189</v>
      </c>
      <c r="D12">
        <v>5.6000000000000001E-2</v>
      </c>
      <c r="E12" t="s">
        <v>1720</v>
      </c>
      <c r="F12" t="s">
        <v>1721</v>
      </c>
      <c r="G12" t="s">
        <v>4385</v>
      </c>
      <c r="H12" t="s">
        <v>4190</v>
      </c>
    </row>
    <row r="13" spans="1:8" x14ac:dyDescent="0.35">
      <c r="A13" t="s">
        <v>12</v>
      </c>
      <c r="B13" t="s">
        <v>841</v>
      </c>
      <c r="C13" t="s">
        <v>4189</v>
      </c>
      <c r="D13">
        <v>0.22</v>
      </c>
      <c r="E13" t="s">
        <v>1720</v>
      </c>
      <c r="F13" t="s">
        <v>1724</v>
      </c>
      <c r="G13" t="s">
        <v>4385</v>
      </c>
      <c r="H13" t="s">
        <v>4190</v>
      </c>
    </row>
    <row r="14" spans="1:8" x14ac:dyDescent="0.35">
      <c r="A14" t="s">
        <v>12</v>
      </c>
      <c r="B14" t="s">
        <v>841</v>
      </c>
      <c r="C14" t="s">
        <v>4191</v>
      </c>
      <c r="D14">
        <v>5.6000000000000001E-2</v>
      </c>
      <c r="E14" t="s">
        <v>1720</v>
      </c>
      <c r="F14" t="s">
        <v>1721</v>
      </c>
      <c r="G14" t="s">
        <v>4383</v>
      </c>
      <c r="H14" t="s">
        <v>4192</v>
      </c>
    </row>
    <row r="15" spans="1:8" x14ac:dyDescent="0.35">
      <c r="A15" t="s">
        <v>12</v>
      </c>
      <c r="B15" t="s">
        <v>841</v>
      </c>
      <c r="C15" t="s">
        <v>4191</v>
      </c>
      <c r="D15">
        <v>0.22</v>
      </c>
      <c r="E15" t="s">
        <v>1720</v>
      </c>
      <c r="F15" t="s">
        <v>1724</v>
      </c>
      <c r="G15" t="s">
        <v>4383</v>
      </c>
      <c r="H15" t="s">
        <v>4192</v>
      </c>
    </row>
    <row r="16" spans="1:8" x14ac:dyDescent="0.35">
      <c r="A16" t="s">
        <v>12</v>
      </c>
      <c r="B16" t="s">
        <v>841</v>
      </c>
      <c r="C16" t="s">
        <v>4193</v>
      </c>
      <c r="D16">
        <v>5.6000000000000001E-2</v>
      </c>
      <c r="E16" t="s">
        <v>1720</v>
      </c>
      <c r="F16" t="s">
        <v>1721</v>
      </c>
      <c r="G16" t="s">
        <v>4386</v>
      </c>
      <c r="H16" t="s">
        <v>4194</v>
      </c>
    </row>
    <row r="17" spans="1:8" x14ac:dyDescent="0.35">
      <c r="A17" t="s">
        <v>12</v>
      </c>
      <c r="B17" t="s">
        <v>841</v>
      </c>
      <c r="C17" t="s">
        <v>4193</v>
      </c>
      <c r="D17">
        <v>0.22</v>
      </c>
      <c r="E17" t="s">
        <v>1720</v>
      </c>
      <c r="F17" t="s">
        <v>1724</v>
      </c>
      <c r="G17" t="s">
        <v>4386</v>
      </c>
      <c r="H17" t="s">
        <v>4194</v>
      </c>
    </row>
    <row r="18" spans="1:8" x14ac:dyDescent="0.35">
      <c r="A18" t="s">
        <v>12</v>
      </c>
      <c r="B18" t="s">
        <v>841</v>
      </c>
      <c r="C18" t="s">
        <v>4195</v>
      </c>
      <c r="D18">
        <v>5.6000000000000001E-2</v>
      </c>
      <c r="E18" t="s">
        <v>1720</v>
      </c>
      <c r="F18" t="s">
        <v>1721</v>
      </c>
      <c r="G18" t="s">
        <v>4387</v>
      </c>
      <c r="H18" t="s">
        <v>4196</v>
      </c>
    </row>
    <row r="19" spans="1:8" x14ac:dyDescent="0.35">
      <c r="A19" t="s">
        <v>12</v>
      </c>
      <c r="B19" t="s">
        <v>841</v>
      </c>
      <c r="C19" t="s">
        <v>4195</v>
      </c>
      <c r="D19">
        <v>0.22</v>
      </c>
      <c r="E19" t="s">
        <v>1720</v>
      </c>
      <c r="F19" t="s">
        <v>1724</v>
      </c>
      <c r="G19" t="s">
        <v>4387</v>
      </c>
      <c r="H19" t="s">
        <v>4196</v>
      </c>
    </row>
    <row r="20" spans="1:8" x14ac:dyDescent="0.35">
      <c r="A20" t="s">
        <v>12</v>
      </c>
      <c r="B20" t="s">
        <v>841</v>
      </c>
      <c r="C20" t="s">
        <v>4197</v>
      </c>
      <c r="D20">
        <v>5.6000000000000001E-2</v>
      </c>
      <c r="E20" t="s">
        <v>1720</v>
      </c>
      <c r="F20" t="s">
        <v>1721</v>
      </c>
      <c r="G20" t="s">
        <v>4383</v>
      </c>
      <c r="H20" t="s">
        <v>4198</v>
      </c>
    </row>
    <row r="21" spans="1:8" x14ac:dyDescent="0.35">
      <c r="A21" t="s">
        <v>12</v>
      </c>
      <c r="B21" t="s">
        <v>841</v>
      </c>
      <c r="C21" t="s">
        <v>4197</v>
      </c>
      <c r="D21">
        <v>0.22</v>
      </c>
      <c r="E21" t="s">
        <v>1720</v>
      </c>
      <c r="F21" t="s">
        <v>1724</v>
      </c>
      <c r="G21" t="s">
        <v>4383</v>
      </c>
      <c r="H21" t="s">
        <v>4198</v>
      </c>
    </row>
    <row r="22" spans="1:8" x14ac:dyDescent="0.35">
      <c r="A22" t="s">
        <v>12</v>
      </c>
      <c r="B22" t="s">
        <v>841</v>
      </c>
      <c r="C22" t="s">
        <v>4199</v>
      </c>
      <c r="D22">
        <v>5.6000000000000001E-2</v>
      </c>
      <c r="E22" t="s">
        <v>1720</v>
      </c>
      <c r="F22" t="s">
        <v>1721</v>
      </c>
      <c r="G22" t="s">
        <v>4388</v>
      </c>
      <c r="H22" t="s">
        <v>4200</v>
      </c>
    </row>
    <row r="23" spans="1:8" x14ac:dyDescent="0.35">
      <c r="A23" t="s">
        <v>12</v>
      </c>
      <c r="B23" t="s">
        <v>841</v>
      </c>
      <c r="C23" t="s">
        <v>4199</v>
      </c>
      <c r="D23">
        <v>0.22</v>
      </c>
      <c r="E23" t="s">
        <v>1720</v>
      </c>
      <c r="F23" t="s">
        <v>1724</v>
      </c>
      <c r="G23" t="s">
        <v>4388</v>
      </c>
      <c r="H23" t="s">
        <v>4200</v>
      </c>
    </row>
    <row r="24" spans="1:8" x14ac:dyDescent="0.35">
      <c r="A24" t="s">
        <v>12</v>
      </c>
      <c r="B24" t="s">
        <v>841</v>
      </c>
      <c r="C24" t="s">
        <v>4201</v>
      </c>
      <c r="D24">
        <v>5.6000000000000001E-2</v>
      </c>
      <c r="E24" t="s">
        <v>1720</v>
      </c>
      <c r="F24" t="s">
        <v>1721</v>
      </c>
      <c r="G24" t="s">
        <v>4389</v>
      </c>
      <c r="H24" t="s">
        <v>4202</v>
      </c>
    </row>
    <row r="25" spans="1:8" x14ac:dyDescent="0.35">
      <c r="A25" t="s">
        <v>12</v>
      </c>
      <c r="B25" t="s">
        <v>841</v>
      </c>
      <c r="C25" t="s">
        <v>4201</v>
      </c>
      <c r="D25">
        <v>0.22</v>
      </c>
      <c r="E25" t="s">
        <v>1720</v>
      </c>
      <c r="F25" t="s">
        <v>1724</v>
      </c>
      <c r="G25" t="s">
        <v>4389</v>
      </c>
      <c r="H25" t="s">
        <v>4202</v>
      </c>
    </row>
    <row r="26" spans="1:8" x14ac:dyDescent="0.35">
      <c r="A26" t="s">
        <v>12</v>
      </c>
      <c r="B26" t="s">
        <v>841</v>
      </c>
      <c r="C26" t="s">
        <v>4203</v>
      </c>
      <c r="D26">
        <v>5.6000000000000001E-2</v>
      </c>
      <c r="E26" t="s">
        <v>1720</v>
      </c>
      <c r="F26" t="s">
        <v>1721</v>
      </c>
      <c r="G26" t="s">
        <v>4390</v>
      </c>
      <c r="H26" t="s">
        <v>4204</v>
      </c>
    </row>
    <row r="27" spans="1:8" x14ac:dyDescent="0.35">
      <c r="A27" t="s">
        <v>12</v>
      </c>
      <c r="B27" t="s">
        <v>841</v>
      </c>
      <c r="C27" t="s">
        <v>4203</v>
      </c>
      <c r="D27">
        <v>0.22</v>
      </c>
      <c r="E27" t="s">
        <v>1720</v>
      </c>
      <c r="F27" t="s">
        <v>1724</v>
      </c>
      <c r="G27" t="s">
        <v>4390</v>
      </c>
      <c r="H27" t="s">
        <v>4204</v>
      </c>
    </row>
    <row r="28" spans="1:8" x14ac:dyDescent="0.35">
      <c r="A28" t="s">
        <v>12</v>
      </c>
      <c r="B28" t="s">
        <v>841</v>
      </c>
      <c r="C28" t="s">
        <v>4205</v>
      </c>
      <c r="D28">
        <v>5.6000000000000001E-2</v>
      </c>
      <c r="E28" t="s">
        <v>1720</v>
      </c>
      <c r="F28" t="s">
        <v>1721</v>
      </c>
      <c r="G28" t="s">
        <v>4391</v>
      </c>
      <c r="H28" t="s">
        <v>4206</v>
      </c>
    </row>
    <row r="29" spans="1:8" x14ac:dyDescent="0.35">
      <c r="A29" t="s">
        <v>12</v>
      </c>
      <c r="B29" t="s">
        <v>841</v>
      </c>
      <c r="C29" t="s">
        <v>4205</v>
      </c>
      <c r="D29">
        <v>0.22</v>
      </c>
      <c r="E29" t="s">
        <v>1720</v>
      </c>
      <c r="F29" t="s">
        <v>1724</v>
      </c>
      <c r="G29" t="s">
        <v>4391</v>
      </c>
      <c r="H29" t="s">
        <v>4206</v>
      </c>
    </row>
    <row r="30" spans="1:8" x14ac:dyDescent="0.35">
      <c r="A30" t="s">
        <v>12</v>
      </c>
      <c r="B30" t="s">
        <v>841</v>
      </c>
      <c r="C30" t="s">
        <v>4207</v>
      </c>
      <c r="D30">
        <v>5.6000000000000001E-2</v>
      </c>
      <c r="E30" t="s">
        <v>1720</v>
      </c>
      <c r="F30" t="s">
        <v>1721</v>
      </c>
      <c r="G30" t="s">
        <v>4383</v>
      </c>
      <c r="H30" t="s">
        <v>4208</v>
      </c>
    </row>
    <row r="31" spans="1:8" x14ac:dyDescent="0.35">
      <c r="A31" t="s">
        <v>12</v>
      </c>
      <c r="B31" t="s">
        <v>841</v>
      </c>
      <c r="C31" t="s">
        <v>4207</v>
      </c>
      <c r="D31">
        <v>0.22</v>
      </c>
      <c r="E31" t="s">
        <v>1720</v>
      </c>
      <c r="F31" t="s">
        <v>1724</v>
      </c>
      <c r="G31" t="s">
        <v>4383</v>
      </c>
      <c r="H31" t="s">
        <v>4208</v>
      </c>
    </row>
    <row r="32" spans="1:8" x14ac:dyDescent="0.35">
      <c r="A32" t="s">
        <v>12</v>
      </c>
      <c r="B32" t="s">
        <v>841</v>
      </c>
      <c r="C32" t="s">
        <v>4209</v>
      </c>
      <c r="D32">
        <v>5.6000000000000001E-2</v>
      </c>
      <c r="E32" t="s">
        <v>1720</v>
      </c>
      <c r="F32" t="s">
        <v>1721</v>
      </c>
      <c r="G32" t="s">
        <v>4383</v>
      </c>
      <c r="H32" t="s">
        <v>4210</v>
      </c>
    </row>
    <row r="33" spans="1:8" x14ac:dyDescent="0.35">
      <c r="A33" t="s">
        <v>12</v>
      </c>
      <c r="B33" t="s">
        <v>841</v>
      </c>
      <c r="C33" t="s">
        <v>4209</v>
      </c>
      <c r="D33">
        <v>0.22</v>
      </c>
      <c r="E33" t="s">
        <v>1720</v>
      </c>
      <c r="F33" t="s">
        <v>1724</v>
      </c>
      <c r="G33" t="s">
        <v>4383</v>
      </c>
      <c r="H33" t="s">
        <v>4210</v>
      </c>
    </row>
    <row r="34" spans="1:8" x14ac:dyDescent="0.35">
      <c r="A34" t="s">
        <v>12</v>
      </c>
      <c r="B34" t="s">
        <v>841</v>
      </c>
      <c r="C34" t="s">
        <v>4211</v>
      </c>
      <c r="D34">
        <v>5.6000000000000001E-2</v>
      </c>
      <c r="E34" t="s">
        <v>1720</v>
      </c>
      <c r="F34" t="s">
        <v>1721</v>
      </c>
      <c r="G34" t="s">
        <v>4392</v>
      </c>
      <c r="H34" t="s">
        <v>4212</v>
      </c>
    </row>
    <row r="35" spans="1:8" x14ac:dyDescent="0.35">
      <c r="A35" t="s">
        <v>12</v>
      </c>
      <c r="B35" t="s">
        <v>841</v>
      </c>
      <c r="C35" t="s">
        <v>4211</v>
      </c>
      <c r="D35">
        <v>0.11</v>
      </c>
      <c r="E35" t="s">
        <v>1720</v>
      </c>
      <c r="F35" t="s">
        <v>1724</v>
      </c>
      <c r="G35" t="s">
        <v>4392</v>
      </c>
      <c r="H35" t="s">
        <v>4212</v>
      </c>
    </row>
    <row r="36" spans="1:8" x14ac:dyDescent="0.35">
      <c r="A36" t="s">
        <v>12</v>
      </c>
      <c r="B36" t="s">
        <v>841</v>
      </c>
      <c r="C36" t="s">
        <v>4213</v>
      </c>
      <c r="D36">
        <v>5.6000000000000001E-2</v>
      </c>
      <c r="E36" t="s">
        <v>1720</v>
      </c>
      <c r="F36" t="s">
        <v>1721</v>
      </c>
      <c r="G36" t="s">
        <v>4393</v>
      </c>
      <c r="H36" t="s">
        <v>4214</v>
      </c>
    </row>
    <row r="37" spans="1:8" x14ac:dyDescent="0.35">
      <c r="A37" t="s">
        <v>12</v>
      </c>
      <c r="B37" t="s">
        <v>841</v>
      </c>
      <c r="C37" t="s">
        <v>4213</v>
      </c>
      <c r="D37">
        <v>0.22</v>
      </c>
      <c r="E37" t="s">
        <v>1720</v>
      </c>
      <c r="F37" t="s">
        <v>1724</v>
      </c>
      <c r="G37" t="s">
        <v>4393</v>
      </c>
      <c r="H37" t="s">
        <v>4214</v>
      </c>
    </row>
    <row r="38" spans="1:8" x14ac:dyDescent="0.35">
      <c r="A38" t="s">
        <v>12</v>
      </c>
      <c r="B38" t="s">
        <v>841</v>
      </c>
      <c r="C38" t="s">
        <v>4215</v>
      </c>
      <c r="D38">
        <v>5.6000000000000001E-2</v>
      </c>
      <c r="E38" t="s">
        <v>1720</v>
      </c>
      <c r="F38" t="s">
        <v>1721</v>
      </c>
      <c r="G38" t="s">
        <v>4394</v>
      </c>
      <c r="H38" t="s">
        <v>4216</v>
      </c>
    </row>
    <row r="39" spans="1:8" x14ac:dyDescent="0.35">
      <c r="A39" t="s">
        <v>12</v>
      </c>
      <c r="B39" t="s">
        <v>841</v>
      </c>
      <c r="C39" t="s">
        <v>4215</v>
      </c>
      <c r="D39">
        <v>0.11</v>
      </c>
      <c r="E39" t="s">
        <v>1720</v>
      </c>
      <c r="F39" t="s">
        <v>1724</v>
      </c>
      <c r="G39" t="s">
        <v>4394</v>
      </c>
      <c r="H39" t="s">
        <v>4216</v>
      </c>
    </row>
    <row r="40" spans="1:8" x14ac:dyDescent="0.35">
      <c r="A40" t="s">
        <v>12</v>
      </c>
      <c r="B40" t="s">
        <v>841</v>
      </c>
      <c r="C40" t="s">
        <v>4215</v>
      </c>
      <c r="D40">
        <v>5.6000000000000001E-2</v>
      </c>
      <c r="E40" t="s">
        <v>1720</v>
      </c>
      <c r="F40" t="s">
        <v>1721</v>
      </c>
      <c r="G40" t="s">
        <v>4395</v>
      </c>
      <c r="H40" t="s">
        <v>4216</v>
      </c>
    </row>
    <row r="41" spans="1:8" x14ac:dyDescent="0.35">
      <c r="A41" t="s">
        <v>12</v>
      </c>
      <c r="B41" t="s">
        <v>841</v>
      </c>
      <c r="C41" t="s">
        <v>4215</v>
      </c>
      <c r="D41">
        <v>0.11</v>
      </c>
      <c r="E41" t="s">
        <v>1720</v>
      </c>
      <c r="F41" t="s">
        <v>1724</v>
      </c>
      <c r="G41" t="s">
        <v>4395</v>
      </c>
      <c r="H41" t="s">
        <v>4216</v>
      </c>
    </row>
    <row r="42" spans="1:8" x14ac:dyDescent="0.35">
      <c r="A42" t="s">
        <v>12</v>
      </c>
      <c r="B42" t="s">
        <v>841</v>
      </c>
      <c r="C42" t="s">
        <v>4217</v>
      </c>
      <c r="D42">
        <v>5.6000000000000001E-2</v>
      </c>
      <c r="E42" t="s">
        <v>1720</v>
      </c>
      <c r="F42" t="s">
        <v>1721</v>
      </c>
      <c r="G42" t="s">
        <v>4396</v>
      </c>
      <c r="H42" t="s">
        <v>4218</v>
      </c>
    </row>
    <row r="43" spans="1:8" x14ac:dyDescent="0.35">
      <c r="A43" t="s">
        <v>12</v>
      </c>
      <c r="B43" t="s">
        <v>841</v>
      </c>
      <c r="C43" t="s">
        <v>4217</v>
      </c>
      <c r="D43">
        <v>0.22</v>
      </c>
      <c r="E43" t="s">
        <v>1720</v>
      </c>
      <c r="F43" t="s">
        <v>1724</v>
      </c>
      <c r="G43" t="s">
        <v>4396</v>
      </c>
      <c r="H43" t="s">
        <v>4218</v>
      </c>
    </row>
    <row r="44" spans="1:8" x14ac:dyDescent="0.35">
      <c r="A44" t="s">
        <v>12</v>
      </c>
      <c r="B44" t="s">
        <v>841</v>
      </c>
      <c r="C44" t="s">
        <v>4215</v>
      </c>
      <c r="D44">
        <v>5.6000000000000001E-2</v>
      </c>
      <c r="E44" t="s">
        <v>1720</v>
      </c>
      <c r="F44" t="s">
        <v>1721</v>
      </c>
      <c r="G44" t="s">
        <v>4397</v>
      </c>
      <c r="H44" t="s">
        <v>4216</v>
      </c>
    </row>
    <row r="45" spans="1:8" x14ac:dyDescent="0.35">
      <c r="A45" t="s">
        <v>12</v>
      </c>
      <c r="B45" t="s">
        <v>841</v>
      </c>
      <c r="C45" t="s">
        <v>4215</v>
      </c>
      <c r="D45">
        <v>0.11</v>
      </c>
      <c r="E45" t="s">
        <v>1720</v>
      </c>
      <c r="F45" t="s">
        <v>1724</v>
      </c>
      <c r="G45" t="s">
        <v>4397</v>
      </c>
      <c r="H45" t="s">
        <v>4216</v>
      </c>
    </row>
    <row r="46" spans="1:8" x14ac:dyDescent="0.35">
      <c r="A46" t="s">
        <v>12</v>
      </c>
      <c r="B46" t="s">
        <v>841</v>
      </c>
      <c r="C46" t="s">
        <v>4215</v>
      </c>
      <c r="D46">
        <v>5.6000000000000001E-2</v>
      </c>
      <c r="E46" t="s">
        <v>1720</v>
      </c>
      <c r="F46" t="s">
        <v>1721</v>
      </c>
      <c r="G46" t="s">
        <v>4398</v>
      </c>
      <c r="H46" t="s">
        <v>4216</v>
      </c>
    </row>
    <row r="47" spans="1:8" x14ac:dyDescent="0.35">
      <c r="A47" t="s">
        <v>12</v>
      </c>
      <c r="B47" t="s">
        <v>841</v>
      </c>
      <c r="C47" t="s">
        <v>4215</v>
      </c>
      <c r="D47">
        <v>0.11</v>
      </c>
      <c r="E47" t="s">
        <v>1720</v>
      </c>
      <c r="F47" t="s">
        <v>1724</v>
      </c>
      <c r="G47" t="s">
        <v>4398</v>
      </c>
      <c r="H47" t="s">
        <v>4216</v>
      </c>
    </row>
    <row r="48" spans="1:8" x14ac:dyDescent="0.35">
      <c r="A48" t="s">
        <v>12</v>
      </c>
      <c r="B48" t="s">
        <v>841</v>
      </c>
      <c r="C48" t="s">
        <v>4219</v>
      </c>
      <c r="D48">
        <v>5.6000000000000001E-2</v>
      </c>
      <c r="E48" t="s">
        <v>1720</v>
      </c>
      <c r="F48" t="s">
        <v>1721</v>
      </c>
      <c r="G48" t="s">
        <v>4380</v>
      </c>
      <c r="H48" t="s">
        <v>4220</v>
      </c>
    </row>
    <row r="49" spans="1:8" x14ac:dyDescent="0.35">
      <c r="A49" t="s">
        <v>12</v>
      </c>
      <c r="B49" t="s">
        <v>841</v>
      </c>
      <c r="C49" t="s">
        <v>4219</v>
      </c>
      <c r="D49">
        <v>0.11</v>
      </c>
      <c r="E49" t="s">
        <v>1720</v>
      </c>
      <c r="F49" t="s">
        <v>1724</v>
      </c>
      <c r="G49" t="s">
        <v>4380</v>
      </c>
      <c r="H49" t="s">
        <v>4220</v>
      </c>
    </row>
    <row r="50" spans="1:8" x14ac:dyDescent="0.35">
      <c r="A50" t="s">
        <v>12</v>
      </c>
      <c r="B50" t="s">
        <v>841</v>
      </c>
      <c r="C50" t="s">
        <v>4221</v>
      </c>
      <c r="D50">
        <v>5.6000000000000001E-2</v>
      </c>
      <c r="E50" t="s">
        <v>1720</v>
      </c>
      <c r="F50" t="s">
        <v>1721</v>
      </c>
      <c r="G50" t="s">
        <v>4383</v>
      </c>
      <c r="H50" t="s">
        <v>4222</v>
      </c>
    </row>
    <row r="51" spans="1:8" x14ac:dyDescent="0.35">
      <c r="A51" t="s">
        <v>12</v>
      </c>
      <c r="B51" t="s">
        <v>841</v>
      </c>
      <c r="C51" t="s">
        <v>4221</v>
      </c>
      <c r="D51">
        <v>0.11</v>
      </c>
      <c r="E51" t="s">
        <v>1720</v>
      </c>
      <c r="F51" t="s">
        <v>1724</v>
      </c>
      <c r="G51" t="s">
        <v>4383</v>
      </c>
      <c r="H51" t="s">
        <v>4222</v>
      </c>
    </row>
    <row r="52" spans="1:8" x14ac:dyDescent="0.35">
      <c r="A52" t="s">
        <v>12</v>
      </c>
      <c r="B52" t="s">
        <v>841</v>
      </c>
      <c r="C52" t="s">
        <v>4223</v>
      </c>
      <c r="D52">
        <v>0.22</v>
      </c>
      <c r="E52" t="s">
        <v>1720</v>
      </c>
      <c r="F52" t="s">
        <v>1724</v>
      </c>
      <c r="G52" t="s">
        <v>4399</v>
      </c>
      <c r="H52" t="s">
        <v>4224</v>
      </c>
    </row>
    <row r="53" spans="1:8" x14ac:dyDescent="0.35">
      <c r="A53" t="s">
        <v>12</v>
      </c>
      <c r="B53" t="s">
        <v>841</v>
      </c>
      <c r="C53" t="s">
        <v>4225</v>
      </c>
      <c r="D53">
        <v>5.6000000000000001E-2</v>
      </c>
      <c r="E53" t="s">
        <v>1720</v>
      </c>
      <c r="F53" t="s">
        <v>1721</v>
      </c>
      <c r="G53" t="s">
        <v>4400</v>
      </c>
      <c r="H53" t="s">
        <v>4226</v>
      </c>
    </row>
    <row r="54" spans="1:8" x14ac:dyDescent="0.35">
      <c r="A54" t="s">
        <v>12</v>
      </c>
      <c r="B54" t="s">
        <v>841</v>
      </c>
      <c r="C54" t="s">
        <v>4225</v>
      </c>
      <c r="D54">
        <v>0.22</v>
      </c>
      <c r="E54" t="s">
        <v>1720</v>
      </c>
      <c r="F54" t="s">
        <v>1724</v>
      </c>
      <c r="G54" t="s">
        <v>4400</v>
      </c>
      <c r="H54" t="s">
        <v>4226</v>
      </c>
    </row>
    <row r="55" spans="1:8" x14ac:dyDescent="0.35">
      <c r="A55" t="s">
        <v>12</v>
      </c>
      <c r="B55" t="s">
        <v>841</v>
      </c>
      <c r="C55" t="s">
        <v>4227</v>
      </c>
      <c r="D55">
        <v>5.6000000000000001E-2</v>
      </c>
      <c r="E55" t="s">
        <v>1720</v>
      </c>
      <c r="F55" t="s">
        <v>1721</v>
      </c>
      <c r="G55" t="s">
        <v>4401</v>
      </c>
      <c r="H55" t="s">
        <v>4228</v>
      </c>
    </row>
    <row r="56" spans="1:8" x14ac:dyDescent="0.35">
      <c r="A56" t="s">
        <v>12</v>
      </c>
      <c r="B56" t="s">
        <v>841</v>
      </c>
      <c r="C56" t="s">
        <v>4227</v>
      </c>
      <c r="D56">
        <v>0.22</v>
      </c>
      <c r="E56" t="s">
        <v>1720</v>
      </c>
      <c r="F56" t="s">
        <v>1724</v>
      </c>
      <c r="G56" t="s">
        <v>4401</v>
      </c>
      <c r="H56" t="s">
        <v>4228</v>
      </c>
    </row>
    <row r="57" spans="1:8" x14ac:dyDescent="0.35">
      <c r="A57" t="s">
        <v>12</v>
      </c>
      <c r="B57" t="s">
        <v>841</v>
      </c>
      <c r="C57" t="s">
        <v>4229</v>
      </c>
      <c r="D57">
        <v>0.22</v>
      </c>
      <c r="E57" t="s">
        <v>1720</v>
      </c>
      <c r="F57" t="s">
        <v>1724</v>
      </c>
      <c r="G57" t="s">
        <v>4399</v>
      </c>
      <c r="H57" t="s">
        <v>1711</v>
      </c>
    </row>
    <row r="58" spans="1:8" x14ac:dyDescent="0.35">
      <c r="A58" t="s">
        <v>12</v>
      </c>
      <c r="B58" t="s">
        <v>841</v>
      </c>
      <c r="C58" t="s">
        <v>4229</v>
      </c>
      <c r="D58">
        <v>5.6000000000000001E-2</v>
      </c>
      <c r="E58" t="s">
        <v>1720</v>
      </c>
      <c r="F58" t="s">
        <v>1721</v>
      </c>
      <c r="G58" t="s">
        <v>4399</v>
      </c>
      <c r="H58" t="s">
        <v>1711</v>
      </c>
    </row>
    <row r="59" spans="1:8" x14ac:dyDescent="0.35">
      <c r="A59" t="s">
        <v>12</v>
      </c>
      <c r="B59" t="s">
        <v>841</v>
      </c>
      <c r="C59" t="s">
        <v>4223</v>
      </c>
      <c r="D59">
        <v>5.6000000000000001E-2</v>
      </c>
      <c r="E59" t="s">
        <v>1720</v>
      </c>
      <c r="F59" t="s">
        <v>1721</v>
      </c>
      <c r="G59" t="s">
        <v>4399</v>
      </c>
      <c r="H59" t="s">
        <v>4224</v>
      </c>
    </row>
    <row r="60" spans="1:8" x14ac:dyDescent="0.35">
      <c r="A60" t="s">
        <v>12</v>
      </c>
      <c r="B60" t="s">
        <v>841</v>
      </c>
      <c r="C60" t="s">
        <v>4230</v>
      </c>
      <c r="D60">
        <v>5.6000000000000001E-2</v>
      </c>
      <c r="E60" t="s">
        <v>1720</v>
      </c>
      <c r="F60" t="s">
        <v>1721</v>
      </c>
      <c r="G60" t="s">
        <v>4396</v>
      </c>
      <c r="H60" t="s">
        <v>4231</v>
      </c>
    </row>
    <row r="61" spans="1:8" x14ac:dyDescent="0.35">
      <c r="A61" t="s">
        <v>12</v>
      </c>
      <c r="B61" t="s">
        <v>841</v>
      </c>
      <c r="C61" t="s">
        <v>4230</v>
      </c>
      <c r="D61">
        <v>0.22</v>
      </c>
      <c r="E61" t="s">
        <v>1720</v>
      </c>
      <c r="F61" t="s">
        <v>1724</v>
      </c>
      <c r="G61" t="s">
        <v>4396</v>
      </c>
      <c r="H61" t="s">
        <v>4231</v>
      </c>
    </row>
    <row r="62" spans="1:8" x14ac:dyDescent="0.35">
      <c r="A62" t="s">
        <v>12</v>
      </c>
      <c r="B62" t="s">
        <v>841</v>
      </c>
      <c r="C62" t="s">
        <v>4232</v>
      </c>
      <c r="D62">
        <v>5.6000000000000001E-2</v>
      </c>
      <c r="E62" t="s">
        <v>1720</v>
      </c>
      <c r="F62" t="s">
        <v>1721</v>
      </c>
      <c r="G62" t="s">
        <v>4402</v>
      </c>
      <c r="H62" t="s">
        <v>4233</v>
      </c>
    </row>
    <row r="63" spans="1:8" x14ac:dyDescent="0.35">
      <c r="A63" t="s">
        <v>12</v>
      </c>
      <c r="B63" t="s">
        <v>841</v>
      </c>
      <c r="C63" t="s">
        <v>4232</v>
      </c>
      <c r="D63">
        <v>0.11</v>
      </c>
      <c r="E63" t="s">
        <v>1720</v>
      </c>
      <c r="F63" t="s">
        <v>1724</v>
      </c>
      <c r="G63" t="s">
        <v>4402</v>
      </c>
      <c r="H63" t="s">
        <v>4233</v>
      </c>
    </row>
    <row r="64" spans="1:8" x14ac:dyDescent="0.35">
      <c r="A64" t="s">
        <v>12</v>
      </c>
      <c r="B64" t="s">
        <v>841</v>
      </c>
      <c r="C64" t="s">
        <v>4234</v>
      </c>
      <c r="D64">
        <v>5.6000000000000001E-2</v>
      </c>
      <c r="E64" t="s">
        <v>1720</v>
      </c>
      <c r="G64" t="s">
        <v>4383</v>
      </c>
      <c r="H64" t="s">
        <v>4235</v>
      </c>
    </row>
    <row r="65" spans="1:8" x14ac:dyDescent="0.35">
      <c r="A65" t="s">
        <v>12</v>
      </c>
      <c r="B65" t="s">
        <v>841</v>
      </c>
      <c r="C65" t="s">
        <v>4234</v>
      </c>
      <c r="D65">
        <v>0.22</v>
      </c>
      <c r="E65" t="s">
        <v>1720</v>
      </c>
      <c r="G65" t="s">
        <v>4383</v>
      </c>
      <c r="H65" t="s">
        <v>4235</v>
      </c>
    </row>
    <row r="66" spans="1:8" x14ac:dyDescent="0.35">
      <c r="A66" t="s">
        <v>12</v>
      </c>
      <c r="B66" t="s">
        <v>841</v>
      </c>
      <c r="C66" t="s">
        <v>4236</v>
      </c>
      <c r="D66">
        <v>0.22</v>
      </c>
      <c r="E66" t="s">
        <v>1720</v>
      </c>
      <c r="F66" t="s">
        <v>1724</v>
      </c>
      <c r="G66" t="s">
        <v>4403</v>
      </c>
      <c r="H66" t="s">
        <v>4237</v>
      </c>
    </row>
    <row r="67" spans="1:8" x14ac:dyDescent="0.35">
      <c r="A67" t="s">
        <v>12</v>
      </c>
      <c r="B67" t="s">
        <v>841</v>
      </c>
      <c r="C67" t="s">
        <v>4236</v>
      </c>
      <c r="D67">
        <v>5.6000000000000001E-2</v>
      </c>
      <c r="E67" t="s">
        <v>1720</v>
      </c>
      <c r="F67" t="s">
        <v>1721</v>
      </c>
      <c r="G67" t="s">
        <v>4403</v>
      </c>
      <c r="H67" t="s">
        <v>4237</v>
      </c>
    </row>
    <row r="68" spans="1:8" x14ac:dyDescent="0.35">
      <c r="A68" t="s">
        <v>12</v>
      </c>
      <c r="B68" t="s">
        <v>841</v>
      </c>
      <c r="C68" t="s">
        <v>4238</v>
      </c>
      <c r="D68">
        <v>0.22</v>
      </c>
      <c r="E68" t="s">
        <v>1720</v>
      </c>
      <c r="F68" t="s">
        <v>1724</v>
      </c>
      <c r="G68" t="s">
        <v>4404</v>
      </c>
      <c r="H68" t="s">
        <v>4239</v>
      </c>
    </row>
    <row r="69" spans="1:8" x14ac:dyDescent="0.35">
      <c r="A69" t="s">
        <v>12</v>
      </c>
      <c r="B69" t="s">
        <v>841</v>
      </c>
      <c r="C69" t="s">
        <v>4238</v>
      </c>
      <c r="D69">
        <v>5.6000000000000001E-2</v>
      </c>
      <c r="E69" t="s">
        <v>1720</v>
      </c>
      <c r="F69" t="s">
        <v>1721</v>
      </c>
      <c r="G69" t="s">
        <v>4404</v>
      </c>
      <c r="H69" t="s">
        <v>4239</v>
      </c>
    </row>
    <row r="70" spans="1:8" x14ac:dyDescent="0.35">
      <c r="A70" t="s">
        <v>12</v>
      </c>
      <c r="B70" t="s">
        <v>841</v>
      </c>
      <c r="C70" t="s">
        <v>4240</v>
      </c>
      <c r="D70">
        <v>0.22</v>
      </c>
      <c r="E70" t="s">
        <v>1720</v>
      </c>
      <c r="F70" t="s">
        <v>1724</v>
      </c>
      <c r="G70" t="s">
        <v>4402</v>
      </c>
      <c r="H70" t="s">
        <v>4241</v>
      </c>
    </row>
    <row r="71" spans="1:8" x14ac:dyDescent="0.35">
      <c r="A71" t="s">
        <v>12</v>
      </c>
      <c r="B71" t="s">
        <v>841</v>
      </c>
      <c r="C71" t="s">
        <v>4240</v>
      </c>
      <c r="D71">
        <v>5.6000000000000001E-2</v>
      </c>
      <c r="E71" t="s">
        <v>1720</v>
      </c>
      <c r="F71" t="s">
        <v>1721</v>
      </c>
      <c r="G71" t="s">
        <v>4402</v>
      </c>
      <c r="H71" t="s">
        <v>4241</v>
      </c>
    </row>
    <row r="72" spans="1:8" x14ac:dyDescent="0.35">
      <c r="A72" t="s">
        <v>12</v>
      </c>
      <c r="B72" t="s">
        <v>841</v>
      </c>
      <c r="C72" t="s">
        <v>4242</v>
      </c>
      <c r="D72">
        <v>0.22</v>
      </c>
      <c r="E72" t="s">
        <v>1720</v>
      </c>
      <c r="F72" t="s">
        <v>1724</v>
      </c>
      <c r="G72" t="s">
        <v>4405</v>
      </c>
      <c r="H72" t="s">
        <v>4243</v>
      </c>
    </row>
    <row r="73" spans="1:8" x14ac:dyDescent="0.35">
      <c r="A73" t="s">
        <v>12</v>
      </c>
      <c r="B73" t="s">
        <v>841</v>
      </c>
      <c r="C73" t="s">
        <v>4242</v>
      </c>
      <c r="D73">
        <v>5.6000000000000001E-2</v>
      </c>
      <c r="E73" t="s">
        <v>1720</v>
      </c>
      <c r="F73" t="s">
        <v>1721</v>
      </c>
      <c r="G73" t="s">
        <v>4405</v>
      </c>
      <c r="H73" t="s">
        <v>4243</v>
      </c>
    </row>
    <row r="74" spans="1:8" x14ac:dyDescent="0.35">
      <c r="A74" t="s">
        <v>12</v>
      </c>
      <c r="B74" t="s">
        <v>841</v>
      </c>
      <c r="C74" t="s">
        <v>4244</v>
      </c>
      <c r="D74">
        <v>0.22</v>
      </c>
      <c r="E74" t="s">
        <v>1720</v>
      </c>
      <c r="F74" t="s">
        <v>1724</v>
      </c>
      <c r="G74" t="s">
        <v>4406</v>
      </c>
      <c r="H74" t="s">
        <v>4245</v>
      </c>
    </row>
    <row r="75" spans="1:8" x14ac:dyDescent="0.35">
      <c r="A75" t="s">
        <v>12</v>
      </c>
      <c r="B75" t="s">
        <v>841</v>
      </c>
      <c r="C75" t="s">
        <v>4244</v>
      </c>
      <c r="D75">
        <v>5.6000000000000001E-2</v>
      </c>
      <c r="E75" t="s">
        <v>1720</v>
      </c>
      <c r="F75" t="s">
        <v>1721</v>
      </c>
      <c r="G75" t="s">
        <v>4406</v>
      </c>
      <c r="H75" t="s">
        <v>4245</v>
      </c>
    </row>
    <row r="76" spans="1:8" x14ac:dyDescent="0.35">
      <c r="A76" t="s">
        <v>12</v>
      </c>
      <c r="B76" t="s">
        <v>841</v>
      </c>
      <c r="C76" t="s">
        <v>4244</v>
      </c>
      <c r="D76">
        <v>3</v>
      </c>
      <c r="E76" t="s">
        <v>1720</v>
      </c>
      <c r="F76" t="s">
        <v>1724</v>
      </c>
      <c r="G76" t="s">
        <v>4407</v>
      </c>
      <c r="H76" t="s">
        <v>4245</v>
      </c>
    </row>
    <row r="77" spans="1:8" x14ac:dyDescent="0.35">
      <c r="A77" t="s">
        <v>12</v>
      </c>
      <c r="B77" t="s">
        <v>841</v>
      </c>
      <c r="C77" t="s">
        <v>4244</v>
      </c>
      <c r="D77">
        <v>1.5</v>
      </c>
      <c r="E77" t="s">
        <v>1720</v>
      </c>
      <c r="F77" t="s">
        <v>1721</v>
      </c>
      <c r="G77" t="s">
        <v>4407</v>
      </c>
      <c r="H77" t="s">
        <v>4245</v>
      </c>
    </row>
    <row r="78" spans="1:8" x14ac:dyDescent="0.35">
      <c r="A78" t="s">
        <v>12</v>
      </c>
      <c r="B78" t="s">
        <v>841</v>
      </c>
      <c r="C78" t="s">
        <v>4246</v>
      </c>
      <c r="D78">
        <v>5.6000000000000001E-2</v>
      </c>
      <c r="E78" t="s">
        <v>1720</v>
      </c>
      <c r="F78" t="s">
        <v>1721</v>
      </c>
      <c r="G78" t="s">
        <v>4402</v>
      </c>
      <c r="H78" t="s">
        <v>4247</v>
      </c>
    </row>
    <row r="79" spans="1:8" x14ac:dyDescent="0.35">
      <c r="A79" t="s">
        <v>12</v>
      </c>
      <c r="B79" t="s">
        <v>841</v>
      </c>
      <c r="C79" t="s">
        <v>4246</v>
      </c>
      <c r="D79">
        <v>0.22</v>
      </c>
      <c r="E79" t="s">
        <v>1720</v>
      </c>
      <c r="F79" t="s">
        <v>1724</v>
      </c>
      <c r="G79" t="s">
        <v>4402</v>
      </c>
      <c r="H79" t="s">
        <v>4247</v>
      </c>
    </row>
    <row r="80" spans="1:8" x14ac:dyDescent="0.35">
      <c r="A80" t="s">
        <v>12</v>
      </c>
      <c r="B80" t="s">
        <v>841</v>
      </c>
      <c r="C80" t="s">
        <v>4248</v>
      </c>
      <c r="D80">
        <v>0.11</v>
      </c>
      <c r="E80" t="s">
        <v>1720</v>
      </c>
      <c r="F80" t="s">
        <v>1724</v>
      </c>
      <c r="G80" t="s">
        <v>4402</v>
      </c>
      <c r="H80" t="s">
        <v>4249</v>
      </c>
    </row>
    <row r="81" spans="1:8" x14ac:dyDescent="0.35">
      <c r="A81" t="s">
        <v>12</v>
      </c>
      <c r="B81" t="s">
        <v>841</v>
      </c>
      <c r="C81" t="s">
        <v>4248</v>
      </c>
      <c r="D81">
        <v>5.6000000000000001E-2</v>
      </c>
      <c r="E81" t="s">
        <v>1720</v>
      </c>
      <c r="F81" t="s">
        <v>1721</v>
      </c>
      <c r="G81" t="s">
        <v>4402</v>
      </c>
      <c r="H81" t="s">
        <v>4249</v>
      </c>
    </row>
    <row r="82" spans="1:8" x14ac:dyDescent="0.35">
      <c r="A82" t="s">
        <v>12</v>
      </c>
      <c r="B82" t="s">
        <v>841</v>
      </c>
      <c r="C82" t="s">
        <v>4250</v>
      </c>
      <c r="D82">
        <v>0.22</v>
      </c>
      <c r="E82" t="s">
        <v>1720</v>
      </c>
      <c r="F82" t="s">
        <v>1724</v>
      </c>
      <c r="G82" t="s">
        <v>4402</v>
      </c>
      <c r="H82" t="s">
        <v>4251</v>
      </c>
    </row>
    <row r="83" spans="1:8" x14ac:dyDescent="0.35">
      <c r="A83" t="s">
        <v>12</v>
      </c>
      <c r="B83" t="s">
        <v>841</v>
      </c>
      <c r="C83" t="s">
        <v>4250</v>
      </c>
      <c r="D83">
        <v>5.6000000000000001E-2</v>
      </c>
      <c r="E83" t="s">
        <v>1720</v>
      </c>
      <c r="F83" t="s">
        <v>1721</v>
      </c>
      <c r="G83" t="s">
        <v>4402</v>
      </c>
      <c r="H83" t="s">
        <v>4251</v>
      </c>
    </row>
    <row r="84" spans="1:8" x14ac:dyDescent="0.35">
      <c r="A84" t="s">
        <v>12</v>
      </c>
      <c r="B84" t="s">
        <v>841</v>
      </c>
      <c r="C84" t="s">
        <v>4252</v>
      </c>
      <c r="D84">
        <v>0.22</v>
      </c>
      <c r="E84" t="s">
        <v>1720</v>
      </c>
      <c r="F84" t="s">
        <v>1724</v>
      </c>
      <c r="G84" t="s">
        <v>4402</v>
      </c>
      <c r="H84" t="s">
        <v>4253</v>
      </c>
    </row>
    <row r="85" spans="1:8" x14ac:dyDescent="0.35">
      <c r="A85" t="s">
        <v>12</v>
      </c>
      <c r="B85" t="s">
        <v>841</v>
      </c>
      <c r="C85" t="s">
        <v>4252</v>
      </c>
      <c r="D85">
        <v>5.6000000000000001E-2</v>
      </c>
      <c r="E85" t="s">
        <v>1720</v>
      </c>
      <c r="F85" t="s">
        <v>1721</v>
      </c>
      <c r="G85" t="s">
        <v>4402</v>
      </c>
      <c r="H85" t="s">
        <v>4253</v>
      </c>
    </row>
    <row r="86" spans="1:8" x14ac:dyDescent="0.35">
      <c r="A86" t="s">
        <v>12</v>
      </c>
      <c r="B86" t="s">
        <v>841</v>
      </c>
      <c r="C86" t="s">
        <v>4254</v>
      </c>
      <c r="D86">
        <v>0.22</v>
      </c>
      <c r="E86" t="s">
        <v>1720</v>
      </c>
      <c r="F86" t="s">
        <v>1724</v>
      </c>
      <c r="G86" t="s">
        <v>4402</v>
      </c>
      <c r="H86" t="s">
        <v>4255</v>
      </c>
    </row>
    <row r="87" spans="1:8" x14ac:dyDescent="0.35">
      <c r="A87" t="s">
        <v>12</v>
      </c>
      <c r="B87" t="s">
        <v>841</v>
      </c>
      <c r="C87" t="s">
        <v>4254</v>
      </c>
      <c r="D87">
        <v>5.6000000000000001E-2</v>
      </c>
      <c r="E87" t="s">
        <v>1720</v>
      </c>
      <c r="F87" t="s">
        <v>1721</v>
      </c>
      <c r="G87" t="s">
        <v>4402</v>
      </c>
      <c r="H87" t="s">
        <v>4255</v>
      </c>
    </row>
    <row r="88" spans="1:8" x14ac:dyDescent="0.35">
      <c r="A88" t="s">
        <v>12</v>
      </c>
      <c r="B88" t="s">
        <v>841</v>
      </c>
      <c r="C88" t="s">
        <v>4256</v>
      </c>
      <c r="D88">
        <v>0.22</v>
      </c>
      <c r="E88" t="s">
        <v>1720</v>
      </c>
      <c r="F88" t="s">
        <v>1724</v>
      </c>
      <c r="G88" t="s">
        <v>4402</v>
      </c>
      <c r="H88" t="s">
        <v>4257</v>
      </c>
    </row>
    <row r="89" spans="1:8" x14ac:dyDescent="0.35">
      <c r="A89" t="s">
        <v>12</v>
      </c>
      <c r="B89" t="s">
        <v>841</v>
      </c>
      <c r="C89" t="s">
        <v>4256</v>
      </c>
      <c r="D89">
        <v>5.6000000000000001E-2</v>
      </c>
      <c r="E89" t="s">
        <v>1720</v>
      </c>
      <c r="F89" t="s">
        <v>1721</v>
      </c>
      <c r="G89" t="s">
        <v>4402</v>
      </c>
      <c r="H89" t="s">
        <v>4257</v>
      </c>
    </row>
    <row r="90" spans="1:8" x14ac:dyDescent="0.35">
      <c r="A90" t="s">
        <v>12</v>
      </c>
      <c r="B90" t="s">
        <v>841</v>
      </c>
      <c r="C90" t="s">
        <v>4258</v>
      </c>
      <c r="D90">
        <v>0.22</v>
      </c>
      <c r="E90" t="s">
        <v>1720</v>
      </c>
      <c r="F90" t="s">
        <v>1724</v>
      </c>
      <c r="G90" t="s">
        <v>4408</v>
      </c>
      <c r="H90" t="s">
        <v>4259</v>
      </c>
    </row>
    <row r="91" spans="1:8" x14ac:dyDescent="0.35">
      <c r="A91" t="s">
        <v>12</v>
      </c>
      <c r="B91" t="s">
        <v>841</v>
      </c>
      <c r="C91" t="s">
        <v>4258</v>
      </c>
      <c r="D91">
        <v>5.6000000000000001E-2</v>
      </c>
      <c r="E91" t="s">
        <v>1720</v>
      </c>
      <c r="F91" t="s">
        <v>1721</v>
      </c>
      <c r="G91" t="s">
        <v>4408</v>
      </c>
      <c r="H91" t="s">
        <v>4259</v>
      </c>
    </row>
    <row r="92" spans="1:8" x14ac:dyDescent="0.35">
      <c r="A92" t="s">
        <v>12</v>
      </c>
      <c r="B92" t="s">
        <v>841</v>
      </c>
      <c r="C92" t="s">
        <v>4260</v>
      </c>
      <c r="D92">
        <v>0.22</v>
      </c>
      <c r="E92" t="s">
        <v>1720</v>
      </c>
      <c r="F92" t="s">
        <v>1724</v>
      </c>
      <c r="G92" t="s">
        <v>4409</v>
      </c>
      <c r="H92" t="s">
        <v>4261</v>
      </c>
    </row>
    <row r="93" spans="1:8" x14ac:dyDescent="0.35">
      <c r="A93" t="s">
        <v>12</v>
      </c>
      <c r="B93" t="s">
        <v>841</v>
      </c>
      <c r="C93" t="s">
        <v>4260</v>
      </c>
      <c r="D93">
        <v>5.6000000000000001E-2</v>
      </c>
      <c r="E93" t="s">
        <v>1720</v>
      </c>
      <c r="F93" t="s">
        <v>1721</v>
      </c>
      <c r="G93" t="s">
        <v>4409</v>
      </c>
      <c r="H93" t="s">
        <v>4261</v>
      </c>
    </row>
    <row r="94" spans="1:8" x14ac:dyDescent="0.35">
      <c r="A94" t="s">
        <v>12</v>
      </c>
      <c r="B94" t="s">
        <v>841</v>
      </c>
      <c r="C94" t="s">
        <v>4262</v>
      </c>
      <c r="D94">
        <v>0.22</v>
      </c>
      <c r="E94" t="s">
        <v>1720</v>
      </c>
      <c r="F94" t="s">
        <v>1724</v>
      </c>
      <c r="G94" t="s">
        <v>4410</v>
      </c>
      <c r="H94" t="s">
        <v>4263</v>
      </c>
    </row>
    <row r="95" spans="1:8" x14ac:dyDescent="0.35">
      <c r="A95" t="s">
        <v>12</v>
      </c>
      <c r="B95" t="s">
        <v>841</v>
      </c>
      <c r="C95" t="s">
        <v>4262</v>
      </c>
      <c r="D95">
        <v>5.6000000000000001E-2</v>
      </c>
      <c r="E95" t="s">
        <v>1720</v>
      </c>
      <c r="F95" t="s">
        <v>1721</v>
      </c>
      <c r="G95" t="s">
        <v>4410</v>
      </c>
      <c r="H95" t="s">
        <v>4263</v>
      </c>
    </row>
    <row r="96" spans="1:8" x14ac:dyDescent="0.35">
      <c r="A96" t="s">
        <v>12</v>
      </c>
      <c r="B96" t="s">
        <v>841</v>
      </c>
      <c r="C96" t="s">
        <v>4264</v>
      </c>
      <c r="D96">
        <v>0.22</v>
      </c>
      <c r="E96" t="s">
        <v>1720</v>
      </c>
      <c r="F96" t="s">
        <v>1724</v>
      </c>
      <c r="G96" t="s">
        <v>4402</v>
      </c>
      <c r="H96" t="s">
        <v>4265</v>
      </c>
    </row>
    <row r="97" spans="1:8" x14ac:dyDescent="0.35">
      <c r="A97" t="s">
        <v>12</v>
      </c>
      <c r="B97" t="s">
        <v>841</v>
      </c>
      <c r="C97" t="s">
        <v>4264</v>
      </c>
      <c r="D97">
        <v>5.6000000000000001E-2</v>
      </c>
      <c r="E97" t="s">
        <v>1720</v>
      </c>
      <c r="F97" t="s">
        <v>1721</v>
      </c>
      <c r="G97" t="s">
        <v>4402</v>
      </c>
      <c r="H97" t="s">
        <v>4265</v>
      </c>
    </row>
    <row r="98" spans="1:8" x14ac:dyDescent="0.35">
      <c r="A98" t="s">
        <v>12</v>
      </c>
      <c r="B98" t="s">
        <v>841</v>
      </c>
      <c r="C98" t="s">
        <v>4266</v>
      </c>
      <c r="D98">
        <v>0.22</v>
      </c>
      <c r="E98" t="s">
        <v>1720</v>
      </c>
      <c r="F98" t="s">
        <v>1724</v>
      </c>
      <c r="G98" t="s">
        <v>4402</v>
      </c>
      <c r="H98" t="s">
        <v>4267</v>
      </c>
    </row>
    <row r="99" spans="1:8" x14ac:dyDescent="0.35">
      <c r="A99" t="s">
        <v>12</v>
      </c>
      <c r="B99" t="s">
        <v>841</v>
      </c>
      <c r="C99" t="s">
        <v>4266</v>
      </c>
      <c r="D99">
        <v>5.6000000000000001E-2</v>
      </c>
      <c r="E99" t="s">
        <v>1720</v>
      </c>
      <c r="F99" t="s">
        <v>1721</v>
      </c>
      <c r="G99" t="s">
        <v>4402</v>
      </c>
      <c r="H99" t="s">
        <v>4267</v>
      </c>
    </row>
    <row r="100" spans="1:8" x14ac:dyDescent="0.35">
      <c r="A100" t="s">
        <v>12</v>
      </c>
      <c r="B100" t="s">
        <v>841</v>
      </c>
      <c r="C100" t="s">
        <v>4268</v>
      </c>
      <c r="D100">
        <v>0.22</v>
      </c>
      <c r="E100" t="s">
        <v>1720</v>
      </c>
      <c r="F100" t="s">
        <v>1724</v>
      </c>
      <c r="G100" t="s">
        <v>4402</v>
      </c>
      <c r="H100" t="s">
        <v>4269</v>
      </c>
    </row>
    <row r="101" spans="1:8" x14ac:dyDescent="0.35">
      <c r="A101" t="s">
        <v>12</v>
      </c>
      <c r="B101" t="s">
        <v>841</v>
      </c>
      <c r="C101" t="s">
        <v>4268</v>
      </c>
      <c r="D101">
        <v>5.6000000000000001E-2</v>
      </c>
      <c r="E101" t="s">
        <v>1720</v>
      </c>
      <c r="F101" t="s">
        <v>1721</v>
      </c>
      <c r="G101" t="s">
        <v>4402</v>
      </c>
      <c r="H101" t="s">
        <v>4269</v>
      </c>
    </row>
    <row r="102" spans="1:8" x14ac:dyDescent="0.35">
      <c r="A102" t="s">
        <v>12</v>
      </c>
      <c r="B102" t="s">
        <v>841</v>
      </c>
      <c r="C102" t="s">
        <v>4270</v>
      </c>
      <c r="D102">
        <v>0.22</v>
      </c>
      <c r="E102" t="s">
        <v>1720</v>
      </c>
      <c r="F102" t="s">
        <v>1724</v>
      </c>
      <c r="G102" t="s">
        <v>4411</v>
      </c>
      <c r="H102" t="s">
        <v>4271</v>
      </c>
    </row>
    <row r="103" spans="1:8" x14ac:dyDescent="0.35">
      <c r="A103" t="s">
        <v>12</v>
      </c>
      <c r="B103" t="s">
        <v>841</v>
      </c>
      <c r="C103" t="s">
        <v>4270</v>
      </c>
      <c r="D103">
        <v>5.6000000000000001E-2</v>
      </c>
      <c r="E103" t="s">
        <v>1720</v>
      </c>
      <c r="F103" t="s">
        <v>1721</v>
      </c>
      <c r="G103" t="s">
        <v>4411</v>
      </c>
      <c r="H103" t="s">
        <v>4271</v>
      </c>
    </row>
    <row r="104" spans="1:8" x14ac:dyDescent="0.35">
      <c r="A104" t="s">
        <v>12</v>
      </c>
      <c r="B104" t="s">
        <v>841</v>
      </c>
      <c r="C104" t="s">
        <v>4272</v>
      </c>
      <c r="D104">
        <v>0.22</v>
      </c>
      <c r="E104" t="s">
        <v>1720</v>
      </c>
      <c r="F104" t="s">
        <v>1724</v>
      </c>
      <c r="G104" t="s">
        <v>4402</v>
      </c>
      <c r="H104" t="s">
        <v>4273</v>
      </c>
    </row>
    <row r="105" spans="1:8" x14ac:dyDescent="0.35">
      <c r="A105" t="s">
        <v>12</v>
      </c>
      <c r="B105" t="s">
        <v>841</v>
      </c>
      <c r="C105" t="s">
        <v>4272</v>
      </c>
      <c r="D105">
        <v>5.6000000000000001E-2</v>
      </c>
      <c r="E105" t="s">
        <v>1720</v>
      </c>
      <c r="F105" t="s">
        <v>1721</v>
      </c>
      <c r="G105" t="s">
        <v>4402</v>
      </c>
      <c r="H105" t="s">
        <v>4273</v>
      </c>
    </row>
    <row r="106" spans="1:8" x14ac:dyDescent="0.35">
      <c r="A106" t="s">
        <v>12</v>
      </c>
      <c r="B106" t="s">
        <v>841</v>
      </c>
      <c r="C106" t="s">
        <v>4274</v>
      </c>
      <c r="D106">
        <v>0.22</v>
      </c>
      <c r="E106" t="s">
        <v>1720</v>
      </c>
      <c r="F106" t="s">
        <v>1724</v>
      </c>
      <c r="G106" t="s">
        <v>4412</v>
      </c>
      <c r="H106" t="s">
        <v>4275</v>
      </c>
    </row>
    <row r="107" spans="1:8" x14ac:dyDescent="0.35">
      <c r="A107" t="s">
        <v>12</v>
      </c>
      <c r="B107" t="s">
        <v>841</v>
      </c>
      <c r="C107" t="s">
        <v>4274</v>
      </c>
      <c r="D107">
        <v>5.6000000000000001E-2</v>
      </c>
      <c r="E107" t="s">
        <v>1720</v>
      </c>
      <c r="F107" t="s">
        <v>1721</v>
      </c>
      <c r="G107" t="s">
        <v>4412</v>
      </c>
      <c r="H107" t="s">
        <v>4275</v>
      </c>
    </row>
    <row r="108" spans="1:8" x14ac:dyDescent="0.35">
      <c r="A108" t="s">
        <v>12</v>
      </c>
      <c r="B108" t="s">
        <v>841</v>
      </c>
      <c r="C108" t="s">
        <v>4276</v>
      </c>
      <c r="D108">
        <v>0.22</v>
      </c>
      <c r="E108" t="s">
        <v>1720</v>
      </c>
      <c r="F108" t="s">
        <v>1724</v>
      </c>
      <c r="G108" t="s">
        <v>4413</v>
      </c>
      <c r="H108" t="s">
        <v>4277</v>
      </c>
    </row>
    <row r="109" spans="1:8" x14ac:dyDescent="0.35">
      <c r="A109" t="s">
        <v>12</v>
      </c>
      <c r="B109" t="s">
        <v>841</v>
      </c>
      <c r="C109" t="s">
        <v>4276</v>
      </c>
      <c r="D109">
        <v>0.56000000000000005</v>
      </c>
      <c r="E109" t="s">
        <v>1720</v>
      </c>
      <c r="F109" t="s">
        <v>1721</v>
      </c>
      <c r="G109" t="s">
        <v>4413</v>
      </c>
      <c r="H109" t="s">
        <v>4277</v>
      </c>
    </row>
    <row r="110" spans="1:8" x14ac:dyDescent="0.35">
      <c r="A110" t="s">
        <v>12</v>
      </c>
      <c r="B110" t="s">
        <v>841</v>
      </c>
      <c r="C110" t="s">
        <v>4278</v>
      </c>
      <c r="D110">
        <v>5.6000000000000001E-2</v>
      </c>
      <c r="E110" t="s">
        <v>1720</v>
      </c>
      <c r="F110" t="s">
        <v>1724</v>
      </c>
      <c r="G110" t="s">
        <v>4414</v>
      </c>
      <c r="H110" t="s">
        <v>4279</v>
      </c>
    </row>
    <row r="111" spans="1:8" x14ac:dyDescent="0.35">
      <c r="A111" t="s">
        <v>12</v>
      </c>
      <c r="B111" t="s">
        <v>841</v>
      </c>
      <c r="C111" t="s">
        <v>4278</v>
      </c>
      <c r="D111">
        <v>0.22</v>
      </c>
      <c r="E111" t="s">
        <v>1720</v>
      </c>
      <c r="F111" t="s">
        <v>1721</v>
      </c>
      <c r="G111" t="s">
        <v>4414</v>
      </c>
      <c r="H111" t="s">
        <v>4279</v>
      </c>
    </row>
    <row r="112" spans="1:8" x14ac:dyDescent="0.35">
      <c r="A112" t="s">
        <v>12</v>
      </c>
      <c r="B112" t="s">
        <v>841</v>
      </c>
      <c r="C112" t="s">
        <v>4280</v>
      </c>
      <c r="D112">
        <v>5.6000000000000001E-2</v>
      </c>
      <c r="E112" t="s">
        <v>1720</v>
      </c>
      <c r="F112" t="s">
        <v>1721</v>
      </c>
      <c r="G112" t="s">
        <v>4415</v>
      </c>
      <c r="H112" t="s">
        <v>4281</v>
      </c>
    </row>
    <row r="113" spans="1:8" x14ac:dyDescent="0.35">
      <c r="A113" t="s">
        <v>12</v>
      </c>
      <c r="B113" t="s">
        <v>841</v>
      </c>
      <c r="C113" t="s">
        <v>4280</v>
      </c>
      <c r="D113">
        <v>0.22</v>
      </c>
      <c r="E113" t="s">
        <v>1720</v>
      </c>
      <c r="F113" t="s">
        <v>1724</v>
      </c>
      <c r="G113" t="s">
        <v>4415</v>
      </c>
      <c r="H113" t="s">
        <v>4281</v>
      </c>
    </row>
    <row r="114" spans="1:8" x14ac:dyDescent="0.35">
      <c r="A114" t="s">
        <v>12</v>
      </c>
      <c r="B114" t="s">
        <v>841</v>
      </c>
      <c r="C114" t="s">
        <v>4282</v>
      </c>
      <c r="D114">
        <v>0.22</v>
      </c>
      <c r="E114" t="s">
        <v>1720</v>
      </c>
      <c r="F114" t="s">
        <v>1724</v>
      </c>
      <c r="G114" t="s">
        <v>4402</v>
      </c>
      <c r="H114" t="s">
        <v>4283</v>
      </c>
    </row>
    <row r="115" spans="1:8" x14ac:dyDescent="0.35">
      <c r="A115" t="s">
        <v>12</v>
      </c>
      <c r="B115" t="s">
        <v>841</v>
      </c>
      <c r="C115" t="s">
        <v>4282</v>
      </c>
      <c r="D115">
        <v>5.6000000000000001E-2</v>
      </c>
      <c r="E115" t="s">
        <v>1720</v>
      </c>
      <c r="F115" t="s">
        <v>1721</v>
      </c>
      <c r="G115" t="s">
        <v>4402</v>
      </c>
      <c r="H115" t="s">
        <v>4283</v>
      </c>
    </row>
    <row r="116" spans="1:8" x14ac:dyDescent="0.35">
      <c r="A116" t="s">
        <v>12</v>
      </c>
      <c r="B116" t="s">
        <v>841</v>
      </c>
      <c r="C116" t="s">
        <v>4284</v>
      </c>
      <c r="D116">
        <v>8.6999999999999994E-3</v>
      </c>
      <c r="E116" t="s">
        <v>1720</v>
      </c>
      <c r="G116" t="s">
        <v>4416</v>
      </c>
      <c r="H116" t="s">
        <v>4285</v>
      </c>
    </row>
    <row r="117" spans="1:8" x14ac:dyDescent="0.35">
      <c r="A117" t="s">
        <v>12</v>
      </c>
      <c r="B117" t="s">
        <v>841</v>
      </c>
      <c r="C117" t="s">
        <v>4284</v>
      </c>
      <c r="D117">
        <v>5.6000000000000001E-2</v>
      </c>
      <c r="E117" t="s">
        <v>1720</v>
      </c>
      <c r="G117" t="s">
        <v>4417</v>
      </c>
      <c r="H117" t="s">
        <v>4285</v>
      </c>
    </row>
    <row r="118" spans="1:8" x14ac:dyDescent="0.35">
      <c r="A118" t="s">
        <v>12</v>
      </c>
      <c r="B118" t="s">
        <v>841</v>
      </c>
      <c r="C118" t="s">
        <v>4286</v>
      </c>
      <c r="D118">
        <v>0.22</v>
      </c>
      <c r="E118" t="s">
        <v>1720</v>
      </c>
      <c r="F118" t="s">
        <v>1724</v>
      </c>
      <c r="G118" t="s">
        <v>4402</v>
      </c>
      <c r="H118" t="s">
        <v>4287</v>
      </c>
    </row>
    <row r="119" spans="1:8" x14ac:dyDescent="0.35">
      <c r="A119" t="s">
        <v>12</v>
      </c>
      <c r="B119" t="s">
        <v>841</v>
      </c>
      <c r="C119" t="s">
        <v>4286</v>
      </c>
      <c r="D119">
        <v>5.6000000000000001E-2</v>
      </c>
      <c r="E119" t="s">
        <v>1720</v>
      </c>
      <c r="F119" t="s">
        <v>1721</v>
      </c>
      <c r="G119" t="s">
        <v>4402</v>
      </c>
      <c r="H119" t="s">
        <v>4287</v>
      </c>
    </row>
    <row r="120" spans="1:8" x14ac:dyDescent="0.35">
      <c r="A120" t="s">
        <v>12</v>
      </c>
      <c r="B120" t="s">
        <v>841</v>
      </c>
      <c r="C120" t="s">
        <v>4288</v>
      </c>
      <c r="D120">
        <v>0.22</v>
      </c>
      <c r="E120" t="s">
        <v>1720</v>
      </c>
      <c r="F120" t="s">
        <v>1724</v>
      </c>
      <c r="G120" t="s">
        <v>4415</v>
      </c>
      <c r="H120" t="s">
        <v>4289</v>
      </c>
    </row>
    <row r="121" spans="1:8" x14ac:dyDescent="0.35">
      <c r="A121" t="s">
        <v>12</v>
      </c>
      <c r="B121" t="s">
        <v>841</v>
      </c>
      <c r="C121" t="s">
        <v>4288</v>
      </c>
      <c r="D121">
        <v>5.6000000000000001E-2</v>
      </c>
      <c r="E121" t="s">
        <v>1720</v>
      </c>
      <c r="F121" t="s">
        <v>1721</v>
      </c>
      <c r="G121" t="s">
        <v>4415</v>
      </c>
      <c r="H121" t="s">
        <v>4289</v>
      </c>
    </row>
    <row r="122" spans="1:8" x14ac:dyDescent="0.35">
      <c r="A122" t="s">
        <v>12</v>
      </c>
      <c r="B122" t="s">
        <v>841</v>
      </c>
      <c r="C122" t="s">
        <v>4290</v>
      </c>
      <c r="D122">
        <v>0.22</v>
      </c>
      <c r="E122" t="s">
        <v>1720</v>
      </c>
      <c r="F122" t="s">
        <v>1724</v>
      </c>
      <c r="G122" t="s">
        <v>4402</v>
      </c>
      <c r="H122" t="s">
        <v>4291</v>
      </c>
    </row>
    <row r="123" spans="1:8" x14ac:dyDescent="0.35">
      <c r="A123" t="s">
        <v>12</v>
      </c>
      <c r="B123" t="s">
        <v>841</v>
      </c>
      <c r="C123" t="s">
        <v>4290</v>
      </c>
      <c r="D123">
        <v>5.6000000000000001E-2</v>
      </c>
      <c r="E123" t="s">
        <v>1720</v>
      </c>
      <c r="F123" t="s">
        <v>1721</v>
      </c>
      <c r="G123" t="s">
        <v>4402</v>
      </c>
      <c r="H123" t="s">
        <v>4291</v>
      </c>
    </row>
    <row r="124" spans="1:8" x14ac:dyDescent="0.35">
      <c r="A124" t="s">
        <v>12</v>
      </c>
      <c r="B124" t="s">
        <v>841</v>
      </c>
      <c r="C124" t="s">
        <v>4292</v>
      </c>
      <c r="D124">
        <v>0.22</v>
      </c>
      <c r="E124" t="s">
        <v>1720</v>
      </c>
      <c r="F124" t="s">
        <v>1724</v>
      </c>
      <c r="G124" t="s">
        <v>4402</v>
      </c>
      <c r="H124" t="s">
        <v>4293</v>
      </c>
    </row>
    <row r="125" spans="1:8" x14ac:dyDescent="0.35">
      <c r="A125" t="s">
        <v>12</v>
      </c>
      <c r="B125" t="s">
        <v>841</v>
      </c>
      <c r="C125" t="s">
        <v>4292</v>
      </c>
      <c r="D125">
        <v>5.6000000000000001E-2</v>
      </c>
      <c r="E125" t="s">
        <v>1720</v>
      </c>
      <c r="F125" t="s">
        <v>1721</v>
      </c>
      <c r="G125" t="s">
        <v>4402</v>
      </c>
      <c r="H125" t="s">
        <v>4293</v>
      </c>
    </row>
    <row r="126" spans="1:8" x14ac:dyDescent="0.35">
      <c r="A126" t="s">
        <v>12</v>
      </c>
      <c r="B126" t="s">
        <v>841</v>
      </c>
      <c r="C126" t="s">
        <v>4294</v>
      </c>
      <c r="D126">
        <v>0.22</v>
      </c>
      <c r="E126" t="s">
        <v>1720</v>
      </c>
      <c r="F126" t="s">
        <v>1724</v>
      </c>
      <c r="G126" t="s">
        <v>4418</v>
      </c>
      <c r="H126" t="s">
        <v>4295</v>
      </c>
    </row>
    <row r="127" spans="1:8" x14ac:dyDescent="0.35">
      <c r="A127" t="s">
        <v>12</v>
      </c>
      <c r="B127" t="s">
        <v>841</v>
      </c>
      <c r="C127" t="s">
        <v>4294</v>
      </c>
      <c r="D127">
        <v>5.6000000000000001E-2</v>
      </c>
      <c r="E127" t="s">
        <v>1720</v>
      </c>
      <c r="F127" t="s">
        <v>1721</v>
      </c>
      <c r="G127" t="s">
        <v>4418</v>
      </c>
      <c r="H127" t="s">
        <v>4295</v>
      </c>
    </row>
    <row r="128" spans="1:8" x14ac:dyDescent="0.35">
      <c r="A128" t="s">
        <v>12</v>
      </c>
      <c r="B128" t="s">
        <v>841</v>
      </c>
      <c r="C128" t="s">
        <v>4296</v>
      </c>
      <c r="D128">
        <v>0.22</v>
      </c>
      <c r="E128" t="s">
        <v>1720</v>
      </c>
      <c r="F128" t="s">
        <v>1724</v>
      </c>
      <c r="G128" t="s">
        <v>4402</v>
      </c>
      <c r="H128" t="s">
        <v>4297</v>
      </c>
    </row>
    <row r="129" spans="1:8" x14ac:dyDescent="0.35">
      <c r="A129" t="s">
        <v>12</v>
      </c>
      <c r="B129" t="s">
        <v>841</v>
      </c>
      <c r="C129" t="s">
        <v>4296</v>
      </c>
      <c r="D129">
        <v>5.6000000000000001E-2</v>
      </c>
      <c r="E129" t="s">
        <v>1720</v>
      </c>
      <c r="F129" t="s">
        <v>1721</v>
      </c>
      <c r="G129" t="s">
        <v>4402</v>
      </c>
      <c r="H129" t="s">
        <v>4297</v>
      </c>
    </row>
    <row r="130" spans="1:8" x14ac:dyDescent="0.35">
      <c r="A130" t="s">
        <v>12</v>
      </c>
      <c r="B130" t="s">
        <v>841</v>
      </c>
      <c r="C130" t="s">
        <v>4298</v>
      </c>
      <c r="D130">
        <v>0.22</v>
      </c>
      <c r="E130" t="s">
        <v>1720</v>
      </c>
      <c r="F130" t="s">
        <v>1724</v>
      </c>
      <c r="G130" t="s">
        <v>4419</v>
      </c>
      <c r="H130" t="s">
        <v>4299</v>
      </c>
    </row>
    <row r="131" spans="1:8" x14ac:dyDescent="0.35">
      <c r="A131" t="s">
        <v>12</v>
      </c>
      <c r="B131" t="s">
        <v>841</v>
      </c>
      <c r="C131" t="s">
        <v>4298</v>
      </c>
      <c r="D131">
        <v>5.6000000000000001E-2</v>
      </c>
      <c r="E131" t="s">
        <v>1720</v>
      </c>
      <c r="F131" t="s">
        <v>1721</v>
      </c>
      <c r="G131" t="s">
        <v>4419</v>
      </c>
      <c r="H131" t="s">
        <v>4299</v>
      </c>
    </row>
    <row r="132" spans="1:8" x14ac:dyDescent="0.35">
      <c r="A132" t="s">
        <v>19</v>
      </c>
      <c r="B132" t="s">
        <v>848</v>
      </c>
      <c r="C132" t="s">
        <v>4213</v>
      </c>
      <c r="D132">
        <v>12000</v>
      </c>
      <c r="E132" t="s">
        <v>1720</v>
      </c>
      <c r="F132" t="s">
        <v>1721</v>
      </c>
      <c r="G132" t="s">
        <v>4393</v>
      </c>
      <c r="H132" t="s">
        <v>4214</v>
      </c>
    </row>
    <row r="133" spans="1:8" x14ac:dyDescent="0.35">
      <c r="A133" t="s">
        <v>19</v>
      </c>
      <c r="B133" t="s">
        <v>848</v>
      </c>
      <c r="C133" t="s">
        <v>4270</v>
      </c>
      <c r="D133">
        <v>100</v>
      </c>
      <c r="E133" t="s">
        <v>1720</v>
      </c>
      <c r="G133" t="s">
        <v>4411</v>
      </c>
      <c r="H133" t="s">
        <v>4271</v>
      </c>
    </row>
    <row r="134" spans="1:8" x14ac:dyDescent="0.35">
      <c r="A134" t="s">
        <v>47</v>
      </c>
      <c r="B134" t="s">
        <v>876</v>
      </c>
      <c r="C134" t="s">
        <v>4181</v>
      </c>
      <c r="D134">
        <v>15</v>
      </c>
      <c r="E134" t="s">
        <v>1720</v>
      </c>
      <c r="F134" t="s">
        <v>1721</v>
      </c>
      <c r="G134" t="s">
        <v>4381</v>
      </c>
      <c r="H134" t="s">
        <v>4182</v>
      </c>
    </row>
    <row r="135" spans="1:8" x14ac:dyDescent="0.35">
      <c r="A135" t="s">
        <v>47</v>
      </c>
      <c r="B135" t="s">
        <v>876</v>
      </c>
      <c r="C135" t="s">
        <v>4181</v>
      </c>
      <c r="D135">
        <v>19</v>
      </c>
      <c r="E135" t="s">
        <v>1720</v>
      </c>
      <c r="F135" t="s">
        <v>1724</v>
      </c>
      <c r="G135" t="s">
        <v>4381</v>
      </c>
      <c r="H135" t="s">
        <v>4182</v>
      </c>
    </row>
    <row r="136" spans="1:8" x14ac:dyDescent="0.35">
      <c r="A136" t="s">
        <v>47</v>
      </c>
      <c r="B136" t="s">
        <v>876</v>
      </c>
      <c r="C136" t="s">
        <v>4179</v>
      </c>
      <c r="D136">
        <v>15</v>
      </c>
      <c r="E136" t="s">
        <v>1720</v>
      </c>
      <c r="F136" t="s">
        <v>1721</v>
      </c>
      <c r="G136" t="s">
        <v>4380</v>
      </c>
      <c r="H136" t="s">
        <v>4180</v>
      </c>
    </row>
    <row r="137" spans="1:8" x14ac:dyDescent="0.35">
      <c r="A137" t="s">
        <v>47</v>
      </c>
      <c r="B137" t="s">
        <v>876</v>
      </c>
      <c r="C137" t="s">
        <v>4179</v>
      </c>
      <c r="D137">
        <v>19</v>
      </c>
      <c r="E137" t="s">
        <v>1720</v>
      </c>
      <c r="F137" t="s">
        <v>1724</v>
      </c>
      <c r="G137" t="s">
        <v>4380</v>
      </c>
      <c r="H137" t="s">
        <v>4180</v>
      </c>
    </row>
    <row r="138" spans="1:8" x14ac:dyDescent="0.35">
      <c r="A138" t="s">
        <v>47</v>
      </c>
      <c r="B138" t="s">
        <v>876</v>
      </c>
      <c r="C138" t="s">
        <v>4183</v>
      </c>
      <c r="D138">
        <v>6.69</v>
      </c>
      <c r="E138" t="s">
        <v>1720</v>
      </c>
      <c r="F138" t="s">
        <v>1721</v>
      </c>
      <c r="G138" t="s">
        <v>4382</v>
      </c>
      <c r="H138" t="s">
        <v>4184</v>
      </c>
    </row>
    <row r="139" spans="1:8" x14ac:dyDescent="0.35">
      <c r="A139" t="s">
        <v>47</v>
      </c>
      <c r="B139" t="s">
        <v>876</v>
      </c>
      <c r="C139" t="s">
        <v>4183</v>
      </c>
      <c r="D139">
        <v>8.7200000000000006</v>
      </c>
      <c r="E139" t="s">
        <v>1720</v>
      </c>
      <c r="F139" t="s">
        <v>1724</v>
      </c>
      <c r="G139" t="s">
        <v>4382</v>
      </c>
      <c r="H139" t="s">
        <v>4184</v>
      </c>
    </row>
    <row r="140" spans="1:8" x14ac:dyDescent="0.35">
      <c r="A140" t="s">
        <v>47</v>
      </c>
      <c r="B140" t="s">
        <v>876</v>
      </c>
      <c r="C140" t="s">
        <v>4189</v>
      </c>
      <c r="D140">
        <v>19</v>
      </c>
      <c r="E140" t="s">
        <v>1720</v>
      </c>
      <c r="F140" t="s">
        <v>1724</v>
      </c>
      <c r="G140" t="s">
        <v>4385</v>
      </c>
      <c r="H140" t="s">
        <v>4190</v>
      </c>
    </row>
    <row r="141" spans="1:8" x14ac:dyDescent="0.35">
      <c r="A141" t="s">
        <v>47</v>
      </c>
      <c r="B141" t="s">
        <v>876</v>
      </c>
      <c r="C141" t="s">
        <v>4189</v>
      </c>
      <c r="D141">
        <v>15</v>
      </c>
      <c r="E141" t="s">
        <v>1720</v>
      </c>
      <c r="F141" t="s">
        <v>1721</v>
      </c>
      <c r="G141" t="s">
        <v>4385</v>
      </c>
      <c r="H141" t="s">
        <v>4190</v>
      </c>
    </row>
    <row r="142" spans="1:8" x14ac:dyDescent="0.35">
      <c r="A142" t="s">
        <v>47</v>
      </c>
      <c r="B142" t="s">
        <v>876</v>
      </c>
      <c r="C142" t="s">
        <v>4187</v>
      </c>
      <c r="D142">
        <v>4.05</v>
      </c>
      <c r="E142" t="s">
        <v>1720</v>
      </c>
      <c r="F142" t="s">
        <v>1721</v>
      </c>
      <c r="G142" t="s">
        <v>4384</v>
      </c>
      <c r="H142" t="s">
        <v>4188</v>
      </c>
    </row>
    <row r="143" spans="1:8" x14ac:dyDescent="0.35">
      <c r="A143" t="s">
        <v>47</v>
      </c>
      <c r="B143" t="s">
        <v>876</v>
      </c>
      <c r="C143" t="s">
        <v>4187</v>
      </c>
      <c r="D143">
        <v>5.28</v>
      </c>
      <c r="E143" t="s">
        <v>1720</v>
      </c>
      <c r="F143" t="s">
        <v>1724</v>
      </c>
      <c r="G143" t="s">
        <v>4384</v>
      </c>
      <c r="H143" t="s">
        <v>4188</v>
      </c>
    </row>
    <row r="144" spans="1:8" x14ac:dyDescent="0.35">
      <c r="A144" t="s">
        <v>47</v>
      </c>
      <c r="B144" t="s">
        <v>876</v>
      </c>
      <c r="C144" t="s">
        <v>4207</v>
      </c>
      <c r="D144">
        <v>15</v>
      </c>
      <c r="E144" t="s">
        <v>1720</v>
      </c>
      <c r="F144" t="s">
        <v>1721</v>
      </c>
      <c r="G144" t="s">
        <v>4383</v>
      </c>
      <c r="H144" t="s">
        <v>4208</v>
      </c>
    </row>
    <row r="145" spans="1:8" x14ac:dyDescent="0.35">
      <c r="A145" t="s">
        <v>47</v>
      </c>
      <c r="B145" t="s">
        <v>876</v>
      </c>
      <c r="C145" t="s">
        <v>4207</v>
      </c>
      <c r="D145">
        <v>19</v>
      </c>
      <c r="E145" t="s">
        <v>1720</v>
      </c>
      <c r="F145" t="s">
        <v>1724</v>
      </c>
      <c r="G145" t="s">
        <v>4383</v>
      </c>
      <c r="H145" t="s">
        <v>4208</v>
      </c>
    </row>
    <row r="146" spans="1:8" x14ac:dyDescent="0.35">
      <c r="A146" t="s">
        <v>47</v>
      </c>
      <c r="B146" t="s">
        <v>876</v>
      </c>
      <c r="C146" t="s">
        <v>4193</v>
      </c>
      <c r="D146">
        <v>15</v>
      </c>
      <c r="E146" t="s">
        <v>1720</v>
      </c>
      <c r="F146" t="s">
        <v>1721</v>
      </c>
      <c r="G146" t="s">
        <v>4386</v>
      </c>
      <c r="H146" t="s">
        <v>4194</v>
      </c>
    </row>
    <row r="147" spans="1:8" x14ac:dyDescent="0.35">
      <c r="A147" t="s">
        <v>47</v>
      </c>
      <c r="B147" t="s">
        <v>876</v>
      </c>
      <c r="C147" t="s">
        <v>4193</v>
      </c>
      <c r="D147">
        <v>19</v>
      </c>
      <c r="E147" t="s">
        <v>1720</v>
      </c>
      <c r="F147" t="s">
        <v>1724</v>
      </c>
      <c r="G147" t="s">
        <v>4386</v>
      </c>
      <c r="H147" t="s">
        <v>4194</v>
      </c>
    </row>
    <row r="148" spans="1:8" x14ac:dyDescent="0.35">
      <c r="A148" t="s">
        <v>47</v>
      </c>
      <c r="B148" t="s">
        <v>876</v>
      </c>
      <c r="C148" t="s">
        <v>4199</v>
      </c>
      <c r="D148">
        <v>15</v>
      </c>
      <c r="E148" t="s">
        <v>1720</v>
      </c>
      <c r="F148" t="s">
        <v>1721</v>
      </c>
      <c r="G148" t="s">
        <v>4388</v>
      </c>
      <c r="H148" t="s">
        <v>4200</v>
      </c>
    </row>
    <row r="149" spans="1:8" x14ac:dyDescent="0.35">
      <c r="A149" t="s">
        <v>47</v>
      </c>
      <c r="B149" t="s">
        <v>876</v>
      </c>
      <c r="C149" t="s">
        <v>4199</v>
      </c>
      <c r="D149">
        <v>19</v>
      </c>
      <c r="E149" t="s">
        <v>1720</v>
      </c>
      <c r="F149" t="s">
        <v>1724</v>
      </c>
      <c r="G149" t="s">
        <v>4388</v>
      </c>
      <c r="H149" t="s">
        <v>4200</v>
      </c>
    </row>
    <row r="150" spans="1:8" x14ac:dyDescent="0.35">
      <c r="A150" t="s">
        <v>47</v>
      </c>
      <c r="B150" t="s">
        <v>876</v>
      </c>
      <c r="C150" t="s">
        <v>4201</v>
      </c>
      <c r="D150">
        <v>6.7</v>
      </c>
      <c r="E150" t="s">
        <v>1720</v>
      </c>
      <c r="F150" t="s">
        <v>1721</v>
      </c>
      <c r="G150" t="s">
        <v>4389</v>
      </c>
      <c r="H150" t="s">
        <v>4202</v>
      </c>
    </row>
    <row r="151" spans="1:8" x14ac:dyDescent="0.35">
      <c r="A151" t="s">
        <v>47</v>
      </c>
      <c r="B151" t="s">
        <v>876</v>
      </c>
      <c r="C151" t="s">
        <v>4201</v>
      </c>
      <c r="D151">
        <v>8.6999999999999993</v>
      </c>
      <c r="E151" t="s">
        <v>1720</v>
      </c>
      <c r="F151" t="s">
        <v>1724</v>
      </c>
      <c r="G151" t="s">
        <v>4389</v>
      </c>
      <c r="H151" t="s">
        <v>4202</v>
      </c>
    </row>
    <row r="152" spans="1:8" x14ac:dyDescent="0.35">
      <c r="A152" t="s">
        <v>47</v>
      </c>
      <c r="B152" t="s">
        <v>876</v>
      </c>
      <c r="C152" t="s">
        <v>4209</v>
      </c>
      <c r="D152">
        <v>15</v>
      </c>
      <c r="E152" t="s">
        <v>1720</v>
      </c>
      <c r="F152" t="s">
        <v>1721</v>
      </c>
      <c r="G152" t="s">
        <v>4383</v>
      </c>
      <c r="H152" t="s">
        <v>4210</v>
      </c>
    </row>
    <row r="153" spans="1:8" x14ac:dyDescent="0.35">
      <c r="A153" t="s">
        <v>47</v>
      </c>
      <c r="B153" t="s">
        <v>876</v>
      </c>
      <c r="C153" t="s">
        <v>4209</v>
      </c>
      <c r="D153">
        <v>19</v>
      </c>
      <c r="E153" t="s">
        <v>1720</v>
      </c>
      <c r="F153" t="s">
        <v>1724</v>
      </c>
      <c r="G153" t="s">
        <v>4383</v>
      </c>
      <c r="H153" t="s">
        <v>4210</v>
      </c>
    </row>
    <row r="154" spans="1:8" x14ac:dyDescent="0.35">
      <c r="A154" t="s">
        <v>47</v>
      </c>
      <c r="B154" t="s">
        <v>876</v>
      </c>
      <c r="C154" t="s">
        <v>4221</v>
      </c>
      <c r="D154">
        <v>15</v>
      </c>
      <c r="E154" t="s">
        <v>1720</v>
      </c>
      <c r="F154" t="s">
        <v>1721</v>
      </c>
      <c r="G154" t="s">
        <v>4383</v>
      </c>
      <c r="H154" t="s">
        <v>4222</v>
      </c>
    </row>
    <row r="155" spans="1:8" x14ac:dyDescent="0.35">
      <c r="A155" t="s">
        <v>47</v>
      </c>
      <c r="B155" t="s">
        <v>876</v>
      </c>
      <c r="C155" t="s">
        <v>4221</v>
      </c>
      <c r="D155">
        <v>19</v>
      </c>
      <c r="E155" t="s">
        <v>1720</v>
      </c>
      <c r="F155" t="s">
        <v>1724</v>
      </c>
      <c r="G155" t="s">
        <v>4383</v>
      </c>
      <c r="H155" t="s">
        <v>4222</v>
      </c>
    </row>
    <row r="156" spans="1:8" x14ac:dyDescent="0.35">
      <c r="A156" t="s">
        <v>47</v>
      </c>
      <c r="B156" t="s">
        <v>876</v>
      </c>
      <c r="C156" t="s">
        <v>4215</v>
      </c>
      <c r="D156">
        <v>15</v>
      </c>
      <c r="E156" t="s">
        <v>1720</v>
      </c>
      <c r="F156" t="s">
        <v>1721</v>
      </c>
      <c r="G156" t="s">
        <v>4395</v>
      </c>
      <c r="H156" t="s">
        <v>4216</v>
      </c>
    </row>
    <row r="157" spans="1:8" x14ac:dyDescent="0.35">
      <c r="A157" t="s">
        <v>47</v>
      </c>
      <c r="B157" t="s">
        <v>876</v>
      </c>
      <c r="C157" t="s">
        <v>4215</v>
      </c>
      <c r="D157">
        <v>19</v>
      </c>
      <c r="E157" t="s">
        <v>1720</v>
      </c>
      <c r="F157" t="s">
        <v>1724</v>
      </c>
      <c r="G157" t="s">
        <v>4395</v>
      </c>
      <c r="H157" t="s">
        <v>4216</v>
      </c>
    </row>
    <row r="158" spans="1:8" x14ac:dyDescent="0.35">
      <c r="A158" t="s">
        <v>47</v>
      </c>
      <c r="B158" t="s">
        <v>876</v>
      </c>
      <c r="C158" t="s">
        <v>4215</v>
      </c>
      <c r="D158">
        <v>15</v>
      </c>
      <c r="E158" t="s">
        <v>1720</v>
      </c>
      <c r="F158" t="s">
        <v>1721</v>
      </c>
      <c r="G158" t="s">
        <v>4397</v>
      </c>
      <c r="H158" t="s">
        <v>4216</v>
      </c>
    </row>
    <row r="159" spans="1:8" x14ac:dyDescent="0.35">
      <c r="A159" t="s">
        <v>47</v>
      </c>
      <c r="B159" t="s">
        <v>876</v>
      </c>
      <c r="C159" t="s">
        <v>4215</v>
      </c>
      <c r="D159">
        <v>19</v>
      </c>
      <c r="E159" t="s">
        <v>1720</v>
      </c>
      <c r="F159" t="s">
        <v>1724</v>
      </c>
      <c r="G159" t="s">
        <v>4397</v>
      </c>
      <c r="H159" t="s">
        <v>4216</v>
      </c>
    </row>
    <row r="160" spans="1:8" x14ac:dyDescent="0.35">
      <c r="A160" t="s">
        <v>47</v>
      </c>
      <c r="B160" t="s">
        <v>876</v>
      </c>
      <c r="C160" t="s">
        <v>4215</v>
      </c>
      <c r="D160">
        <v>15</v>
      </c>
      <c r="E160" t="s">
        <v>1720</v>
      </c>
      <c r="F160" t="s">
        <v>1721</v>
      </c>
      <c r="G160" t="s">
        <v>4398</v>
      </c>
      <c r="H160" t="s">
        <v>4216</v>
      </c>
    </row>
    <row r="161" spans="1:8" x14ac:dyDescent="0.35">
      <c r="A161" t="s">
        <v>47</v>
      </c>
      <c r="B161" t="s">
        <v>876</v>
      </c>
      <c r="C161" t="s">
        <v>4215</v>
      </c>
      <c r="D161">
        <v>19</v>
      </c>
      <c r="E161" t="s">
        <v>1720</v>
      </c>
      <c r="F161" t="s">
        <v>1724</v>
      </c>
      <c r="G161" t="s">
        <v>4398</v>
      </c>
      <c r="H161" t="s">
        <v>4216</v>
      </c>
    </row>
    <row r="162" spans="1:8" x14ac:dyDescent="0.35">
      <c r="A162" t="s">
        <v>47</v>
      </c>
      <c r="B162" t="s">
        <v>876</v>
      </c>
      <c r="C162" t="s">
        <v>4215</v>
      </c>
      <c r="D162">
        <v>15</v>
      </c>
      <c r="E162" t="s">
        <v>1720</v>
      </c>
      <c r="F162" t="s">
        <v>1721</v>
      </c>
      <c r="G162" t="s">
        <v>4394</v>
      </c>
      <c r="H162" t="s">
        <v>4216</v>
      </c>
    </row>
    <row r="163" spans="1:8" x14ac:dyDescent="0.35">
      <c r="A163" t="s">
        <v>47</v>
      </c>
      <c r="B163" t="s">
        <v>876</v>
      </c>
      <c r="C163" t="s">
        <v>4215</v>
      </c>
      <c r="D163">
        <v>19</v>
      </c>
      <c r="E163" t="s">
        <v>1720</v>
      </c>
      <c r="F163" t="s">
        <v>1724</v>
      </c>
      <c r="G163" t="s">
        <v>4394</v>
      </c>
      <c r="H163" t="s">
        <v>4216</v>
      </c>
    </row>
    <row r="164" spans="1:8" x14ac:dyDescent="0.35">
      <c r="A164" t="s">
        <v>47</v>
      </c>
      <c r="B164" t="s">
        <v>876</v>
      </c>
      <c r="C164" t="s">
        <v>4213</v>
      </c>
      <c r="D164">
        <v>0.4</v>
      </c>
      <c r="E164" t="s">
        <v>1720</v>
      </c>
      <c r="F164" t="s">
        <v>1721</v>
      </c>
      <c r="G164" t="s">
        <v>4393</v>
      </c>
      <c r="H164" t="s">
        <v>4214</v>
      </c>
    </row>
    <row r="165" spans="1:8" x14ac:dyDescent="0.35">
      <c r="A165" t="s">
        <v>47</v>
      </c>
      <c r="B165" t="s">
        <v>876</v>
      </c>
      <c r="C165" t="s">
        <v>4227</v>
      </c>
      <c r="D165">
        <v>13</v>
      </c>
      <c r="E165" t="s">
        <v>1720</v>
      </c>
      <c r="F165" t="s">
        <v>1721</v>
      </c>
      <c r="G165" t="s">
        <v>4401</v>
      </c>
      <c r="H165" t="s">
        <v>4228</v>
      </c>
    </row>
    <row r="166" spans="1:8" x14ac:dyDescent="0.35">
      <c r="A166" t="s">
        <v>47</v>
      </c>
      <c r="B166" t="s">
        <v>876</v>
      </c>
      <c r="C166" t="s">
        <v>4227</v>
      </c>
      <c r="D166">
        <v>20</v>
      </c>
      <c r="E166" t="s">
        <v>1720</v>
      </c>
      <c r="F166" t="s">
        <v>1724</v>
      </c>
      <c r="G166" t="s">
        <v>4401</v>
      </c>
      <c r="H166" t="s">
        <v>4228</v>
      </c>
    </row>
    <row r="167" spans="1:8" x14ac:dyDescent="0.35">
      <c r="A167" t="s">
        <v>47</v>
      </c>
      <c r="B167" t="s">
        <v>876</v>
      </c>
      <c r="C167" t="s">
        <v>4300</v>
      </c>
      <c r="D167">
        <v>13</v>
      </c>
      <c r="E167" t="s">
        <v>1720</v>
      </c>
      <c r="F167" t="s">
        <v>1721</v>
      </c>
      <c r="G167" t="s">
        <v>4389</v>
      </c>
      <c r="H167" t="s">
        <v>4301</v>
      </c>
    </row>
    <row r="168" spans="1:8" x14ac:dyDescent="0.35">
      <c r="A168" t="s">
        <v>47</v>
      </c>
      <c r="B168" t="s">
        <v>876</v>
      </c>
      <c r="C168" t="s">
        <v>4300</v>
      </c>
      <c r="D168">
        <v>20</v>
      </c>
      <c r="E168" t="s">
        <v>1720</v>
      </c>
      <c r="F168" t="s">
        <v>1724</v>
      </c>
      <c r="G168" t="s">
        <v>4389</v>
      </c>
      <c r="H168" t="s">
        <v>4301</v>
      </c>
    </row>
    <row r="169" spans="1:8" x14ac:dyDescent="0.35">
      <c r="A169" t="s">
        <v>47</v>
      </c>
      <c r="B169" t="s">
        <v>876</v>
      </c>
      <c r="C169" t="s">
        <v>4219</v>
      </c>
      <c r="D169">
        <v>15</v>
      </c>
      <c r="E169" t="s">
        <v>1720</v>
      </c>
      <c r="F169" t="s">
        <v>1721</v>
      </c>
      <c r="G169" t="s">
        <v>4380</v>
      </c>
      <c r="H169" t="s">
        <v>4220</v>
      </c>
    </row>
    <row r="170" spans="1:8" x14ac:dyDescent="0.35">
      <c r="A170" t="s">
        <v>47</v>
      </c>
      <c r="B170" t="s">
        <v>876</v>
      </c>
      <c r="C170" t="s">
        <v>4219</v>
      </c>
      <c r="D170">
        <v>19</v>
      </c>
      <c r="E170" t="s">
        <v>1720</v>
      </c>
      <c r="F170" t="s">
        <v>1724</v>
      </c>
      <c r="G170" t="s">
        <v>4380</v>
      </c>
      <c r="H170" t="s">
        <v>4220</v>
      </c>
    </row>
    <row r="171" spans="1:8" x14ac:dyDescent="0.35">
      <c r="A171" t="s">
        <v>47</v>
      </c>
      <c r="B171" t="s">
        <v>876</v>
      </c>
      <c r="C171" t="s">
        <v>4302</v>
      </c>
      <c r="D171">
        <v>15</v>
      </c>
      <c r="E171" t="s">
        <v>1720</v>
      </c>
      <c r="F171" t="s">
        <v>1721</v>
      </c>
      <c r="G171" t="s">
        <v>4420</v>
      </c>
      <c r="H171" t="s">
        <v>4303</v>
      </c>
    </row>
    <row r="172" spans="1:8" x14ac:dyDescent="0.35">
      <c r="A172" t="s">
        <v>47</v>
      </c>
      <c r="B172" t="s">
        <v>876</v>
      </c>
      <c r="C172" t="s">
        <v>4302</v>
      </c>
      <c r="D172">
        <v>19</v>
      </c>
      <c r="E172" t="s">
        <v>1720</v>
      </c>
      <c r="F172" t="s">
        <v>1724</v>
      </c>
      <c r="G172" t="s">
        <v>4420</v>
      </c>
      <c r="H172" t="s">
        <v>4303</v>
      </c>
    </row>
    <row r="173" spans="1:8" x14ac:dyDescent="0.35">
      <c r="A173" t="s">
        <v>47</v>
      </c>
      <c r="B173" t="s">
        <v>876</v>
      </c>
      <c r="C173" t="s">
        <v>4232</v>
      </c>
      <c r="D173">
        <v>4</v>
      </c>
      <c r="E173" t="s">
        <v>1720</v>
      </c>
      <c r="F173" t="s">
        <v>1721</v>
      </c>
      <c r="G173" t="s">
        <v>4402</v>
      </c>
      <c r="H173" t="s">
        <v>4233</v>
      </c>
    </row>
    <row r="174" spans="1:8" x14ac:dyDescent="0.35">
      <c r="A174" t="s">
        <v>47</v>
      </c>
      <c r="B174" t="s">
        <v>876</v>
      </c>
      <c r="C174" t="s">
        <v>4232</v>
      </c>
      <c r="D174">
        <v>5.3</v>
      </c>
      <c r="E174" t="s">
        <v>1720</v>
      </c>
      <c r="F174" t="s">
        <v>1724</v>
      </c>
      <c r="G174" t="s">
        <v>4402</v>
      </c>
      <c r="H174" t="s">
        <v>4233</v>
      </c>
    </row>
    <row r="175" spans="1:8" x14ac:dyDescent="0.35">
      <c r="A175" t="s">
        <v>47</v>
      </c>
      <c r="B175" t="s">
        <v>876</v>
      </c>
      <c r="C175" t="s">
        <v>4211</v>
      </c>
      <c r="D175">
        <v>15</v>
      </c>
      <c r="E175" t="s">
        <v>1720</v>
      </c>
      <c r="F175" t="s">
        <v>1721</v>
      </c>
      <c r="G175" t="s">
        <v>4392</v>
      </c>
      <c r="H175" t="s">
        <v>4212</v>
      </c>
    </row>
    <row r="176" spans="1:8" x14ac:dyDescent="0.35">
      <c r="A176" t="s">
        <v>47</v>
      </c>
      <c r="B176" t="s">
        <v>876</v>
      </c>
      <c r="C176" t="s">
        <v>4211</v>
      </c>
      <c r="D176">
        <v>19</v>
      </c>
      <c r="E176" t="s">
        <v>1720</v>
      </c>
      <c r="F176" t="s">
        <v>1724</v>
      </c>
      <c r="G176" t="s">
        <v>4392</v>
      </c>
      <c r="H176" t="s">
        <v>4212</v>
      </c>
    </row>
    <row r="177" spans="1:8" x14ac:dyDescent="0.35">
      <c r="A177" t="s">
        <v>47</v>
      </c>
      <c r="B177" t="s">
        <v>876</v>
      </c>
      <c r="C177" t="s">
        <v>4238</v>
      </c>
      <c r="D177">
        <v>15</v>
      </c>
      <c r="E177" t="s">
        <v>1720</v>
      </c>
      <c r="F177" t="s">
        <v>1721</v>
      </c>
      <c r="G177" t="s">
        <v>4404</v>
      </c>
      <c r="H177" t="s">
        <v>4239</v>
      </c>
    </row>
    <row r="178" spans="1:8" x14ac:dyDescent="0.35">
      <c r="A178" t="s">
        <v>47</v>
      </c>
      <c r="B178" t="s">
        <v>876</v>
      </c>
      <c r="C178" t="s">
        <v>4229</v>
      </c>
      <c r="D178">
        <v>19</v>
      </c>
      <c r="E178" t="s">
        <v>1720</v>
      </c>
      <c r="F178" t="s">
        <v>1724</v>
      </c>
      <c r="G178" t="s">
        <v>4399</v>
      </c>
      <c r="H178" t="s">
        <v>1711</v>
      </c>
    </row>
    <row r="179" spans="1:8" x14ac:dyDescent="0.35">
      <c r="A179" t="s">
        <v>47</v>
      </c>
      <c r="B179" t="s">
        <v>876</v>
      </c>
      <c r="C179" t="s">
        <v>4229</v>
      </c>
      <c r="D179">
        <v>15</v>
      </c>
      <c r="E179" t="s">
        <v>1720</v>
      </c>
      <c r="F179" t="s">
        <v>1721</v>
      </c>
      <c r="G179" t="s">
        <v>4399</v>
      </c>
      <c r="H179" t="s">
        <v>1711</v>
      </c>
    </row>
    <row r="180" spans="1:8" x14ac:dyDescent="0.35">
      <c r="A180" t="s">
        <v>47</v>
      </c>
      <c r="B180" t="s">
        <v>876</v>
      </c>
      <c r="C180" t="s">
        <v>4236</v>
      </c>
      <c r="D180">
        <v>20</v>
      </c>
      <c r="E180" t="s">
        <v>1720</v>
      </c>
      <c r="F180" t="s">
        <v>1724</v>
      </c>
      <c r="G180" t="s">
        <v>4403</v>
      </c>
      <c r="H180" t="s">
        <v>4237</v>
      </c>
    </row>
    <row r="181" spans="1:8" x14ac:dyDescent="0.35">
      <c r="A181" t="s">
        <v>47</v>
      </c>
      <c r="B181" t="s">
        <v>876</v>
      </c>
      <c r="C181" t="s">
        <v>4236</v>
      </c>
      <c r="D181">
        <v>13</v>
      </c>
      <c r="E181" t="s">
        <v>1720</v>
      </c>
      <c r="F181" t="s">
        <v>1721</v>
      </c>
      <c r="G181" t="s">
        <v>4403</v>
      </c>
      <c r="H181" t="s">
        <v>4237</v>
      </c>
    </row>
    <row r="182" spans="1:8" x14ac:dyDescent="0.35">
      <c r="A182" t="s">
        <v>47</v>
      </c>
      <c r="B182" t="s">
        <v>876</v>
      </c>
      <c r="C182" t="s">
        <v>4238</v>
      </c>
      <c r="D182">
        <v>19</v>
      </c>
      <c r="E182" t="s">
        <v>1720</v>
      </c>
      <c r="F182" t="s">
        <v>1724</v>
      </c>
      <c r="G182" t="s">
        <v>4404</v>
      </c>
      <c r="H182" t="s">
        <v>4239</v>
      </c>
    </row>
    <row r="183" spans="1:8" x14ac:dyDescent="0.35">
      <c r="A183" t="s">
        <v>47</v>
      </c>
      <c r="B183" t="s">
        <v>876</v>
      </c>
      <c r="C183" t="s">
        <v>4252</v>
      </c>
      <c r="D183">
        <v>19</v>
      </c>
      <c r="E183" t="s">
        <v>1720</v>
      </c>
      <c r="F183" t="s">
        <v>1724</v>
      </c>
      <c r="G183" t="s">
        <v>4402</v>
      </c>
      <c r="H183" t="s">
        <v>4253</v>
      </c>
    </row>
    <row r="184" spans="1:8" x14ac:dyDescent="0.35">
      <c r="A184" t="s">
        <v>47</v>
      </c>
      <c r="B184" t="s">
        <v>876</v>
      </c>
      <c r="C184" t="s">
        <v>4252</v>
      </c>
      <c r="D184">
        <v>15</v>
      </c>
      <c r="E184" t="s">
        <v>1720</v>
      </c>
      <c r="F184" t="s">
        <v>1721</v>
      </c>
      <c r="G184" t="s">
        <v>4402</v>
      </c>
      <c r="H184" t="s">
        <v>4253</v>
      </c>
    </row>
    <row r="185" spans="1:8" x14ac:dyDescent="0.35">
      <c r="A185" t="s">
        <v>47</v>
      </c>
      <c r="B185" t="s">
        <v>876</v>
      </c>
      <c r="C185" t="s">
        <v>4242</v>
      </c>
      <c r="D185">
        <v>19</v>
      </c>
      <c r="E185" t="s">
        <v>1720</v>
      </c>
      <c r="F185" t="s">
        <v>1724</v>
      </c>
      <c r="G185" t="s">
        <v>4405</v>
      </c>
      <c r="H185" t="s">
        <v>4243</v>
      </c>
    </row>
    <row r="186" spans="1:8" x14ac:dyDescent="0.35">
      <c r="A186" t="s">
        <v>47</v>
      </c>
      <c r="B186" t="s">
        <v>876</v>
      </c>
      <c r="C186" t="s">
        <v>4242</v>
      </c>
      <c r="D186">
        <v>15</v>
      </c>
      <c r="E186" t="s">
        <v>1720</v>
      </c>
      <c r="F186" t="s">
        <v>1721</v>
      </c>
      <c r="G186" t="s">
        <v>4405</v>
      </c>
      <c r="H186" t="s">
        <v>4243</v>
      </c>
    </row>
    <row r="187" spans="1:8" x14ac:dyDescent="0.35">
      <c r="A187" t="s">
        <v>47</v>
      </c>
      <c r="B187" t="s">
        <v>876</v>
      </c>
      <c r="C187" t="s">
        <v>4244</v>
      </c>
      <c r="D187">
        <v>19</v>
      </c>
      <c r="E187" t="s">
        <v>1720</v>
      </c>
      <c r="F187" t="s">
        <v>1724</v>
      </c>
      <c r="G187" t="s">
        <v>4406</v>
      </c>
      <c r="H187" t="s">
        <v>4245</v>
      </c>
    </row>
    <row r="188" spans="1:8" x14ac:dyDescent="0.35">
      <c r="A188" t="s">
        <v>47</v>
      </c>
      <c r="B188" t="s">
        <v>876</v>
      </c>
      <c r="C188" t="s">
        <v>4244</v>
      </c>
      <c r="D188">
        <v>15</v>
      </c>
      <c r="E188" t="s">
        <v>1720</v>
      </c>
      <c r="F188" t="s">
        <v>1721</v>
      </c>
      <c r="G188" t="s">
        <v>4406</v>
      </c>
      <c r="H188" t="s">
        <v>4245</v>
      </c>
    </row>
    <row r="189" spans="1:8" x14ac:dyDescent="0.35">
      <c r="A189" t="s">
        <v>47</v>
      </c>
      <c r="B189" t="s">
        <v>876</v>
      </c>
      <c r="C189" t="s">
        <v>4248</v>
      </c>
      <c r="D189">
        <v>5.3</v>
      </c>
      <c r="E189" t="s">
        <v>1720</v>
      </c>
      <c r="F189" t="s">
        <v>1724</v>
      </c>
      <c r="G189" t="s">
        <v>4402</v>
      </c>
      <c r="H189" t="s">
        <v>4249</v>
      </c>
    </row>
    <row r="190" spans="1:8" x14ac:dyDescent="0.35">
      <c r="A190" t="s">
        <v>47</v>
      </c>
      <c r="B190" t="s">
        <v>876</v>
      </c>
      <c r="C190" t="s">
        <v>4248</v>
      </c>
      <c r="D190">
        <v>4</v>
      </c>
      <c r="E190" t="s">
        <v>1720</v>
      </c>
      <c r="F190" t="s">
        <v>1721</v>
      </c>
      <c r="G190" t="s">
        <v>4402</v>
      </c>
      <c r="H190" t="s">
        <v>4249</v>
      </c>
    </row>
    <row r="191" spans="1:8" x14ac:dyDescent="0.35">
      <c r="A191" t="s">
        <v>47</v>
      </c>
      <c r="B191" t="s">
        <v>876</v>
      </c>
      <c r="C191" t="s">
        <v>4254</v>
      </c>
      <c r="D191">
        <v>19</v>
      </c>
      <c r="E191" t="s">
        <v>1720</v>
      </c>
      <c r="F191" t="s">
        <v>1724</v>
      </c>
      <c r="G191" t="s">
        <v>4402</v>
      </c>
      <c r="H191" t="s">
        <v>4255</v>
      </c>
    </row>
    <row r="192" spans="1:8" x14ac:dyDescent="0.35">
      <c r="A192" t="s">
        <v>47</v>
      </c>
      <c r="B192" t="s">
        <v>876</v>
      </c>
      <c r="C192" t="s">
        <v>4254</v>
      </c>
      <c r="D192">
        <v>15</v>
      </c>
      <c r="E192" t="s">
        <v>1720</v>
      </c>
      <c r="F192" t="s">
        <v>1721</v>
      </c>
      <c r="G192" t="s">
        <v>4402</v>
      </c>
      <c r="H192" t="s">
        <v>4255</v>
      </c>
    </row>
    <row r="193" spans="1:8" x14ac:dyDescent="0.35">
      <c r="A193" t="s">
        <v>47</v>
      </c>
      <c r="B193" t="s">
        <v>876</v>
      </c>
      <c r="C193" t="s">
        <v>4240</v>
      </c>
      <c r="D193">
        <v>19</v>
      </c>
      <c r="E193" t="s">
        <v>1720</v>
      </c>
      <c r="F193" t="s">
        <v>1724</v>
      </c>
      <c r="G193" t="s">
        <v>4402</v>
      </c>
      <c r="H193" t="s">
        <v>4241</v>
      </c>
    </row>
    <row r="194" spans="1:8" x14ac:dyDescent="0.35">
      <c r="A194" t="s">
        <v>47</v>
      </c>
      <c r="B194" t="s">
        <v>876</v>
      </c>
      <c r="C194" t="s">
        <v>4240</v>
      </c>
      <c r="D194">
        <v>15</v>
      </c>
      <c r="E194" t="s">
        <v>1720</v>
      </c>
      <c r="F194" t="s">
        <v>1721</v>
      </c>
      <c r="G194" t="s">
        <v>4402</v>
      </c>
      <c r="H194" t="s">
        <v>4241</v>
      </c>
    </row>
    <row r="195" spans="1:8" x14ac:dyDescent="0.35">
      <c r="A195" t="s">
        <v>47</v>
      </c>
      <c r="B195" t="s">
        <v>876</v>
      </c>
      <c r="C195" t="s">
        <v>4262</v>
      </c>
      <c r="D195">
        <v>19</v>
      </c>
      <c r="E195" t="s">
        <v>1720</v>
      </c>
      <c r="F195" t="s">
        <v>1724</v>
      </c>
      <c r="G195" t="s">
        <v>4410</v>
      </c>
      <c r="H195" t="s">
        <v>4263</v>
      </c>
    </row>
    <row r="196" spans="1:8" x14ac:dyDescent="0.35">
      <c r="A196" t="s">
        <v>47</v>
      </c>
      <c r="B196" t="s">
        <v>876</v>
      </c>
      <c r="C196" t="s">
        <v>4262</v>
      </c>
      <c r="D196">
        <v>15</v>
      </c>
      <c r="E196" t="s">
        <v>1720</v>
      </c>
      <c r="F196" t="s">
        <v>1721</v>
      </c>
      <c r="G196" t="s">
        <v>4410</v>
      </c>
      <c r="H196" t="s">
        <v>4263</v>
      </c>
    </row>
    <row r="197" spans="1:8" x14ac:dyDescent="0.35">
      <c r="A197" t="s">
        <v>47</v>
      </c>
      <c r="B197" t="s">
        <v>876</v>
      </c>
      <c r="C197" t="s">
        <v>4260</v>
      </c>
      <c r="D197">
        <v>19</v>
      </c>
      <c r="E197" t="s">
        <v>1720</v>
      </c>
      <c r="F197" t="s">
        <v>1724</v>
      </c>
      <c r="G197" t="s">
        <v>4409</v>
      </c>
      <c r="H197" t="s">
        <v>4261</v>
      </c>
    </row>
    <row r="198" spans="1:8" x14ac:dyDescent="0.35">
      <c r="A198" t="s">
        <v>47</v>
      </c>
      <c r="B198" t="s">
        <v>876</v>
      </c>
      <c r="C198" t="s">
        <v>4260</v>
      </c>
      <c r="D198">
        <v>15</v>
      </c>
      <c r="E198" t="s">
        <v>1720</v>
      </c>
      <c r="F198" t="s">
        <v>1721</v>
      </c>
      <c r="G198" t="s">
        <v>4409</v>
      </c>
      <c r="H198" t="s">
        <v>4261</v>
      </c>
    </row>
    <row r="199" spans="1:8" x14ac:dyDescent="0.35">
      <c r="A199" t="s">
        <v>47</v>
      </c>
      <c r="B199" t="s">
        <v>876</v>
      </c>
      <c r="C199" t="s">
        <v>4264</v>
      </c>
      <c r="D199">
        <v>19</v>
      </c>
      <c r="E199" t="s">
        <v>1720</v>
      </c>
      <c r="F199" t="s">
        <v>1724</v>
      </c>
      <c r="G199" t="s">
        <v>4402</v>
      </c>
      <c r="H199" t="s">
        <v>4265</v>
      </c>
    </row>
    <row r="200" spans="1:8" x14ac:dyDescent="0.35">
      <c r="A200" t="s">
        <v>47</v>
      </c>
      <c r="B200" t="s">
        <v>876</v>
      </c>
      <c r="C200" t="s">
        <v>4264</v>
      </c>
      <c r="D200">
        <v>15</v>
      </c>
      <c r="E200" t="s">
        <v>1720</v>
      </c>
      <c r="F200" t="s">
        <v>1721</v>
      </c>
      <c r="G200" t="s">
        <v>4402</v>
      </c>
      <c r="H200" t="s">
        <v>4265</v>
      </c>
    </row>
    <row r="201" spans="1:8" x14ac:dyDescent="0.35">
      <c r="A201" t="s">
        <v>47</v>
      </c>
      <c r="B201" t="s">
        <v>876</v>
      </c>
      <c r="C201" t="s">
        <v>4266</v>
      </c>
      <c r="D201">
        <v>19</v>
      </c>
      <c r="E201" t="s">
        <v>1720</v>
      </c>
      <c r="F201" t="s">
        <v>1724</v>
      </c>
      <c r="G201" t="s">
        <v>4402</v>
      </c>
      <c r="H201" t="s">
        <v>4267</v>
      </c>
    </row>
    <row r="202" spans="1:8" x14ac:dyDescent="0.35">
      <c r="A202" t="s">
        <v>47</v>
      </c>
      <c r="B202" t="s">
        <v>876</v>
      </c>
      <c r="C202" t="s">
        <v>4266</v>
      </c>
      <c r="D202">
        <v>15</v>
      </c>
      <c r="E202" t="s">
        <v>1720</v>
      </c>
      <c r="F202" t="s">
        <v>1721</v>
      </c>
      <c r="G202" t="s">
        <v>4402</v>
      </c>
      <c r="H202" t="s">
        <v>4267</v>
      </c>
    </row>
    <row r="203" spans="1:8" x14ac:dyDescent="0.35">
      <c r="A203" t="s">
        <v>47</v>
      </c>
      <c r="B203" t="s">
        <v>876</v>
      </c>
      <c r="C203" t="s">
        <v>4268</v>
      </c>
      <c r="D203">
        <v>19</v>
      </c>
      <c r="E203" t="s">
        <v>1720</v>
      </c>
      <c r="F203" t="s">
        <v>1724</v>
      </c>
      <c r="G203" t="s">
        <v>4402</v>
      </c>
      <c r="H203" t="s">
        <v>4269</v>
      </c>
    </row>
    <row r="204" spans="1:8" x14ac:dyDescent="0.35">
      <c r="A204" t="s">
        <v>47</v>
      </c>
      <c r="B204" t="s">
        <v>876</v>
      </c>
      <c r="C204" t="s">
        <v>4268</v>
      </c>
      <c r="D204">
        <v>15</v>
      </c>
      <c r="E204" t="s">
        <v>1720</v>
      </c>
      <c r="F204" t="s">
        <v>1721</v>
      </c>
      <c r="G204" t="s">
        <v>4402</v>
      </c>
      <c r="H204" t="s">
        <v>4269</v>
      </c>
    </row>
    <row r="205" spans="1:8" x14ac:dyDescent="0.35">
      <c r="A205" t="s">
        <v>47</v>
      </c>
      <c r="B205" t="s">
        <v>876</v>
      </c>
      <c r="C205" t="s">
        <v>4276</v>
      </c>
      <c r="D205">
        <v>19</v>
      </c>
      <c r="E205" t="s">
        <v>1720</v>
      </c>
      <c r="F205" t="s">
        <v>1724</v>
      </c>
      <c r="G205" t="s">
        <v>4413</v>
      </c>
      <c r="H205" t="s">
        <v>4277</v>
      </c>
    </row>
    <row r="206" spans="1:8" x14ac:dyDescent="0.35">
      <c r="A206" t="s">
        <v>47</v>
      </c>
      <c r="B206" t="s">
        <v>876</v>
      </c>
      <c r="C206" t="s">
        <v>4276</v>
      </c>
      <c r="D206">
        <v>15</v>
      </c>
      <c r="E206" t="s">
        <v>1720</v>
      </c>
      <c r="F206" t="s">
        <v>1721</v>
      </c>
      <c r="G206" t="s">
        <v>4413</v>
      </c>
      <c r="H206" t="s">
        <v>4277</v>
      </c>
    </row>
    <row r="207" spans="1:8" x14ac:dyDescent="0.35">
      <c r="A207" t="s">
        <v>47</v>
      </c>
      <c r="B207" t="s">
        <v>876</v>
      </c>
      <c r="C207" t="s">
        <v>4272</v>
      </c>
      <c r="D207">
        <v>19</v>
      </c>
      <c r="E207" t="s">
        <v>1720</v>
      </c>
      <c r="F207" t="s">
        <v>1724</v>
      </c>
      <c r="G207" t="s">
        <v>4402</v>
      </c>
      <c r="H207" t="s">
        <v>4304</v>
      </c>
    </row>
    <row r="208" spans="1:8" x14ac:dyDescent="0.35">
      <c r="A208" t="s">
        <v>47</v>
      </c>
      <c r="B208" t="s">
        <v>876</v>
      </c>
      <c r="C208" t="s">
        <v>4272</v>
      </c>
      <c r="D208">
        <v>15</v>
      </c>
      <c r="E208" t="s">
        <v>1720</v>
      </c>
      <c r="F208" t="s">
        <v>1721</v>
      </c>
      <c r="G208" t="s">
        <v>4402</v>
      </c>
      <c r="H208" t="s">
        <v>4304</v>
      </c>
    </row>
    <row r="209" spans="1:8" x14ac:dyDescent="0.35">
      <c r="A209" t="s">
        <v>47</v>
      </c>
      <c r="B209" t="s">
        <v>876</v>
      </c>
      <c r="C209" t="s">
        <v>4282</v>
      </c>
      <c r="D209">
        <v>19</v>
      </c>
      <c r="E209" t="s">
        <v>1720</v>
      </c>
      <c r="F209" t="s">
        <v>1724</v>
      </c>
      <c r="G209" t="s">
        <v>4402</v>
      </c>
      <c r="H209" t="s">
        <v>4283</v>
      </c>
    </row>
    <row r="210" spans="1:8" x14ac:dyDescent="0.35">
      <c r="A210" t="s">
        <v>47</v>
      </c>
      <c r="B210" t="s">
        <v>876</v>
      </c>
      <c r="C210" t="s">
        <v>4282</v>
      </c>
      <c r="D210">
        <v>15</v>
      </c>
      <c r="E210" t="s">
        <v>1720</v>
      </c>
      <c r="F210" t="s">
        <v>1721</v>
      </c>
      <c r="G210" t="s">
        <v>4402</v>
      </c>
      <c r="H210" t="s">
        <v>4283</v>
      </c>
    </row>
    <row r="211" spans="1:8" x14ac:dyDescent="0.35">
      <c r="A211" t="s">
        <v>47</v>
      </c>
      <c r="B211" t="s">
        <v>876</v>
      </c>
      <c r="C211" t="s">
        <v>4256</v>
      </c>
      <c r="D211">
        <v>19</v>
      </c>
      <c r="E211" t="s">
        <v>1720</v>
      </c>
      <c r="F211" t="s">
        <v>1724</v>
      </c>
      <c r="G211" t="s">
        <v>4402</v>
      </c>
      <c r="H211" t="s">
        <v>4257</v>
      </c>
    </row>
    <row r="212" spans="1:8" x14ac:dyDescent="0.35">
      <c r="A212" t="s">
        <v>47</v>
      </c>
      <c r="B212" t="s">
        <v>876</v>
      </c>
      <c r="C212" t="s">
        <v>4256</v>
      </c>
      <c r="D212">
        <v>15</v>
      </c>
      <c r="E212" t="s">
        <v>1720</v>
      </c>
      <c r="F212" t="s">
        <v>1721</v>
      </c>
      <c r="G212" t="s">
        <v>4402</v>
      </c>
      <c r="H212" t="s">
        <v>4257</v>
      </c>
    </row>
    <row r="213" spans="1:8" x14ac:dyDescent="0.35">
      <c r="A213" t="s">
        <v>47</v>
      </c>
      <c r="B213" t="s">
        <v>876</v>
      </c>
      <c r="C213" t="s">
        <v>4298</v>
      </c>
      <c r="D213">
        <v>19</v>
      </c>
      <c r="E213" t="s">
        <v>1720</v>
      </c>
      <c r="F213" t="s">
        <v>1724</v>
      </c>
      <c r="G213" t="s">
        <v>4419</v>
      </c>
      <c r="H213" t="s">
        <v>4299</v>
      </c>
    </row>
    <row r="214" spans="1:8" x14ac:dyDescent="0.35">
      <c r="A214" t="s">
        <v>47</v>
      </c>
      <c r="B214" t="s">
        <v>876</v>
      </c>
      <c r="C214" t="s">
        <v>4298</v>
      </c>
      <c r="D214">
        <v>15</v>
      </c>
      <c r="E214" t="s">
        <v>1720</v>
      </c>
      <c r="F214" t="s">
        <v>1721</v>
      </c>
      <c r="G214" t="s">
        <v>4419</v>
      </c>
      <c r="H214" t="s">
        <v>4299</v>
      </c>
    </row>
    <row r="215" spans="1:8" x14ac:dyDescent="0.35">
      <c r="A215" t="s">
        <v>47</v>
      </c>
      <c r="B215" t="s">
        <v>876</v>
      </c>
      <c r="C215" t="s">
        <v>4290</v>
      </c>
      <c r="D215">
        <v>20.3</v>
      </c>
      <c r="E215" t="s">
        <v>1720</v>
      </c>
      <c r="F215" t="s">
        <v>1724</v>
      </c>
      <c r="G215" t="s">
        <v>4402</v>
      </c>
      <c r="H215" t="s">
        <v>4291</v>
      </c>
    </row>
    <row r="216" spans="1:8" x14ac:dyDescent="0.35">
      <c r="A216" t="s">
        <v>47</v>
      </c>
      <c r="B216" t="s">
        <v>876</v>
      </c>
      <c r="C216" t="s">
        <v>4290</v>
      </c>
      <c r="D216">
        <v>12.8</v>
      </c>
      <c r="E216" t="s">
        <v>1720</v>
      </c>
      <c r="F216" t="s">
        <v>1721</v>
      </c>
      <c r="G216" t="s">
        <v>4402</v>
      </c>
      <c r="H216" t="s">
        <v>4291</v>
      </c>
    </row>
    <row r="217" spans="1:8" x14ac:dyDescent="0.35">
      <c r="A217" t="s">
        <v>47</v>
      </c>
      <c r="B217" t="s">
        <v>876</v>
      </c>
      <c r="C217" t="s">
        <v>4292</v>
      </c>
      <c r="D217">
        <v>19</v>
      </c>
      <c r="E217" t="s">
        <v>1720</v>
      </c>
      <c r="F217" t="s">
        <v>1724</v>
      </c>
      <c r="G217" t="s">
        <v>4402</v>
      </c>
      <c r="H217" t="s">
        <v>4293</v>
      </c>
    </row>
    <row r="218" spans="1:8" x14ac:dyDescent="0.35">
      <c r="A218" t="s">
        <v>47</v>
      </c>
      <c r="B218" t="s">
        <v>876</v>
      </c>
      <c r="C218" t="s">
        <v>4292</v>
      </c>
      <c r="D218">
        <v>15</v>
      </c>
      <c r="E218" t="s">
        <v>1720</v>
      </c>
      <c r="F218" t="s">
        <v>1721</v>
      </c>
      <c r="G218" t="s">
        <v>4402</v>
      </c>
      <c r="H218" t="s">
        <v>4293</v>
      </c>
    </row>
    <row r="219" spans="1:8" x14ac:dyDescent="0.35">
      <c r="A219" t="s">
        <v>47</v>
      </c>
      <c r="B219" t="s">
        <v>876</v>
      </c>
      <c r="C219" t="s">
        <v>4296</v>
      </c>
      <c r="D219">
        <v>19</v>
      </c>
      <c r="E219" t="s">
        <v>1720</v>
      </c>
      <c r="F219" t="s">
        <v>1724</v>
      </c>
      <c r="G219" t="s">
        <v>4402</v>
      </c>
      <c r="H219" t="s">
        <v>4297</v>
      </c>
    </row>
    <row r="220" spans="1:8" x14ac:dyDescent="0.35">
      <c r="A220" t="s">
        <v>47</v>
      </c>
      <c r="B220" t="s">
        <v>876</v>
      </c>
      <c r="C220" t="s">
        <v>4296</v>
      </c>
      <c r="D220">
        <v>15</v>
      </c>
      <c r="E220" t="s">
        <v>1720</v>
      </c>
      <c r="F220" t="s">
        <v>1721</v>
      </c>
      <c r="G220" t="s">
        <v>4402</v>
      </c>
      <c r="H220" t="s">
        <v>4297</v>
      </c>
    </row>
    <row r="221" spans="1:8" x14ac:dyDescent="0.35">
      <c r="A221" t="s">
        <v>47</v>
      </c>
      <c r="B221" t="s">
        <v>876</v>
      </c>
      <c r="C221" t="s">
        <v>4286</v>
      </c>
      <c r="D221">
        <v>19</v>
      </c>
      <c r="E221" t="s">
        <v>1720</v>
      </c>
      <c r="F221" t="s">
        <v>1724</v>
      </c>
      <c r="G221" t="s">
        <v>4402</v>
      </c>
      <c r="H221" t="s">
        <v>4287</v>
      </c>
    </row>
    <row r="222" spans="1:8" x14ac:dyDescent="0.35">
      <c r="A222" t="s">
        <v>47</v>
      </c>
      <c r="B222" t="s">
        <v>876</v>
      </c>
      <c r="C222" t="s">
        <v>4286</v>
      </c>
      <c r="D222">
        <v>15</v>
      </c>
      <c r="E222" t="s">
        <v>1720</v>
      </c>
      <c r="F222" t="s">
        <v>1721</v>
      </c>
      <c r="G222" t="s">
        <v>4402</v>
      </c>
      <c r="H222" t="s">
        <v>4287</v>
      </c>
    </row>
    <row r="223" spans="1:8" x14ac:dyDescent="0.35">
      <c r="A223" t="s">
        <v>52</v>
      </c>
      <c r="B223" t="s">
        <v>881</v>
      </c>
      <c r="C223" t="s">
        <v>4183</v>
      </c>
      <c r="D223">
        <v>0.1</v>
      </c>
      <c r="E223" t="s">
        <v>1720</v>
      </c>
      <c r="F223" t="s">
        <v>1721</v>
      </c>
      <c r="G223" t="s">
        <v>4382</v>
      </c>
      <c r="H223" t="s">
        <v>4184</v>
      </c>
    </row>
    <row r="224" spans="1:8" x14ac:dyDescent="0.35">
      <c r="A224" t="s">
        <v>52</v>
      </c>
      <c r="B224" t="s">
        <v>881</v>
      </c>
      <c r="C224" t="s">
        <v>4179</v>
      </c>
      <c r="D224">
        <v>0.01</v>
      </c>
      <c r="E224" t="s">
        <v>1720</v>
      </c>
      <c r="F224" t="s">
        <v>1721</v>
      </c>
      <c r="G224" t="s">
        <v>4380</v>
      </c>
      <c r="H224" t="s">
        <v>4180</v>
      </c>
    </row>
    <row r="225" spans="1:8" x14ac:dyDescent="0.35">
      <c r="A225" t="s">
        <v>52</v>
      </c>
      <c r="B225" t="s">
        <v>881</v>
      </c>
      <c r="C225" t="s">
        <v>4187</v>
      </c>
      <c r="D225">
        <v>0.01</v>
      </c>
      <c r="E225" t="s">
        <v>1720</v>
      </c>
      <c r="F225" t="s">
        <v>1721</v>
      </c>
      <c r="G225" t="s">
        <v>4384</v>
      </c>
      <c r="H225" t="s">
        <v>4188</v>
      </c>
    </row>
    <row r="226" spans="1:8" x14ac:dyDescent="0.35">
      <c r="A226" t="s">
        <v>52</v>
      </c>
      <c r="B226" t="s">
        <v>881</v>
      </c>
      <c r="C226" t="s">
        <v>4305</v>
      </c>
      <c r="D226">
        <v>5.0000000000000001E-3</v>
      </c>
      <c r="E226" t="s">
        <v>1720</v>
      </c>
      <c r="F226" t="s">
        <v>1721</v>
      </c>
      <c r="G226" t="s">
        <v>4421</v>
      </c>
      <c r="H226" t="s">
        <v>4306</v>
      </c>
    </row>
    <row r="227" spans="1:8" x14ac:dyDescent="0.35">
      <c r="A227" t="s">
        <v>52</v>
      </c>
      <c r="B227" t="s">
        <v>881</v>
      </c>
      <c r="C227" t="s">
        <v>4307</v>
      </c>
      <c r="D227">
        <v>0.01</v>
      </c>
      <c r="E227" t="s">
        <v>1720</v>
      </c>
      <c r="F227" t="s">
        <v>1724</v>
      </c>
      <c r="G227" t="s">
        <v>4422</v>
      </c>
      <c r="H227" t="s">
        <v>4308</v>
      </c>
    </row>
    <row r="228" spans="1:8" x14ac:dyDescent="0.35">
      <c r="A228" t="s">
        <v>52</v>
      </c>
      <c r="B228" t="s">
        <v>881</v>
      </c>
      <c r="C228" t="s">
        <v>4191</v>
      </c>
      <c r="D228">
        <v>0.01</v>
      </c>
      <c r="E228" t="s">
        <v>1720</v>
      </c>
      <c r="F228" t="s">
        <v>1721</v>
      </c>
      <c r="G228" t="s">
        <v>4383</v>
      </c>
      <c r="H228" t="s">
        <v>4192</v>
      </c>
    </row>
    <row r="229" spans="1:8" x14ac:dyDescent="0.35">
      <c r="A229" t="s">
        <v>52</v>
      </c>
      <c r="B229" t="s">
        <v>881</v>
      </c>
      <c r="C229" t="s">
        <v>4309</v>
      </c>
      <c r="D229">
        <v>0.01</v>
      </c>
      <c r="E229" t="s">
        <v>1720</v>
      </c>
      <c r="F229" t="s">
        <v>1721</v>
      </c>
      <c r="G229" t="s">
        <v>4396</v>
      </c>
      <c r="H229" t="s">
        <v>4310</v>
      </c>
    </row>
    <row r="230" spans="1:8" x14ac:dyDescent="0.35">
      <c r="A230" t="s">
        <v>52</v>
      </c>
      <c r="B230" t="s">
        <v>881</v>
      </c>
      <c r="C230" t="s">
        <v>4195</v>
      </c>
      <c r="D230">
        <v>0.01</v>
      </c>
      <c r="E230" t="s">
        <v>1720</v>
      </c>
      <c r="F230" t="s">
        <v>1721</v>
      </c>
      <c r="G230" t="s">
        <v>4387</v>
      </c>
      <c r="H230" t="s">
        <v>4196</v>
      </c>
    </row>
    <row r="231" spans="1:8" x14ac:dyDescent="0.35">
      <c r="A231" t="s">
        <v>52</v>
      </c>
      <c r="B231" t="s">
        <v>881</v>
      </c>
      <c r="C231" t="s">
        <v>4205</v>
      </c>
      <c r="D231">
        <v>0.01</v>
      </c>
      <c r="E231" t="s">
        <v>1720</v>
      </c>
      <c r="F231" t="s">
        <v>1721</v>
      </c>
      <c r="G231" t="s">
        <v>4391</v>
      </c>
      <c r="H231" t="s">
        <v>4206</v>
      </c>
    </row>
    <row r="232" spans="1:8" x14ac:dyDescent="0.35">
      <c r="A232" t="s">
        <v>52</v>
      </c>
      <c r="B232" t="s">
        <v>881</v>
      </c>
      <c r="C232" t="s">
        <v>4207</v>
      </c>
      <c r="D232">
        <v>0.01</v>
      </c>
      <c r="E232" t="s">
        <v>1720</v>
      </c>
      <c r="F232" t="s">
        <v>1721</v>
      </c>
      <c r="G232" t="s">
        <v>4383</v>
      </c>
      <c r="H232" t="s">
        <v>4208</v>
      </c>
    </row>
    <row r="233" spans="1:8" x14ac:dyDescent="0.35">
      <c r="A233" t="s">
        <v>52</v>
      </c>
      <c r="B233" t="s">
        <v>881</v>
      </c>
      <c r="C233" t="s">
        <v>4311</v>
      </c>
      <c r="D233">
        <v>0.01</v>
      </c>
      <c r="E233" t="s">
        <v>1720</v>
      </c>
      <c r="G233" t="s">
        <v>4387</v>
      </c>
      <c r="H233" t="s">
        <v>4312</v>
      </c>
    </row>
    <row r="234" spans="1:8" x14ac:dyDescent="0.35">
      <c r="A234" t="s">
        <v>52</v>
      </c>
      <c r="B234" t="s">
        <v>881</v>
      </c>
      <c r="C234" t="s">
        <v>4221</v>
      </c>
      <c r="D234">
        <v>0.01</v>
      </c>
      <c r="E234" t="s">
        <v>1720</v>
      </c>
      <c r="F234" t="s">
        <v>1721</v>
      </c>
      <c r="G234" t="s">
        <v>4383</v>
      </c>
      <c r="H234" t="s">
        <v>4222</v>
      </c>
    </row>
    <row r="235" spans="1:8" x14ac:dyDescent="0.35">
      <c r="A235" t="s">
        <v>52</v>
      </c>
      <c r="B235" t="s">
        <v>881</v>
      </c>
      <c r="C235" t="s">
        <v>4230</v>
      </c>
      <c r="D235">
        <v>0.01</v>
      </c>
      <c r="E235" t="s">
        <v>1720</v>
      </c>
      <c r="F235" t="s">
        <v>1721</v>
      </c>
      <c r="G235" t="s">
        <v>4396</v>
      </c>
      <c r="H235" t="s">
        <v>4231</v>
      </c>
    </row>
    <row r="236" spans="1:8" x14ac:dyDescent="0.35">
      <c r="A236" t="s">
        <v>52</v>
      </c>
      <c r="B236" t="s">
        <v>881</v>
      </c>
      <c r="C236" t="s">
        <v>4199</v>
      </c>
      <c r="D236">
        <v>0.01</v>
      </c>
      <c r="E236" t="s">
        <v>1720</v>
      </c>
      <c r="F236" t="s">
        <v>1721</v>
      </c>
      <c r="G236" t="s">
        <v>4388</v>
      </c>
      <c r="H236" t="s">
        <v>4200</v>
      </c>
    </row>
    <row r="237" spans="1:8" x14ac:dyDescent="0.35">
      <c r="A237" t="s">
        <v>52</v>
      </c>
      <c r="B237" t="s">
        <v>881</v>
      </c>
      <c r="C237" t="s">
        <v>4217</v>
      </c>
      <c r="D237">
        <v>0.01</v>
      </c>
      <c r="E237" t="s">
        <v>1720</v>
      </c>
      <c r="F237" t="s">
        <v>1721</v>
      </c>
      <c r="G237" t="s">
        <v>4396</v>
      </c>
      <c r="H237" t="s">
        <v>4218</v>
      </c>
    </row>
    <row r="238" spans="1:8" x14ac:dyDescent="0.35">
      <c r="A238" t="s">
        <v>52</v>
      </c>
      <c r="B238" t="s">
        <v>881</v>
      </c>
      <c r="C238" t="s">
        <v>4213</v>
      </c>
      <c r="D238">
        <v>0.01</v>
      </c>
      <c r="E238" t="s">
        <v>1720</v>
      </c>
      <c r="F238" t="s">
        <v>1721</v>
      </c>
      <c r="G238" t="s">
        <v>4393</v>
      </c>
      <c r="H238" t="s">
        <v>4214</v>
      </c>
    </row>
    <row r="239" spans="1:8" x14ac:dyDescent="0.35">
      <c r="A239" t="s">
        <v>52</v>
      </c>
      <c r="B239" t="s">
        <v>881</v>
      </c>
      <c r="C239" t="s">
        <v>4219</v>
      </c>
      <c r="D239">
        <v>0.01</v>
      </c>
      <c r="E239" t="s">
        <v>1720</v>
      </c>
      <c r="F239" t="s">
        <v>1721</v>
      </c>
      <c r="G239" t="s">
        <v>4380</v>
      </c>
      <c r="H239" t="s">
        <v>4220</v>
      </c>
    </row>
    <row r="240" spans="1:8" x14ac:dyDescent="0.35">
      <c r="A240" t="s">
        <v>52</v>
      </c>
      <c r="B240" t="s">
        <v>881</v>
      </c>
      <c r="C240" t="s">
        <v>4223</v>
      </c>
      <c r="D240">
        <v>0.01</v>
      </c>
      <c r="E240" t="s">
        <v>1720</v>
      </c>
      <c r="F240" t="s">
        <v>1721</v>
      </c>
      <c r="G240" t="s">
        <v>4399</v>
      </c>
      <c r="H240" t="s">
        <v>4224</v>
      </c>
    </row>
    <row r="241" spans="1:8" x14ac:dyDescent="0.35">
      <c r="A241" t="s">
        <v>52</v>
      </c>
      <c r="B241" t="s">
        <v>881</v>
      </c>
      <c r="C241" t="s">
        <v>4313</v>
      </c>
      <c r="D241">
        <v>0.01</v>
      </c>
      <c r="E241" t="s">
        <v>1720</v>
      </c>
      <c r="F241" t="s">
        <v>1721</v>
      </c>
      <c r="G241" t="s">
        <v>4423</v>
      </c>
      <c r="H241" t="s">
        <v>4314</v>
      </c>
    </row>
    <row r="242" spans="1:8" x14ac:dyDescent="0.35">
      <c r="A242" t="s">
        <v>52</v>
      </c>
      <c r="B242" t="s">
        <v>881</v>
      </c>
      <c r="C242" t="s">
        <v>4313</v>
      </c>
      <c r="D242">
        <v>0.01</v>
      </c>
      <c r="E242" t="s">
        <v>1720</v>
      </c>
      <c r="F242" t="s">
        <v>1721</v>
      </c>
      <c r="G242" t="s">
        <v>4424</v>
      </c>
      <c r="H242" t="s">
        <v>4314</v>
      </c>
    </row>
    <row r="243" spans="1:8" x14ac:dyDescent="0.35">
      <c r="A243" t="s">
        <v>52</v>
      </c>
      <c r="B243" t="s">
        <v>881</v>
      </c>
      <c r="C243" t="s">
        <v>4313</v>
      </c>
      <c r="D243">
        <v>0.01</v>
      </c>
      <c r="E243" t="s">
        <v>1720</v>
      </c>
      <c r="F243" t="s">
        <v>1721</v>
      </c>
      <c r="G243" t="s">
        <v>4425</v>
      </c>
      <c r="H243" t="s">
        <v>4314</v>
      </c>
    </row>
    <row r="244" spans="1:8" x14ac:dyDescent="0.35">
      <c r="A244" t="s">
        <v>52</v>
      </c>
      <c r="B244" t="s">
        <v>881</v>
      </c>
      <c r="C244" t="s">
        <v>4229</v>
      </c>
      <c r="D244">
        <v>0.01</v>
      </c>
      <c r="E244" t="s">
        <v>1720</v>
      </c>
      <c r="F244" t="s">
        <v>1721</v>
      </c>
      <c r="G244" t="s">
        <v>4399</v>
      </c>
      <c r="H244" t="s">
        <v>1711</v>
      </c>
    </row>
    <row r="245" spans="1:8" x14ac:dyDescent="0.35">
      <c r="A245" t="s">
        <v>52</v>
      </c>
      <c r="B245" t="s">
        <v>881</v>
      </c>
      <c r="C245" t="s">
        <v>4315</v>
      </c>
      <c r="D245">
        <v>0.01</v>
      </c>
      <c r="E245" t="s">
        <v>1720</v>
      </c>
      <c r="F245" t="s">
        <v>1721</v>
      </c>
      <c r="G245" t="s">
        <v>4383</v>
      </c>
      <c r="H245" t="s">
        <v>4316</v>
      </c>
    </row>
    <row r="246" spans="1:8" x14ac:dyDescent="0.35">
      <c r="A246" t="s">
        <v>52</v>
      </c>
      <c r="B246" t="s">
        <v>881</v>
      </c>
      <c r="C246" t="s">
        <v>4300</v>
      </c>
      <c r="D246">
        <v>0.01</v>
      </c>
      <c r="E246" t="s">
        <v>1720</v>
      </c>
      <c r="F246" t="s">
        <v>1721</v>
      </c>
      <c r="G246" t="s">
        <v>4389</v>
      </c>
      <c r="H246" t="s">
        <v>4301</v>
      </c>
    </row>
    <row r="247" spans="1:8" x14ac:dyDescent="0.35">
      <c r="A247" t="s">
        <v>52</v>
      </c>
      <c r="B247" t="s">
        <v>881</v>
      </c>
      <c r="C247" t="s">
        <v>4317</v>
      </c>
      <c r="D247">
        <v>0.01</v>
      </c>
      <c r="E247" t="s">
        <v>1720</v>
      </c>
      <c r="F247" t="s">
        <v>1721</v>
      </c>
      <c r="G247" t="s">
        <v>4426</v>
      </c>
      <c r="H247" t="s">
        <v>4318</v>
      </c>
    </row>
    <row r="248" spans="1:8" x14ac:dyDescent="0.35">
      <c r="A248" t="s">
        <v>52</v>
      </c>
      <c r="B248" t="s">
        <v>881</v>
      </c>
      <c r="C248" t="s">
        <v>4232</v>
      </c>
      <c r="D248">
        <v>0.01</v>
      </c>
      <c r="E248" t="s">
        <v>1720</v>
      </c>
      <c r="F248" t="s">
        <v>1721</v>
      </c>
      <c r="G248" t="s">
        <v>4402</v>
      </c>
      <c r="H248" t="s">
        <v>4233</v>
      </c>
    </row>
    <row r="249" spans="1:8" x14ac:dyDescent="0.35">
      <c r="A249" t="s">
        <v>52</v>
      </c>
      <c r="B249" t="s">
        <v>881</v>
      </c>
      <c r="C249" t="s">
        <v>4234</v>
      </c>
      <c r="D249">
        <v>0.01</v>
      </c>
      <c r="E249" t="s">
        <v>1720</v>
      </c>
      <c r="G249" t="s">
        <v>4383</v>
      </c>
      <c r="H249" t="s">
        <v>4235</v>
      </c>
    </row>
    <row r="250" spans="1:8" x14ac:dyDescent="0.35">
      <c r="A250" t="s">
        <v>52</v>
      </c>
      <c r="B250" t="s">
        <v>881</v>
      </c>
      <c r="C250" t="s">
        <v>4225</v>
      </c>
      <c r="D250">
        <v>0.01</v>
      </c>
      <c r="E250" t="s">
        <v>1720</v>
      </c>
      <c r="F250" t="s">
        <v>1721</v>
      </c>
      <c r="G250" t="s">
        <v>4400</v>
      </c>
      <c r="H250" t="s">
        <v>4226</v>
      </c>
    </row>
    <row r="251" spans="1:8" x14ac:dyDescent="0.35">
      <c r="A251" t="s">
        <v>52</v>
      </c>
      <c r="B251" t="s">
        <v>881</v>
      </c>
      <c r="C251" t="s">
        <v>4240</v>
      </c>
      <c r="D251">
        <v>0.01</v>
      </c>
      <c r="E251" t="s">
        <v>1720</v>
      </c>
      <c r="F251" t="s">
        <v>1721</v>
      </c>
      <c r="G251" t="s">
        <v>4402</v>
      </c>
      <c r="H251" t="s">
        <v>4241</v>
      </c>
    </row>
    <row r="252" spans="1:8" x14ac:dyDescent="0.35">
      <c r="A252" t="s">
        <v>52</v>
      </c>
      <c r="B252" t="s">
        <v>881</v>
      </c>
      <c r="C252" t="s">
        <v>4242</v>
      </c>
      <c r="D252">
        <v>0.01</v>
      </c>
      <c r="E252" t="s">
        <v>1720</v>
      </c>
      <c r="F252" t="s">
        <v>1721</v>
      </c>
      <c r="G252" t="s">
        <v>4405</v>
      </c>
      <c r="H252" t="s">
        <v>4243</v>
      </c>
    </row>
    <row r="253" spans="1:8" x14ac:dyDescent="0.35">
      <c r="A253" t="s">
        <v>52</v>
      </c>
      <c r="B253" t="s">
        <v>881</v>
      </c>
      <c r="C253" t="s">
        <v>4244</v>
      </c>
      <c r="D253">
        <v>0.01</v>
      </c>
      <c r="E253" t="s">
        <v>1720</v>
      </c>
      <c r="F253" t="s">
        <v>1721</v>
      </c>
      <c r="G253" t="s">
        <v>4406</v>
      </c>
      <c r="H253" t="s">
        <v>4245</v>
      </c>
    </row>
    <row r="254" spans="1:8" x14ac:dyDescent="0.35">
      <c r="A254" t="s">
        <v>52</v>
      </c>
      <c r="B254" t="s">
        <v>881</v>
      </c>
      <c r="C254" t="s">
        <v>4246</v>
      </c>
      <c r="D254">
        <v>0.01</v>
      </c>
      <c r="E254" t="s">
        <v>1720</v>
      </c>
      <c r="F254" t="s">
        <v>1721</v>
      </c>
      <c r="G254" t="s">
        <v>4402</v>
      </c>
      <c r="H254" t="s">
        <v>4247</v>
      </c>
    </row>
    <row r="255" spans="1:8" x14ac:dyDescent="0.35">
      <c r="A255" t="s">
        <v>52</v>
      </c>
      <c r="B255" t="s">
        <v>881</v>
      </c>
      <c r="C255" t="s">
        <v>4248</v>
      </c>
      <c r="D255">
        <v>0.01</v>
      </c>
      <c r="E255" t="s">
        <v>1720</v>
      </c>
      <c r="F255" t="s">
        <v>1721</v>
      </c>
      <c r="G255" t="s">
        <v>4402</v>
      </c>
      <c r="H255" t="s">
        <v>4249</v>
      </c>
    </row>
    <row r="256" spans="1:8" x14ac:dyDescent="0.35">
      <c r="A256" t="s">
        <v>52</v>
      </c>
      <c r="B256" t="s">
        <v>881</v>
      </c>
      <c r="C256" t="s">
        <v>4252</v>
      </c>
      <c r="D256">
        <v>0.01</v>
      </c>
      <c r="E256" t="s">
        <v>1720</v>
      </c>
      <c r="F256" t="s">
        <v>1721</v>
      </c>
      <c r="G256" t="s">
        <v>4402</v>
      </c>
      <c r="H256" t="s">
        <v>4253</v>
      </c>
    </row>
    <row r="257" spans="1:8" x14ac:dyDescent="0.35">
      <c r="A257" t="s">
        <v>52</v>
      </c>
      <c r="B257" t="s">
        <v>881</v>
      </c>
      <c r="C257" t="s">
        <v>4250</v>
      </c>
      <c r="D257">
        <v>0.01</v>
      </c>
      <c r="E257" t="s">
        <v>1720</v>
      </c>
      <c r="F257" t="s">
        <v>1721</v>
      </c>
      <c r="G257" t="s">
        <v>4402</v>
      </c>
      <c r="H257" t="s">
        <v>4251</v>
      </c>
    </row>
    <row r="258" spans="1:8" x14ac:dyDescent="0.35">
      <c r="A258" t="s">
        <v>52</v>
      </c>
      <c r="B258" t="s">
        <v>881</v>
      </c>
      <c r="C258" t="s">
        <v>4319</v>
      </c>
      <c r="D258">
        <v>0.01</v>
      </c>
      <c r="E258" t="s">
        <v>1720</v>
      </c>
      <c r="F258" t="s">
        <v>1721</v>
      </c>
      <c r="G258" t="s">
        <v>4402</v>
      </c>
      <c r="H258" t="s">
        <v>4320</v>
      </c>
    </row>
    <row r="259" spans="1:8" x14ac:dyDescent="0.35">
      <c r="A259" t="s">
        <v>52</v>
      </c>
      <c r="B259" t="s">
        <v>881</v>
      </c>
      <c r="C259" t="s">
        <v>4264</v>
      </c>
      <c r="D259">
        <v>0.01</v>
      </c>
      <c r="E259" t="s">
        <v>1720</v>
      </c>
      <c r="F259" t="s">
        <v>1721</v>
      </c>
      <c r="G259" t="s">
        <v>4402</v>
      </c>
      <c r="H259" t="s">
        <v>4265</v>
      </c>
    </row>
    <row r="260" spans="1:8" x14ac:dyDescent="0.35">
      <c r="A260" t="s">
        <v>52</v>
      </c>
      <c r="B260" t="s">
        <v>881</v>
      </c>
      <c r="C260" t="s">
        <v>4268</v>
      </c>
      <c r="D260">
        <v>0.01</v>
      </c>
      <c r="E260" t="s">
        <v>1720</v>
      </c>
      <c r="F260" t="s">
        <v>1721</v>
      </c>
      <c r="G260" t="s">
        <v>4402</v>
      </c>
      <c r="H260" t="s">
        <v>4269</v>
      </c>
    </row>
    <row r="261" spans="1:8" x14ac:dyDescent="0.35">
      <c r="A261" t="s">
        <v>52</v>
      </c>
      <c r="B261" t="s">
        <v>881</v>
      </c>
      <c r="C261" t="s">
        <v>4256</v>
      </c>
      <c r="D261">
        <v>0.01</v>
      </c>
      <c r="E261" t="s">
        <v>1720</v>
      </c>
      <c r="F261" t="s">
        <v>1721</v>
      </c>
      <c r="G261" t="s">
        <v>4402</v>
      </c>
      <c r="H261" t="s">
        <v>4257</v>
      </c>
    </row>
    <row r="262" spans="1:8" x14ac:dyDescent="0.35">
      <c r="A262" t="s">
        <v>52</v>
      </c>
      <c r="B262" t="s">
        <v>881</v>
      </c>
      <c r="C262" t="s">
        <v>4258</v>
      </c>
      <c r="D262">
        <v>0.01</v>
      </c>
      <c r="E262" t="s">
        <v>1720</v>
      </c>
      <c r="F262" t="s">
        <v>1721</v>
      </c>
      <c r="G262" t="s">
        <v>4408</v>
      </c>
      <c r="H262" t="s">
        <v>4259</v>
      </c>
    </row>
    <row r="263" spans="1:8" x14ac:dyDescent="0.35">
      <c r="A263" t="s">
        <v>52</v>
      </c>
      <c r="B263" t="s">
        <v>881</v>
      </c>
      <c r="C263" t="s">
        <v>4276</v>
      </c>
      <c r="D263">
        <v>0.01</v>
      </c>
      <c r="E263" t="s">
        <v>1720</v>
      </c>
      <c r="F263" t="s">
        <v>1721</v>
      </c>
      <c r="G263" t="s">
        <v>4413</v>
      </c>
      <c r="H263" t="s">
        <v>4277</v>
      </c>
    </row>
    <row r="264" spans="1:8" x14ac:dyDescent="0.35">
      <c r="A264" t="s">
        <v>52</v>
      </c>
      <c r="B264" t="s">
        <v>881</v>
      </c>
      <c r="C264" t="s">
        <v>4280</v>
      </c>
      <c r="D264">
        <v>0.01</v>
      </c>
      <c r="E264" t="s">
        <v>1720</v>
      </c>
      <c r="F264" t="s">
        <v>1721</v>
      </c>
      <c r="G264" t="s">
        <v>4415</v>
      </c>
      <c r="H264" t="s">
        <v>4281</v>
      </c>
    </row>
    <row r="265" spans="1:8" x14ac:dyDescent="0.35">
      <c r="A265" t="s">
        <v>52</v>
      </c>
      <c r="B265" t="s">
        <v>881</v>
      </c>
      <c r="C265" t="s">
        <v>4282</v>
      </c>
      <c r="D265">
        <v>0.01</v>
      </c>
      <c r="E265" t="s">
        <v>1720</v>
      </c>
      <c r="F265" t="s">
        <v>1721</v>
      </c>
      <c r="G265" t="s">
        <v>4402</v>
      </c>
      <c r="H265" t="s">
        <v>4283</v>
      </c>
    </row>
    <row r="266" spans="1:8" x14ac:dyDescent="0.35">
      <c r="A266" t="s">
        <v>52</v>
      </c>
      <c r="B266" t="s">
        <v>881</v>
      </c>
      <c r="C266" t="s">
        <v>4284</v>
      </c>
      <c r="D266">
        <v>0.01</v>
      </c>
      <c r="E266" t="s">
        <v>1720</v>
      </c>
      <c r="G266" t="s">
        <v>4416</v>
      </c>
      <c r="H266" t="s">
        <v>4285</v>
      </c>
    </row>
    <row r="267" spans="1:8" x14ac:dyDescent="0.35">
      <c r="A267" t="s">
        <v>52</v>
      </c>
      <c r="B267" t="s">
        <v>881</v>
      </c>
      <c r="C267" t="s">
        <v>4284</v>
      </c>
      <c r="D267">
        <v>0.01</v>
      </c>
      <c r="E267" t="s">
        <v>1720</v>
      </c>
      <c r="G267" t="s">
        <v>4417</v>
      </c>
      <c r="H267" t="s">
        <v>4285</v>
      </c>
    </row>
    <row r="268" spans="1:8" x14ac:dyDescent="0.35">
      <c r="A268" t="s">
        <v>52</v>
      </c>
      <c r="B268" t="s">
        <v>881</v>
      </c>
      <c r="C268" t="s">
        <v>4298</v>
      </c>
      <c r="D268">
        <v>0.01</v>
      </c>
      <c r="E268" t="s">
        <v>1720</v>
      </c>
      <c r="F268" t="s">
        <v>1721</v>
      </c>
      <c r="G268" t="s">
        <v>4419</v>
      </c>
      <c r="H268" t="s">
        <v>4299</v>
      </c>
    </row>
    <row r="269" spans="1:8" x14ac:dyDescent="0.35">
      <c r="A269" t="s">
        <v>52</v>
      </c>
      <c r="B269" t="s">
        <v>881</v>
      </c>
      <c r="C269" t="s">
        <v>4290</v>
      </c>
      <c r="D269">
        <v>0.01</v>
      </c>
      <c r="E269" t="s">
        <v>1720</v>
      </c>
      <c r="F269" t="s">
        <v>1721</v>
      </c>
      <c r="G269" t="s">
        <v>4402</v>
      </c>
      <c r="H269" t="s">
        <v>4291</v>
      </c>
    </row>
    <row r="270" spans="1:8" x14ac:dyDescent="0.35">
      <c r="A270" t="s">
        <v>52</v>
      </c>
      <c r="B270" t="s">
        <v>881</v>
      </c>
      <c r="C270" t="s">
        <v>4288</v>
      </c>
      <c r="D270">
        <v>0.01</v>
      </c>
      <c r="E270" t="s">
        <v>1720</v>
      </c>
      <c r="F270" t="s">
        <v>1721</v>
      </c>
      <c r="G270" t="s">
        <v>4415</v>
      </c>
      <c r="H270" t="s">
        <v>4289</v>
      </c>
    </row>
    <row r="271" spans="1:8" x14ac:dyDescent="0.35">
      <c r="A271" t="s">
        <v>52</v>
      </c>
      <c r="B271" t="s">
        <v>881</v>
      </c>
      <c r="C271" t="s">
        <v>4292</v>
      </c>
      <c r="D271">
        <v>0.01</v>
      </c>
      <c r="E271" t="s">
        <v>1720</v>
      </c>
      <c r="F271" t="s">
        <v>1721</v>
      </c>
      <c r="G271" t="s">
        <v>4402</v>
      </c>
      <c r="H271" t="s">
        <v>4293</v>
      </c>
    </row>
    <row r="272" spans="1:8" x14ac:dyDescent="0.35">
      <c r="A272" t="s">
        <v>52</v>
      </c>
      <c r="B272" t="s">
        <v>881</v>
      </c>
      <c r="C272" t="s">
        <v>4321</v>
      </c>
      <c r="D272">
        <v>5.0000000000000001E-3</v>
      </c>
      <c r="E272" t="s">
        <v>1720</v>
      </c>
      <c r="F272" t="s">
        <v>1721</v>
      </c>
      <c r="G272" t="s">
        <v>4427</v>
      </c>
      <c r="H272" t="s">
        <v>4322</v>
      </c>
    </row>
    <row r="273" spans="1:8" x14ac:dyDescent="0.35">
      <c r="A273" t="s">
        <v>52</v>
      </c>
      <c r="B273" t="s">
        <v>881</v>
      </c>
      <c r="C273" t="s">
        <v>4286</v>
      </c>
      <c r="D273">
        <v>0.01</v>
      </c>
      <c r="E273" t="s">
        <v>1720</v>
      </c>
      <c r="F273" t="s">
        <v>1721</v>
      </c>
      <c r="G273" t="s">
        <v>4402</v>
      </c>
      <c r="H273" t="s">
        <v>4287</v>
      </c>
    </row>
    <row r="274" spans="1:8" x14ac:dyDescent="0.35">
      <c r="A274" t="s">
        <v>52</v>
      </c>
      <c r="B274" t="s">
        <v>881</v>
      </c>
      <c r="C274" t="s">
        <v>4296</v>
      </c>
      <c r="D274">
        <v>0.01</v>
      </c>
      <c r="E274" t="s">
        <v>1720</v>
      </c>
      <c r="F274" t="s">
        <v>1721</v>
      </c>
      <c r="G274" t="s">
        <v>4402</v>
      </c>
      <c r="H274" t="s">
        <v>4297</v>
      </c>
    </row>
    <row r="275" spans="1:8" x14ac:dyDescent="0.35">
      <c r="A275" t="s">
        <v>60</v>
      </c>
      <c r="B275" t="s">
        <v>889</v>
      </c>
      <c r="C275" t="s">
        <v>4185</v>
      </c>
      <c r="D275">
        <v>58</v>
      </c>
      <c r="E275" t="s">
        <v>1720</v>
      </c>
      <c r="F275" t="s">
        <v>1721</v>
      </c>
      <c r="G275" t="s">
        <v>4383</v>
      </c>
      <c r="H275" t="s">
        <v>4186</v>
      </c>
    </row>
    <row r="276" spans="1:8" x14ac:dyDescent="0.35">
      <c r="A276" t="s">
        <v>60</v>
      </c>
      <c r="B276" t="s">
        <v>889</v>
      </c>
      <c r="C276" t="s">
        <v>4185</v>
      </c>
      <c r="D276">
        <v>2605</v>
      </c>
      <c r="E276" t="s">
        <v>1720</v>
      </c>
      <c r="F276" t="s">
        <v>1724</v>
      </c>
      <c r="G276" t="s">
        <v>4383</v>
      </c>
      <c r="H276" t="s">
        <v>4186</v>
      </c>
    </row>
    <row r="277" spans="1:8" x14ac:dyDescent="0.35">
      <c r="A277" t="s">
        <v>60</v>
      </c>
      <c r="B277" t="s">
        <v>889</v>
      </c>
      <c r="C277" t="s">
        <v>4197</v>
      </c>
      <c r="D277">
        <v>800</v>
      </c>
      <c r="E277" t="s">
        <v>1720</v>
      </c>
      <c r="F277" t="s">
        <v>1721</v>
      </c>
      <c r="G277" t="s">
        <v>4383</v>
      </c>
      <c r="H277" t="s">
        <v>4198</v>
      </c>
    </row>
    <row r="278" spans="1:8" x14ac:dyDescent="0.35">
      <c r="A278" t="s">
        <v>60</v>
      </c>
      <c r="B278" t="s">
        <v>889</v>
      </c>
      <c r="C278" t="s">
        <v>4197</v>
      </c>
      <c r="D278">
        <v>4000</v>
      </c>
      <c r="E278" t="s">
        <v>1720</v>
      </c>
      <c r="F278" t="s">
        <v>1724</v>
      </c>
      <c r="G278" t="s">
        <v>4383</v>
      </c>
      <c r="H278" t="s">
        <v>4198</v>
      </c>
    </row>
    <row r="279" spans="1:8" x14ac:dyDescent="0.35">
      <c r="A279" t="s">
        <v>60</v>
      </c>
      <c r="B279" t="s">
        <v>889</v>
      </c>
      <c r="C279" t="s">
        <v>4213</v>
      </c>
      <c r="D279">
        <v>600</v>
      </c>
      <c r="E279" t="s">
        <v>1720</v>
      </c>
      <c r="F279" t="s">
        <v>1721</v>
      </c>
      <c r="G279" t="s">
        <v>4393</v>
      </c>
      <c r="H279" t="s">
        <v>4214</v>
      </c>
    </row>
    <row r="280" spans="1:8" x14ac:dyDescent="0.35">
      <c r="A280" t="s">
        <v>60</v>
      </c>
      <c r="B280" t="s">
        <v>889</v>
      </c>
      <c r="C280" t="s">
        <v>4313</v>
      </c>
      <c r="D280">
        <v>1600</v>
      </c>
      <c r="E280" t="s">
        <v>1720</v>
      </c>
      <c r="F280" t="s">
        <v>1721</v>
      </c>
      <c r="G280" t="s">
        <v>4425</v>
      </c>
      <c r="H280" t="s">
        <v>4314</v>
      </c>
    </row>
    <row r="281" spans="1:8" x14ac:dyDescent="0.35">
      <c r="A281" t="s">
        <v>60</v>
      </c>
      <c r="B281" t="s">
        <v>889</v>
      </c>
      <c r="C281" t="s">
        <v>4313</v>
      </c>
      <c r="D281">
        <v>26000</v>
      </c>
      <c r="E281" t="s">
        <v>1720</v>
      </c>
      <c r="F281" t="s">
        <v>1724</v>
      </c>
      <c r="G281" t="s">
        <v>4425</v>
      </c>
      <c r="H281" t="s">
        <v>4314</v>
      </c>
    </row>
    <row r="282" spans="1:8" x14ac:dyDescent="0.35">
      <c r="A282" t="s">
        <v>60</v>
      </c>
      <c r="B282" t="s">
        <v>889</v>
      </c>
      <c r="C282" t="s">
        <v>4313</v>
      </c>
      <c r="D282">
        <v>1600</v>
      </c>
      <c r="E282" t="s">
        <v>1720</v>
      </c>
      <c r="F282" t="s">
        <v>1721</v>
      </c>
      <c r="G282" t="s">
        <v>4423</v>
      </c>
      <c r="H282" t="s">
        <v>4314</v>
      </c>
    </row>
    <row r="283" spans="1:8" x14ac:dyDescent="0.35">
      <c r="A283" t="s">
        <v>60</v>
      </c>
      <c r="B283" t="s">
        <v>889</v>
      </c>
      <c r="C283" t="s">
        <v>4313</v>
      </c>
      <c r="D283">
        <v>26000</v>
      </c>
      <c r="E283" t="s">
        <v>1720</v>
      </c>
      <c r="F283" t="s">
        <v>1724</v>
      </c>
      <c r="G283" t="s">
        <v>4423</v>
      </c>
      <c r="H283" t="s">
        <v>4314</v>
      </c>
    </row>
    <row r="284" spans="1:8" x14ac:dyDescent="0.35">
      <c r="A284" t="s">
        <v>60</v>
      </c>
      <c r="B284" t="s">
        <v>889</v>
      </c>
      <c r="C284" t="s">
        <v>4313</v>
      </c>
      <c r="D284">
        <v>1600</v>
      </c>
      <c r="E284" t="s">
        <v>1720</v>
      </c>
      <c r="F284" t="s">
        <v>1721</v>
      </c>
      <c r="G284" t="s">
        <v>4424</v>
      </c>
      <c r="H284" t="s">
        <v>4314</v>
      </c>
    </row>
    <row r="285" spans="1:8" x14ac:dyDescent="0.35">
      <c r="A285" t="s">
        <v>60</v>
      </c>
      <c r="B285" t="s">
        <v>889</v>
      </c>
      <c r="C285" t="s">
        <v>4313</v>
      </c>
      <c r="D285">
        <v>26000</v>
      </c>
      <c r="E285" t="s">
        <v>1720</v>
      </c>
      <c r="F285" t="s">
        <v>1724</v>
      </c>
      <c r="G285" t="s">
        <v>4424</v>
      </c>
      <c r="H285" t="s">
        <v>4314</v>
      </c>
    </row>
    <row r="286" spans="1:8" x14ac:dyDescent="0.35">
      <c r="A286" t="s">
        <v>60</v>
      </c>
      <c r="B286" t="s">
        <v>889</v>
      </c>
      <c r="C286" t="s">
        <v>4244</v>
      </c>
      <c r="D286">
        <v>1600</v>
      </c>
      <c r="E286" t="s">
        <v>1720</v>
      </c>
      <c r="F286" t="s">
        <v>1721</v>
      </c>
      <c r="G286" t="s">
        <v>4406</v>
      </c>
      <c r="H286" t="s">
        <v>4245</v>
      </c>
    </row>
    <row r="287" spans="1:8" x14ac:dyDescent="0.35">
      <c r="A287" t="s">
        <v>60</v>
      </c>
      <c r="B287" t="s">
        <v>889</v>
      </c>
      <c r="C287" t="s">
        <v>4323</v>
      </c>
      <c r="D287">
        <v>26000</v>
      </c>
      <c r="E287" t="s">
        <v>1720</v>
      </c>
      <c r="F287" t="s">
        <v>1724</v>
      </c>
      <c r="G287" t="s">
        <v>4428</v>
      </c>
      <c r="H287" t="s">
        <v>4324</v>
      </c>
    </row>
    <row r="288" spans="1:8" x14ac:dyDescent="0.35">
      <c r="A288" t="s">
        <v>60</v>
      </c>
      <c r="B288" t="s">
        <v>889</v>
      </c>
      <c r="C288" t="s">
        <v>4323</v>
      </c>
      <c r="D288">
        <v>1600</v>
      </c>
      <c r="E288" t="s">
        <v>1720</v>
      </c>
      <c r="F288" t="s">
        <v>1721</v>
      </c>
      <c r="G288" t="s">
        <v>4428</v>
      </c>
      <c r="H288" t="s">
        <v>4324</v>
      </c>
    </row>
    <row r="289" spans="1:8" x14ac:dyDescent="0.35">
      <c r="A289" t="s">
        <v>60</v>
      </c>
      <c r="B289" t="s">
        <v>889</v>
      </c>
      <c r="C289" t="s">
        <v>4323</v>
      </c>
      <c r="D289">
        <v>26000</v>
      </c>
      <c r="E289" t="s">
        <v>1720</v>
      </c>
      <c r="F289" t="s">
        <v>1724</v>
      </c>
      <c r="G289" t="s">
        <v>4429</v>
      </c>
      <c r="H289" t="s">
        <v>4324</v>
      </c>
    </row>
    <row r="290" spans="1:8" x14ac:dyDescent="0.35">
      <c r="A290" t="s">
        <v>60</v>
      </c>
      <c r="B290" t="s">
        <v>889</v>
      </c>
      <c r="C290" t="s">
        <v>4323</v>
      </c>
      <c r="D290">
        <v>1600</v>
      </c>
      <c r="E290" t="s">
        <v>1720</v>
      </c>
      <c r="F290" t="s">
        <v>1721</v>
      </c>
      <c r="G290" t="s">
        <v>4429</v>
      </c>
      <c r="H290" t="s">
        <v>4324</v>
      </c>
    </row>
    <row r="291" spans="1:8" x14ac:dyDescent="0.35">
      <c r="A291" t="s">
        <v>60</v>
      </c>
      <c r="B291" t="s">
        <v>889</v>
      </c>
      <c r="C291" t="s">
        <v>4323</v>
      </c>
      <c r="D291">
        <v>26000</v>
      </c>
      <c r="E291" t="s">
        <v>1720</v>
      </c>
      <c r="F291" t="s">
        <v>1724</v>
      </c>
      <c r="G291" t="s">
        <v>4430</v>
      </c>
      <c r="H291" t="s">
        <v>4324</v>
      </c>
    </row>
    <row r="292" spans="1:8" x14ac:dyDescent="0.35">
      <c r="A292" t="s">
        <v>60</v>
      </c>
      <c r="B292" t="s">
        <v>889</v>
      </c>
      <c r="C292" t="s">
        <v>4323</v>
      </c>
      <c r="D292">
        <v>1600</v>
      </c>
      <c r="E292" t="s">
        <v>1720</v>
      </c>
      <c r="F292" t="s">
        <v>1721</v>
      </c>
      <c r="G292" t="s">
        <v>4430</v>
      </c>
      <c r="H292" t="s">
        <v>4324</v>
      </c>
    </row>
    <row r="293" spans="1:8" x14ac:dyDescent="0.35">
      <c r="A293" t="s">
        <v>60</v>
      </c>
      <c r="B293" t="s">
        <v>889</v>
      </c>
      <c r="C293" t="s">
        <v>4258</v>
      </c>
      <c r="D293">
        <v>26000</v>
      </c>
      <c r="E293" t="s">
        <v>1720</v>
      </c>
      <c r="F293" t="s">
        <v>1724</v>
      </c>
      <c r="G293" t="s">
        <v>4408</v>
      </c>
      <c r="H293" t="s">
        <v>4259</v>
      </c>
    </row>
    <row r="294" spans="1:8" x14ac:dyDescent="0.35">
      <c r="A294" t="s">
        <v>60</v>
      </c>
      <c r="B294" t="s">
        <v>889</v>
      </c>
      <c r="C294" t="s">
        <v>4258</v>
      </c>
      <c r="D294">
        <v>1600</v>
      </c>
      <c r="E294" t="s">
        <v>1720</v>
      </c>
      <c r="F294" t="s">
        <v>1721</v>
      </c>
      <c r="G294" t="s">
        <v>4408</v>
      </c>
      <c r="H294" t="s">
        <v>4259</v>
      </c>
    </row>
    <row r="295" spans="1:8" x14ac:dyDescent="0.35">
      <c r="A295" t="s">
        <v>94</v>
      </c>
      <c r="B295" t="s">
        <v>923</v>
      </c>
      <c r="C295" t="s">
        <v>4187</v>
      </c>
      <c r="D295">
        <v>117000</v>
      </c>
      <c r="E295" t="s">
        <v>1720</v>
      </c>
      <c r="F295" t="s">
        <v>1724</v>
      </c>
      <c r="G295" t="s">
        <v>4384</v>
      </c>
      <c r="H295" t="s">
        <v>4188</v>
      </c>
    </row>
    <row r="296" spans="1:8" x14ac:dyDescent="0.35">
      <c r="A296" t="s">
        <v>94</v>
      </c>
      <c r="B296" t="s">
        <v>923</v>
      </c>
      <c r="C296" t="s">
        <v>4185</v>
      </c>
      <c r="D296">
        <v>130</v>
      </c>
      <c r="E296" t="s">
        <v>1720</v>
      </c>
      <c r="F296" t="s">
        <v>1721</v>
      </c>
      <c r="G296" t="s">
        <v>4383</v>
      </c>
      <c r="H296" t="s">
        <v>4186</v>
      </c>
    </row>
    <row r="297" spans="1:8" x14ac:dyDescent="0.35">
      <c r="A297" t="s">
        <v>94</v>
      </c>
      <c r="B297" t="s">
        <v>923</v>
      </c>
      <c r="C297" t="s">
        <v>4185</v>
      </c>
      <c r="D297">
        <v>5850</v>
      </c>
      <c r="E297" t="s">
        <v>1720</v>
      </c>
      <c r="F297" t="s">
        <v>1724</v>
      </c>
      <c r="G297" t="s">
        <v>4383</v>
      </c>
      <c r="H297" t="s">
        <v>4186</v>
      </c>
    </row>
    <row r="298" spans="1:8" x14ac:dyDescent="0.35">
      <c r="A298" t="s">
        <v>94</v>
      </c>
      <c r="B298" t="s">
        <v>923</v>
      </c>
      <c r="C298" t="s">
        <v>4197</v>
      </c>
      <c r="D298">
        <v>2100</v>
      </c>
      <c r="E298" t="s">
        <v>1720</v>
      </c>
      <c r="F298" t="s">
        <v>1721</v>
      </c>
      <c r="G298" t="s">
        <v>4383</v>
      </c>
      <c r="H298" t="s">
        <v>4198</v>
      </c>
    </row>
    <row r="299" spans="1:8" x14ac:dyDescent="0.35">
      <c r="A299" t="s">
        <v>94</v>
      </c>
      <c r="B299" t="s">
        <v>923</v>
      </c>
      <c r="C299" t="s">
        <v>4197</v>
      </c>
      <c r="D299">
        <v>10000</v>
      </c>
      <c r="E299" t="s">
        <v>1720</v>
      </c>
      <c r="F299" t="s">
        <v>1724</v>
      </c>
      <c r="G299" t="s">
        <v>4383</v>
      </c>
      <c r="H299" t="s">
        <v>4198</v>
      </c>
    </row>
    <row r="300" spans="1:8" x14ac:dyDescent="0.35">
      <c r="A300" t="s">
        <v>94</v>
      </c>
      <c r="B300" t="s">
        <v>923</v>
      </c>
      <c r="C300" t="s">
        <v>4195</v>
      </c>
      <c r="D300">
        <v>1000</v>
      </c>
      <c r="E300" t="s">
        <v>1720</v>
      </c>
      <c r="F300" t="s">
        <v>1721</v>
      </c>
      <c r="G300" t="s">
        <v>4387</v>
      </c>
      <c r="H300" t="s">
        <v>4196</v>
      </c>
    </row>
    <row r="301" spans="1:8" x14ac:dyDescent="0.35">
      <c r="A301" t="s">
        <v>94</v>
      </c>
      <c r="B301" t="s">
        <v>923</v>
      </c>
      <c r="C301" t="s">
        <v>4213</v>
      </c>
      <c r="D301">
        <v>18000</v>
      </c>
      <c r="E301" t="s">
        <v>1720</v>
      </c>
      <c r="F301" t="s">
        <v>1721</v>
      </c>
      <c r="G301" t="s">
        <v>4393</v>
      </c>
      <c r="H301" t="s">
        <v>4214</v>
      </c>
    </row>
    <row r="302" spans="1:8" x14ac:dyDescent="0.35">
      <c r="A302" t="s">
        <v>94</v>
      </c>
      <c r="B302" t="s">
        <v>923</v>
      </c>
      <c r="C302" t="s">
        <v>4213</v>
      </c>
      <c r="D302">
        <v>117000</v>
      </c>
      <c r="E302" t="s">
        <v>1720</v>
      </c>
      <c r="F302" t="s">
        <v>1724</v>
      </c>
      <c r="G302" t="s">
        <v>4393</v>
      </c>
      <c r="H302" t="s">
        <v>4214</v>
      </c>
    </row>
    <row r="303" spans="1:8" x14ac:dyDescent="0.35">
      <c r="A303" t="s">
        <v>94</v>
      </c>
      <c r="B303" t="s">
        <v>923</v>
      </c>
      <c r="C303" t="s">
        <v>4313</v>
      </c>
      <c r="D303">
        <v>43000</v>
      </c>
      <c r="E303" t="s">
        <v>1720</v>
      </c>
      <c r="F303" t="s">
        <v>1721</v>
      </c>
      <c r="G303" t="s">
        <v>4423</v>
      </c>
      <c r="H303" t="s">
        <v>4314</v>
      </c>
    </row>
    <row r="304" spans="1:8" x14ac:dyDescent="0.35">
      <c r="A304" t="s">
        <v>94</v>
      </c>
      <c r="B304" t="s">
        <v>923</v>
      </c>
      <c r="C304" t="s">
        <v>4313</v>
      </c>
      <c r="D304">
        <v>59000</v>
      </c>
      <c r="E304" t="s">
        <v>1720</v>
      </c>
      <c r="F304" t="s">
        <v>1724</v>
      </c>
      <c r="G304" t="s">
        <v>4423</v>
      </c>
      <c r="H304" t="s">
        <v>4314</v>
      </c>
    </row>
    <row r="305" spans="1:8" x14ac:dyDescent="0.35">
      <c r="A305" t="s">
        <v>94</v>
      </c>
      <c r="B305" t="s">
        <v>923</v>
      </c>
      <c r="C305" t="s">
        <v>4313</v>
      </c>
      <c r="D305">
        <v>43000</v>
      </c>
      <c r="E305" t="s">
        <v>1720</v>
      </c>
      <c r="F305" t="s">
        <v>1721</v>
      </c>
      <c r="G305" t="s">
        <v>4424</v>
      </c>
      <c r="H305" t="s">
        <v>4314</v>
      </c>
    </row>
    <row r="306" spans="1:8" x14ac:dyDescent="0.35">
      <c r="A306" t="s">
        <v>94</v>
      </c>
      <c r="B306" t="s">
        <v>923</v>
      </c>
      <c r="C306" t="s">
        <v>4313</v>
      </c>
      <c r="D306">
        <v>59000</v>
      </c>
      <c r="E306" t="s">
        <v>1720</v>
      </c>
      <c r="F306" t="s">
        <v>1724</v>
      </c>
      <c r="G306" t="s">
        <v>4424</v>
      </c>
      <c r="H306" t="s">
        <v>4314</v>
      </c>
    </row>
    <row r="307" spans="1:8" x14ac:dyDescent="0.35">
      <c r="A307" t="s">
        <v>94</v>
      </c>
      <c r="B307" t="s">
        <v>923</v>
      </c>
      <c r="C307" t="s">
        <v>4313</v>
      </c>
      <c r="D307">
        <v>43000</v>
      </c>
      <c r="E307" t="s">
        <v>1720</v>
      </c>
      <c r="F307" t="s">
        <v>1721</v>
      </c>
      <c r="G307" t="s">
        <v>4425</v>
      </c>
      <c r="H307" t="s">
        <v>4314</v>
      </c>
    </row>
    <row r="308" spans="1:8" x14ac:dyDescent="0.35">
      <c r="A308" t="s">
        <v>94</v>
      </c>
      <c r="B308" t="s">
        <v>923</v>
      </c>
      <c r="C308" t="s">
        <v>4313</v>
      </c>
      <c r="D308">
        <v>59000</v>
      </c>
      <c r="E308" t="s">
        <v>1720</v>
      </c>
      <c r="F308" t="s">
        <v>1724</v>
      </c>
      <c r="G308" t="s">
        <v>4425</v>
      </c>
      <c r="H308" t="s">
        <v>4314</v>
      </c>
    </row>
    <row r="309" spans="1:8" x14ac:dyDescent="0.35">
      <c r="A309" t="s">
        <v>94</v>
      </c>
      <c r="B309" t="s">
        <v>923</v>
      </c>
      <c r="C309" t="s">
        <v>4300</v>
      </c>
      <c r="D309">
        <v>39000</v>
      </c>
      <c r="E309" t="s">
        <v>1720</v>
      </c>
      <c r="F309" t="s">
        <v>1724</v>
      </c>
      <c r="G309" t="s">
        <v>4389</v>
      </c>
      <c r="H309" t="s">
        <v>4301</v>
      </c>
    </row>
    <row r="310" spans="1:8" x14ac:dyDescent="0.35">
      <c r="A310" t="s">
        <v>94</v>
      </c>
      <c r="B310" t="s">
        <v>923</v>
      </c>
      <c r="C310" t="s">
        <v>4223</v>
      </c>
      <c r="D310">
        <v>117000</v>
      </c>
      <c r="E310" t="s">
        <v>1720</v>
      </c>
      <c r="F310" t="s">
        <v>1724</v>
      </c>
      <c r="G310" t="s">
        <v>4399</v>
      </c>
      <c r="H310" t="s">
        <v>4224</v>
      </c>
    </row>
    <row r="311" spans="1:8" x14ac:dyDescent="0.35">
      <c r="A311" t="s">
        <v>94</v>
      </c>
      <c r="B311" t="s">
        <v>923</v>
      </c>
      <c r="C311" t="s">
        <v>4323</v>
      </c>
      <c r="D311">
        <v>59000</v>
      </c>
      <c r="E311" t="s">
        <v>1720</v>
      </c>
      <c r="F311" t="s">
        <v>1724</v>
      </c>
      <c r="G311" t="s">
        <v>4428</v>
      </c>
      <c r="H311" t="s">
        <v>4324</v>
      </c>
    </row>
    <row r="312" spans="1:8" x14ac:dyDescent="0.35">
      <c r="A312" t="s">
        <v>94</v>
      </c>
      <c r="B312" t="s">
        <v>923</v>
      </c>
      <c r="C312" t="s">
        <v>4323</v>
      </c>
      <c r="D312">
        <v>43000</v>
      </c>
      <c r="E312" t="s">
        <v>1720</v>
      </c>
      <c r="F312" t="s">
        <v>1721</v>
      </c>
      <c r="G312" t="s">
        <v>4428</v>
      </c>
      <c r="H312" t="s">
        <v>4324</v>
      </c>
    </row>
    <row r="313" spans="1:8" x14ac:dyDescent="0.35">
      <c r="A313" t="s">
        <v>94</v>
      </c>
      <c r="B313" t="s">
        <v>923</v>
      </c>
      <c r="C313" t="s">
        <v>4323</v>
      </c>
      <c r="D313">
        <v>59000</v>
      </c>
      <c r="E313" t="s">
        <v>1720</v>
      </c>
      <c r="F313" t="s">
        <v>1724</v>
      </c>
      <c r="G313" t="s">
        <v>4429</v>
      </c>
      <c r="H313" t="s">
        <v>4324</v>
      </c>
    </row>
    <row r="314" spans="1:8" x14ac:dyDescent="0.35">
      <c r="A314" t="s">
        <v>94</v>
      </c>
      <c r="B314" t="s">
        <v>923</v>
      </c>
      <c r="C314" t="s">
        <v>4323</v>
      </c>
      <c r="D314">
        <v>43000</v>
      </c>
      <c r="E314" t="s">
        <v>1720</v>
      </c>
      <c r="F314" t="s">
        <v>1721</v>
      </c>
      <c r="G314" t="s">
        <v>4429</v>
      </c>
      <c r="H314" t="s">
        <v>4324</v>
      </c>
    </row>
    <row r="315" spans="1:8" x14ac:dyDescent="0.35">
      <c r="A315" t="s">
        <v>94</v>
      </c>
      <c r="B315" t="s">
        <v>923</v>
      </c>
      <c r="C315" t="s">
        <v>4323</v>
      </c>
      <c r="D315">
        <v>59000</v>
      </c>
      <c r="E315" t="s">
        <v>1720</v>
      </c>
      <c r="F315" t="s">
        <v>1724</v>
      </c>
      <c r="G315" t="s">
        <v>4430</v>
      </c>
      <c r="H315" t="s">
        <v>4324</v>
      </c>
    </row>
    <row r="316" spans="1:8" x14ac:dyDescent="0.35">
      <c r="A316" t="s">
        <v>94</v>
      </c>
      <c r="B316" t="s">
        <v>923</v>
      </c>
      <c r="C316" t="s">
        <v>4323</v>
      </c>
      <c r="D316">
        <v>43000</v>
      </c>
      <c r="E316" t="s">
        <v>1720</v>
      </c>
      <c r="F316" t="s">
        <v>1721</v>
      </c>
      <c r="G316" t="s">
        <v>4430</v>
      </c>
      <c r="H316" t="s">
        <v>4324</v>
      </c>
    </row>
    <row r="317" spans="1:8" x14ac:dyDescent="0.35">
      <c r="A317" t="s">
        <v>94</v>
      </c>
      <c r="B317" t="s">
        <v>923</v>
      </c>
      <c r="C317" t="s">
        <v>4258</v>
      </c>
      <c r="D317">
        <v>59000</v>
      </c>
      <c r="E317" t="s">
        <v>1720</v>
      </c>
      <c r="F317" t="s">
        <v>1724</v>
      </c>
      <c r="G317" t="s">
        <v>4408</v>
      </c>
      <c r="H317" t="s">
        <v>4259</v>
      </c>
    </row>
    <row r="318" spans="1:8" x14ac:dyDescent="0.35">
      <c r="A318" t="s">
        <v>94</v>
      </c>
      <c r="B318" t="s">
        <v>923</v>
      </c>
      <c r="C318" t="s">
        <v>4258</v>
      </c>
      <c r="D318">
        <v>43000</v>
      </c>
      <c r="E318" t="s">
        <v>1720</v>
      </c>
      <c r="F318" t="s">
        <v>1721</v>
      </c>
      <c r="G318" t="s">
        <v>4408</v>
      </c>
      <c r="H318" t="s">
        <v>4259</v>
      </c>
    </row>
    <row r="319" spans="1:8" x14ac:dyDescent="0.35">
      <c r="A319" t="s">
        <v>115</v>
      </c>
      <c r="B319" t="s">
        <v>944</v>
      </c>
      <c r="C319" t="s">
        <v>4181</v>
      </c>
      <c r="D319">
        <v>3.8E-3</v>
      </c>
      <c r="E319" t="s">
        <v>1720</v>
      </c>
      <c r="F319" t="s">
        <v>1721</v>
      </c>
      <c r="G319" t="s">
        <v>4381</v>
      </c>
      <c r="H319" t="s">
        <v>4182</v>
      </c>
    </row>
    <row r="320" spans="1:8" x14ac:dyDescent="0.35">
      <c r="A320" t="s">
        <v>115</v>
      </c>
      <c r="B320" t="s">
        <v>944</v>
      </c>
      <c r="C320" t="s">
        <v>4181</v>
      </c>
      <c r="D320">
        <v>0.26</v>
      </c>
      <c r="E320" t="s">
        <v>1720</v>
      </c>
      <c r="F320" t="s">
        <v>1724</v>
      </c>
      <c r="G320" t="s">
        <v>4381</v>
      </c>
      <c r="H320" t="s">
        <v>4182</v>
      </c>
    </row>
    <row r="321" spans="1:8" x14ac:dyDescent="0.35">
      <c r="A321" t="s">
        <v>115</v>
      </c>
      <c r="B321" t="s">
        <v>944</v>
      </c>
      <c r="C321" t="s">
        <v>4179</v>
      </c>
      <c r="D321">
        <v>3.8E-3</v>
      </c>
      <c r="E321" t="s">
        <v>1720</v>
      </c>
      <c r="F321" t="s">
        <v>1721</v>
      </c>
      <c r="G321" t="s">
        <v>4380</v>
      </c>
      <c r="H321" t="s">
        <v>4180</v>
      </c>
    </row>
    <row r="322" spans="1:8" x14ac:dyDescent="0.35">
      <c r="A322" t="s">
        <v>115</v>
      </c>
      <c r="B322" t="s">
        <v>944</v>
      </c>
      <c r="C322" t="s">
        <v>4179</v>
      </c>
      <c r="D322">
        <v>0.52</v>
      </c>
      <c r="E322" t="s">
        <v>1720</v>
      </c>
      <c r="F322" t="s">
        <v>1724</v>
      </c>
      <c r="G322" t="s">
        <v>4380</v>
      </c>
      <c r="H322" t="s">
        <v>4180</v>
      </c>
    </row>
    <row r="323" spans="1:8" x14ac:dyDescent="0.35">
      <c r="A323" t="s">
        <v>115</v>
      </c>
      <c r="B323" t="s">
        <v>944</v>
      </c>
      <c r="C323" t="s">
        <v>4183</v>
      </c>
      <c r="D323">
        <v>3.8E-3</v>
      </c>
      <c r="E323" t="s">
        <v>1720</v>
      </c>
      <c r="F323" t="s">
        <v>1721</v>
      </c>
      <c r="G323" t="s">
        <v>4382</v>
      </c>
      <c r="H323" t="s">
        <v>4184</v>
      </c>
    </row>
    <row r="324" spans="1:8" x14ac:dyDescent="0.35">
      <c r="A324" t="s">
        <v>115</v>
      </c>
      <c r="B324" t="s">
        <v>944</v>
      </c>
      <c r="C324" t="s">
        <v>4183</v>
      </c>
      <c r="D324">
        <v>0.52</v>
      </c>
      <c r="E324" t="s">
        <v>1720</v>
      </c>
      <c r="F324" t="s">
        <v>1724</v>
      </c>
      <c r="G324" t="s">
        <v>4382</v>
      </c>
      <c r="H324" t="s">
        <v>4184</v>
      </c>
    </row>
    <row r="325" spans="1:8" x14ac:dyDescent="0.35">
      <c r="A325" t="s">
        <v>115</v>
      </c>
      <c r="B325" t="s">
        <v>944</v>
      </c>
      <c r="C325" t="s">
        <v>4187</v>
      </c>
      <c r="D325">
        <v>3.8E-3</v>
      </c>
      <c r="E325" t="s">
        <v>1720</v>
      </c>
      <c r="F325" t="s">
        <v>1721</v>
      </c>
      <c r="G325" t="s">
        <v>4384</v>
      </c>
      <c r="H325" t="s">
        <v>4188</v>
      </c>
    </row>
    <row r="326" spans="1:8" x14ac:dyDescent="0.35">
      <c r="A326" t="s">
        <v>115</v>
      </c>
      <c r="B326" t="s">
        <v>944</v>
      </c>
      <c r="C326" t="s">
        <v>4187</v>
      </c>
      <c r="D326">
        <v>0.52</v>
      </c>
      <c r="E326" t="s">
        <v>1720</v>
      </c>
      <c r="F326" t="s">
        <v>1724</v>
      </c>
      <c r="G326" t="s">
        <v>4384</v>
      </c>
      <c r="H326" t="s">
        <v>4188</v>
      </c>
    </row>
    <row r="327" spans="1:8" x14ac:dyDescent="0.35">
      <c r="A327" t="s">
        <v>115</v>
      </c>
      <c r="B327" t="s">
        <v>944</v>
      </c>
      <c r="C327" t="s">
        <v>4189</v>
      </c>
      <c r="D327">
        <v>3.8E-3</v>
      </c>
      <c r="E327" t="s">
        <v>1720</v>
      </c>
      <c r="F327" t="s">
        <v>1721</v>
      </c>
      <c r="G327" t="s">
        <v>4385</v>
      </c>
      <c r="H327" t="s">
        <v>4190</v>
      </c>
    </row>
    <row r="328" spans="1:8" x14ac:dyDescent="0.35">
      <c r="A328" t="s">
        <v>115</v>
      </c>
      <c r="B328" t="s">
        <v>944</v>
      </c>
      <c r="C328" t="s">
        <v>4189</v>
      </c>
      <c r="D328">
        <v>0.52</v>
      </c>
      <c r="E328" t="s">
        <v>1720</v>
      </c>
      <c r="F328" t="s">
        <v>1724</v>
      </c>
      <c r="G328" t="s">
        <v>4385</v>
      </c>
      <c r="H328" t="s">
        <v>4190</v>
      </c>
    </row>
    <row r="329" spans="1:8" x14ac:dyDescent="0.35">
      <c r="A329" t="s">
        <v>115</v>
      </c>
      <c r="B329" t="s">
        <v>944</v>
      </c>
      <c r="C329" t="s">
        <v>4185</v>
      </c>
      <c r="D329">
        <v>3.8E-3</v>
      </c>
      <c r="E329" t="s">
        <v>1720</v>
      </c>
      <c r="F329" t="s">
        <v>1721</v>
      </c>
      <c r="G329" t="s">
        <v>4383</v>
      </c>
      <c r="H329" t="s">
        <v>4186</v>
      </c>
    </row>
    <row r="330" spans="1:8" x14ac:dyDescent="0.35">
      <c r="A330" t="s">
        <v>115</v>
      </c>
      <c r="B330" t="s">
        <v>944</v>
      </c>
      <c r="C330" t="s">
        <v>4185</v>
      </c>
      <c r="D330">
        <v>0.52</v>
      </c>
      <c r="E330" t="s">
        <v>1720</v>
      </c>
      <c r="F330" t="s">
        <v>1724</v>
      </c>
      <c r="G330" t="s">
        <v>4383</v>
      </c>
      <c r="H330" t="s">
        <v>4186</v>
      </c>
    </row>
    <row r="331" spans="1:8" x14ac:dyDescent="0.35">
      <c r="A331" t="s">
        <v>115</v>
      </c>
      <c r="B331" t="s">
        <v>944</v>
      </c>
      <c r="C331" t="s">
        <v>4307</v>
      </c>
      <c r="D331">
        <v>3.8E-3</v>
      </c>
      <c r="E331" t="s">
        <v>1720</v>
      </c>
      <c r="F331" t="s">
        <v>1721</v>
      </c>
      <c r="G331" t="s">
        <v>4431</v>
      </c>
      <c r="H331" t="s">
        <v>4325</v>
      </c>
    </row>
    <row r="332" spans="1:8" x14ac:dyDescent="0.35">
      <c r="A332" t="s">
        <v>115</v>
      </c>
      <c r="B332" t="s">
        <v>944</v>
      </c>
      <c r="C332" t="s">
        <v>4307</v>
      </c>
      <c r="D332">
        <v>0.52</v>
      </c>
      <c r="E332" t="s">
        <v>1720</v>
      </c>
      <c r="F332" t="s">
        <v>1724</v>
      </c>
      <c r="G332" t="s">
        <v>4431</v>
      </c>
      <c r="H332" t="s">
        <v>4325</v>
      </c>
    </row>
    <row r="333" spans="1:8" x14ac:dyDescent="0.35">
      <c r="A333" t="s">
        <v>115</v>
      </c>
      <c r="B333" t="s">
        <v>944</v>
      </c>
      <c r="C333" t="s">
        <v>4307</v>
      </c>
      <c r="D333">
        <v>3.8E-3</v>
      </c>
      <c r="E333" t="s">
        <v>1720</v>
      </c>
      <c r="F333" t="s">
        <v>1721</v>
      </c>
      <c r="G333" t="s">
        <v>4432</v>
      </c>
      <c r="H333" t="s">
        <v>4308</v>
      </c>
    </row>
    <row r="334" spans="1:8" x14ac:dyDescent="0.35">
      <c r="A334" t="s">
        <v>115</v>
      </c>
      <c r="B334" t="s">
        <v>944</v>
      </c>
      <c r="C334" t="s">
        <v>4307</v>
      </c>
      <c r="D334">
        <v>0.52</v>
      </c>
      <c r="E334" t="s">
        <v>1720</v>
      </c>
      <c r="F334" t="s">
        <v>1724</v>
      </c>
      <c r="G334" t="s">
        <v>4432</v>
      </c>
      <c r="H334" t="s">
        <v>4308</v>
      </c>
    </row>
    <row r="335" spans="1:8" x14ac:dyDescent="0.35">
      <c r="A335" t="s">
        <v>115</v>
      </c>
      <c r="B335" t="s">
        <v>944</v>
      </c>
      <c r="C335" t="s">
        <v>4191</v>
      </c>
      <c r="D335">
        <v>3.8E-3</v>
      </c>
      <c r="E335" t="s">
        <v>1720</v>
      </c>
      <c r="F335" t="s">
        <v>1721</v>
      </c>
      <c r="G335" t="s">
        <v>4383</v>
      </c>
      <c r="H335" t="s">
        <v>4192</v>
      </c>
    </row>
    <row r="336" spans="1:8" x14ac:dyDescent="0.35">
      <c r="A336" t="s">
        <v>115</v>
      </c>
      <c r="B336" t="s">
        <v>944</v>
      </c>
      <c r="C336" t="s">
        <v>4191</v>
      </c>
      <c r="D336">
        <v>0.52</v>
      </c>
      <c r="E336" t="s">
        <v>1720</v>
      </c>
      <c r="F336" t="s">
        <v>1724</v>
      </c>
      <c r="G336" t="s">
        <v>4383</v>
      </c>
      <c r="H336" t="s">
        <v>4192</v>
      </c>
    </row>
    <row r="337" spans="1:8" x14ac:dyDescent="0.35">
      <c r="A337" t="s">
        <v>115</v>
      </c>
      <c r="B337" t="s">
        <v>944</v>
      </c>
      <c r="C337" t="s">
        <v>4197</v>
      </c>
      <c r="D337">
        <v>3.8E-3</v>
      </c>
      <c r="E337" t="s">
        <v>1720</v>
      </c>
      <c r="F337" t="s">
        <v>1721</v>
      </c>
      <c r="G337" t="s">
        <v>4433</v>
      </c>
      <c r="H337" t="s">
        <v>4326</v>
      </c>
    </row>
    <row r="338" spans="1:8" x14ac:dyDescent="0.35">
      <c r="A338" t="s">
        <v>115</v>
      </c>
      <c r="B338" t="s">
        <v>944</v>
      </c>
      <c r="C338" t="s">
        <v>4197</v>
      </c>
      <c r="D338">
        <v>0.52</v>
      </c>
      <c r="E338" t="s">
        <v>1720</v>
      </c>
      <c r="F338" t="s">
        <v>1724</v>
      </c>
      <c r="G338" t="s">
        <v>4433</v>
      </c>
      <c r="H338" t="s">
        <v>4326</v>
      </c>
    </row>
    <row r="339" spans="1:8" x14ac:dyDescent="0.35">
      <c r="A339" t="s">
        <v>115</v>
      </c>
      <c r="B339" t="s">
        <v>944</v>
      </c>
      <c r="C339" t="s">
        <v>4327</v>
      </c>
      <c r="D339">
        <v>3.8</v>
      </c>
      <c r="E339" t="s">
        <v>1720</v>
      </c>
      <c r="F339" t="s">
        <v>1721</v>
      </c>
      <c r="G339" t="s">
        <v>4434</v>
      </c>
      <c r="H339" t="s">
        <v>4328</v>
      </c>
    </row>
    <row r="340" spans="1:8" x14ac:dyDescent="0.35">
      <c r="A340" t="s">
        <v>115</v>
      </c>
      <c r="B340" t="s">
        <v>944</v>
      </c>
      <c r="C340" t="s">
        <v>4327</v>
      </c>
      <c r="D340">
        <v>520</v>
      </c>
      <c r="E340" t="s">
        <v>1720</v>
      </c>
      <c r="F340" t="s">
        <v>1724</v>
      </c>
      <c r="G340" t="s">
        <v>4434</v>
      </c>
      <c r="H340" t="s">
        <v>4328</v>
      </c>
    </row>
    <row r="341" spans="1:8" x14ac:dyDescent="0.35">
      <c r="A341" t="s">
        <v>115</v>
      </c>
      <c r="B341" t="s">
        <v>944</v>
      </c>
      <c r="C341" t="s">
        <v>4327</v>
      </c>
      <c r="D341">
        <v>3.8</v>
      </c>
      <c r="E341" t="s">
        <v>1720</v>
      </c>
      <c r="F341" t="s">
        <v>1721</v>
      </c>
      <c r="G341" t="s">
        <v>4435</v>
      </c>
      <c r="H341" t="s">
        <v>4328</v>
      </c>
    </row>
    <row r="342" spans="1:8" x14ac:dyDescent="0.35">
      <c r="A342" t="s">
        <v>115</v>
      </c>
      <c r="B342" t="s">
        <v>944</v>
      </c>
      <c r="C342" t="s">
        <v>4327</v>
      </c>
      <c r="D342">
        <v>520</v>
      </c>
      <c r="E342" t="s">
        <v>1720</v>
      </c>
      <c r="F342" t="s">
        <v>1724</v>
      </c>
      <c r="G342" t="s">
        <v>4435</v>
      </c>
      <c r="H342" t="s">
        <v>4328</v>
      </c>
    </row>
    <row r="343" spans="1:8" x14ac:dyDescent="0.35">
      <c r="A343" t="s">
        <v>115</v>
      </c>
      <c r="B343" t="s">
        <v>944</v>
      </c>
      <c r="C343" t="s">
        <v>4197</v>
      </c>
      <c r="D343">
        <v>3.8E-3</v>
      </c>
      <c r="E343" t="s">
        <v>1720</v>
      </c>
      <c r="F343" t="s">
        <v>1721</v>
      </c>
      <c r="G343" t="s">
        <v>4383</v>
      </c>
      <c r="H343" t="s">
        <v>4198</v>
      </c>
    </row>
    <row r="344" spans="1:8" x14ac:dyDescent="0.35">
      <c r="A344" t="s">
        <v>115</v>
      </c>
      <c r="B344" t="s">
        <v>944</v>
      </c>
      <c r="C344" t="s">
        <v>4197</v>
      </c>
      <c r="D344">
        <v>0.52</v>
      </c>
      <c r="E344" t="s">
        <v>1720</v>
      </c>
      <c r="F344" t="s">
        <v>1724</v>
      </c>
      <c r="G344" t="s">
        <v>4383</v>
      </c>
      <c r="H344" t="s">
        <v>4198</v>
      </c>
    </row>
    <row r="345" spans="1:8" x14ac:dyDescent="0.35">
      <c r="A345" t="s">
        <v>115</v>
      </c>
      <c r="B345" t="s">
        <v>944</v>
      </c>
      <c r="C345" t="s">
        <v>4309</v>
      </c>
      <c r="D345">
        <v>3.8E-3</v>
      </c>
      <c r="E345" t="s">
        <v>1720</v>
      </c>
      <c r="F345" t="s">
        <v>1721</v>
      </c>
      <c r="G345" t="s">
        <v>4396</v>
      </c>
      <c r="H345" t="s">
        <v>4310</v>
      </c>
    </row>
    <row r="346" spans="1:8" x14ac:dyDescent="0.35">
      <c r="A346" t="s">
        <v>115</v>
      </c>
      <c r="B346" t="s">
        <v>944</v>
      </c>
      <c r="C346" t="s">
        <v>4309</v>
      </c>
      <c r="D346">
        <v>0.52</v>
      </c>
      <c r="E346" t="s">
        <v>1720</v>
      </c>
      <c r="F346" t="s">
        <v>1724</v>
      </c>
      <c r="G346" t="s">
        <v>4396</v>
      </c>
      <c r="H346" t="s">
        <v>4310</v>
      </c>
    </row>
    <row r="347" spans="1:8" x14ac:dyDescent="0.35">
      <c r="A347" t="s">
        <v>115</v>
      </c>
      <c r="B347" t="s">
        <v>944</v>
      </c>
      <c r="C347" t="s">
        <v>4193</v>
      </c>
      <c r="D347">
        <v>3.8E-3</v>
      </c>
      <c r="E347" t="s">
        <v>1720</v>
      </c>
      <c r="F347" t="s">
        <v>1721</v>
      </c>
      <c r="G347" t="s">
        <v>4386</v>
      </c>
      <c r="H347" t="s">
        <v>4194</v>
      </c>
    </row>
    <row r="348" spans="1:8" x14ac:dyDescent="0.35">
      <c r="A348" t="s">
        <v>115</v>
      </c>
      <c r="B348" t="s">
        <v>944</v>
      </c>
      <c r="C348" t="s">
        <v>4193</v>
      </c>
      <c r="D348">
        <v>0.52</v>
      </c>
      <c r="E348" t="s">
        <v>1720</v>
      </c>
      <c r="F348" t="s">
        <v>1724</v>
      </c>
      <c r="G348" t="s">
        <v>4386</v>
      </c>
      <c r="H348" t="s">
        <v>4194</v>
      </c>
    </row>
    <row r="349" spans="1:8" x14ac:dyDescent="0.35">
      <c r="A349" t="s">
        <v>115</v>
      </c>
      <c r="B349" t="s">
        <v>944</v>
      </c>
      <c r="C349" t="s">
        <v>4195</v>
      </c>
      <c r="D349">
        <v>3.8E-3</v>
      </c>
      <c r="E349" t="s">
        <v>1720</v>
      </c>
      <c r="F349" t="s">
        <v>1721</v>
      </c>
      <c r="G349" t="s">
        <v>4387</v>
      </c>
      <c r="H349" t="s">
        <v>4196</v>
      </c>
    </row>
    <row r="350" spans="1:8" x14ac:dyDescent="0.35">
      <c r="A350" t="s">
        <v>115</v>
      </c>
      <c r="B350" t="s">
        <v>944</v>
      </c>
      <c r="C350" t="s">
        <v>4195</v>
      </c>
      <c r="D350">
        <v>0.52</v>
      </c>
      <c r="E350" t="s">
        <v>1720</v>
      </c>
      <c r="F350" t="s">
        <v>1724</v>
      </c>
      <c r="G350" t="s">
        <v>4387</v>
      </c>
      <c r="H350" t="s">
        <v>4196</v>
      </c>
    </row>
    <row r="351" spans="1:8" x14ac:dyDescent="0.35">
      <c r="A351" t="s">
        <v>115</v>
      </c>
      <c r="B351" t="s">
        <v>944</v>
      </c>
      <c r="C351" t="s">
        <v>4199</v>
      </c>
      <c r="D351">
        <v>3.8E-3</v>
      </c>
      <c r="E351" t="s">
        <v>1720</v>
      </c>
      <c r="F351" t="s">
        <v>1721</v>
      </c>
      <c r="G351" t="s">
        <v>4388</v>
      </c>
      <c r="H351" t="s">
        <v>4200</v>
      </c>
    </row>
    <row r="352" spans="1:8" x14ac:dyDescent="0.35">
      <c r="A352" t="s">
        <v>115</v>
      </c>
      <c r="B352" t="s">
        <v>944</v>
      </c>
      <c r="C352" t="s">
        <v>4199</v>
      </c>
      <c r="D352">
        <v>0.52</v>
      </c>
      <c r="E352" t="s">
        <v>1720</v>
      </c>
      <c r="F352" t="s">
        <v>1724</v>
      </c>
      <c r="G352" t="s">
        <v>4388</v>
      </c>
      <c r="H352" t="s">
        <v>4200</v>
      </c>
    </row>
    <row r="353" spans="1:8" x14ac:dyDescent="0.35">
      <c r="A353" t="s">
        <v>115</v>
      </c>
      <c r="B353" t="s">
        <v>944</v>
      </c>
      <c r="C353" t="s">
        <v>4205</v>
      </c>
      <c r="D353">
        <v>3.8E-3</v>
      </c>
      <c r="E353" t="s">
        <v>1720</v>
      </c>
      <c r="F353" t="s">
        <v>1721</v>
      </c>
      <c r="G353" t="s">
        <v>4391</v>
      </c>
      <c r="H353" t="s">
        <v>4206</v>
      </c>
    </row>
    <row r="354" spans="1:8" x14ac:dyDescent="0.35">
      <c r="A354" t="s">
        <v>115</v>
      </c>
      <c r="B354" t="s">
        <v>944</v>
      </c>
      <c r="C354" t="s">
        <v>4205</v>
      </c>
      <c r="D354">
        <v>0.52</v>
      </c>
      <c r="E354" t="s">
        <v>1720</v>
      </c>
      <c r="F354" t="s">
        <v>1724</v>
      </c>
      <c r="G354" t="s">
        <v>4391</v>
      </c>
      <c r="H354" t="s">
        <v>4206</v>
      </c>
    </row>
    <row r="355" spans="1:8" x14ac:dyDescent="0.35">
      <c r="A355" t="s">
        <v>115</v>
      </c>
      <c r="B355" t="s">
        <v>944</v>
      </c>
      <c r="C355" t="s">
        <v>4207</v>
      </c>
      <c r="D355">
        <v>3.8E-3</v>
      </c>
      <c r="E355" t="s">
        <v>1720</v>
      </c>
      <c r="F355" t="s">
        <v>1721</v>
      </c>
      <c r="G355" t="s">
        <v>4383</v>
      </c>
      <c r="H355" t="s">
        <v>4208</v>
      </c>
    </row>
    <row r="356" spans="1:8" x14ac:dyDescent="0.35">
      <c r="A356" t="s">
        <v>115</v>
      </c>
      <c r="B356" t="s">
        <v>944</v>
      </c>
      <c r="C356" t="s">
        <v>4207</v>
      </c>
      <c r="D356">
        <v>0.52</v>
      </c>
      <c r="E356" t="s">
        <v>1720</v>
      </c>
      <c r="F356" t="s">
        <v>1724</v>
      </c>
      <c r="G356" t="s">
        <v>4383</v>
      </c>
      <c r="H356" t="s">
        <v>4208</v>
      </c>
    </row>
    <row r="357" spans="1:8" x14ac:dyDescent="0.35">
      <c r="A357" t="s">
        <v>115</v>
      </c>
      <c r="B357" t="s">
        <v>944</v>
      </c>
      <c r="C357" t="s">
        <v>4203</v>
      </c>
      <c r="D357">
        <v>0.52</v>
      </c>
      <c r="E357" t="s">
        <v>1720</v>
      </c>
      <c r="F357" t="s">
        <v>1724</v>
      </c>
      <c r="G357" t="s">
        <v>4390</v>
      </c>
      <c r="H357" t="s">
        <v>4204</v>
      </c>
    </row>
    <row r="358" spans="1:8" x14ac:dyDescent="0.35">
      <c r="A358" t="s">
        <v>115</v>
      </c>
      <c r="B358" t="s">
        <v>944</v>
      </c>
      <c r="C358" t="s">
        <v>4203</v>
      </c>
      <c r="D358">
        <v>3.8E-3</v>
      </c>
      <c r="E358" t="s">
        <v>1720</v>
      </c>
      <c r="F358" t="s">
        <v>1721</v>
      </c>
      <c r="G358" t="s">
        <v>4390</v>
      </c>
      <c r="H358" t="s">
        <v>4204</v>
      </c>
    </row>
    <row r="359" spans="1:8" x14ac:dyDescent="0.35">
      <c r="A359" t="s">
        <v>115</v>
      </c>
      <c r="B359" t="s">
        <v>944</v>
      </c>
      <c r="C359" t="s">
        <v>4309</v>
      </c>
      <c r="D359">
        <v>3.8E-3</v>
      </c>
      <c r="E359" t="s">
        <v>1720</v>
      </c>
      <c r="F359" t="s">
        <v>1721</v>
      </c>
      <c r="G359" t="s">
        <v>4436</v>
      </c>
      <c r="H359" t="s">
        <v>4329</v>
      </c>
    </row>
    <row r="360" spans="1:8" x14ac:dyDescent="0.35">
      <c r="A360" t="s">
        <v>115</v>
      </c>
      <c r="B360" t="s">
        <v>944</v>
      </c>
      <c r="C360" t="s">
        <v>4309</v>
      </c>
      <c r="D360">
        <v>0.52</v>
      </c>
      <c r="E360" t="s">
        <v>1720</v>
      </c>
      <c r="F360" t="s">
        <v>1724</v>
      </c>
      <c r="G360" t="s">
        <v>4436</v>
      </c>
      <c r="H360" t="s">
        <v>4329</v>
      </c>
    </row>
    <row r="361" spans="1:8" x14ac:dyDescent="0.35">
      <c r="A361" t="s">
        <v>115</v>
      </c>
      <c r="B361" t="s">
        <v>944</v>
      </c>
      <c r="C361" t="s">
        <v>4201</v>
      </c>
      <c r="D361">
        <v>3.8E-3</v>
      </c>
      <c r="E361" t="s">
        <v>1720</v>
      </c>
      <c r="F361" t="s">
        <v>1721</v>
      </c>
      <c r="G361" t="s">
        <v>4389</v>
      </c>
      <c r="H361" t="s">
        <v>4202</v>
      </c>
    </row>
    <row r="362" spans="1:8" x14ac:dyDescent="0.35">
      <c r="A362" t="s">
        <v>115</v>
      </c>
      <c r="B362" t="s">
        <v>944</v>
      </c>
      <c r="C362" t="s">
        <v>4201</v>
      </c>
      <c r="D362">
        <v>0.52</v>
      </c>
      <c r="E362" t="s">
        <v>1720</v>
      </c>
      <c r="F362" t="s">
        <v>1724</v>
      </c>
      <c r="G362" t="s">
        <v>4389</v>
      </c>
      <c r="H362" t="s">
        <v>4202</v>
      </c>
    </row>
    <row r="363" spans="1:8" x14ac:dyDescent="0.35">
      <c r="A363" t="s">
        <v>115</v>
      </c>
      <c r="B363" t="s">
        <v>944</v>
      </c>
      <c r="C363" t="s">
        <v>4311</v>
      </c>
      <c r="D363">
        <v>4.0000000000000001E-3</v>
      </c>
      <c r="E363" t="s">
        <v>1720</v>
      </c>
      <c r="G363" t="s">
        <v>4387</v>
      </c>
      <c r="H363" t="s">
        <v>4312</v>
      </c>
    </row>
    <row r="364" spans="1:8" x14ac:dyDescent="0.35">
      <c r="A364" t="s">
        <v>115</v>
      </c>
      <c r="B364" t="s">
        <v>944</v>
      </c>
      <c r="C364" t="s">
        <v>4330</v>
      </c>
      <c r="D364">
        <v>3.8E-3</v>
      </c>
      <c r="E364" t="s">
        <v>1720</v>
      </c>
      <c r="F364" t="s">
        <v>1721</v>
      </c>
      <c r="G364" t="s">
        <v>4437</v>
      </c>
      <c r="H364" t="s">
        <v>4331</v>
      </c>
    </row>
    <row r="365" spans="1:8" x14ac:dyDescent="0.35">
      <c r="A365" t="s">
        <v>115</v>
      </c>
      <c r="B365" t="s">
        <v>944</v>
      </c>
      <c r="C365" t="s">
        <v>4330</v>
      </c>
      <c r="D365">
        <v>0.26</v>
      </c>
      <c r="E365" t="s">
        <v>1720</v>
      </c>
      <c r="F365" t="s">
        <v>1724</v>
      </c>
      <c r="G365" t="s">
        <v>4437</v>
      </c>
      <c r="H365" t="s">
        <v>4331</v>
      </c>
    </row>
    <row r="366" spans="1:8" x14ac:dyDescent="0.35">
      <c r="A366" t="s">
        <v>115</v>
      </c>
      <c r="B366" t="s">
        <v>944</v>
      </c>
      <c r="C366" t="s">
        <v>4221</v>
      </c>
      <c r="D366">
        <v>3.8E-3</v>
      </c>
      <c r="E366" t="s">
        <v>1720</v>
      </c>
      <c r="F366" t="s">
        <v>1721</v>
      </c>
      <c r="G366" t="s">
        <v>4383</v>
      </c>
      <c r="H366" t="s">
        <v>4222</v>
      </c>
    </row>
    <row r="367" spans="1:8" x14ac:dyDescent="0.35">
      <c r="A367" t="s">
        <v>115</v>
      </c>
      <c r="B367" t="s">
        <v>944</v>
      </c>
      <c r="C367" t="s">
        <v>4221</v>
      </c>
      <c r="D367">
        <v>0.26</v>
      </c>
      <c r="E367" t="s">
        <v>1720</v>
      </c>
      <c r="F367" t="s">
        <v>1724</v>
      </c>
      <c r="G367" t="s">
        <v>4383</v>
      </c>
      <c r="H367" t="s">
        <v>4222</v>
      </c>
    </row>
    <row r="368" spans="1:8" x14ac:dyDescent="0.35">
      <c r="A368" t="s">
        <v>115</v>
      </c>
      <c r="B368" t="s">
        <v>944</v>
      </c>
      <c r="C368" t="s">
        <v>4230</v>
      </c>
      <c r="D368">
        <v>3.8E-3</v>
      </c>
      <c r="E368" t="s">
        <v>1720</v>
      </c>
      <c r="F368" t="s">
        <v>1721</v>
      </c>
      <c r="G368" t="s">
        <v>4396</v>
      </c>
      <c r="H368" t="s">
        <v>4231</v>
      </c>
    </row>
    <row r="369" spans="1:8" x14ac:dyDescent="0.35">
      <c r="A369" t="s">
        <v>115</v>
      </c>
      <c r="B369" t="s">
        <v>944</v>
      </c>
      <c r="C369" t="s">
        <v>4332</v>
      </c>
      <c r="D369">
        <v>3.8E-3</v>
      </c>
      <c r="E369" t="s">
        <v>1720</v>
      </c>
      <c r="F369" t="s">
        <v>1721</v>
      </c>
      <c r="G369" t="s">
        <v>4438</v>
      </c>
      <c r="H369" t="s">
        <v>4333</v>
      </c>
    </row>
    <row r="370" spans="1:8" x14ac:dyDescent="0.35">
      <c r="A370" t="s">
        <v>115</v>
      </c>
      <c r="B370" t="s">
        <v>944</v>
      </c>
      <c r="C370" t="s">
        <v>4332</v>
      </c>
      <c r="D370">
        <v>0.38</v>
      </c>
      <c r="E370" t="s">
        <v>1720</v>
      </c>
      <c r="F370" t="s">
        <v>1724</v>
      </c>
      <c r="G370" t="s">
        <v>4438</v>
      </c>
      <c r="H370" t="s">
        <v>4333</v>
      </c>
    </row>
    <row r="371" spans="1:8" x14ac:dyDescent="0.35">
      <c r="A371" t="s">
        <v>115</v>
      </c>
      <c r="B371" t="s">
        <v>944</v>
      </c>
      <c r="C371" t="s">
        <v>4332</v>
      </c>
      <c r="D371">
        <v>3.8E-3</v>
      </c>
      <c r="E371" t="s">
        <v>1720</v>
      </c>
      <c r="F371" t="s">
        <v>1721</v>
      </c>
      <c r="G371" t="s">
        <v>4439</v>
      </c>
      <c r="H371" t="s">
        <v>4333</v>
      </c>
    </row>
    <row r="372" spans="1:8" x14ac:dyDescent="0.35">
      <c r="A372" t="s">
        <v>115</v>
      </c>
      <c r="B372" t="s">
        <v>944</v>
      </c>
      <c r="C372" t="s">
        <v>4332</v>
      </c>
      <c r="D372">
        <v>0.38</v>
      </c>
      <c r="E372" t="s">
        <v>1720</v>
      </c>
      <c r="F372" t="s">
        <v>1724</v>
      </c>
      <c r="G372" t="s">
        <v>4439</v>
      </c>
      <c r="H372" t="s">
        <v>4333</v>
      </c>
    </row>
    <row r="373" spans="1:8" x14ac:dyDescent="0.35">
      <c r="A373" t="s">
        <v>115</v>
      </c>
      <c r="B373" t="s">
        <v>944</v>
      </c>
      <c r="C373" t="s">
        <v>4332</v>
      </c>
      <c r="D373">
        <v>3.8E-3</v>
      </c>
      <c r="E373" t="s">
        <v>1720</v>
      </c>
      <c r="F373" t="s">
        <v>1721</v>
      </c>
      <c r="G373" t="s">
        <v>4440</v>
      </c>
      <c r="H373" t="s">
        <v>4333</v>
      </c>
    </row>
    <row r="374" spans="1:8" x14ac:dyDescent="0.35">
      <c r="A374" t="s">
        <v>115</v>
      </c>
      <c r="B374" t="s">
        <v>944</v>
      </c>
      <c r="C374" t="s">
        <v>4332</v>
      </c>
      <c r="D374">
        <v>0.52</v>
      </c>
      <c r="E374" t="s">
        <v>1720</v>
      </c>
      <c r="F374" t="s">
        <v>1724</v>
      </c>
      <c r="G374" t="s">
        <v>4440</v>
      </c>
      <c r="H374" t="s">
        <v>4333</v>
      </c>
    </row>
    <row r="375" spans="1:8" x14ac:dyDescent="0.35">
      <c r="A375" t="s">
        <v>115</v>
      </c>
      <c r="B375" t="s">
        <v>944</v>
      </c>
      <c r="C375" t="s">
        <v>4332</v>
      </c>
      <c r="D375">
        <v>3.8E-3</v>
      </c>
      <c r="E375" t="s">
        <v>1720</v>
      </c>
      <c r="F375" t="s">
        <v>1721</v>
      </c>
      <c r="G375" t="s">
        <v>4441</v>
      </c>
      <c r="H375" t="s">
        <v>4333</v>
      </c>
    </row>
    <row r="376" spans="1:8" x14ac:dyDescent="0.35">
      <c r="A376" t="s">
        <v>115</v>
      </c>
      <c r="B376" t="s">
        <v>944</v>
      </c>
      <c r="C376" t="s">
        <v>4332</v>
      </c>
      <c r="D376">
        <v>0.52</v>
      </c>
      <c r="E376" t="s">
        <v>1720</v>
      </c>
      <c r="F376" t="s">
        <v>1724</v>
      </c>
      <c r="G376" t="s">
        <v>4441</v>
      </c>
      <c r="H376" t="s">
        <v>4333</v>
      </c>
    </row>
    <row r="377" spans="1:8" x14ac:dyDescent="0.35">
      <c r="A377" t="s">
        <v>115</v>
      </c>
      <c r="B377" t="s">
        <v>944</v>
      </c>
      <c r="C377" t="s">
        <v>4213</v>
      </c>
      <c r="D377">
        <v>5.8999999999999998E-5</v>
      </c>
      <c r="E377" t="s">
        <v>1720</v>
      </c>
      <c r="F377" t="s">
        <v>1721</v>
      </c>
      <c r="G377" t="s">
        <v>4393</v>
      </c>
      <c r="H377" t="s">
        <v>4214</v>
      </c>
    </row>
    <row r="378" spans="1:8" x14ac:dyDescent="0.35">
      <c r="A378" t="s">
        <v>115</v>
      </c>
      <c r="B378" t="s">
        <v>944</v>
      </c>
      <c r="C378" t="s">
        <v>4213</v>
      </c>
      <c r="D378">
        <v>0.52</v>
      </c>
      <c r="E378" t="s">
        <v>1720</v>
      </c>
      <c r="F378" t="s">
        <v>1724</v>
      </c>
      <c r="G378" t="s">
        <v>4393</v>
      </c>
      <c r="H378" t="s">
        <v>4214</v>
      </c>
    </row>
    <row r="379" spans="1:8" x14ac:dyDescent="0.35">
      <c r="A379" t="s">
        <v>115</v>
      </c>
      <c r="B379" t="s">
        <v>944</v>
      </c>
      <c r="C379" t="s">
        <v>4209</v>
      </c>
      <c r="D379">
        <v>3.8E-3</v>
      </c>
      <c r="E379" t="s">
        <v>1720</v>
      </c>
      <c r="F379" t="s">
        <v>1721</v>
      </c>
      <c r="G379" t="s">
        <v>4383</v>
      </c>
      <c r="H379" t="s">
        <v>4210</v>
      </c>
    </row>
    <row r="380" spans="1:8" x14ac:dyDescent="0.35">
      <c r="A380" t="s">
        <v>115</v>
      </c>
      <c r="B380" t="s">
        <v>944</v>
      </c>
      <c r="C380" t="s">
        <v>4209</v>
      </c>
      <c r="D380">
        <v>0.52</v>
      </c>
      <c r="E380" t="s">
        <v>1720</v>
      </c>
      <c r="F380" t="s">
        <v>1724</v>
      </c>
      <c r="G380" t="s">
        <v>4383</v>
      </c>
      <c r="H380" t="s">
        <v>4210</v>
      </c>
    </row>
    <row r="381" spans="1:8" x14ac:dyDescent="0.35">
      <c r="A381" t="s">
        <v>115</v>
      </c>
      <c r="B381" t="s">
        <v>944</v>
      </c>
      <c r="C381" t="s">
        <v>4217</v>
      </c>
      <c r="D381">
        <v>4.0000000000000001E-3</v>
      </c>
      <c r="E381" t="s">
        <v>1720</v>
      </c>
      <c r="F381" t="s">
        <v>1721</v>
      </c>
      <c r="G381" t="s">
        <v>4396</v>
      </c>
      <c r="H381" t="s">
        <v>4218</v>
      </c>
    </row>
    <row r="382" spans="1:8" x14ac:dyDescent="0.35">
      <c r="A382" t="s">
        <v>115</v>
      </c>
      <c r="B382" t="s">
        <v>944</v>
      </c>
      <c r="C382" t="s">
        <v>4217</v>
      </c>
      <c r="D382">
        <v>0.52</v>
      </c>
      <c r="E382" t="s">
        <v>1720</v>
      </c>
      <c r="F382" t="s">
        <v>1724</v>
      </c>
      <c r="G382" t="s">
        <v>4396</v>
      </c>
      <c r="H382" t="s">
        <v>4218</v>
      </c>
    </row>
    <row r="383" spans="1:8" x14ac:dyDescent="0.35">
      <c r="A383" t="s">
        <v>115</v>
      </c>
      <c r="B383" t="s">
        <v>944</v>
      </c>
      <c r="C383" t="s">
        <v>4332</v>
      </c>
      <c r="D383">
        <v>3.8E-3</v>
      </c>
      <c r="E383" t="s">
        <v>1720</v>
      </c>
      <c r="F383" t="s">
        <v>1721</v>
      </c>
      <c r="G383" t="s">
        <v>4442</v>
      </c>
      <c r="H383" t="s">
        <v>4333</v>
      </c>
    </row>
    <row r="384" spans="1:8" x14ac:dyDescent="0.35">
      <c r="A384" t="s">
        <v>115</v>
      </c>
      <c r="B384" t="s">
        <v>944</v>
      </c>
      <c r="C384" t="s">
        <v>4332</v>
      </c>
      <c r="D384">
        <v>0.52</v>
      </c>
      <c r="E384" t="s">
        <v>1720</v>
      </c>
      <c r="F384" t="s">
        <v>1724</v>
      </c>
      <c r="G384" t="s">
        <v>4442</v>
      </c>
      <c r="H384" t="s">
        <v>4333</v>
      </c>
    </row>
    <row r="385" spans="1:8" x14ac:dyDescent="0.35">
      <c r="A385" t="s">
        <v>115</v>
      </c>
      <c r="B385" t="s">
        <v>944</v>
      </c>
      <c r="C385" t="s">
        <v>4211</v>
      </c>
      <c r="D385">
        <v>3.8E-3</v>
      </c>
      <c r="E385" t="s">
        <v>1720</v>
      </c>
      <c r="F385" t="s">
        <v>1721</v>
      </c>
      <c r="G385" t="s">
        <v>4392</v>
      </c>
      <c r="H385" t="s">
        <v>4212</v>
      </c>
    </row>
    <row r="386" spans="1:8" x14ac:dyDescent="0.35">
      <c r="A386" t="s">
        <v>115</v>
      </c>
      <c r="B386" t="s">
        <v>944</v>
      </c>
      <c r="C386" t="s">
        <v>4211</v>
      </c>
      <c r="D386">
        <v>0.26</v>
      </c>
      <c r="E386" t="s">
        <v>1720</v>
      </c>
      <c r="F386" t="s">
        <v>1724</v>
      </c>
      <c r="G386" t="s">
        <v>4392</v>
      </c>
      <c r="H386" t="s">
        <v>4212</v>
      </c>
    </row>
    <row r="387" spans="1:8" x14ac:dyDescent="0.35">
      <c r="A387" t="s">
        <v>115</v>
      </c>
      <c r="B387" t="s">
        <v>944</v>
      </c>
      <c r="C387" t="s">
        <v>4219</v>
      </c>
      <c r="D387">
        <v>3.8E-3</v>
      </c>
      <c r="E387" t="s">
        <v>1720</v>
      </c>
      <c r="F387" t="s">
        <v>1721</v>
      </c>
      <c r="G387" t="s">
        <v>4380</v>
      </c>
      <c r="H387" t="s">
        <v>4220</v>
      </c>
    </row>
    <row r="388" spans="1:8" x14ac:dyDescent="0.35">
      <c r="A388" t="s">
        <v>115</v>
      </c>
      <c r="B388" t="s">
        <v>944</v>
      </c>
      <c r="C388" t="s">
        <v>4219</v>
      </c>
      <c r="D388">
        <v>0.52</v>
      </c>
      <c r="E388" t="s">
        <v>1720</v>
      </c>
      <c r="F388" t="s">
        <v>1724</v>
      </c>
      <c r="G388" t="s">
        <v>4380</v>
      </c>
      <c r="H388" t="s">
        <v>4220</v>
      </c>
    </row>
    <row r="389" spans="1:8" x14ac:dyDescent="0.35">
      <c r="A389" t="s">
        <v>115</v>
      </c>
      <c r="B389" t="s">
        <v>944</v>
      </c>
      <c r="C389" t="s">
        <v>4302</v>
      </c>
      <c r="D389">
        <v>3.8E-3</v>
      </c>
      <c r="E389" t="s">
        <v>1720</v>
      </c>
      <c r="F389" t="s">
        <v>1721</v>
      </c>
      <c r="G389" t="s">
        <v>4420</v>
      </c>
      <c r="H389" t="s">
        <v>4303</v>
      </c>
    </row>
    <row r="390" spans="1:8" x14ac:dyDescent="0.35">
      <c r="A390" t="s">
        <v>115</v>
      </c>
      <c r="B390" t="s">
        <v>944</v>
      </c>
      <c r="C390" t="s">
        <v>4302</v>
      </c>
      <c r="D390">
        <v>0.52</v>
      </c>
      <c r="E390" t="s">
        <v>1720</v>
      </c>
      <c r="F390" t="s">
        <v>1724</v>
      </c>
      <c r="G390" t="s">
        <v>4420</v>
      </c>
      <c r="H390" t="s">
        <v>4303</v>
      </c>
    </row>
    <row r="391" spans="1:8" x14ac:dyDescent="0.35">
      <c r="A391" t="s">
        <v>115</v>
      </c>
      <c r="B391" t="s">
        <v>944</v>
      </c>
      <c r="C391" t="s">
        <v>4334</v>
      </c>
      <c r="D391">
        <v>3.8E-3</v>
      </c>
      <c r="E391" t="s">
        <v>1720</v>
      </c>
      <c r="F391" t="s">
        <v>1721</v>
      </c>
      <c r="G391" t="s">
        <v>4443</v>
      </c>
      <c r="H391" t="s">
        <v>4335</v>
      </c>
    </row>
    <row r="392" spans="1:8" x14ac:dyDescent="0.35">
      <c r="A392" t="s">
        <v>115</v>
      </c>
      <c r="B392" t="s">
        <v>944</v>
      </c>
      <c r="C392" t="s">
        <v>4334</v>
      </c>
      <c r="D392">
        <v>0.52</v>
      </c>
      <c r="E392" t="s">
        <v>1720</v>
      </c>
      <c r="F392" t="s">
        <v>1724</v>
      </c>
      <c r="G392" t="s">
        <v>4443</v>
      </c>
      <c r="H392" t="s">
        <v>4335</v>
      </c>
    </row>
    <row r="393" spans="1:8" x14ac:dyDescent="0.35">
      <c r="A393" t="s">
        <v>115</v>
      </c>
      <c r="B393" t="s">
        <v>944</v>
      </c>
      <c r="C393" t="s">
        <v>4215</v>
      </c>
      <c r="D393">
        <v>3.8E-3</v>
      </c>
      <c r="E393" t="s">
        <v>1720</v>
      </c>
      <c r="F393" t="s">
        <v>1721</v>
      </c>
      <c r="G393" t="s">
        <v>4394</v>
      </c>
      <c r="H393" t="s">
        <v>4216</v>
      </c>
    </row>
    <row r="394" spans="1:8" x14ac:dyDescent="0.35">
      <c r="A394" t="s">
        <v>115</v>
      </c>
      <c r="B394" t="s">
        <v>944</v>
      </c>
      <c r="C394" t="s">
        <v>4215</v>
      </c>
      <c r="D394">
        <v>0.26</v>
      </c>
      <c r="E394" t="s">
        <v>1720</v>
      </c>
      <c r="F394" t="s">
        <v>1724</v>
      </c>
      <c r="G394" t="s">
        <v>4394</v>
      </c>
      <c r="H394" t="s">
        <v>4216</v>
      </c>
    </row>
    <row r="395" spans="1:8" x14ac:dyDescent="0.35">
      <c r="A395" t="s">
        <v>115</v>
      </c>
      <c r="B395" t="s">
        <v>944</v>
      </c>
      <c r="C395" t="s">
        <v>4215</v>
      </c>
      <c r="D395">
        <v>3.8E-3</v>
      </c>
      <c r="E395" t="s">
        <v>1720</v>
      </c>
      <c r="F395" t="s">
        <v>1721</v>
      </c>
      <c r="G395" t="s">
        <v>4395</v>
      </c>
      <c r="H395" t="s">
        <v>4216</v>
      </c>
    </row>
    <row r="396" spans="1:8" x14ac:dyDescent="0.35">
      <c r="A396" t="s">
        <v>115</v>
      </c>
      <c r="B396" t="s">
        <v>944</v>
      </c>
      <c r="C396" t="s">
        <v>4215</v>
      </c>
      <c r="D396">
        <v>0.26</v>
      </c>
      <c r="E396" t="s">
        <v>1720</v>
      </c>
      <c r="F396" t="s">
        <v>1724</v>
      </c>
      <c r="G396" t="s">
        <v>4395</v>
      </c>
      <c r="H396" t="s">
        <v>4216</v>
      </c>
    </row>
    <row r="397" spans="1:8" x14ac:dyDescent="0.35">
      <c r="A397" t="s">
        <v>115</v>
      </c>
      <c r="B397" t="s">
        <v>944</v>
      </c>
      <c r="C397" t="s">
        <v>4215</v>
      </c>
      <c r="D397">
        <v>3.8E-3</v>
      </c>
      <c r="E397" t="s">
        <v>1720</v>
      </c>
      <c r="F397" t="s">
        <v>1721</v>
      </c>
      <c r="G397" t="s">
        <v>4397</v>
      </c>
      <c r="H397" t="s">
        <v>4216</v>
      </c>
    </row>
    <row r="398" spans="1:8" x14ac:dyDescent="0.35">
      <c r="A398" t="s">
        <v>115</v>
      </c>
      <c r="B398" t="s">
        <v>944</v>
      </c>
      <c r="C398" t="s">
        <v>4215</v>
      </c>
      <c r="D398">
        <v>0.26</v>
      </c>
      <c r="E398" t="s">
        <v>1720</v>
      </c>
      <c r="F398" t="s">
        <v>1724</v>
      </c>
      <c r="G398" t="s">
        <v>4397</v>
      </c>
      <c r="H398" t="s">
        <v>4216</v>
      </c>
    </row>
    <row r="399" spans="1:8" x14ac:dyDescent="0.35">
      <c r="A399" t="s">
        <v>115</v>
      </c>
      <c r="B399" t="s">
        <v>944</v>
      </c>
      <c r="C399" t="s">
        <v>4215</v>
      </c>
      <c r="D399">
        <v>3.8E-3</v>
      </c>
      <c r="E399" t="s">
        <v>1720</v>
      </c>
      <c r="F399" t="s">
        <v>1721</v>
      </c>
      <c r="G399" t="s">
        <v>4398</v>
      </c>
      <c r="H399" t="s">
        <v>4216</v>
      </c>
    </row>
    <row r="400" spans="1:8" x14ac:dyDescent="0.35">
      <c r="A400" t="s">
        <v>115</v>
      </c>
      <c r="B400" t="s">
        <v>944</v>
      </c>
      <c r="C400" t="s">
        <v>4215</v>
      </c>
      <c r="D400">
        <v>0.26</v>
      </c>
      <c r="E400" t="s">
        <v>1720</v>
      </c>
      <c r="F400" t="s">
        <v>1724</v>
      </c>
      <c r="G400" t="s">
        <v>4398</v>
      </c>
      <c r="H400" t="s">
        <v>4216</v>
      </c>
    </row>
    <row r="401" spans="1:8" x14ac:dyDescent="0.35">
      <c r="A401" t="s">
        <v>115</v>
      </c>
      <c r="B401" t="s">
        <v>944</v>
      </c>
      <c r="C401" t="s">
        <v>4223</v>
      </c>
      <c r="D401">
        <v>3.8E-3</v>
      </c>
      <c r="E401" t="s">
        <v>1720</v>
      </c>
      <c r="F401" t="s">
        <v>1721</v>
      </c>
      <c r="G401" t="s">
        <v>4399</v>
      </c>
      <c r="H401" t="s">
        <v>4224</v>
      </c>
    </row>
    <row r="402" spans="1:8" x14ac:dyDescent="0.35">
      <c r="A402" t="s">
        <v>115</v>
      </c>
      <c r="B402" t="s">
        <v>944</v>
      </c>
      <c r="C402" t="s">
        <v>4223</v>
      </c>
      <c r="D402">
        <v>0.52</v>
      </c>
      <c r="E402" t="s">
        <v>1720</v>
      </c>
      <c r="F402" t="s">
        <v>1724</v>
      </c>
      <c r="G402" t="s">
        <v>4399</v>
      </c>
      <c r="H402" t="s">
        <v>4224</v>
      </c>
    </row>
    <row r="403" spans="1:8" x14ac:dyDescent="0.35">
      <c r="A403" t="s">
        <v>115</v>
      </c>
      <c r="B403" t="s">
        <v>944</v>
      </c>
      <c r="C403" t="s">
        <v>4313</v>
      </c>
      <c r="D403">
        <v>4.0000000000000001E-3</v>
      </c>
      <c r="E403" t="s">
        <v>1720</v>
      </c>
      <c r="F403" t="s">
        <v>1721</v>
      </c>
      <c r="G403" t="s">
        <v>4423</v>
      </c>
      <c r="H403" t="s">
        <v>4314</v>
      </c>
    </row>
    <row r="404" spans="1:8" x14ac:dyDescent="0.35">
      <c r="A404" t="s">
        <v>115</v>
      </c>
      <c r="B404" t="s">
        <v>944</v>
      </c>
      <c r="C404" t="s">
        <v>4313</v>
      </c>
      <c r="D404">
        <v>0.5</v>
      </c>
      <c r="E404" t="s">
        <v>1720</v>
      </c>
      <c r="F404" t="s">
        <v>1724</v>
      </c>
      <c r="G404" t="s">
        <v>4423</v>
      </c>
      <c r="H404" t="s">
        <v>4314</v>
      </c>
    </row>
    <row r="405" spans="1:8" x14ac:dyDescent="0.35">
      <c r="A405" t="s">
        <v>115</v>
      </c>
      <c r="B405" t="s">
        <v>944</v>
      </c>
      <c r="C405" t="s">
        <v>4313</v>
      </c>
      <c r="D405">
        <v>0.01</v>
      </c>
      <c r="E405" t="s">
        <v>1720</v>
      </c>
      <c r="F405" t="s">
        <v>1721</v>
      </c>
      <c r="G405" t="s">
        <v>4424</v>
      </c>
      <c r="H405" t="s">
        <v>4314</v>
      </c>
    </row>
    <row r="406" spans="1:8" x14ac:dyDescent="0.35">
      <c r="A406" t="s">
        <v>115</v>
      </c>
      <c r="B406" t="s">
        <v>944</v>
      </c>
      <c r="C406" t="s">
        <v>4313</v>
      </c>
      <c r="D406">
        <v>0.6</v>
      </c>
      <c r="E406" t="s">
        <v>1720</v>
      </c>
      <c r="F406" t="s">
        <v>1724</v>
      </c>
      <c r="G406" t="s">
        <v>4424</v>
      </c>
      <c r="H406" t="s">
        <v>4314</v>
      </c>
    </row>
    <row r="407" spans="1:8" x14ac:dyDescent="0.35">
      <c r="A407" t="s">
        <v>115</v>
      </c>
      <c r="B407" t="s">
        <v>944</v>
      </c>
      <c r="C407" t="s">
        <v>4313</v>
      </c>
      <c r="D407">
        <v>0.9</v>
      </c>
      <c r="E407" t="s">
        <v>1720</v>
      </c>
      <c r="F407" t="s">
        <v>1724</v>
      </c>
      <c r="G407" t="s">
        <v>4444</v>
      </c>
      <c r="H407" t="s">
        <v>4314</v>
      </c>
    </row>
    <row r="408" spans="1:8" x14ac:dyDescent="0.35">
      <c r="A408" t="s">
        <v>115</v>
      </c>
      <c r="B408" t="s">
        <v>944</v>
      </c>
      <c r="C408" t="s">
        <v>4229</v>
      </c>
      <c r="D408">
        <v>0.52</v>
      </c>
      <c r="E408" t="s">
        <v>1720</v>
      </c>
      <c r="F408" t="s">
        <v>1724</v>
      </c>
      <c r="G408" t="s">
        <v>4399</v>
      </c>
      <c r="H408" t="s">
        <v>1711</v>
      </c>
    </row>
    <row r="409" spans="1:8" x14ac:dyDescent="0.35">
      <c r="A409" t="s">
        <v>115</v>
      </c>
      <c r="B409" t="s">
        <v>944</v>
      </c>
      <c r="C409" t="s">
        <v>4229</v>
      </c>
      <c r="D409">
        <v>3.8E-3</v>
      </c>
      <c r="E409" t="s">
        <v>1720</v>
      </c>
      <c r="F409" t="s">
        <v>1721</v>
      </c>
      <c r="G409" t="s">
        <v>4399</v>
      </c>
      <c r="H409" t="s">
        <v>1711</v>
      </c>
    </row>
    <row r="410" spans="1:8" x14ac:dyDescent="0.35">
      <c r="A410" t="s">
        <v>115</v>
      </c>
      <c r="B410" t="s">
        <v>944</v>
      </c>
      <c r="C410" t="s">
        <v>4336</v>
      </c>
      <c r="D410">
        <v>3.8E-3</v>
      </c>
      <c r="E410" t="s">
        <v>1720</v>
      </c>
      <c r="F410" t="s">
        <v>1721</v>
      </c>
      <c r="G410" t="s">
        <v>4445</v>
      </c>
      <c r="H410" t="s">
        <v>4337</v>
      </c>
    </row>
    <row r="411" spans="1:8" x14ac:dyDescent="0.35">
      <c r="A411" t="s">
        <v>115</v>
      </c>
      <c r="B411" t="s">
        <v>944</v>
      </c>
      <c r="C411" t="s">
        <v>4336</v>
      </c>
      <c r="D411">
        <v>0.52</v>
      </c>
      <c r="E411" t="s">
        <v>1720</v>
      </c>
      <c r="F411" t="s">
        <v>1724</v>
      </c>
      <c r="G411" t="s">
        <v>4445</v>
      </c>
      <c r="H411" t="s">
        <v>4337</v>
      </c>
    </row>
    <row r="412" spans="1:8" x14ac:dyDescent="0.35">
      <c r="A412" t="s">
        <v>115</v>
      </c>
      <c r="B412" t="s">
        <v>944</v>
      </c>
      <c r="C412" t="s">
        <v>4313</v>
      </c>
      <c r="D412">
        <v>4.0000000000000001E-3</v>
      </c>
      <c r="E412" t="s">
        <v>1720</v>
      </c>
      <c r="F412" t="s">
        <v>1721</v>
      </c>
      <c r="G412" t="s">
        <v>4425</v>
      </c>
      <c r="H412" t="s">
        <v>4314</v>
      </c>
    </row>
    <row r="413" spans="1:8" x14ac:dyDescent="0.35">
      <c r="A413" t="s">
        <v>115</v>
      </c>
      <c r="B413" t="s">
        <v>944</v>
      </c>
      <c r="C413" t="s">
        <v>4313</v>
      </c>
      <c r="D413">
        <v>0.5</v>
      </c>
      <c r="E413" t="s">
        <v>1720</v>
      </c>
      <c r="F413" t="s">
        <v>1724</v>
      </c>
      <c r="G413" t="s">
        <v>4425</v>
      </c>
      <c r="H413" t="s">
        <v>4314</v>
      </c>
    </row>
    <row r="414" spans="1:8" x14ac:dyDescent="0.35">
      <c r="A414" t="s">
        <v>115</v>
      </c>
      <c r="B414" t="s">
        <v>944</v>
      </c>
      <c r="C414" t="s">
        <v>4238</v>
      </c>
      <c r="D414">
        <v>3.8E-3</v>
      </c>
      <c r="E414" t="s">
        <v>1720</v>
      </c>
      <c r="F414" t="s">
        <v>1721</v>
      </c>
      <c r="G414" t="s">
        <v>4404</v>
      </c>
      <c r="H414" t="s">
        <v>4239</v>
      </c>
    </row>
    <row r="415" spans="1:8" x14ac:dyDescent="0.35">
      <c r="A415" t="s">
        <v>115</v>
      </c>
      <c r="B415" t="s">
        <v>944</v>
      </c>
      <c r="C415" t="s">
        <v>4338</v>
      </c>
      <c r="D415">
        <v>0.52</v>
      </c>
      <c r="E415" t="s">
        <v>1720</v>
      </c>
      <c r="F415" t="s">
        <v>1724</v>
      </c>
      <c r="G415" t="s">
        <v>4383</v>
      </c>
      <c r="H415" t="s">
        <v>4339</v>
      </c>
    </row>
    <row r="416" spans="1:8" x14ac:dyDescent="0.35">
      <c r="A416" t="s">
        <v>115</v>
      </c>
      <c r="B416" t="s">
        <v>944</v>
      </c>
      <c r="C416" t="s">
        <v>4338</v>
      </c>
      <c r="D416">
        <v>3.8E-3</v>
      </c>
      <c r="E416" t="s">
        <v>1720</v>
      </c>
      <c r="F416" t="s">
        <v>1721</v>
      </c>
      <c r="G416" t="s">
        <v>4383</v>
      </c>
      <c r="H416" t="s">
        <v>4339</v>
      </c>
    </row>
    <row r="417" spans="1:8" x14ac:dyDescent="0.35">
      <c r="A417" t="s">
        <v>115</v>
      </c>
      <c r="B417" t="s">
        <v>944</v>
      </c>
      <c r="C417" t="s">
        <v>4300</v>
      </c>
      <c r="D417">
        <v>3.8E-3</v>
      </c>
      <c r="E417" t="s">
        <v>1720</v>
      </c>
      <c r="F417" t="s">
        <v>1721</v>
      </c>
      <c r="G417" t="s">
        <v>4389</v>
      </c>
      <c r="H417" t="s">
        <v>4301</v>
      </c>
    </row>
    <row r="418" spans="1:8" x14ac:dyDescent="0.35">
      <c r="A418" t="s">
        <v>115</v>
      </c>
      <c r="B418" t="s">
        <v>944</v>
      </c>
      <c r="C418" t="s">
        <v>4300</v>
      </c>
      <c r="D418">
        <v>0.52</v>
      </c>
      <c r="E418" t="s">
        <v>1720</v>
      </c>
      <c r="F418" t="s">
        <v>1724</v>
      </c>
      <c r="G418" t="s">
        <v>4389</v>
      </c>
      <c r="H418" t="s">
        <v>4301</v>
      </c>
    </row>
    <row r="419" spans="1:8" x14ac:dyDescent="0.35">
      <c r="A419" t="s">
        <v>115</v>
      </c>
      <c r="B419" t="s">
        <v>944</v>
      </c>
      <c r="C419" t="s">
        <v>4315</v>
      </c>
      <c r="D419">
        <v>3.8E-3</v>
      </c>
      <c r="E419" t="s">
        <v>1720</v>
      </c>
      <c r="F419" t="s">
        <v>1724</v>
      </c>
      <c r="G419" t="s">
        <v>4383</v>
      </c>
      <c r="H419" t="s">
        <v>4316</v>
      </c>
    </row>
    <row r="420" spans="1:8" x14ac:dyDescent="0.35">
      <c r="A420" t="s">
        <v>115</v>
      </c>
      <c r="B420" t="s">
        <v>944</v>
      </c>
      <c r="C420" t="s">
        <v>4315</v>
      </c>
      <c r="D420">
        <v>0.52</v>
      </c>
      <c r="E420" t="s">
        <v>1720</v>
      </c>
      <c r="F420" t="s">
        <v>1724</v>
      </c>
      <c r="G420" t="s">
        <v>4383</v>
      </c>
      <c r="H420" t="s">
        <v>4316</v>
      </c>
    </row>
    <row r="421" spans="1:8" x14ac:dyDescent="0.35">
      <c r="A421" t="s">
        <v>115</v>
      </c>
      <c r="B421" t="s">
        <v>944</v>
      </c>
      <c r="C421" t="s">
        <v>4317</v>
      </c>
      <c r="D421">
        <v>3.8E-3</v>
      </c>
      <c r="E421" t="s">
        <v>1720</v>
      </c>
      <c r="F421" t="s">
        <v>1721</v>
      </c>
      <c r="G421" t="s">
        <v>4426</v>
      </c>
      <c r="H421" t="s">
        <v>4318</v>
      </c>
    </row>
    <row r="422" spans="1:8" x14ac:dyDescent="0.35">
      <c r="A422" t="s">
        <v>115</v>
      </c>
      <c r="B422" t="s">
        <v>944</v>
      </c>
      <c r="C422" t="s">
        <v>4317</v>
      </c>
      <c r="D422">
        <v>0.52</v>
      </c>
      <c r="E422" t="s">
        <v>1720</v>
      </c>
      <c r="F422" t="s">
        <v>1724</v>
      </c>
      <c r="G422" t="s">
        <v>4426</v>
      </c>
      <c r="H422" t="s">
        <v>4318</v>
      </c>
    </row>
    <row r="423" spans="1:8" x14ac:dyDescent="0.35">
      <c r="A423" t="s">
        <v>115</v>
      </c>
      <c r="B423" t="s">
        <v>944</v>
      </c>
      <c r="C423" t="s">
        <v>4225</v>
      </c>
      <c r="D423">
        <v>3.8E-3</v>
      </c>
      <c r="E423" t="s">
        <v>1720</v>
      </c>
      <c r="F423" t="s">
        <v>1721</v>
      </c>
      <c r="G423" t="s">
        <v>4400</v>
      </c>
      <c r="H423" t="s">
        <v>4226</v>
      </c>
    </row>
    <row r="424" spans="1:8" x14ac:dyDescent="0.35">
      <c r="A424" t="s">
        <v>115</v>
      </c>
      <c r="B424" t="s">
        <v>944</v>
      </c>
      <c r="C424" t="s">
        <v>4225</v>
      </c>
      <c r="D424">
        <v>0.52</v>
      </c>
      <c r="E424" t="s">
        <v>1720</v>
      </c>
      <c r="F424" t="s">
        <v>1724</v>
      </c>
      <c r="G424" t="s">
        <v>4400</v>
      </c>
      <c r="H424" t="s">
        <v>4226</v>
      </c>
    </row>
    <row r="425" spans="1:8" x14ac:dyDescent="0.35">
      <c r="A425" t="s">
        <v>115</v>
      </c>
      <c r="B425" t="s">
        <v>944</v>
      </c>
      <c r="C425" t="s">
        <v>4227</v>
      </c>
      <c r="D425">
        <v>3.8E-3</v>
      </c>
      <c r="E425" t="s">
        <v>1720</v>
      </c>
      <c r="F425" t="s">
        <v>1721</v>
      </c>
      <c r="G425" t="s">
        <v>4401</v>
      </c>
      <c r="H425" t="s">
        <v>4228</v>
      </c>
    </row>
    <row r="426" spans="1:8" x14ac:dyDescent="0.35">
      <c r="A426" t="s">
        <v>115</v>
      </c>
      <c r="B426" t="s">
        <v>944</v>
      </c>
      <c r="C426" t="s">
        <v>4227</v>
      </c>
      <c r="D426">
        <v>0.52</v>
      </c>
      <c r="E426" t="s">
        <v>1720</v>
      </c>
      <c r="F426" t="s">
        <v>1724</v>
      </c>
      <c r="G426" t="s">
        <v>4401</v>
      </c>
      <c r="H426" t="s">
        <v>4228</v>
      </c>
    </row>
    <row r="427" spans="1:8" x14ac:dyDescent="0.35">
      <c r="A427" t="s">
        <v>115</v>
      </c>
      <c r="B427" t="s">
        <v>944</v>
      </c>
      <c r="C427" t="s">
        <v>4232</v>
      </c>
      <c r="D427">
        <v>3.8E-3</v>
      </c>
      <c r="E427" t="s">
        <v>1720</v>
      </c>
      <c r="F427" t="s">
        <v>1721</v>
      </c>
      <c r="G427" t="s">
        <v>4402</v>
      </c>
      <c r="H427" t="s">
        <v>4233</v>
      </c>
    </row>
    <row r="428" spans="1:8" x14ac:dyDescent="0.35">
      <c r="A428" t="s">
        <v>115</v>
      </c>
      <c r="B428" t="s">
        <v>944</v>
      </c>
      <c r="C428" t="s">
        <v>4232</v>
      </c>
      <c r="D428">
        <v>0.26</v>
      </c>
      <c r="E428" t="s">
        <v>1720</v>
      </c>
      <c r="F428" t="s">
        <v>1724</v>
      </c>
      <c r="G428" t="s">
        <v>4402</v>
      </c>
      <c r="H428" t="s">
        <v>4233</v>
      </c>
    </row>
    <row r="429" spans="1:8" x14ac:dyDescent="0.35">
      <c r="A429" t="s">
        <v>115</v>
      </c>
      <c r="B429" t="s">
        <v>944</v>
      </c>
      <c r="C429" t="s">
        <v>4234</v>
      </c>
      <c r="D429">
        <v>3.8E-3</v>
      </c>
      <c r="E429" t="s">
        <v>1720</v>
      </c>
      <c r="G429" t="s">
        <v>4383</v>
      </c>
      <c r="H429" t="s">
        <v>4235</v>
      </c>
    </row>
    <row r="430" spans="1:8" x14ac:dyDescent="0.35">
      <c r="A430" t="s">
        <v>115</v>
      </c>
      <c r="B430" t="s">
        <v>944</v>
      </c>
      <c r="C430" t="s">
        <v>4234</v>
      </c>
      <c r="D430">
        <v>0.52</v>
      </c>
      <c r="E430" t="s">
        <v>1720</v>
      </c>
      <c r="G430" t="s">
        <v>4383</v>
      </c>
      <c r="H430" t="s">
        <v>4235</v>
      </c>
    </row>
    <row r="431" spans="1:8" x14ac:dyDescent="0.35">
      <c r="A431" t="s">
        <v>115</v>
      </c>
      <c r="B431" t="s">
        <v>944</v>
      </c>
      <c r="C431" t="s">
        <v>4236</v>
      </c>
      <c r="D431">
        <v>0.52</v>
      </c>
      <c r="E431" t="s">
        <v>1720</v>
      </c>
      <c r="F431" t="s">
        <v>1724</v>
      </c>
      <c r="G431" t="s">
        <v>4403</v>
      </c>
      <c r="H431" t="s">
        <v>4237</v>
      </c>
    </row>
    <row r="432" spans="1:8" x14ac:dyDescent="0.35">
      <c r="A432" t="s">
        <v>115</v>
      </c>
      <c r="B432" t="s">
        <v>944</v>
      </c>
      <c r="C432" t="s">
        <v>4230</v>
      </c>
      <c r="D432">
        <v>0.52</v>
      </c>
      <c r="E432" t="s">
        <v>1720</v>
      </c>
      <c r="F432" t="s">
        <v>1724</v>
      </c>
      <c r="G432" t="s">
        <v>4396</v>
      </c>
      <c r="H432" t="s">
        <v>4231</v>
      </c>
    </row>
    <row r="433" spans="1:8" x14ac:dyDescent="0.35">
      <c r="A433" t="s">
        <v>115</v>
      </c>
      <c r="B433" t="s">
        <v>944</v>
      </c>
      <c r="C433" t="s">
        <v>4236</v>
      </c>
      <c r="D433">
        <v>3.8E-3</v>
      </c>
      <c r="E433" t="s">
        <v>1720</v>
      </c>
      <c r="F433" t="s">
        <v>1721</v>
      </c>
      <c r="G433" t="s">
        <v>4403</v>
      </c>
      <c r="H433" t="s">
        <v>4237</v>
      </c>
    </row>
    <row r="434" spans="1:8" x14ac:dyDescent="0.35">
      <c r="A434" t="s">
        <v>115</v>
      </c>
      <c r="B434" t="s">
        <v>944</v>
      </c>
      <c r="C434" t="s">
        <v>4238</v>
      </c>
      <c r="D434">
        <v>0.52</v>
      </c>
      <c r="E434" t="s">
        <v>1720</v>
      </c>
      <c r="F434" t="s">
        <v>1724</v>
      </c>
      <c r="G434" t="s">
        <v>4404</v>
      </c>
      <c r="H434" t="s">
        <v>4239</v>
      </c>
    </row>
    <row r="435" spans="1:8" x14ac:dyDescent="0.35">
      <c r="A435" t="s">
        <v>115</v>
      </c>
      <c r="B435" t="s">
        <v>944</v>
      </c>
      <c r="C435" t="s">
        <v>4240</v>
      </c>
      <c r="D435">
        <v>0.52</v>
      </c>
      <c r="E435" t="s">
        <v>1720</v>
      </c>
      <c r="F435" t="s">
        <v>1724</v>
      </c>
      <c r="G435" t="s">
        <v>4402</v>
      </c>
      <c r="H435" t="s">
        <v>4241</v>
      </c>
    </row>
    <row r="436" spans="1:8" x14ac:dyDescent="0.35">
      <c r="A436" t="s">
        <v>115</v>
      </c>
      <c r="B436" t="s">
        <v>944</v>
      </c>
      <c r="C436" t="s">
        <v>4240</v>
      </c>
      <c r="D436">
        <v>3.8E-3</v>
      </c>
      <c r="E436" t="s">
        <v>1720</v>
      </c>
      <c r="F436" t="s">
        <v>1721</v>
      </c>
      <c r="G436" t="s">
        <v>4402</v>
      </c>
      <c r="H436" t="s">
        <v>4241</v>
      </c>
    </row>
    <row r="437" spans="1:8" x14ac:dyDescent="0.35">
      <c r="A437" t="s">
        <v>115</v>
      </c>
      <c r="B437" t="s">
        <v>944</v>
      </c>
      <c r="C437" t="s">
        <v>4340</v>
      </c>
      <c r="D437">
        <v>0.52</v>
      </c>
      <c r="E437" t="s">
        <v>1720</v>
      </c>
      <c r="F437" t="s">
        <v>1724</v>
      </c>
      <c r="G437" t="s">
        <v>4402</v>
      </c>
      <c r="H437" t="s">
        <v>4341</v>
      </c>
    </row>
    <row r="438" spans="1:8" x14ac:dyDescent="0.35">
      <c r="A438" t="s">
        <v>115</v>
      </c>
      <c r="B438" t="s">
        <v>944</v>
      </c>
      <c r="C438" t="s">
        <v>4340</v>
      </c>
      <c r="D438">
        <v>3.8E-3</v>
      </c>
      <c r="E438" t="s">
        <v>1720</v>
      </c>
      <c r="F438" t="s">
        <v>1721</v>
      </c>
      <c r="G438" t="s">
        <v>4402</v>
      </c>
      <c r="H438" t="s">
        <v>4341</v>
      </c>
    </row>
    <row r="439" spans="1:8" x14ac:dyDescent="0.35">
      <c r="A439" t="s">
        <v>115</v>
      </c>
      <c r="B439" t="s">
        <v>944</v>
      </c>
      <c r="C439" t="s">
        <v>4242</v>
      </c>
      <c r="D439">
        <v>0.52</v>
      </c>
      <c r="E439" t="s">
        <v>1720</v>
      </c>
      <c r="F439" t="s">
        <v>1724</v>
      </c>
      <c r="G439" t="s">
        <v>4405</v>
      </c>
      <c r="H439" t="s">
        <v>4243</v>
      </c>
    </row>
    <row r="440" spans="1:8" x14ac:dyDescent="0.35">
      <c r="A440" t="s">
        <v>115</v>
      </c>
      <c r="B440" t="s">
        <v>944</v>
      </c>
      <c r="C440" t="s">
        <v>4242</v>
      </c>
      <c r="D440">
        <v>3.8E-3</v>
      </c>
      <c r="E440" t="s">
        <v>1720</v>
      </c>
      <c r="F440" t="s">
        <v>1721</v>
      </c>
      <c r="G440" t="s">
        <v>4405</v>
      </c>
      <c r="H440" t="s">
        <v>4243</v>
      </c>
    </row>
    <row r="441" spans="1:8" x14ac:dyDescent="0.35">
      <c r="A441" t="s">
        <v>115</v>
      </c>
      <c r="B441" t="s">
        <v>944</v>
      </c>
      <c r="C441" t="s">
        <v>4244</v>
      </c>
      <c r="D441">
        <v>0.52</v>
      </c>
      <c r="E441" t="s">
        <v>1720</v>
      </c>
      <c r="F441" t="s">
        <v>1724</v>
      </c>
      <c r="G441" t="s">
        <v>4406</v>
      </c>
      <c r="H441" t="s">
        <v>4245</v>
      </c>
    </row>
    <row r="442" spans="1:8" x14ac:dyDescent="0.35">
      <c r="A442" t="s">
        <v>115</v>
      </c>
      <c r="B442" t="s">
        <v>944</v>
      </c>
      <c r="C442" t="s">
        <v>4244</v>
      </c>
      <c r="D442">
        <v>3.8E-3</v>
      </c>
      <c r="E442" t="s">
        <v>1720</v>
      </c>
      <c r="F442" t="s">
        <v>1721</v>
      </c>
      <c r="G442" t="s">
        <v>4406</v>
      </c>
      <c r="H442" t="s">
        <v>4245</v>
      </c>
    </row>
    <row r="443" spans="1:8" x14ac:dyDescent="0.35">
      <c r="A443" t="s">
        <v>115</v>
      </c>
      <c r="B443" t="s">
        <v>944</v>
      </c>
      <c r="C443" t="s">
        <v>4244</v>
      </c>
      <c r="D443">
        <v>0.9</v>
      </c>
      <c r="E443" t="s">
        <v>1720</v>
      </c>
      <c r="F443" t="s">
        <v>1724</v>
      </c>
      <c r="G443" t="s">
        <v>4407</v>
      </c>
      <c r="H443" t="s">
        <v>4245</v>
      </c>
    </row>
    <row r="444" spans="1:8" x14ac:dyDescent="0.35">
      <c r="A444" t="s">
        <v>115</v>
      </c>
      <c r="B444" t="s">
        <v>944</v>
      </c>
      <c r="C444" t="s">
        <v>4244</v>
      </c>
      <c r="D444">
        <v>0.1</v>
      </c>
      <c r="E444" t="s">
        <v>1720</v>
      </c>
      <c r="F444" t="s">
        <v>1721</v>
      </c>
      <c r="G444" t="s">
        <v>4407</v>
      </c>
      <c r="H444" t="s">
        <v>4245</v>
      </c>
    </row>
    <row r="445" spans="1:8" x14ac:dyDescent="0.35">
      <c r="A445" t="s">
        <v>115</v>
      </c>
      <c r="B445" t="s">
        <v>944</v>
      </c>
      <c r="C445" t="s">
        <v>4246</v>
      </c>
      <c r="D445">
        <v>3.8E-3</v>
      </c>
      <c r="E445" t="s">
        <v>1720</v>
      </c>
      <c r="F445" t="s">
        <v>1721</v>
      </c>
      <c r="G445" t="s">
        <v>4402</v>
      </c>
      <c r="H445" t="s">
        <v>4247</v>
      </c>
    </row>
    <row r="446" spans="1:8" x14ac:dyDescent="0.35">
      <c r="A446" t="s">
        <v>115</v>
      </c>
      <c r="B446" t="s">
        <v>944</v>
      </c>
      <c r="C446" t="s">
        <v>4246</v>
      </c>
      <c r="D446">
        <v>0.52</v>
      </c>
      <c r="E446" t="s">
        <v>1720</v>
      </c>
      <c r="F446" t="s">
        <v>1724</v>
      </c>
      <c r="G446" t="s">
        <v>4402</v>
      </c>
      <c r="H446" t="s">
        <v>4247</v>
      </c>
    </row>
    <row r="447" spans="1:8" x14ac:dyDescent="0.35">
      <c r="A447" t="s">
        <v>115</v>
      </c>
      <c r="B447" t="s">
        <v>944</v>
      </c>
      <c r="C447" t="s">
        <v>4248</v>
      </c>
      <c r="D447">
        <v>0.26</v>
      </c>
      <c r="E447" t="s">
        <v>1720</v>
      </c>
      <c r="F447" t="s">
        <v>1724</v>
      </c>
      <c r="G447" t="s">
        <v>4402</v>
      </c>
      <c r="H447" t="s">
        <v>4249</v>
      </c>
    </row>
    <row r="448" spans="1:8" x14ac:dyDescent="0.35">
      <c r="A448" t="s">
        <v>115</v>
      </c>
      <c r="B448" t="s">
        <v>944</v>
      </c>
      <c r="C448" t="s">
        <v>4248</v>
      </c>
      <c r="D448">
        <v>3.8E-3</v>
      </c>
      <c r="E448" t="s">
        <v>1720</v>
      </c>
      <c r="F448" t="s">
        <v>1721</v>
      </c>
      <c r="G448" t="s">
        <v>4402</v>
      </c>
      <c r="H448" t="s">
        <v>4249</v>
      </c>
    </row>
    <row r="449" spans="1:8" x14ac:dyDescent="0.35">
      <c r="A449" t="s">
        <v>115</v>
      </c>
      <c r="B449" t="s">
        <v>944</v>
      </c>
      <c r="C449" t="s">
        <v>4323</v>
      </c>
      <c r="D449">
        <v>0.52</v>
      </c>
      <c r="E449" t="s">
        <v>1720</v>
      </c>
      <c r="F449" t="s">
        <v>1724</v>
      </c>
      <c r="G449" t="s">
        <v>4428</v>
      </c>
      <c r="H449" t="s">
        <v>4324</v>
      </c>
    </row>
    <row r="450" spans="1:8" x14ac:dyDescent="0.35">
      <c r="A450" t="s">
        <v>115</v>
      </c>
      <c r="B450" t="s">
        <v>944</v>
      </c>
      <c r="C450" t="s">
        <v>4323</v>
      </c>
      <c r="D450">
        <v>4.0000000000000001E-3</v>
      </c>
      <c r="E450" t="s">
        <v>1720</v>
      </c>
      <c r="F450" t="s">
        <v>1721</v>
      </c>
      <c r="G450" t="s">
        <v>4428</v>
      </c>
      <c r="H450" t="s">
        <v>4324</v>
      </c>
    </row>
    <row r="451" spans="1:8" x14ac:dyDescent="0.35">
      <c r="A451" t="s">
        <v>115</v>
      </c>
      <c r="B451" t="s">
        <v>944</v>
      </c>
      <c r="C451" t="s">
        <v>4323</v>
      </c>
      <c r="D451">
        <v>0.52</v>
      </c>
      <c r="E451" t="s">
        <v>1720</v>
      </c>
      <c r="F451" t="s">
        <v>1724</v>
      </c>
      <c r="G451" t="s">
        <v>4429</v>
      </c>
      <c r="H451" t="s">
        <v>4324</v>
      </c>
    </row>
    <row r="452" spans="1:8" x14ac:dyDescent="0.35">
      <c r="A452" t="s">
        <v>115</v>
      </c>
      <c r="B452" t="s">
        <v>944</v>
      </c>
      <c r="C452" t="s">
        <v>4323</v>
      </c>
      <c r="D452">
        <v>4.0000000000000001E-3</v>
      </c>
      <c r="E452" t="s">
        <v>1720</v>
      </c>
      <c r="F452" t="s">
        <v>1721</v>
      </c>
      <c r="G452" t="s">
        <v>4429</v>
      </c>
      <c r="H452" t="s">
        <v>4324</v>
      </c>
    </row>
    <row r="453" spans="1:8" x14ac:dyDescent="0.35">
      <c r="A453" t="s">
        <v>115</v>
      </c>
      <c r="B453" t="s">
        <v>944</v>
      </c>
      <c r="C453" t="s">
        <v>4323</v>
      </c>
      <c r="D453">
        <v>0.57999999999999996</v>
      </c>
      <c r="E453" t="s">
        <v>1720</v>
      </c>
      <c r="F453" t="s">
        <v>1724</v>
      </c>
      <c r="G453" t="s">
        <v>4430</v>
      </c>
      <c r="H453" t="s">
        <v>4324</v>
      </c>
    </row>
    <row r="454" spans="1:8" x14ac:dyDescent="0.35">
      <c r="A454" t="s">
        <v>115</v>
      </c>
      <c r="B454" t="s">
        <v>944</v>
      </c>
      <c r="C454" t="s">
        <v>4323</v>
      </c>
      <c r="D454">
        <v>1.2999999999999999E-2</v>
      </c>
      <c r="E454" t="s">
        <v>1720</v>
      </c>
      <c r="F454" t="s">
        <v>1721</v>
      </c>
      <c r="G454" t="s">
        <v>4430</v>
      </c>
      <c r="H454" t="s">
        <v>4324</v>
      </c>
    </row>
    <row r="455" spans="1:8" x14ac:dyDescent="0.35">
      <c r="A455" t="s">
        <v>115</v>
      </c>
      <c r="B455" t="s">
        <v>944</v>
      </c>
      <c r="C455" t="s">
        <v>4323</v>
      </c>
      <c r="D455">
        <v>0.9</v>
      </c>
      <c r="E455" t="s">
        <v>1720</v>
      </c>
      <c r="F455" t="s">
        <v>1724</v>
      </c>
      <c r="G455" t="s">
        <v>4446</v>
      </c>
      <c r="H455" t="s">
        <v>4324</v>
      </c>
    </row>
    <row r="456" spans="1:8" x14ac:dyDescent="0.35">
      <c r="A456" t="s">
        <v>115</v>
      </c>
      <c r="B456" t="s">
        <v>944</v>
      </c>
      <c r="C456" t="s">
        <v>4323</v>
      </c>
      <c r="D456">
        <v>0.1</v>
      </c>
      <c r="E456" t="s">
        <v>1720</v>
      </c>
      <c r="F456" t="s">
        <v>1721</v>
      </c>
      <c r="G456" t="s">
        <v>4446</v>
      </c>
      <c r="H456" t="s">
        <v>4324</v>
      </c>
    </row>
    <row r="457" spans="1:8" x14ac:dyDescent="0.35">
      <c r="A457" t="s">
        <v>115</v>
      </c>
      <c r="B457" t="s">
        <v>944</v>
      </c>
      <c r="C457" t="s">
        <v>4250</v>
      </c>
      <c r="D457">
        <v>0.52</v>
      </c>
      <c r="E457" t="s">
        <v>1720</v>
      </c>
      <c r="F457" t="s">
        <v>1724</v>
      </c>
      <c r="G457" t="s">
        <v>4402</v>
      </c>
      <c r="H457" t="s">
        <v>4251</v>
      </c>
    </row>
    <row r="458" spans="1:8" x14ac:dyDescent="0.35">
      <c r="A458" t="s">
        <v>115</v>
      </c>
      <c r="B458" t="s">
        <v>944</v>
      </c>
      <c r="C458" t="s">
        <v>4250</v>
      </c>
      <c r="D458">
        <v>3.8E-3</v>
      </c>
      <c r="E458" t="s">
        <v>1720</v>
      </c>
      <c r="F458" t="s">
        <v>1721</v>
      </c>
      <c r="G458" t="s">
        <v>4402</v>
      </c>
      <c r="H458" t="s">
        <v>4251</v>
      </c>
    </row>
    <row r="459" spans="1:8" x14ac:dyDescent="0.35">
      <c r="A459" t="s">
        <v>115</v>
      </c>
      <c r="B459" t="s">
        <v>944</v>
      </c>
      <c r="C459" t="s">
        <v>4252</v>
      </c>
      <c r="D459">
        <v>0.52</v>
      </c>
      <c r="E459" t="s">
        <v>1720</v>
      </c>
      <c r="F459" t="s">
        <v>1724</v>
      </c>
      <c r="G459" t="s">
        <v>4402</v>
      </c>
      <c r="H459" t="s">
        <v>4253</v>
      </c>
    </row>
    <row r="460" spans="1:8" x14ac:dyDescent="0.35">
      <c r="A460" t="s">
        <v>115</v>
      </c>
      <c r="B460" t="s">
        <v>944</v>
      </c>
      <c r="C460" t="s">
        <v>4252</v>
      </c>
      <c r="D460">
        <v>3.8E-3</v>
      </c>
      <c r="E460" t="s">
        <v>1720</v>
      </c>
      <c r="F460" t="s">
        <v>1721</v>
      </c>
      <c r="G460" t="s">
        <v>4402</v>
      </c>
      <c r="H460" t="s">
        <v>4253</v>
      </c>
    </row>
    <row r="461" spans="1:8" x14ac:dyDescent="0.35">
      <c r="A461" t="s">
        <v>115</v>
      </c>
      <c r="B461" t="s">
        <v>944</v>
      </c>
      <c r="C461" t="s">
        <v>4254</v>
      </c>
      <c r="D461">
        <v>0.52</v>
      </c>
      <c r="E461" t="s">
        <v>1720</v>
      </c>
      <c r="F461" t="s">
        <v>1724</v>
      </c>
      <c r="G461" t="s">
        <v>4402</v>
      </c>
      <c r="H461" t="s">
        <v>4255</v>
      </c>
    </row>
    <row r="462" spans="1:8" x14ac:dyDescent="0.35">
      <c r="A462" t="s">
        <v>115</v>
      </c>
      <c r="B462" t="s">
        <v>944</v>
      </c>
      <c r="C462" t="s">
        <v>4254</v>
      </c>
      <c r="D462">
        <v>3.8E-3</v>
      </c>
      <c r="E462" t="s">
        <v>1720</v>
      </c>
      <c r="F462" t="s">
        <v>1721</v>
      </c>
      <c r="G462" t="s">
        <v>4402</v>
      </c>
      <c r="H462" t="s">
        <v>4255</v>
      </c>
    </row>
    <row r="463" spans="1:8" x14ac:dyDescent="0.35">
      <c r="A463" t="s">
        <v>115</v>
      </c>
      <c r="B463" t="s">
        <v>944</v>
      </c>
      <c r="C463" t="s">
        <v>4319</v>
      </c>
      <c r="D463">
        <v>3.8E-3</v>
      </c>
      <c r="E463" t="s">
        <v>1720</v>
      </c>
      <c r="F463" t="s">
        <v>1721</v>
      </c>
      <c r="G463" t="s">
        <v>4402</v>
      </c>
      <c r="H463" t="s">
        <v>4320</v>
      </c>
    </row>
    <row r="464" spans="1:8" x14ac:dyDescent="0.35">
      <c r="A464" t="s">
        <v>115</v>
      </c>
      <c r="B464" t="s">
        <v>944</v>
      </c>
      <c r="C464" t="s">
        <v>4319</v>
      </c>
      <c r="D464">
        <v>0.52</v>
      </c>
      <c r="E464" t="s">
        <v>1720</v>
      </c>
      <c r="F464" t="s">
        <v>1724</v>
      </c>
      <c r="G464" t="s">
        <v>4402</v>
      </c>
      <c r="H464" t="s">
        <v>4320</v>
      </c>
    </row>
    <row r="465" spans="1:8" x14ac:dyDescent="0.35">
      <c r="A465" t="s">
        <v>115</v>
      </c>
      <c r="B465" t="s">
        <v>944</v>
      </c>
      <c r="C465" t="s">
        <v>4260</v>
      </c>
      <c r="D465">
        <v>0.52</v>
      </c>
      <c r="E465" t="s">
        <v>1720</v>
      </c>
      <c r="F465" t="s">
        <v>1724</v>
      </c>
      <c r="G465" t="s">
        <v>4409</v>
      </c>
      <c r="H465" t="s">
        <v>4261</v>
      </c>
    </row>
    <row r="466" spans="1:8" x14ac:dyDescent="0.35">
      <c r="A466" t="s">
        <v>115</v>
      </c>
      <c r="B466" t="s">
        <v>944</v>
      </c>
      <c r="C466" t="s">
        <v>4260</v>
      </c>
      <c r="D466">
        <v>3.8E-3</v>
      </c>
      <c r="E466" t="s">
        <v>1720</v>
      </c>
      <c r="F466" t="s">
        <v>1721</v>
      </c>
      <c r="G466" t="s">
        <v>4409</v>
      </c>
      <c r="H466" t="s">
        <v>4261</v>
      </c>
    </row>
    <row r="467" spans="1:8" x14ac:dyDescent="0.35">
      <c r="A467" t="s">
        <v>115</v>
      </c>
      <c r="B467" t="s">
        <v>944</v>
      </c>
      <c r="C467" t="s">
        <v>4262</v>
      </c>
      <c r="D467">
        <v>0.52</v>
      </c>
      <c r="E467" t="s">
        <v>1720</v>
      </c>
      <c r="F467" t="s">
        <v>1724</v>
      </c>
      <c r="G467" t="s">
        <v>4410</v>
      </c>
      <c r="H467" t="s">
        <v>4263</v>
      </c>
    </row>
    <row r="468" spans="1:8" x14ac:dyDescent="0.35">
      <c r="A468" t="s">
        <v>115</v>
      </c>
      <c r="B468" t="s">
        <v>944</v>
      </c>
      <c r="C468" t="s">
        <v>4262</v>
      </c>
      <c r="D468">
        <v>3.8E-3</v>
      </c>
      <c r="E468" t="s">
        <v>1720</v>
      </c>
      <c r="F468" t="s">
        <v>1721</v>
      </c>
      <c r="G468" t="s">
        <v>4410</v>
      </c>
      <c r="H468" t="s">
        <v>4263</v>
      </c>
    </row>
    <row r="469" spans="1:8" x14ac:dyDescent="0.35">
      <c r="A469" t="s">
        <v>115</v>
      </c>
      <c r="B469" t="s">
        <v>944</v>
      </c>
      <c r="C469" t="s">
        <v>4264</v>
      </c>
      <c r="D469">
        <v>0.52</v>
      </c>
      <c r="E469" t="s">
        <v>1720</v>
      </c>
      <c r="F469" t="s">
        <v>1724</v>
      </c>
      <c r="G469" t="s">
        <v>4402</v>
      </c>
      <c r="H469" t="s">
        <v>4265</v>
      </c>
    </row>
    <row r="470" spans="1:8" x14ac:dyDescent="0.35">
      <c r="A470" t="s">
        <v>115</v>
      </c>
      <c r="B470" t="s">
        <v>944</v>
      </c>
      <c r="C470" t="s">
        <v>4264</v>
      </c>
      <c r="D470">
        <v>3.8E-3</v>
      </c>
      <c r="E470" t="s">
        <v>1720</v>
      </c>
      <c r="F470" t="s">
        <v>1721</v>
      </c>
      <c r="G470" t="s">
        <v>4402</v>
      </c>
      <c r="H470" t="s">
        <v>4265</v>
      </c>
    </row>
    <row r="471" spans="1:8" x14ac:dyDescent="0.35">
      <c r="A471" t="s">
        <v>115</v>
      </c>
      <c r="B471" t="s">
        <v>944</v>
      </c>
      <c r="C471" t="s">
        <v>4266</v>
      </c>
      <c r="D471">
        <v>0.52</v>
      </c>
      <c r="E471" t="s">
        <v>1720</v>
      </c>
      <c r="F471" t="s">
        <v>1724</v>
      </c>
      <c r="G471" t="s">
        <v>4402</v>
      </c>
      <c r="H471" t="s">
        <v>4267</v>
      </c>
    </row>
    <row r="472" spans="1:8" x14ac:dyDescent="0.35">
      <c r="A472" t="s">
        <v>115</v>
      </c>
      <c r="B472" t="s">
        <v>944</v>
      </c>
      <c r="C472" t="s">
        <v>4266</v>
      </c>
      <c r="D472">
        <v>3.8E-3</v>
      </c>
      <c r="E472" t="s">
        <v>1720</v>
      </c>
      <c r="F472" t="s">
        <v>1721</v>
      </c>
      <c r="G472" t="s">
        <v>4402</v>
      </c>
      <c r="H472" t="s">
        <v>4267</v>
      </c>
    </row>
    <row r="473" spans="1:8" x14ac:dyDescent="0.35">
      <c r="A473" t="s">
        <v>115</v>
      </c>
      <c r="B473" t="s">
        <v>944</v>
      </c>
      <c r="C473" t="s">
        <v>4268</v>
      </c>
      <c r="D473">
        <v>0.52</v>
      </c>
      <c r="E473" t="s">
        <v>1720</v>
      </c>
      <c r="F473" t="s">
        <v>1724</v>
      </c>
      <c r="G473" t="s">
        <v>4402</v>
      </c>
      <c r="H473" t="s">
        <v>4269</v>
      </c>
    </row>
    <row r="474" spans="1:8" x14ac:dyDescent="0.35">
      <c r="A474" t="s">
        <v>115</v>
      </c>
      <c r="B474" t="s">
        <v>944</v>
      </c>
      <c r="C474" t="s">
        <v>4268</v>
      </c>
      <c r="D474">
        <v>3.8E-3</v>
      </c>
      <c r="E474" t="s">
        <v>1720</v>
      </c>
      <c r="F474" t="s">
        <v>1721</v>
      </c>
      <c r="G474" t="s">
        <v>4402</v>
      </c>
      <c r="H474" t="s">
        <v>4269</v>
      </c>
    </row>
    <row r="475" spans="1:8" x14ac:dyDescent="0.35">
      <c r="A475" t="s">
        <v>115</v>
      </c>
      <c r="B475" t="s">
        <v>944</v>
      </c>
      <c r="C475" t="s">
        <v>4270</v>
      </c>
      <c r="D475">
        <v>0.52</v>
      </c>
      <c r="E475" t="s">
        <v>1720</v>
      </c>
      <c r="F475" t="s">
        <v>1724</v>
      </c>
      <c r="G475" t="s">
        <v>4411</v>
      </c>
      <c r="H475" t="s">
        <v>4271</v>
      </c>
    </row>
    <row r="476" spans="1:8" x14ac:dyDescent="0.35">
      <c r="A476" t="s">
        <v>115</v>
      </c>
      <c r="B476" t="s">
        <v>944</v>
      </c>
      <c r="C476" t="s">
        <v>4270</v>
      </c>
      <c r="D476">
        <v>3.8E-3</v>
      </c>
      <c r="E476" t="s">
        <v>1720</v>
      </c>
      <c r="F476" t="s">
        <v>1721</v>
      </c>
      <c r="G476" t="s">
        <v>4411</v>
      </c>
      <c r="H476" t="s">
        <v>4271</v>
      </c>
    </row>
    <row r="477" spans="1:8" x14ac:dyDescent="0.35">
      <c r="A477" t="s">
        <v>115</v>
      </c>
      <c r="B477" t="s">
        <v>944</v>
      </c>
      <c r="C477" t="s">
        <v>4272</v>
      </c>
      <c r="D477">
        <v>0.52</v>
      </c>
      <c r="E477" t="s">
        <v>1720</v>
      </c>
      <c r="F477" t="s">
        <v>1724</v>
      </c>
      <c r="G477" t="s">
        <v>4402</v>
      </c>
      <c r="H477" t="s">
        <v>4273</v>
      </c>
    </row>
    <row r="478" spans="1:8" x14ac:dyDescent="0.35">
      <c r="A478" t="s">
        <v>115</v>
      </c>
      <c r="B478" t="s">
        <v>944</v>
      </c>
      <c r="C478" t="s">
        <v>4272</v>
      </c>
      <c r="D478">
        <v>3.8E-3</v>
      </c>
      <c r="E478" t="s">
        <v>1720</v>
      </c>
      <c r="F478" t="s">
        <v>1721</v>
      </c>
      <c r="G478" t="s">
        <v>4402</v>
      </c>
      <c r="H478" t="s">
        <v>4273</v>
      </c>
    </row>
    <row r="479" spans="1:8" x14ac:dyDescent="0.35">
      <c r="A479" t="s">
        <v>115</v>
      </c>
      <c r="B479" t="s">
        <v>944</v>
      </c>
      <c r="C479" t="s">
        <v>4258</v>
      </c>
      <c r="D479">
        <v>0.52</v>
      </c>
      <c r="E479" t="s">
        <v>1720</v>
      </c>
      <c r="F479" t="s">
        <v>1724</v>
      </c>
      <c r="G479" t="s">
        <v>4408</v>
      </c>
      <c r="H479" t="s">
        <v>4259</v>
      </c>
    </row>
    <row r="480" spans="1:8" x14ac:dyDescent="0.35">
      <c r="A480" t="s">
        <v>115</v>
      </c>
      <c r="B480" t="s">
        <v>944</v>
      </c>
      <c r="C480" t="s">
        <v>4258</v>
      </c>
      <c r="D480">
        <v>3.5999999999999999E-3</v>
      </c>
      <c r="E480" t="s">
        <v>1720</v>
      </c>
      <c r="F480" t="s">
        <v>1721</v>
      </c>
      <c r="G480" t="s">
        <v>4408</v>
      </c>
      <c r="H480" t="s">
        <v>4259</v>
      </c>
    </row>
    <row r="481" spans="1:8" x14ac:dyDescent="0.35">
      <c r="A481" t="s">
        <v>115</v>
      </c>
      <c r="B481" t="s">
        <v>944</v>
      </c>
      <c r="C481" t="s">
        <v>4274</v>
      </c>
      <c r="D481">
        <v>0.52</v>
      </c>
      <c r="E481" t="s">
        <v>1720</v>
      </c>
      <c r="F481" t="s">
        <v>1724</v>
      </c>
      <c r="G481" t="s">
        <v>4412</v>
      </c>
      <c r="H481" t="s">
        <v>4275</v>
      </c>
    </row>
    <row r="482" spans="1:8" x14ac:dyDescent="0.35">
      <c r="A482" t="s">
        <v>115</v>
      </c>
      <c r="B482" t="s">
        <v>944</v>
      </c>
      <c r="C482" t="s">
        <v>4274</v>
      </c>
      <c r="D482">
        <v>3.8E-3</v>
      </c>
      <c r="E482" t="s">
        <v>1720</v>
      </c>
      <c r="F482" t="s">
        <v>1721</v>
      </c>
      <c r="G482" t="s">
        <v>4412</v>
      </c>
      <c r="H482" t="s">
        <v>4275</v>
      </c>
    </row>
    <row r="483" spans="1:8" x14ac:dyDescent="0.35">
      <c r="A483" t="s">
        <v>115</v>
      </c>
      <c r="B483" t="s">
        <v>944</v>
      </c>
      <c r="C483" t="s">
        <v>4276</v>
      </c>
      <c r="D483">
        <v>0.52</v>
      </c>
      <c r="E483" t="s">
        <v>1720</v>
      </c>
      <c r="F483" t="s">
        <v>1724</v>
      </c>
      <c r="G483" t="s">
        <v>4413</v>
      </c>
      <c r="H483" t="s">
        <v>4277</v>
      </c>
    </row>
    <row r="484" spans="1:8" x14ac:dyDescent="0.35">
      <c r="A484" t="s">
        <v>115</v>
      </c>
      <c r="B484" t="s">
        <v>944</v>
      </c>
      <c r="C484" t="s">
        <v>4276</v>
      </c>
      <c r="D484">
        <v>3.8E-3</v>
      </c>
      <c r="E484" t="s">
        <v>1720</v>
      </c>
      <c r="F484" t="s">
        <v>1721</v>
      </c>
      <c r="G484" t="s">
        <v>4413</v>
      </c>
      <c r="H484" t="s">
        <v>4277</v>
      </c>
    </row>
    <row r="485" spans="1:8" x14ac:dyDescent="0.35">
      <c r="A485" t="s">
        <v>115</v>
      </c>
      <c r="B485" t="s">
        <v>944</v>
      </c>
      <c r="C485" t="s">
        <v>4278</v>
      </c>
      <c r="D485">
        <v>3.8E-3</v>
      </c>
      <c r="E485" t="s">
        <v>1720</v>
      </c>
      <c r="F485" t="s">
        <v>1724</v>
      </c>
      <c r="G485" t="s">
        <v>4414</v>
      </c>
      <c r="H485" t="s">
        <v>4279</v>
      </c>
    </row>
    <row r="486" spans="1:8" x14ac:dyDescent="0.35">
      <c r="A486" t="s">
        <v>115</v>
      </c>
      <c r="B486" t="s">
        <v>944</v>
      </c>
      <c r="C486" t="s">
        <v>4278</v>
      </c>
      <c r="D486">
        <v>0.52</v>
      </c>
      <c r="E486" t="s">
        <v>1720</v>
      </c>
      <c r="F486" t="s">
        <v>1721</v>
      </c>
      <c r="G486" t="s">
        <v>4414</v>
      </c>
      <c r="H486" t="s">
        <v>4279</v>
      </c>
    </row>
    <row r="487" spans="1:8" x14ac:dyDescent="0.35">
      <c r="A487" t="s">
        <v>115</v>
      </c>
      <c r="B487" t="s">
        <v>944</v>
      </c>
      <c r="C487" t="s">
        <v>4280</v>
      </c>
      <c r="D487">
        <v>3.8E-3</v>
      </c>
      <c r="E487" t="s">
        <v>1720</v>
      </c>
      <c r="F487" t="s">
        <v>1721</v>
      </c>
      <c r="G487" t="s">
        <v>4415</v>
      </c>
      <c r="H487" t="s">
        <v>4281</v>
      </c>
    </row>
    <row r="488" spans="1:8" x14ac:dyDescent="0.35">
      <c r="A488" t="s">
        <v>115</v>
      </c>
      <c r="B488" t="s">
        <v>944</v>
      </c>
      <c r="C488" t="s">
        <v>4280</v>
      </c>
      <c r="D488">
        <v>0.52</v>
      </c>
      <c r="E488" t="s">
        <v>1720</v>
      </c>
      <c r="F488" t="s">
        <v>1724</v>
      </c>
      <c r="G488" t="s">
        <v>4415</v>
      </c>
      <c r="H488" t="s">
        <v>4281</v>
      </c>
    </row>
    <row r="489" spans="1:8" x14ac:dyDescent="0.35">
      <c r="A489" t="s">
        <v>115</v>
      </c>
      <c r="B489" t="s">
        <v>944</v>
      </c>
      <c r="C489" t="s">
        <v>4256</v>
      </c>
      <c r="D489">
        <v>0.52</v>
      </c>
      <c r="E489" t="s">
        <v>1720</v>
      </c>
      <c r="F489" t="s">
        <v>1724</v>
      </c>
      <c r="G489" t="s">
        <v>4402</v>
      </c>
      <c r="H489" t="s">
        <v>4257</v>
      </c>
    </row>
    <row r="490" spans="1:8" x14ac:dyDescent="0.35">
      <c r="A490" t="s">
        <v>115</v>
      </c>
      <c r="B490" t="s">
        <v>944</v>
      </c>
      <c r="C490" t="s">
        <v>4256</v>
      </c>
      <c r="D490">
        <v>3.8E-3</v>
      </c>
      <c r="E490" t="s">
        <v>1720</v>
      </c>
      <c r="F490" t="s">
        <v>1721</v>
      </c>
      <c r="G490" t="s">
        <v>4402</v>
      </c>
      <c r="H490" t="s">
        <v>4257</v>
      </c>
    </row>
    <row r="491" spans="1:8" x14ac:dyDescent="0.35">
      <c r="A491" t="s">
        <v>115</v>
      </c>
      <c r="B491" t="s">
        <v>944</v>
      </c>
      <c r="C491" t="s">
        <v>4282</v>
      </c>
      <c r="D491">
        <v>0.52</v>
      </c>
      <c r="E491" t="s">
        <v>1720</v>
      </c>
      <c r="F491" t="s">
        <v>1724</v>
      </c>
      <c r="G491" t="s">
        <v>4402</v>
      </c>
      <c r="H491" t="s">
        <v>4283</v>
      </c>
    </row>
    <row r="492" spans="1:8" x14ac:dyDescent="0.35">
      <c r="A492" t="s">
        <v>115</v>
      </c>
      <c r="B492" t="s">
        <v>944</v>
      </c>
      <c r="C492" t="s">
        <v>4282</v>
      </c>
      <c r="D492">
        <v>3.8E-3</v>
      </c>
      <c r="E492" t="s">
        <v>1720</v>
      </c>
      <c r="F492" t="s">
        <v>1721</v>
      </c>
      <c r="G492" t="s">
        <v>4402</v>
      </c>
      <c r="H492" t="s">
        <v>4283</v>
      </c>
    </row>
    <row r="493" spans="1:8" x14ac:dyDescent="0.35">
      <c r="A493" t="s">
        <v>115</v>
      </c>
      <c r="B493" t="s">
        <v>944</v>
      </c>
      <c r="C493" t="s">
        <v>4298</v>
      </c>
      <c r="D493">
        <v>0.52</v>
      </c>
      <c r="E493" t="s">
        <v>1720</v>
      </c>
      <c r="F493" t="s">
        <v>1724</v>
      </c>
      <c r="G493" t="s">
        <v>4419</v>
      </c>
      <c r="H493" t="s">
        <v>4299</v>
      </c>
    </row>
    <row r="494" spans="1:8" x14ac:dyDescent="0.35">
      <c r="A494" t="s">
        <v>115</v>
      </c>
      <c r="B494" t="s">
        <v>944</v>
      </c>
      <c r="C494" t="s">
        <v>4298</v>
      </c>
      <c r="D494">
        <v>3.8E-3</v>
      </c>
      <c r="E494" t="s">
        <v>1720</v>
      </c>
      <c r="F494" t="s">
        <v>1721</v>
      </c>
      <c r="G494" t="s">
        <v>4419</v>
      </c>
      <c r="H494" t="s">
        <v>4299</v>
      </c>
    </row>
    <row r="495" spans="1:8" x14ac:dyDescent="0.35">
      <c r="A495" t="s">
        <v>115</v>
      </c>
      <c r="B495" t="s">
        <v>944</v>
      </c>
      <c r="C495" t="s">
        <v>4290</v>
      </c>
      <c r="D495">
        <v>0.52</v>
      </c>
      <c r="E495" t="s">
        <v>1720</v>
      </c>
      <c r="F495" t="s">
        <v>1724</v>
      </c>
      <c r="G495" t="s">
        <v>4402</v>
      </c>
      <c r="H495" t="s">
        <v>4291</v>
      </c>
    </row>
    <row r="496" spans="1:8" x14ac:dyDescent="0.35">
      <c r="A496" t="s">
        <v>115</v>
      </c>
      <c r="B496" t="s">
        <v>944</v>
      </c>
      <c r="C496" t="s">
        <v>4290</v>
      </c>
      <c r="D496">
        <v>3.8E-3</v>
      </c>
      <c r="E496" t="s">
        <v>1720</v>
      </c>
      <c r="F496" t="s">
        <v>1721</v>
      </c>
      <c r="G496" t="s">
        <v>4402</v>
      </c>
      <c r="H496" t="s">
        <v>4291</v>
      </c>
    </row>
    <row r="497" spans="1:8" x14ac:dyDescent="0.35">
      <c r="A497" t="s">
        <v>115</v>
      </c>
      <c r="B497" t="s">
        <v>944</v>
      </c>
      <c r="C497" t="s">
        <v>4288</v>
      </c>
      <c r="D497">
        <v>0.52</v>
      </c>
      <c r="E497" t="s">
        <v>1720</v>
      </c>
      <c r="F497" t="s">
        <v>1724</v>
      </c>
      <c r="G497" t="s">
        <v>4415</v>
      </c>
      <c r="H497" t="s">
        <v>4289</v>
      </c>
    </row>
    <row r="498" spans="1:8" x14ac:dyDescent="0.35">
      <c r="A498" t="s">
        <v>115</v>
      </c>
      <c r="B498" t="s">
        <v>944</v>
      </c>
      <c r="C498" t="s">
        <v>4288</v>
      </c>
      <c r="D498">
        <v>3.8E-3</v>
      </c>
      <c r="E498" t="s">
        <v>1720</v>
      </c>
      <c r="F498" t="s">
        <v>1721</v>
      </c>
      <c r="G498" t="s">
        <v>4415</v>
      </c>
      <c r="H498" t="s">
        <v>4289</v>
      </c>
    </row>
    <row r="499" spans="1:8" x14ac:dyDescent="0.35">
      <c r="A499" t="s">
        <v>115</v>
      </c>
      <c r="B499" t="s">
        <v>944</v>
      </c>
      <c r="C499" t="s">
        <v>4292</v>
      </c>
      <c r="D499">
        <v>0.52</v>
      </c>
      <c r="E499" t="s">
        <v>1720</v>
      </c>
      <c r="F499" t="s">
        <v>1724</v>
      </c>
      <c r="G499" t="s">
        <v>4402</v>
      </c>
      <c r="H499" t="s">
        <v>4293</v>
      </c>
    </row>
    <row r="500" spans="1:8" x14ac:dyDescent="0.35">
      <c r="A500" t="s">
        <v>115</v>
      </c>
      <c r="B500" t="s">
        <v>944</v>
      </c>
      <c r="C500" t="s">
        <v>4292</v>
      </c>
      <c r="D500">
        <v>3.8E-3</v>
      </c>
      <c r="E500" t="s">
        <v>1720</v>
      </c>
      <c r="F500" t="s">
        <v>1721</v>
      </c>
      <c r="G500" t="s">
        <v>4402</v>
      </c>
      <c r="H500" t="s">
        <v>4293</v>
      </c>
    </row>
    <row r="501" spans="1:8" x14ac:dyDescent="0.35">
      <c r="A501" t="s">
        <v>115</v>
      </c>
      <c r="B501" t="s">
        <v>944</v>
      </c>
      <c r="C501" t="s">
        <v>4294</v>
      </c>
      <c r="D501">
        <v>0.52</v>
      </c>
      <c r="E501" t="s">
        <v>1720</v>
      </c>
      <c r="F501" t="s">
        <v>1724</v>
      </c>
      <c r="G501" t="s">
        <v>4418</v>
      </c>
      <c r="H501" t="s">
        <v>4295</v>
      </c>
    </row>
    <row r="502" spans="1:8" x14ac:dyDescent="0.35">
      <c r="A502" t="s">
        <v>115</v>
      </c>
      <c r="B502" t="s">
        <v>944</v>
      </c>
      <c r="C502" t="s">
        <v>4294</v>
      </c>
      <c r="D502">
        <v>3.8E-3</v>
      </c>
      <c r="E502" t="s">
        <v>1720</v>
      </c>
      <c r="F502" t="s">
        <v>1721</v>
      </c>
      <c r="G502" t="s">
        <v>4418</v>
      </c>
      <c r="H502" t="s">
        <v>4295</v>
      </c>
    </row>
    <row r="503" spans="1:8" x14ac:dyDescent="0.35">
      <c r="A503" t="s">
        <v>115</v>
      </c>
      <c r="B503" t="s">
        <v>944</v>
      </c>
      <c r="C503" t="s">
        <v>4286</v>
      </c>
      <c r="D503">
        <v>0.52</v>
      </c>
      <c r="E503" t="s">
        <v>1720</v>
      </c>
      <c r="F503" t="s">
        <v>1724</v>
      </c>
      <c r="G503" t="s">
        <v>4402</v>
      </c>
      <c r="H503" t="s">
        <v>4287</v>
      </c>
    </row>
    <row r="504" spans="1:8" x14ac:dyDescent="0.35">
      <c r="A504" t="s">
        <v>115</v>
      </c>
      <c r="B504" t="s">
        <v>944</v>
      </c>
      <c r="C504" t="s">
        <v>4286</v>
      </c>
      <c r="D504">
        <v>3.8E-3</v>
      </c>
      <c r="E504" t="s">
        <v>1720</v>
      </c>
      <c r="F504" t="s">
        <v>1721</v>
      </c>
      <c r="G504" t="s">
        <v>4402</v>
      </c>
      <c r="H504" t="s">
        <v>4287</v>
      </c>
    </row>
    <row r="505" spans="1:8" x14ac:dyDescent="0.35">
      <c r="A505" t="s">
        <v>115</v>
      </c>
      <c r="B505" t="s">
        <v>944</v>
      </c>
      <c r="C505" t="s">
        <v>4296</v>
      </c>
      <c r="D505">
        <v>0.52</v>
      </c>
      <c r="E505" t="s">
        <v>1720</v>
      </c>
      <c r="F505" t="s">
        <v>1724</v>
      </c>
      <c r="G505" t="s">
        <v>4402</v>
      </c>
      <c r="H505" t="s">
        <v>4297</v>
      </c>
    </row>
    <row r="506" spans="1:8" x14ac:dyDescent="0.35">
      <c r="A506" t="s">
        <v>115</v>
      </c>
      <c r="B506" t="s">
        <v>944</v>
      </c>
      <c r="C506" t="s">
        <v>4296</v>
      </c>
      <c r="D506">
        <v>3.8E-3</v>
      </c>
      <c r="E506" t="s">
        <v>1720</v>
      </c>
      <c r="F506" t="s">
        <v>1721</v>
      </c>
      <c r="G506" t="s">
        <v>4402</v>
      </c>
      <c r="H506" t="s">
        <v>4297</v>
      </c>
    </row>
    <row r="507" spans="1:8" x14ac:dyDescent="0.35">
      <c r="A507" t="s">
        <v>122</v>
      </c>
      <c r="B507" t="s">
        <v>951</v>
      </c>
      <c r="C507" t="s">
        <v>4187</v>
      </c>
      <c r="D507">
        <v>11000</v>
      </c>
      <c r="E507" t="s">
        <v>1720</v>
      </c>
      <c r="F507" t="s">
        <v>1724</v>
      </c>
      <c r="G507" t="s">
        <v>4384</v>
      </c>
      <c r="H507" t="s">
        <v>4188</v>
      </c>
    </row>
    <row r="508" spans="1:8" x14ac:dyDescent="0.35">
      <c r="A508" t="s">
        <v>122</v>
      </c>
      <c r="B508" t="s">
        <v>951</v>
      </c>
      <c r="C508" t="s">
        <v>4185</v>
      </c>
      <c r="D508">
        <v>33</v>
      </c>
      <c r="E508" t="s">
        <v>1720</v>
      </c>
      <c r="F508" t="s">
        <v>1721</v>
      </c>
      <c r="G508" t="s">
        <v>4383</v>
      </c>
      <c r="H508" t="s">
        <v>4186</v>
      </c>
    </row>
    <row r="509" spans="1:8" x14ac:dyDescent="0.35">
      <c r="A509" t="s">
        <v>122</v>
      </c>
      <c r="B509" t="s">
        <v>951</v>
      </c>
      <c r="C509" t="s">
        <v>4185</v>
      </c>
      <c r="D509">
        <v>1465</v>
      </c>
      <c r="E509" t="s">
        <v>1720</v>
      </c>
      <c r="F509" t="s">
        <v>1724</v>
      </c>
      <c r="G509" t="s">
        <v>4383</v>
      </c>
      <c r="H509" t="s">
        <v>4186</v>
      </c>
    </row>
    <row r="510" spans="1:8" x14ac:dyDescent="0.35">
      <c r="A510" t="s">
        <v>122</v>
      </c>
      <c r="B510" t="s">
        <v>951</v>
      </c>
      <c r="C510" t="s">
        <v>4197</v>
      </c>
      <c r="D510">
        <v>370</v>
      </c>
      <c r="E510" t="s">
        <v>1720</v>
      </c>
      <c r="F510" t="s">
        <v>1721</v>
      </c>
      <c r="G510" t="s">
        <v>4388</v>
      </c>
      <c r="H510" t="s">
        <v>4198</v>
      </c>
    </row>
    <row r="511" spans="1:8" x14ac:dyDescent="0.35">
      <c r="A511" t="s">
        <v>122</v>
      </c>
      <c r="B511" t="s">
        <v>951</v>
      </c>
      <c r="C511" t="s">
        <v>4197</v>
      </c>
      <c r="D511">
        <v>1800</v>
      </c>
      <c r="E511" t="s">
        <v>1720</v>
      </c>
      <c r="F511" t="s">
        <v>1724</v>
      </c>
      <c r="G511" t="s">
        <v>4388</v>
      </c>
      <c r="H511" t="s">
        <v>4198</v>
      </c>
    </row>
    <row r="512" spans="1:8" x14ac:dyDescent="0.35">
      <c r="A512" t="s">
        <v>122</v>
      </c>
      <c r="B512" t="s">
        <v>951</v>
      </c>
      <c r="C512" t="s">
        <v>4223</v>
      </c>
      <c r="D512">
        <v>11000</v>
      </c>
      <c r="E512" t="s">
        <v>1720</v>
      </c>
      <c r="F512" t="s">
        <v>1724</v>
      </c>
      <c r="G512" t="s">
        <v>4399</v>
      </c>
      <c r="H512" t="s">
        <v>4224</v>
      </c>
    </row>
    <row r="513" spans="1:8" x14ac:dyDescent="0.35">
      <c r="A513" t="s">
        <v>122</v>
      </c>
      <c r="B513" t="s">
        <v>951</v>
      </c>
      <c r="C513" t="s">
        <v>4213</v>
      </c>
      <c r="D513">
        <v>30</v>
      </c>
      <c r="E513" t="s">
        <v>1720</v>
      </c>
      <c r="F513" t="s">
        <v>1721</v>
      </c>
      <c r="G513" t="s">
        <v>4393</v>
      </c>
      <c r="H513" t="s">
        <v>4214</v>
      </c>
    </row>
    <row r="514" spans="1:8" x14ac:dyDescent="0.35">
      <c r="A514" t="s">
        <v>122</v>
      </c>
      <c r="B514" t="s">
        <v>951</v>
      </c>
      <c r="C514" t="s">
        <v>4336</v>
      </c>
      <c r="D514">
        <v>1465</v>
      </c>
      <c r="E514" t="s">
        <v>1720</v>
      </c>
      <c r="F514" t="s">
        <v>1721</v>
      </c>
      <c r="G514" t="s">
        <v>4445</v>
      </c>
      <c r="H514" t="s">
        <v>4337</v>
      </c>
    </row>
    <row r="515" spans="1:8" x14ac:dyDescent="0.35">
      <c r="A515" t="s">
        <v>122</v>
      </c>
      <c r="B515" t="s">
        <v>951</v>
      </c>
      <c r="C515" t="s">
        <v>4336</v>
      </c>
      <c r="D515">
        <v>2930</v>
      </c>
      <c r="E515" t="s">
        <v>1720</v>
      </c>
      <c r="F515" t="s">
        <v>1724</v>
      </c>
      <c r="G515" t="s">
        <v>4445</v>
      </c>
      <c r="H515" t="s">
        <v>4337</v>
      </c>
    </row>
    <row r="516" spans="1:8" x14ac:dyDescent="0.35">
      <c r="A516" t="s">
        <v>122</v>
      </c>
      <c r="B516" t="s">
        <v>951</v>
      </c>
      <c r="C516" t="s">
        <v>4313</v>
      </c>
      <c r="D516">
        <v>10000</v>
      </c>
      <c r="E516" t="s">
        <v>1720</v>
      </c>
      <c r="F516" t="s">
        <v>1721</v>
      </c>
      <c r="G516" t="s">
        <v>4423</v>
      </c>
      <c r="H516" t="s">
        <v>4314</v>
      </c>
    </row>
    <row r="517" spans="1:8" x14ac:dyDescent="0.35">
      <c r="A517" t="s">
        <v>122</v>
      </c>
      <c r="B517" t="s">
        <v>951</v>
      </c>
      <c r="C517" t="s">
        <v>4313</v>
      </c>
      <c r="D517">
        <v>15000</v>
      </c>
      <c r="E517" t="s">
        <v>1720</v>
      </c>
      <c r="F517" t="s">
        <v>1724</v>
      </c>
      <c r="G517" t="s">
        <v>4423</v>
      </c>
      <c r="H517" t="s">
        <v>4314</v>
      </c>
    </row>
    <row r="518" spans="1:8" x14ac:dyDescent="0.35">
      <c r="A518" t="s">
        <v>122</v>
      </c>
      <c r="B518" t="s">
        <v>951</v>
      </c>
      <c r="C518" t="s">
        <v>4313</v>
      </c>
      <c r="D518">
        <v>10000</v>
      </c>
      <c r="E518" t="s">
        <v>1720</v>
      </c>
      <c r="F518" t="s">
        <v>1721</v>
      </c>
      <c r="G518" t="s">
        <v>4424</v>
      </c>
      <c r="H518" t="s">
        <v>4314</v>
      </c>
    </row>
    <row r="519" spans="1:8" x14ac:dyDescent="0.35">
      <c r="A519" t="s">
        <v>122</v>
      </c>
      <c r="B519" t="s">
        <v>951</v>
      </c>
      <c r="C519" t="s">
        <v>4313</v>
      </c>
      <c r="D519">
        <v>15000</v>
      </c>
      <c r="E519" t="s">
        <v>1720</v>
      </c>
      <c r="F519" t="s">
        <v>1724</v>
      </c>
      <c r="G519" t="s">
        <v>4424</v>
      </c>
      <c r="H519" t="s">
        <v>4314</v>
      </c>
    </row>
    <row r="520" spans="1:8" x14ac:dyDescent="0.35">
      <c r="A520" t="s">
        <v>122</v>
      </c>
      <c r="B520" t="s">
        <v>951</v>
      </c>
      <c r="C520" t="s">
        <v>4313</v>
      </c>
      <c r="D520">
        <v>10000</v>
      </c>
      <c r="E520" t="s">
        <v>1720</v>
      </c>
      <c r="F520" t="s">
        <v>1721</v>
      </c>
      <c r="G520" t="s">
        <v>4425</v>
      </c>
      <c r="H520" t="s">
        <v>4314</v>
      </c>
    </row>
    <row r="521" spans="1:8" x14ac:dyDescent="0.35">
      <c r="A521" t="s">
        <v>122</v>
      </c>
      <c r="B521" t="s">
        <v>951</v>
      </c>
      <c r="C521" t="s">
        <v>4313</v>
      </c>
      <c r="D521">
        <v>15000</v>
      </c>
      <c r="E521" t="s">
        <v>1720</v>
      </c>
      <c r="F521" t="s">
        <v>1724</v>
      </c>
      <c r="G521" t="s">
        <v>4425</v>
      </c>
      <c r="H521" t="s">
        <v>4314</v>
      </c>
    </row>
    <row r="522" spans="1:8" x14ac:dyDescent="0.35">
      <c r="A522" t="s">
        <v>122</v>
      </c>
      <c r="B522" t="s">
        <v>951</v>
      </c>
      <c r="C522" t="s">
        <v>4323</v>
      </c>
      <c r="D522">
        <v>15000</v>
      </c>
      <c r="E522" t="s">
        <v>1720</v>
      </c>
      <c r="F522" t="s">
        <v>1724</v>
      </c>
      <c r="G522" t="s">
        <v>4428</v>
      </c>
      <c r="H522" t="s">
        <v>4324</v>
      </c>
    </row>
    <row r="523" spans="1:8" x14ac:dyDescent="0.35">
      <c r="A523" t="s">
        <v>122</v>
      </c>
      <c r="B523" t="s">
        <v>951</v>
      </c>
      <c r="C523" t="s">
        <v>4323</v>
      </c>
      <c r="D523">
        <v>10000</v>
      </c>
      <c r="E523" t="s">
        <v>1720</v>
      </c>
      <c r="F523" t="s">
        <v>1721</v>
      </c>
      <c r="G523" t="s">
        <v>4428</v>
      </c>
      <c r="H523" t="s">
        <v>4324</v>
      </c>
    </row>
    <row r="524" spans="1:8" x14ac:dyDescent="0.35">
      <c r="A524" t="s">
        <v>122</v>
      </c>
      <c r="B524" t="s">
        <v>951</v>
      </c>
      <c r="C524" t="s">
        <v>4323</v>
      </c>
      <c r="D524">
        <v>15000</v>
      </c>
      <c r="E524" t="s">
        <v>1720</v>
      </c>
      <c r="F524" t="s">
        <v>1724</v>
      </c>
      <c r="G524" t="s">
        <v>4429</v>
      </c>
      <c r="H524" t="s">
        <v>4324</v>
      </c>
    </row>
    <row r="525" spans="1:8" x14ac:dyDescent="0.35">
      <c r="A525" t="s">
        <v>122</v>
      </c>
      <c r="B525" t="s">
        <v>951</v>
      </c>
      <c r="C525" t="s">
        <v>4323</v>
      </c>
      <c r="D525">
        <v>10000</v>
      </c>
      <c r="E525" t="s">
        <v>1720</v>
      </c>
      <c r="F525" t="s">
        <v>1721</v>
      </c>
      <c r="G525" t="s">
        <v>4429</v>
      </c>
      <c r="H525" t="s">
        <v>4324</v>
      </c>
    </row>
    <row r="526" spans="1:8" x14ac:dyDescent="0.35">
      <c r="A526" t="s">
        <v>122</v>
      </c>
      <c r="B526" t="s">
        <v>951</v>
      </c>
      <c r="C526" t="s">
        <v>4323</v>
      </c>
      <c r="D526">
        <v>15000</v>
      </c>
      <c r="E526" t="s">
        <v>1720</v>
      </c>
      <c r="F526" t="s">
        <v>1724</v>
      </c>
      <c r="G526" t="s">
        <v>4430</v>
      </c>
      <c r="H526" t="s">
        <v>4324</v>
      </c>
    </row>
    <row r="527" spans="1:8" x14ac:dyDescent="0.35">
      <c r="A527" t="s">
        <v>122</v>
      </c>
      <c r="B527" t="s">
        <v>951</v>
      </c>
      <c r="C527" t="s">
        <v>4323</v>
      </c>
      <c r="D527">
        <v>10000</v>
      </c>
      <c r="E527" t="s">
        <v>1720</v>
      </c>
      <c r="F527" t="s">
        <v>1721</v>
      </c>
      <c r="G527" t="s">
        <v>4430</v>
      </c>
      <c r="H527" t="s">
        <v>4324</v>
      </c>
    </row>
    <row r="528" spans="1:8" x14ac:dyDescent="0.35">
      <c r="A528" t="s">
        <v>122</v>
      </c>
      <c r="B528" t="s">
        <v>951</v>
      </c>
      <c r="C528" t="s">
        <v>4258</v>
      </c>
      <c r="D528">
        <v>15000</v>
      </c>
      <c r="E528" t="s">
        <v>1720</v>
      </c>
      <c r="F528" t="s">
        <v>1724</v>
      </c>
      <c r="G528" t="s">
        <v>4408</v>
      </c>
      <c r="H528" t="s">
        <v>4259</v>
      </c>
    </row>
    <row r="529" spans="1:8" x14ac:dyDescent="0.35">
      <c r="A529" t="s">
        <v>122</v>
      </c>
      <c r="B529" t="s">
        <v>951</v>
      </c>
      <c r="C529" t="s">
        <v>4258</v>
      </c>
      <c r="D529">
        <v>10000</v>
      </c>
      <c r="E529" t="s">
        <v>1720</v>
      </c>
      <c r="F529" t="s">
        <v>1721</v>
      </c>
      <c r="G529" t="s">
        <v>4408</v>
      </c>
      <c r="H529" t="s">
        <v>4259</v>
      </c>
    </row>
    <row r="530" spans="1:8" x14ac:dyDescent="0.35">
      <c r="A530" t="s">
        <v>138</v>
      </c>
      <c r="B530" t="s">
        <v>967</v>
      </c>
      <c r="C530" t="s">
        <v>4187</v>
      </c>
      <c r="D530">
        <v>1050</v>
      </c>
      <c r="E530" t="s">
        <v>1720</v>
      </c>
      <c r="F530" t="s">
        <v>1724</v>
      </c>
      <c r="G530" t="s">
        <v>4384</v>
      </c>
      <c r="H530" t="s">
        <v>4188</v>
      </c>
    </row>
    <row r="531" spans="1:8" x14ac:dyDescent="0.35">
      <c r="A531" t="s">
        <v>138</v>
      </c>
      <c r="B531" t="s">
        <v>967</v>
      </c>
      <c r="C531" t="s">
        <v>4307</v>
      </c>
      <c r="D531">
        <v>1E-3</v>
      </c>
      <c r="E531" t="s">
        <v>1720</v>
      </c>
      <c r="F531" t="s">
        <v>1721</v>
      </c>
      <c r="G531" t="s">
        <v>4431</v>
      </c>
      <c r="H531" t="s">
        <v>4325</v>
      </c>
    </row>
    <row r="532" spans="1:8" x14ac:dyDescent="0.35">
      <c r="A532" t="s">
        <v>138</v>
      </c>
      <c r="B532" t="s">
        <v>967</v>
      </c>
      <c r="C532" t="s">
        <v>4307</v>
      </c>
      <c r="D532">
        <v>1.1000000000000001</v>
      </c>
      <c r="E532" t="s">
        <v>1720</v>
      </c>
      <c r="F532" t="s">
        <v>1724</v>
      </c>
      <c r="G532" t="s">
        <v>4431</v>
      </c>
      <c r="H532" t="s">
        <v>4325</v>
      </c>
    </row>
    <row r="533" spans="1:8" x14ac:dyDescent="0.35">
      <c r="A533" t="s">
        <v>138</v>
      </c>
      <c r="B533" t="s">
        <v>967</v>
      </c>
      <c r="C533" t="s">
        <v>4195</v>
      </c>
      <c r="D533">
        <v>1E-3</v>
      </c>
      <c r="E533" t="s">
        <v>1720</v>
      </c>
      <c r="F533" t="s">
        <v>1721</v>
      </c>
      <c r="G533" t="s">
        <v>4387</v>
      </c>
      <c r="H533" t="s">
        <v>4196</v>
      </c>
    </row>
    <row r="534" spans="1:8" x14ac:dyDescent="0.35">
      <c r="A534" t="s">
        <v>138</v>
      </c>
      <c r="B534" t="s">
        <v>967</v>
      </c>
      <c r="C534" t="s">
        <v>4195</v>
      </c>
      <c r="D534">
        <v>1.1000000000000001</v>
      </c>
      <c r="E534" t="s">
        <v>1720</v>
      </c>
      <c r="F534" t="s">
        <v>1724</v>
      </c>
      <c r="G534" t="s">
        <v>4387</v>
      </c>
      <c r="H534" t="s">
        <v>4196</v>
      </c>
    </row>
    <row r="535" spans="1:8" x14ac:dyDescent="0.35">
      <c r="A535" t="s">
        <v>138</v>
      </c>
      <c r="B535" t="s">
        <v>967</v>
      </c>
      <c r="C535" t="s">
        <v>4309</v>
      </c>
      <c r="D535">
        <v>1.1000000000000001</v>
      </c>
      <c r="E535" t="s">
        <v>1720</v>
      </c>
      <c r="F535" t="s">
        <v>1724</v>
      </c>
      <c r="G535" t="s">
        <v>4436</v>
      </c>
      <c r="H535" t="s">
        <v>4329</v>
      </c>
    </row>
    <row r="536" spans="1:8" x14ac:dyDescent="0.35">
      <c r="A536" t="s">
        <v>138</v>
      </c>
      <c r="B536" t="s">
        <v>967</v>
      </c>
      <c r="C536" t="s">
        <v>4197</v>
      </c>
      <c r="D536">
        <v>1E-3</v>
      </c>
      <c r="E536" t="s">
        <v>1720</v>
      </c>
      <c r="F536" t="s">
        <v>1721</v>
      </c>
      <c r="G536" t="s">
        <v>4433</v>
      </c>
      <c r="H536" t="s">
        <v>4326</v>
      </c>
    </row>
    <row r="537" spans="1:8" x14ac:dyDescent="0.35">
      <c r="A537" t="s">
        <v>138</v>
      </c>
      <c r="B537" t="s">
        <v>967</v>
      </c>
      <c r="C537" t="s">
        <v>4197</v>
      </c>
      <c r="D537">
        <v>1.1000000000000001</v>
      </c>
      <c r="E537" t="s">
        <v>1720</v>
      </c>
      <c r="F537" t="s">
        <v>1724</v>
      </c>
      <c r="G537" t="s">
        <v>4433</v>
      </c>
      <c r="H537" t="s">
        <v>4326</v>
      </c>
    </row>
    <row r="538" spans="1:8" x14ac:dyDescent="0.35">
      <c r="A538" t="s">
        <v>138</v>
      </c>
      <c r="B538" t="s">
        <v>967</v>
      </c>
      <c r="C538" t="s">
        <v>4197</v>
      </c>
      <c r="D538">
        <v>1E-3</v>
      </c>
      <c r="E538" t="s">
        <v>1720</v>
      </c>
      <c r="F538" t="s">
        <v>1721</v>
      </c>
      <c r="G538" t="s">
        <v>4388</v>
      </c>
      <c r="H538" t="s">
        <v>4198</v>
      </c>
    </row>
    <row r="539" spans="1:8" x14ac:dyDescent="0.35">
      <c r="A539" t="s">
        <v>138</v>
      </c>
      <c r="B539" t="s">
        <v>967</v>
      </c>
      <c r="C539" t="s">
        <v>4197</v>
      </c>
      <c r="D539">
        <v>1.1000000000000001</v>
      </c>
      <c r="E539" t="s">
        <v>1720</v>
      </c>
      <c r="F539" t="s">
        <v>1724</v>
      </c>
      <c r="G539" t="s">
        <v>4388</v>
      </c>
      <c r="H539" t="s">
        <v>4198</v>
      </c>
    </row>
    <row r="540" spans="1:8" x14ac:dyDescent="0.35">
      <c r="A540" t="s">
        <v>138</v>
      </c>
      <c r="B540" t="s">
        <v>967</v>
      </c>
      <c r="C540" t="s">
        <v>4309</v>
      </c>
      <c r="D540">
        <v>1E-3</v>
      </c>
      <c r="E540" t="s">
        <v>1720</v>
      </c>
      <c r="F540" t="s">
        <v>1721</v>
      </c>
      <c r="G540" t="s">
        <v>4436</v>
      </c>
      <c r="H540" t="s">
        <v>4329</v>
      </c>
    </row>
    <row r="541" spans="1:8" x14ac:dyDescent="0.35">
      <c r="A541" t="s">
        <v>138</v>
      </c>
      <c r="B541" t="s">
        <v>967</v>
      </c>
      <c r="C541" t="s">
        <v>4309</v>
      </c>
      <c r="D541">
        <v>1E-3</v>
      </c>
      <c r="E541" t="s">
        <v>1720</v>
      </c>
      <c r="F541" t="s">
        <v>1721</v>
      </c>
      <c r="G541" t="s">
        <v>4396</v>
      </c>
      <c r="H541" t="s">
        <v>4310</v>
      </c>
    </row>
    <row r="542" spans="1:8" x14ac:dyDescent="0.35">
      <c r="A542" t="s">
        <v>138</v>
      </c>
      <c r="B542" t="s">
        <v>967</v>
      </c>
      <c r="C542" t="s">
        <v>4309</v>
      </c>
      <c r="D542">
        <v>1.1000000000000001</v>
      </c>
      <c r="E542" t="s">
        <v>1720</v>
      </c>
      <c r="F542" t="s">
        <v>1724</v>
      </c>
      <c r="G542" t="s">
        <v>4396</v>
      </c>
      <c r="H542" t="s">
        <v>4310</v>
      </c>
    </row>
    <row r="543" spans="1:8" x14ac:dyDescent="0.35">
      <c r="A543" t="s">
        <v>138</v>
      </c>
      <c r="B543" t="s">
        <v>967</v>
      </c>
      <c r="C543" t="s">
        <v>4336</v>
      </c>
      <c r="D543">
        <v>10.5</v>
      </c>
      <c r="E543" t="s">
        <v>1720</v>
      </c>
      <c r="F543" t="s">
        <v>1721</v>
      </c>
      <c r="G543" t="s">
        <v>4445</v>
      </c>
      <c r="H543" t="s">
        <v>4337</v>
      </c>
    </row>
    <row r="544" spans="1:8" x14ac:dyDescent="0.35">
      <c r="A544" t="s">
        <v>138</v>
      </c>
      <c r="B544" t="s">
        <v>967</v>
      </c>
      <c r="C544" t="s">
        <v>4336</v>
      </c>
      <c r="D544">
        <v>52.5</v>
      </c>
      <c r="E544" t="s">
        <v>1720</v>
      </c>
      <c r="F544" t="s">
        <v>1724</v>
      </c>
      <c r="G544" t="s">
        <v>4445</v>
      </c>
      <c r="H544" t="s">
        <v>4337</v>
      </c>
    </row>
    <row r="545" spans="1:8" x14ac:dyDescent="0.35">
      <c r="A545" t="s">
        <v>138</v>
      </c>
      <c r="B545" t="s">
        <v>967</v>
      </c>
      <c r="C545" t="s">
        <v>4213</v>
      </c>
      <c r="D545">
        <v>1.8000000000000001E-4</v>
      </c>
      <c r="E545" t="s">
        <v>1720</v>
      </c>
      <c r="F545" t="s">
        <v>1721</v>
      </c>
      <c r="G545" t="s">
        <v>4393</v>
      </c>
      <c r="H545" t="s">
        <v>4214</v>
      </c>
    </row>
    <row r="546" spans="1:8" x14ac:dyDescent="0.35">
      <c r="A546" t="s">
        <v>138</v>
      </c>
      <c r="B546" t="s">
        <v>967</v>
      </c>
      <c r="C546" t="s">
        <v>4213</v>
      </c>
      <c r="D546">
        <v>1050</v>
      </c>
      <c r="E546" t="s">
        <v>1720</v>
      </c>
      <c r="F546" t="s">
        <v>1724</v>
      </c>
      <c r="G546" t="s">
        <v>4393</v>
      </c>
      <c r="H546" t="s">
        <v>4214</v>
      </c>
    </row>
    <row r="547" spans="1:8" x14ac:dyDescent="0.35">
      <c r="A547" t="s">
        <v>138</v>
      </c>
      <c r="B547" t="s">
        <v>967</v>
      </c>
      <c r="C547" t="s">
        <v>4223</v>
      </c>
      <c r="D547">
        <v>1050</v>
      </c>
      <c r="E547" t="s">
        <v>1720</v>
      </c>
      <c r="F547" t="s">
        <v>1724</v>
      </c>
      <c r="G547" t="s">
        <v>4399</v>
      </c>
      <c r="H547" t="s">
        <v>4224</v>
      </c>
    </row>
    <row r="548" spans="1:8" x14ac:dyDescent="0.35">
      <c r="A548" t="s">
        <v>138</v>
      </c>
      <c r="B548" t="s">
        <v>967</v>
      </c>
      <c r="C548" t="s">
        <v>4313</v>
      </c>
      <c r="D548">
        <v>1E-3</v>
      </c>
      <c r="E548" t="s">
        <v>1720</v>
      </c>
      <c r="F548" t="s">
        <v>1721</v>
      </c>
      <c r="G548" t="s">
        <v>4423</v>
      </c>
      <c r="H548" t="s">
        <v>4314</v>
      </c>
    </row>
    <row r="549" spans="1:8" x14ac:dyDescent="0.35">
      <c r="A549" t="s">
        <v>138</v>
      </c>
      <c r="B549" t="s">
        <v>967</v>
      </c>
      <c r="C549" t="s">
        <v>4313</v>
      </c>
      <c r="D549">
        <v>1.1000000000000001</v>
      </c>
      <c r="E549" t="s">
        <v>1720</v>
      </c>
      <c r="F549" t="s">
        <v>1724</v>
      </c>
      <c r="G549" t="s">
        <v>4423</v>
      </c>
      <c r="H549" t="s">
        <v>4314</v>
      </c>
    </row>
    <row r="550" spans="1:8" x14ac:dyDescent="0.35">
      <c r="A550" t="s">
        <v>138</v>
      </c>
      <c r="B550" t="s">
        <v>967</v>
      </c>
      <c r="C550" t="s">
        <v>4313</v>
      </c>
      <c r="D550">
        <v>1E-3</v>
      </c>
      <c r="E550" t="s">
        <v>1720</v>
      </c>
      <c r="F550" t="s">
        <v>1721</v>
      </c>
      <c r="G550" t="s">
        <v>4424</v>
      </c>
      <c r="H550" t="s">
        <v>4314</v>
      </c>
    </row>
    <row r="551" spans="1:8" x14ac:dyDescent="0.35">
      <c r="A551" t="s">
        <v>138</v>
      </c>
      <c r="B551" t="s">
        <v>967</v>
      </c>
      <c r="C551" t="s">
        <v>4313</v>
      </c>
      <c r="D551">
        <v>1.1000000000000001</v>
      </c>
      <c r="E551" t="s">
        <v>1720</v>
      </c>
      <c r="F551" t="s">
        <v>1724</v>
      </c>
      <c r="G551" t="s">
        <v>4424</v>
      </c>
      <c r="H551" t="s">
        <v>4314</v>
      </c>
    </row>
    <row r="552" spans="1:8" x14ac:dyDescent="0.35">
      <c r="A552" t="s">
        <v>138</v>
      </c>
      <c r="B552" t="s">
        <v>967</v>
      </c>
      <c r="C552" t="s">
        <v>4313</v>
      </c>
      <c r="D552">
        <v>1.1000000000000001</v>
      </c>
      <c r="E552" t="s">
        <v>1720</v>
      </c>
      <c r="F552" t="s">
        <v>1724</v>
      </c>
      <c r="G552" t="s">
        <v>4444</v>
      </c>
      <c r="H552" t="s">
        <v>4314</v>
      </c>
    </row>
    <row r="553" spans="1:8" x14ac:dyDescent="0.35">
      <c r="A553" t="s">
        <v>138</v>
      </c>
      <c r="B553" t="s">
        <v>967</v>
      </c>
      <c r="C553" t="s">
        <v>4313</v>
      </c>
      <c r="D553">
        <v>1E-3</v>
      </c>
      <c r="E553" t="s">
        <v>1720</v>
      </c>
      <c r="F553" t="s">
        <v>1721</v>
      </c>
      <c r="G553" t="s">
        <v>4425</v>
      </c>
      <c r="H553" t="s">
        <v>4314</v>
      </c>
    </row>
    <row r="554" spans="1:8" x14ac:dyDescent="0.35">
      <c r="A554" t="s">
        <v>138</v>
      </c>
      <c r="B554" t="s">
        <v>967</v>
      </c>
      <c r="C554" t="s">
        <v>4313</v>
      </c>
      <c r="D554">
        <v>1.1000000000000001</v>
      </c>
      <c r="E554" t="s">
        <v>1720</v>
      </c>
      <c r="F554" t="s">
        <v>1724</v>
      </c>
      <c r="G554" t="s">
        <v>4425</v>
      </c>
      <c r="H554" t="s">
        <v>4314</v>
      </c>
    </row>
    <row r="555" spans="1:8" x14ac:dyDescent="0.35">
      <c r="A555" t="s">
        <v>138</v>
      </c>
      <c r="B555" t="s">
        <v>967</v>
      </c>
      <c r="C555" t="s">
        <v>4219</v>
      </c>
      <c r="D555">
        <v>1050</v>
      </c>
      <c r="E555" t="s">
        <v>1720</v>
      </c>
      <c r="F555" t="s">
        <v>1724</v>
      </c>
      <c r="G555" t="s">
        <v>4380</v>
      </c>
      <c r="H555" t="s">
        <v>4220</v>
      </c>
    </row>
    <row r="556" spans="1:8" x14ac:dyDescent="0.35">
      <c r="A556" t="s">
        <v>138</v>
      </c>
      <c r="B556" t="s">
        <v>967</v>
      </c>
      <c r="C556" t="s">
        <v>4323</v>
      </c>
      <c r="D556">
        <v>1.1000000000000001</v>
      </c>
      <c r="E556" t="s">
        <v>1720</v>
      </c>
      <c r="F556" t="s">
        <v>1724</v>
      </c>
      <c r="G556" t="s">
        <v>4428</v>
      </c>
      <c r="H556" t="s">
        <v>4324</v>
      </c>
    </row>
    <row r="557" spans="1:8" x14ac:dyDescent="0.35">
      <c r="A557" t="s">
        <v>138</v>
      </c>
      <c r="B557" t="s">
        <v>967</v>
      </c>
      <c r="C557" t="s">
        <v>4323</v>
      </c>
      <c r="D557">
        <v>1E-3</v>
      </c>
      <c r="E557" t="s">
        <v>1720</v>
      </c>
      <c r="F557" t="s">
        <v>1721</v>
      </c>
      <c r="G557" t="s">
        <v>4428</v>
      </c>
      <c r="H557" t="s">
        <v>4324</v>
      </c>
    </row>
    <row r="558" spans="1:8" x14ac:dyDescent="0.35">
      <c r="A558" t="s">
        <v>138</v>
      </c>
      <c r="B558" t="s">
        <v>967</v>
      </c>
      <c r="C558" t="s">
        <v>4323</v>
      </c>
      <c r="D558">
        <v>1.1000000000000001</v>
      </c>
      <c r="E558" t="s">
        <v>1720</v>
      </c>
      <c r="F558" t="s">
        <v>1724</v>
      </c>
      <c r="G558" t="s">
        <v>4429</v>
      </c>
      <c r="H558" t="s">
        <v>4324</v>
      </c>
    </row>
    <row r="559" spans="1:8" x14ac:dyDescent="0.35">
      <c r="A559" t="s">
        <v>138</v>
      </c>
      <c r="B559" t="s">
        <v>967</v>
      </c>
      <c r="C559" t="s">
        <v>4323</v>
      </c>
      <c r="D559">
        <v>0.02</v>
      </c>
      <c r="E559" t="s">
        <v>1720</v>
      </c>
      <c r="F559" t="s">
        <v>1721</v>
      </c>
      <c r="G559" t="s">
        <v>4429</v>
      </c>
      <c r="H559" t="s">
        <v>4324</v>
      </c>
    </row>
    <row r="560" spans="1:8" x14ac:dyDescent="0.35">
      <c r="A560" t="s">
        <v>138</v>
      </c>
      <c r="B560" t="s">
        <v>967</v>
      </c>
      <c r="C560" t="s">
        <v>4323</v>
      </c>
      <c r="D560">
        <v>1.1000000000000001</v>
      </c>
      <c r="E560" t="s">
        <v>1720</v>
      </c>
      <c r="F560" t="s">
        <v>1724</v>
      </c>
      <c r="G560" t="s">
        <v>4430</v>
      </c>
      <c r="H560" t="s">
        <v>4324</v>
      </c>
    </row>
    <row r="561" spans="1:8" x14ac:dyDescent="0.35">
      <c r="A561" t="s">
        <v>138</v>
      </c>
      <c r="B561" t="s">
        <v>967</v>
      </c>
      <c r="C561" t="s">
        <v>4323</v>
      </c>
      <c r="D561">
        <v>0.02</v>
      </c>
      <c r="E561" t="s">
        <v>1720</v>
      </c>
      <c r="F561" t="s">
        <v>1721</v>
      </c>
      <c r="G561" t="s">
        <v>4430</v>
      </c>
      <c r="H561" t="s">
        <v>4324</v>
      </c>
    </row>
    <row r="562" spans="1:8" x14ac:dyDescent="0.35">
      <c r="A562" t="s">
        <v>138</v>
      </c>
      <c r="B562" t="s">
        <v>967</v>
      </c>
      <c r="C562" t="s">
        <v>4323</v>
      </c>
      <c r="D562">
        <v>1.1000000000000001</v>
      </c>
      <c r="E562" t="s">
        <v>1720</v>
      </c>
      <c r="F562" t="s">
        <v>1724</v>
      </c>
      <c r="G562" t="s">
        <v>4446</v>
      </c>
      <c r="H562" t="s">
        <v>4324</v>
      </c>
    </row>
    <row r="563" spans="1:8" x14ac:dyDescent="0.35">
      <c r="A563" t="s">
        <v>138</v>
      </c>
      <c r="B563" t="s">
        <v>967</v>
      </c>
      <c r="C563" t="s">
        <v>4323</v>
      </c>
      <c r="D563">
        <v>0.03</v>
      </c>
      <c r="E563" t="s">
        <v>1720</v>
      </c>
      <c r="F563" t="s">
        <v>1721</v>
      </c>
      <c r="G563" t="s">
        <v>4446</v>
      </c>
      <c r="H563" t="s">
        <v>4324</v>
      </c>
    </row>
    <row r="564" spans="1:8" x14ac:dyDescent="0.35">
      <c r="A564" t="s">
        <v>138</v>
      </c>
      <c r="B564" t="s">
        <v>967</v>
      </c>
      <c r="C564" t="s">
        <v>4270</v>
      </c>
      <c r="D564">
        <v>1.1000000000000001</v>
      </c>
      <c r="E564" t="s">
        <v>1720</v>
      </c>
      <c r="F564" t="s">
        <v>1724</v>
      </c>
      <c r="G564" t="s">
        <v>4411</v>
      </c>
      <c r="H564" t="s">
        <v>4271</v>
      </c>
    </row>
    <row r="565" spans="1:8" x14ac:dyDescent="0.35">
      <c r="A565" t="s">
        <v>138</v>
      </c>
      <c r="B565" t="s">
        <v>967</v>
      </c>
      <c r="C565" t="s">
        <v>4270</v>
      </c>
      <c r="D565">
        <v>1E-3</v>
      </c>
      <c r="E565" t="s">
        <v>1720</v>
      </c>
      <c r="F565" t="s">
        <v>1721</v>
      </c>
      <c r="G565" t="s">
        <v>4411</v>
      </c>
      <c r="H565" t="s">
        <v>4271</v>
      </c>
    </row>
    <row r="566" spans="1:8" x14ac:dyDescent="0.35">
      <c r="A566" t="s">
        <v>138</v>
      </c>
      <c r="B566" t="s">
        <v>967</v>
      </c>
      <c r="C566" t="s">
        <v>4258</v>
      </c>
      <c r="D566">
        <v>1.1000000000000001</v>
      </c>
      <c r="E566" t="s">
        <v>1720</v>
      </c>
      <c r="F566" t="s">
        <v>1724</v>
      </c>
      <c r="G566" t="s">
        <v>4408</v>
      </c>
      <c r="H566" t="s">
        <v>4259</v>
      </c>
    </row>
    <row r="567" spans="1:8" x14ac:dyDescent="0.35">
      <c r="A567" t="s">
        <v>138</v>
      </c>
      <c r="B567" t="s">
        <v>967</v>
      </c>
      <c r="C567" t="s">
        <v>4258</v>
      </c>
      <c r="D567">
        <v>1E-3</v>
      </c>
      <c r="E567" t="s">
        <v>1720</v>
      </c>
      <c r="F567" t="s">
        <v>1721</v>
      </c>
      <c r="G567" t="s">
        <v>4408</v>
      </c>
      <c r="H567" t="s">
        <v>4259</v>
      </c>
    </row>
    <row r="568" spans="1:8" x14ac:dyDescent="0.35">
      <c r="A568" t="s">
        <v>139</v>
      </c>
      <c r="B568" t="s">
        <v>968</v>
      </c>
      <c r="C568" t="s">
        <v>4187</v>
      </c>
      <c r="D568">
        <v>0.06</v>
      </c>
      <c r="E568" t="s">
        <v>1720</v>
      </c>
      <c r="F568" t="s">
        <v>1724</v>
      </c>
      <c r="G568" t="s">
        <v>4384</v>
      </c>
      <c r="H568" t="s">
        <v>4188</v>
      </c>
    </row>
    <row r="569" spans="1:8" x14ac:dyDescent="0.35">
      <c r="A569" t="s">
        <v>139</v>
      </c>
      <c r="B569" t="s">
        <v>968</v>
      </c>
      <c r="C569" t="s">
        <v>4307</v>
      </c>
      <c r="D569">
        <v>1E-3</v>
      </c>
      <c r="E569" t="s">
        <v>1720</v>
      </c>
      <c r="F569" t="s">
        <v>1721</v>
      </c>
      <c r="G569" t="s">
        <v>4431</v>
      </c>
      <c r="H569" t="s">
        <v>4325</v>
      </c>
    </row>
    <row r="570" spans="1:8" x14ac:dyDescent="0.35">
      <c r="A570" t="s">
        <v>139</v>
      </c>
      <c r="B570" t="s">
        <v>968</v>
      </c>
      <c r="C570" t="s">
        <v>4307</v>
      </c>
      <c r="D570">
        <v>1.1000000000000001</v>
      </c>
      <c r="E570" t="s">
        <v>1720</v>
      </c>
      <c r="F570" t="s">
        <v>1724</v>
      </c>
      <c r="G570" t="s">
        <v>4431</v>
      </c>
      <c r="H570" t="s">
        <v>4325</v>
      </c>
    </row>
    <row r="571" spans="1:8" x14ac:dyDescent="0.35">
      <c r="A571" t="s">
        <v>139</v>
      </c>
      <c r="B571" t="s">
        <v>968</v>
      </c>
      <c r="C571" t="s">
        <v>4195</v>
      </c>
      <c r="D571">
        <v>1E-3</v>
      </c>
      <c r="E571" t="s">
        <v>1720</v>
      </c>
      <c r="F571" t="s">
        <v>1721</v>
      </c>
      <c r="G571" t="s">
        <v>4387</v>
      </c>
      <c r="H571" t="s">
        <v>4196</v>
      </c>
    </row>
    <row r="572" spans="1:8" x14ac:dyDescent="0.35">
      <c r="A572" t="s">
        <v>139</v>
      </c>
      <c r="B572" t="s">
        <v>968</v>
      </c>
      <c r="C572" t="s">
        <v>4195</v>
      </c>
      <c r="D572">
        <v>1.1000000000000001</v>
      </c>
      <c r="E572" t="s">
        <v>1720</v>
      </c>
      <c r="F572" t="s">
        <v>1724</v>
      </c>
      <c r="G572" t="s">
        <v>4387</v>
      </c>
      <c r="H572" t="s">
        <v>4196</v>
      </c>
    </row>
    <row r="573" spans="1:8" x14ac:dyDescent="0.35">
      <c r="A573" t="s">
        <v>139</v>
      </c>
      <c r="B573" t="s">
        <v>968</v>
      </c>
      <c r="C573" t="s">
        <v>4197</v>
      </c>
      <c r="D573">
        <v>1E-3</v>
      </c>
      <c r="E573" t="s">
        <v>1720</v>
      </c>
      <c r="F573" t="s">
        <v>1721</v>
      </c>
      <c r="G573" t="s">
        <v>4433</v>
      </c>
      <c r="H573" t="s">
        <v>4326</v>
      </c>
    </row>
    <row r="574" spans="1:8" x14ac:dyDescent="0.35">
      <c r="A574" t="s">
        <v>139</v>
      </c>
      <c r="B574" t="s">
        <v>968</v>
      </c>
      <c r="C574" t="s">
        <v>4197</v>
      </c>
      <c r="D574">
        <v>1.1000000000000001</v>
      </c>
      <c r="E574" t="s">
        <v>1720</v>
      </c>
      <c r="F574" t="s">
        <v>1724</v>
      </c>
      <c r="G574" t="s">
        <v>4433</v>
      </c>
      <c r="H574" t="s">
        <v>4326</v>
      </c>
    </row>
    <row r="575" spans="1:8" x14ac:dyDescent="0.35">
      <c r="A575" t="s">
        <v>139</v>
      </c>
      <c r="B575" t="s">
        <v>968</v>
      </c>
      <c r="C575" t="s">
        <v>4197</v>
      </c>
      <c r="D575">
        <v>1E-3</v>
      </c>
      <c r="E575" t="s">
        <v>1720</v>
      </c>
      <c r="F575" t="s">
        <v>1721</v>
      </c>
      <c r="G575" t="s">
        <v>4388</v>
      </c>
      <c r="H575" t="s">
        <v>4198</v>
      </c>
    </row>
    <row r="576" spans="1:8" x14ac:dyDescent="0.35">
      <c r="A576" t="s">
        <v>139</v>
      </c>
      <c r="B576" t="s">
        <v>968</v>
      </c>
      <c r="C576" t="s">
        <v>4197</v>
      </c>
      <c r="D576">
        <v>1.1000000000000001</v>
      </c>
      <c r="E576" t="s">
        <v>1720</v>
      </c>
      <c r="F576" t="s">
        <v>1724</v>
      </c>
      <c r="G576" t="s">
        <v>4388</v>
      </c>
      <c r="H576" t="s">
        <v>4198</v>
      </c>
    </row>
    <row r="577" spans="1:8" x14ac:dyDescent="0.35">
      <c r="A577" t="s">
        <v>139</v>
      </c>
      <c r="B577" t="s">
        <v>968</v>
      </c>
      <c r="C577" t="s">
        <v>4309</v>
      </c>
      <c r="D577">
        <v>1E-3</v>
      </c>
      <c r="E577" t="s">
        <v>1720</v>
      </c>
      <c r="F577" t="s">
        <v>1721</v>
      </c>
      <c r="G577" t="s">
        <v>4436</v>
      </c>
      <c r="H577" t="s">
        <v>4329</v>
      </c>
    </row>
    <row r="578" spans="1:8" x14ac:dyDescent="0.35">
      <c r="A578" t="s">
        <v>139</v>
      </c>
      <c r="B578" t="s">
        <v>968</v>
      </c>
      <c r="C578" t="s">
        <v>4309</v>
      </c>
      <c r="D578">
        <v>1.1000000000000001</v>
      </c>
      <c r="E578" t="s">
        <v>1720</v>
      </c>
      <c r="F578" t="s">
        <v>1724</v>
      </c>
      <c r="G578" t="s">
        <v>4436</v>
      </c>
      <c r="H578" t="s">
        <v>4329</v>
      </c>
    </row>
    <row r="579" spans="1:8" x14ac:dyDescent="0.35">
      <c r="A579" t="s">
        <v>139</v>
      </c>
      <c r="B579" t="s">
        <v>968</v>
      </c>
      <c r="C579" t="s">
        <v>4309</v>
      </c>
      <c r="D579">
        <v>1E-3</v>
      </c>
      <c r="E579" t="s">
        <v>1720</v>
      </c>
      <c r="F579" t="s">
        <v>1721</v>
      </c>
      <c r="G579" t="s">
        <v>4396</v>
      </c>
      <c r="H579" t="s">
        <v>4310</v>
      </c>
    </row>
    <row r="580" spans="1:8" x14ac:dyDescent="0.35">
      <c r="A580" t="s">
        <v>139</v>
      </c>
      <c r="B580" t="s">
        <v>968</v>
      </c>
      <c r="C580" t="s">
        <v>4309</v>
      </c>
      <c r="D580">
        <v>1.1000000000000001</v>
      </c>
      <c r="E580" t="s">
        <v>1720</v>
      </c>
      <c r="F580" t="s">
        <v>1724</v>
      </c>
      <c r="G580" t="s">
        <v>4396</v>
      </c>
      <c r="H580" t="s">
        <v>4310</v>
      </c>
    </row>
    <row r="581" spans="1:8" x14ac:dyDescent="0.35">
      <c r="A581" t="s">
        <v>139</v>
      </c>
      <c r="B581" t="s">
        <v>968</v>
      </c>
      <c r="C581" t="s">
        <v>4336</v>
      </c>
      <c r="D581">
        <v>6.0000000000000001E-3</v>
      </c>
      <c r="E581" t="s">
        <v>1720</v>
      </c>
      <c r="F581" t="s">
        <v>1721</v>
      </c>
      <c r="G581" t="s">
        <v>4445</v>
      </c>
      <c r="H581" t="s">
        <v>4337</v>
      </c>
    </row>
    <row r="582" spans="1:8" x14ac:dyDescent="0.35">
      <c r="A582" t="s">
        <v>139</v>
      </c>
      <c r="B582" t="s">
        <v>968</v>
      </c>
      <c r="C582" t="s">
        <v>4336</v>
      </c>
      <c r="D582">
        <v>0.03</v>
      </c>
      <c r="E582" t="s">
        <v>1720</v>
      </c>
      <c r="F582" t="s">
        <v>1724</v>
      </c>
      <c r="G582" t="s">
        <v>4445</v>
      </c>
      <c r="H582" t="s">
        <v>4337</v>
      </c>
    </row>
    <row r="583" spans="1:8" x14ac:dyDescent="0.35">
      <c r="A583" t="s">
        <v>139</v>
      </c>
      <c r="B583" t="s">
        <v>968</v>
      </c>
      <c r="C583" t="s">
        <v>4213</v>
      </c>
      <c r="D583">
        <v>1.1999999999999999E-3</v>
      </c>
      <c r="E583" t="s">
        <v>1720</v>
      </c>
      <c r="F583" t="s">
        <v>1721</v>
      </c>
      <c r="G583" t="s">
        <v>4393</v>
      </c>
      <c r="H583" t="s">
        <v>4214</v>
      </c>
    </row>
    <row r="584" spans="1:8" x14ac:dyDescent="0.35">
      <c r="A584" t="s">
        <v>139</v>
      </c>
      <c r="B584" t="s">
        <v>968</v>
      </c>
      <c r="C584" t="s">
        <v>4213</v>
      </c>
      <c r="D584">
        <v>0.6</v>
      </c>
      <c r="E584" t="s">
        <v>1720</v>
      </c>
      <c r="F584" t="s">
        <v>1724</v>
      </c>
      <c r="G584" t="s">
        <v>4393</v>
      </c>
      <c r="H584" t="s">
        <v>4214</v>
      </c>
    </row>
    <row r="585" spans="1:8" x14ac:dyDescent="0.35">
      <c r="A585" t="s">
        <v>139</v>
      </c>
      <c r="B585" t="s">
        <v>968</v>
      </c>
      <c r="C585" t="s">
        <v>4313</v>
      </c>
      <c r="D585">
        <v>1E-3</v>
      </c>
      <c r="E585" t="s">
        <v>1720</v>
      </c>
      <c r="F585" t="s">
        <v>1721</v>
      </c>
      <c r="G585" t="s">
        <v>4423</v>
      </c>
      <c r="H585" t="s">
        <v>4314</v>
      </c>
    </row>
    <row r="586" spans="1:8" x14ac:dyDescent="0.35">
      <c r="A586" t="s">
        <v>139</v>
      </c>
      <c r="B586" t="s">
        <v>968</v>
      </c>
      <c r="C586" t="s">
        <v>4313</v>
      </c>
      <c r="D586">
        <v>1.1000000000000001</v>
      </c>
      <c r="E586" t="s">
        <v>1720</v>
      </c>
      <c r="F586" t="s">
        <v>1724</v>
      </c>
      <c r="G586" t="s">
        <v>4423</v>
      </c>
      <c r="H586" t="s">
        <v>4314</v>
      </c>
    </row>
    <row r="587" spans="1:8" x14ac:dyDescent="0.35">
      <c r="A587" t="s">
        <v>139</v>
      </c>
      <c r="B587" t="s">
        <v>968</v>
      </c>
      <c r="C587" t="s">
        <v>4313</v>
      </c>
      <c r="D587">
        <v>1E-3</v>
      </c>
      <c r="E587" t="s">
        <v>1720</v>
      </c>
      <c r="F587" t="s">
        <v>1721</v>
      </c>
      <c r="G587" t="s">
        <v>4424</v>
      </c>
      <c r="H587" t="s">
        <v>4314</v>
      </c>
    </row>
    <row r="588" spans="1:8" x14ac:dyDescent="0.35">
      <c r="A588" t="s">
        <v>139</v>
      </c>
      <c r="B588" t="s">
        <v>968</v>
      </c>
      <c r="C588" t="s">
        <v>4313</v>
      </c>
      <c r="D588">
        <v>1.1000000000000001</v>
      </c>
      <c r="E588" t="s">
        <v>1720</v>
      </c>
      <c r="F588" t="s">
        <v>1724</v>
      </c>
      <c r="G588" t="s">
        <v>4424</v>
      </c>
      <c r="H588" t="s">
        <v>4314</v>
      </c>
    </row>
    <row r="589" spans="1:8" x14ac:dyDescent="0.35">
      <c r="A589" t="s">
        <v>139</v>
      </c>
      <c r="B589" t="s">
        <v>968</v>
      </c>
      <c r="C589" t="s">
        <v>4313</v>
      </c>
      <c r="D589">
        <v>1.1000000000000001</v>
      </c>
      <c r="E589" t="s">
        <v>1720</v>
      </c>
      <c r="F589" t="s">
        <v>1724</v>
      </c>
      <c r="G589" t="s">
        <v>4444</v>
      </c>
      <c r="H589" t="s">
        <v>4314</v>
      </c>
    </row>
    <row r="590" spans="1:8" x14ac:dyDescent="0.35">
      <c r="A590" t="s">
        <v>139</v>
      </c>
      <c r="B590" t="s">
        <v>968</v>
      </c>
      <c r="C590" t="s">
        <v>4313</v>
      </c>
      <c r="D590">
        <v>1E-3</v>
      </c>
      <c r="E590" t="s">
        <v>1720</v>
      </c>
      <c r="F590" t="s">
        <v>1721</v>
      </c>
      <c r="G590" t="s">
        <v>4425</v>
      </c>
      <c r="H590" t="s">
        <v>4314</v>
      </c>
    </row>
    <row r="591" spans="1:8" x14ac:dyDescent="0.35">
      <c r="A591" t="s">
        <v>139</v>
      </c>
      <c r="B591" t="s">
        <v>968</v>
      </c>
      <c r="C591" t="s">
        <v>4313</v>
      </c>
      <c r="D591">
        <v>1.1000000000000001</v>
      </c>
      <c r="E591" t="s">
        <v>1720</v>
      </c>
      <c r="F591" t="s">
        <v>1724</v>
      </c>
      <c r="G591" t="s">
        <v>4425</v>
      </c>
      <c r="H591" t="s">
        <v>4314</v>
      </c>
    </row>
    <row r="592" spans="1:8" x14ac:dyDescent="0.35">
      <c r="A592" t="s">
        <v>139</v>
      </c>
      <c r="B592" t="s">
        <v>968</v>
      </c>
      <c r="C592" t="s">
        <v>4219</v>
      </c>
      <c r="D592">
        <v>0.6</v>
      </c>
      <c r="E592" t="s">
        <v>1720</v>
      </c>
      <c r="F592" t="s">
        <v>1724</v>
      </c>
      <c r="G592" t="s">
        <v>4380</v>
      </c>
      <c r="H592" t="s">
        <v>4220</v>
      </c>
    </row>
    <row r="593" spans="1:8" x14ac:dyDescent="0.35">
      <c r="A593" t="s">
        <v>139</v>
      </c>
      <c r="B593" t="s">
        <v>968</v>
      </c>
      <c r="C593" t="s">
        <v>4323</v>
      </c>
      <c r="D593">
        <v>1.1000000000000001</v>
      </c>
      <c r="E593" t="s">
        <v>1720</v>
      </c>
      <c r="F593" t="s">
        <v>1724</v>
      </c>
      <c r="G593" t="s">
        <v>4428</v>
      </c>
      <c r="H593" t="s">
        <v>4324</v>
      </c>
    </row>
    <row r="594" spans="1:8" x14ac:dyDescent="0.35">
      <c r="A594" t="s">
        <v>139</v>
      </c>
      <c r="B594" t="s">
        <v>968</v>
      </c>
      <c r="C594" t="s">
        <v>4323</v>
      </c>
      <c r="D594">
        <v>1E-3</v>
      </c>
      <c r="E594" t="s">
        <v>1720</v>
      </c>
      <c r="F594" t="s">
        <v>1721</v>
      </c>
      <c r="G594" t="s">
        <v>4428</v>
      </c>
      <c r="H594" t="s">
        <v>4324</v>
      </c>
    </row>
    <row r="595" spans="1:8" x14ac:dyDescent="0.35">
      <c r="A595" t="s">
        <v>139</v>
      </c>
      <c r="B595" t="s">
        <v>968</v>
      </c>
      <c r="C595" t="s">
        <v>4323</v>
      </c>
      <c r="D595">
        <v>1.1000000000000001</v>
      </c>
      <c r="E595" t="s">
        <v>1720</v>
      </c>
      <c r="F595" t="s">
        <v>1724</v>
      </c>
      <c r="G595" t="s">
        <v>4429</v>
      </c>
      <c r="H595" t="s">
        <v>4324</v>
      </c>
    </row>
    <row r="596" spans="1:8" x14ac:dyDescent="0.35">
      <c r="A596" t="s">
        <v>139</v>
      </c>
      <c r="B596" t="s">
        <v>968</v>
      </c>
      <c r="C596" t="s">
        <v>4323</v>
      </c>
      <c r="D596">
        <v>0.02</v>
      </c>
      <c r="E596" t="s">
        <v>1720</v>
      </c>
      <c r="F596" t="s">
        <v>1721</v>
      </c>
      <c r="G596" t="s">
        <v>4429</v>
      </c>
      <c r="H596" t="s">
        <v>4324</v>
      </c>
    </row>
    <row r="597" spans="1:8" x14ac:dyDescent="0.35">
      <c r="A597" t="s">
        <v>139</v>
      </c>
      <c r="B597" t="s">
        <v>968</v>
      </c>
      <c r="C597" t="s">
        <v>4323</v>
      </c>
      <c r="D597">
        <v>1.1000000000000001</v>
      </c>
      <c r="E597" t="s">
        <v>1720</v>
      </c>
      <c r="F597" t="s">
        <v>1724</v>
      </c>
      <c r="G597" t="s">
        <v>4430</v>
      </c>
      <c r="H597" t="s">
        <v>4324</v>
      </c>
    </row>
    <row r="598" spans="1:8" x14ac:dyDescent="0.35">
      <c r="A598" t="s">
        <v>139</v>
      </c>
      <c r="B598" t="s">
        <v>968</v>
      </c>
      <c r="C598" t="s">
        <v>4323</v>
      </c>
      <c r="D598">
        <v>0.02</v>
      </c>
      <c r="E598" t="s">
        <v>1720</v>
      </c>
      <c r="F598" t="s">
        <v>1721</v>
      </c>
      <c r="G598" t="s">
        <v>4430</v>
      </c>
      <c r="H598" t="s">
        <v>4324</v>
      </c>
    </row>
    <row r="599" spans="1:8" x14ac:dyDescent="0.35">
      <c r="A599" t="s">
        <v>139</v>
      </c>
      <c r="B599" t="s">
        <v>968</v>
      </c>
      <c r="C599" t="s">
        <v>4323</v>
      </c>
      <c r="D599">
        <v>1.1000000000000001</v>
      </c>
      <c r="E599" t="s">
        <v>1720</v>
      </c>
      <c r="F599" t="s">
        <v>1724</v>
      </c>
      <c r="G599" t="s">
        <v>4446</v>
      </c>
      <c r="H599" t="s">
        <v>4324</v>
      </c>
    </row>
    <row r="600" spans="1:8" x14ac:dyDescent="0.35">
      <c r="A600" t="s">
        <v>139</v>
      </c>
      <c r="B600" t="s">
        <v>968</v>
      </c>
      <c r="C600" t="s">
        <v>4323</v>
      </c>
      <c r="D600">
        <v>0.02</v>
      </c>
      <c r="E600" t="s">
        <v>1720</v>
      </c>
      <c r="F600" t="s">
        <v>1721</v>
      </c>
      <c r="G600" t="s">
        <v>4446</v>
      </c>
      <c r="H600" t="s">
        <v>4324</v>
      </c>
    </row>
    <row r="601" spans="1:8" x14ac:dyDescent="0.35">
      <c r="A601" t="s">
        <v>139</v>
      </c>
      <c r="B601" t="s">
        <v>968</v>
      </c>
      <c r="C601" t="s">
        <v>4270</v>
      </c>
      <c r="D601">
        <v>1.1000000000000001</v>
      </c>
      <c r="E601" t="s">
        <v>1720</v>
      </c>
      <c r="F601" t="s">
        <v>1724</v>
      </c>
      <c r="G601" t="s">
        <v>4411</v>
      </c>
      <c r="H601" t="s">
        <v>4271</v>
      </c>
    </row>
    <row r="602" spans="1:8" x14ac:dyDescent="0.35">
      <c r="A602" t="s">
        <v>139</v>
      </c>
      <c r="B602" t="s">
        <v>968</v>
      </c>
      <c r="C602" t="s">
        <v>4270</v>
      </c>
      <c r="D602">
        <v>1E-3</v>
      </c>
      <c r="E602" t="s">
        <v>1720</v>
      </c>
      <c r="F602" t="s">
        <v>1721</v>
      </c>
      <c r="G602" t="s">
        <v>4411</v>
      </c>
      <c r="H602" t="s">
        <v>4271</v>
      </c>
    </row>
    <row r="603" spans="1:8" x14ac:dyDescent="0.35">
      <c r="A603" t="s">
        <v>139</v>
      </c>
      <c r="B603" t="s">
        <v>968</v>
      </c>
      <c r="C603" t="s">
        <v>4258</v>
      </c>
      <c r="D603">
        <v>1.1000000000000001</v>
      </c>
      <c r="E603" t="s">
        <v>1720</v>
      </c>
      <c r="F603" t="s">
        <v>1724</v>
      </c>
      <c r="G603" t="s">
        <v>4408</v>
      </c>
      <c r="H603" t="s">
        <v>4259</v>
      </c>
    </row>
    <row r="604" spans="1:8" x14ac:dyDescent="0.35">
      <c r="A604" t="s">
        <v>139</v>
      </c>
      <c r="B604" t="s">
        <v>968</v>
      </c>
      <c r="C604" t="s">
        <v>4258</v>
      </c>
      <c r="D604">
        <v>1E-3</v>
      </c>
      <c r="E604" t="s">
        <v>1720</v>
      </c>
      <c r="F604" t="s">
        <v>1721</v>
      </c>
      <c r="G604" t="s">
        <v>4408</v>
      </c>
      <c r="H604" t="s">
        <v>4259</v>
      </c>
    </row>
    <row r="605" spans="1:8" x14ac:dyDescent="0.35">
      <c r="A605" t="s">
        <v>140</v>
      </c>
      <c r="B605" t="s">
        <v>969</v>
      </c>
      <c r="C605" t="s">
        <v>4179</v>
      </c>
      <c r="D605">
        <v>0.03</v>
      </c>
      <c r="E605" t="s">
        <v>1720</v>
      </c>
      <c r="F605" t="s">
        <v>1721</v>
      </c>
      <c r="G605" t="s">
        <v>4380</v>
      </c>
      <c r="H605" t="s">
        <v>4180</v>
      </c>
    </row>
    <row r="606" spans="1:8" x14ac:dyDescent="0.35">
      <c r="A606" t="s">
        <v>140</v>
      </c>
      <c r="B606" t="s">
        <v>969</v>
      </c>
      <c r="C606" t="s">
        <v>4183</v>
      </c>
      <c r="D606">
        <v>0.03</v>
      </c>
      <c r="E606" t="s">
        <v>1720</v>
      </c>
      <c r="F606" t="s">
        <v>1721</v>
      </c>
      <c r="G606" t="s">
        <v>4382</v>
      </c>
      <c r="H606" t="s">
        <v>4184</v>
      </c>
    </row>
    <row r="607" spans="1:8" x14ac:dyDescent="0.35">
      <c r="A607" t="s">
        <v>140</v>
      </c>
      <c r="B607" t="s">
        <v>969</v>
      </c>
      <c r="C607" t="s">
        <v>4187</v>
      </c>
      <c r="D607">
        <v>0.03</v>
      </c>
      <c r="E607" t="s">
        <v>1720</v>
      </c>
      <c r="F607" t="s">
        <v>1721</v>
      </c>
      <c r="G607" t="s">
        <v>4384</v>
      </c>
      <c r="H607" t="s">
        <v>4188</v>
      </c>
    </row>
    <row r="608" spans="1:8" x14ac:dyDescent="0.35">
      <c r="A608" t="s">
        <v>140</v>
      </c>
      <c r="B608" t="s">
        <v>969</v>
      </c>
      <c r="C608" t="s">
        <v>4307</v>
      </c>
      <c r="D608">
        <v>0.03</v>
      </c>
      <c r="E608" t="s">
        <v>1720</v>
      </c>
      <c r="F608" t="s">
        <v>1721</v>
      </c>
      <c r="G608" t="s">
        <v>4422</v>
      </c>
      <c r="H608" t="s">
        <v>4308</v>
      </c>
    </row>
    <row r="609" spans="1:8" x14ac:dyDescent="0.35">
      <c r="A609" t="s">
        <v>140</v>
      </c>
      <c r="B609" t="s">
        <v>969</v>
      </c>
      <c r="C609" t="s">
        <v>4191</v>
      </c>
      <c r="D609">
        <v>0.03</v>
      </c>
      <c r="E609" t="s">
        <v>1720</v>
      </c>
      <c r="F609" t="s">
        <v>1721</v>
      </c>
      <c r="G609" t="s">
        <v>4383</v>
      </c>
      <c r="H609" t="s">
        <v>4192</v>
      </c>
    </row>
    <row r="610" spans="1:8" x14ac:dyDescent="0.35">
      <c r="A610" t="s">
        <v>140</v>
      </c>
      <c r="B610" t="s">
        <v>969</v>
      </c>
      <c r="C610" t="s">
        <v>4305</v>
      </c>
      <c r="D610">
        <v>0.03</v>
      </c>
      <c r="E610" t="s">
        <v>1720</v>
      </c>
      <c r="F610" t="s">
        <v>1721</v>
      </c>
      <c r="G610" t="s">
        <v>4421</v>
      </c>
      <c r="H610" t="s">
        <v>4306</v>
      </c>
    </row>
    <row r="611" spans="1:8" x14ac:dyDescent="0.35">
      <c r="A611" t="s">
        <v>140</v>
      </c>
      <c r="B611" t="s">
        <v>969</v>
      </c>
      <c r="C611" t="s">
        <v>4327</v>
      </c>
      <c r="D611">
        <v>0.03</v>
      </c>
      <c r="E611" t="s">
        <v>1720</v>
      </c>
      <c r="F611" t="s">
        <v>1721</v>
      </c>
      <c r="G611" t="s">
        <v>4434</v>
      </c>
      <c r="H611" t="s">
        <v>4328</v>
      </c>
    </row>
    <row r="612" spans="1:8" x14ac:dyDescent="0.35">
      <c r="A612" t="s">
        <v>140</v>
      </c>
      <c r="B612" t="s">
        <v>969</v>
      </c>
      <c r="C612" t="s">
        <v>4327</v>
      </c>
      <c r="D612">
        <v>0.03</v>
      </c>
      <c r="E612" t="s">
        <v>1720</v>
      </c>
      <c r="F612" t="s">
        <v>1721</v>
      </c>
      <c r="G612" t="s">
        <v>4435</v>
      </c>
      <c r="H612" t="s">
        <v>4328</v>
      </c>
    </row>
    <row r="613" spans="1:8" x14ac:dyDescent="0.35">
      <c r="A613" t="s">
        <v>140</v>
      </c>
      <c r="B613" t="s">
        <v>969</v>
      </c>
      <c r="C613" t="s">
        <v>4195</v>
      </c>
      <c r="D613">
        <v>0.03</v>
      </c>
      <c r="E613" t="s">
        <v>1720</v>
      </c>
      <c r="F613" t="s">
        <v>1721</v>
      </c>
      <c r="G613" t="s">
        <v>4387</v>
      </c>
      <c r="H613" t="s">
        <v>4196</v>
      </c>
    </row>
    <row r="614" spans="1:8" x14ac:dyDescent="0.35">
      <c r="A614" t="s">
        <v>140</v>
      </c>
      <c r="B614" t="s">
        <v>969</v>
      </c>
      <c r="C614" t="s">
        <v>4309</v>
      </c>
      <c r="D614">
        <v>0.03</v>
      </c>
      <c r="E614" t="s">
        <v>1720</v>
      </c>
      <c r="F614" t="s">
        <v>1721</v>
      </c>
      <c r="G614" t="s">
        <v>4396</v>
      </c>
      <c r="H614" t="s">
        <v>4310</v>
      </c>
    </row>
    <row r="615" spans="1:8" x14ac:dyDescent="0.35">
      <c r="A615" t="s">
        <v>140</v>
      </c>
      <c r="B615" t="s">
        <v>969</v>
      </c>
      <c r="C615" t="s">
        <v>4205</v>
      </c>
      <c r="D615">
        <v>0.03</v>
      </c>
      <c r="E615" t="s">
        <v>1720</v>
      </c>
      <c r="F615" t="s">
        <v>1721</v>
      </c>
      <c r="G615" t="s">
        <v>4391</v>
      </c>
      <c r="H615" t="s">
        <v>4206</v>
      </c>
    </row>
    <row r="616" spans="1:8" x14ac:dyDescent="0.35">
      <c r="A616" t="s">
        <v>140</v>
      </c>
      <c r="B616" t="s">
        <v>969</v>
      </c>
      <c r="C616" t="s">
        <v>4207</v>
      </c>
      <c r="D616">
        <v>0.03</v>
      </c>
      <c r="E616" t="s">
        <v>1720</v>
      </c>
      <c r="F616" t="s">
        <v>1721</v>
      </c>
      <c r="G616" t="s">
        <v>4383</v>
      </c>
      <c r="H616" t="s">
        <v>4208</v>
      </c>
    </row>
    <row r="617" spans="1:8" x14ac:dyDescent="0.35">
      <c r="A617" t="s">
        <v>140</v>
      </c>
      <c r="B617" t="s">
        <v>969</v>
      </c>
      <c r="C617" t="s">
        <v>4232</v>
      </c>
      <c r="D617">
        <v>0.03</v>
      </c>
      <c r="E617" t="s">
        <v>1720</v>
      </c>
      <c r="F617" t="s">
        <v>1721</v>
      </c>
      <c r="G617" t="s">
        <v>4402</v>
      </c>
      <c r="H617" t="s">
        <v>4233</v>
      </c>
    </row>
    <row r="618" spans="1:8" x14ac:dyDescent="0.35">
      <c r="A618" t="s">
        <v>140</v>
      </c>
      <c r="B618" t="s">
        <v>969</v>
      </c>
      <c r="C618" t="s">
        <v>4317</v>
      </c>
      <c r="D618">
        <v>0.03</v>
      </c>
      <c r="E618" t="s">
        <v>1720</v>
      </c>
      <c r="F618" t="s">
        <v>1721</v>
      </c>
      <c r="G618" t="s">
        <v>4426</v>
      </c>
      <c r="H618" t="s">
        <v>4318</v>
      </c>
    </row>
    <row r="619" spans="1:8" x14ac:dyDescent="0.35">
      <c r="A619" t="s">
        <v>140</v>
      </c>
      <c r="B619" t="s">
        <v>969</v>
      </c>
      <c r="C619" t="s">
        <v>4217</v>
      </c>
      <c r="D619">
        <v>0.03</v>
      </c>
      <c r="E619" t="s">
        <v>1720</v>
      </c>
      <c r="F619" t="s">
        <v>1721</v>
      </c>
      <c r="G619" t="s">
        <v>4396</v>
      </c>
      <c r="H619" t="s">
        <v>4218</v>
      </c>
    </row>
    <row r="620" spans="1:8" x14ac:dyDescent="0.35">
      <c r="A620" t="s">
        <v>140</v>
      </c>
      <c r="B620" t="s">
        <v>969</v>
      </c>
      <c r="C620" t="s">
        <v>4213</v>
      </c>
      <c r="D620">
        <v>0.02</v>
      </c>
      <c r="E620" t="s">
        <v>1720</v>
      </c>
      <c r="F620" t="s">
        <v>1721</v>
      </c>
      <c r="G620" t="s">
        <v>4393</v>
      </c>
      <c r="H620" t="s">
        <v>4214</v>
      </c>
    </row>
    <row r="621" spans="1:8" x14ac:dyDescent="0.35">
      <c r="A621" t="s">
        <v>140</v>
      </c>
      <c r="B621" t="s">
        <v>969</v>
      </c>
      <c r="C621" t="s">
        <v>4221</v>
      </c>
      <c r="D621">
        <v>0.03</v>
      </c>
      <c r="E621" t="s">
        <v>1720</v>
      </c>
      <c r="F621" t="s">
        <v>1721</v>
      </c>
      <c r="G621" t="s">
        <v>4383</v>
      </c>
      <c r="H621" t="s">
        <v>4222</v>
      </c>
    </row>
    <row r="622" spans="1:8" x14ac:dyDescent="0.35">
      <c r="A622" t="s">
        <v>140</v>
      </c>
      <c r="B622" t="s">
        <v>969</v>
      </c>
      <c r="C622" t="s">
        <v>4199</v>
      </c>
      <c r="D622">
        <v>0.03</v>
      </c>
      <c r="E622" t="s">
        <v>1720</v>
      </c>
      <c r="F622" t="s">
        <v>1721</v>
      </c>
      <c r="G622" t="s">
        <v>4388</v>
      </c>
      <c r="H622" t="s">
        <v>4200</v>
      </c>
    </row>
    <row r="623" spans="1:8" x14ac:dyDescent="0.35">
      <c r="A623" t="s">
        <v>140</v>
      </c>
      <c r="B623" t="s">
        <v>969</v>
      </c>
      <c r="C623" t="s">
        <v>4215</v>
      </c>
      <c r="D623">
        <v>0.03</v>
      </c>
      <c r="E623" t="s">
        <v>1720</v>
      </c>
      <c r="G623" t="s">
        <v>4398</v>
      </c>
      <c r="H623" t="s">
        <v>4216</v>
      </c>
    </row>
    <row r="624" spans="1:8" x14ac:dyDescent="0.35">
      <c r="A624" t="s">
        <v>140</v>
      </c>
      <c r="B624" t="s">
        <v>969</v>
      </c>
      <c r="C624" t="s">
        <v>4215</v>
      </c>
      <c r="D624">
        <v>0.03</v>
      </c>
      <c r="E624" t="s">
        <v>1720</v>
      </c>
      <c r="G624" t="s">
        <v>4394</v>
      </c>
      <c r="H624" t="s">
        <v>4216</v>
      </c>
    </row>
    <row r="625" spans="1:8" x14ac:dyDescent="0.35">
      <c r="A625" t="s">
        <v>140</v>
      </c>
      <c r="B625" t="s">
        <v>969</v>
      </c>
      <c r="C625" t="s">
        <v>4215</v>
      </c>
      <c r="D625">
        <v>0.03</v>
      </c>
      <c r="E625" t="s">
        <v>1720</v>
      </c>
      <c r="G625" t="s">
        <v>4395</v>
      </c>
      <c r="H625" t="s">
        <v>4216</v>
      </c>
    </row>
    <row r="626" spans="1:8" x14ac:dyDescent="0.35">
      <c r="A626" t="s">
        <v>140</v>
      </c>
      <c r="B626" t="s">
        <v>969</v>
      </c>
      <c r="C626" t="s">
        <v>4215</v>
      </c>
      <c r="D626">
        <v>0.03</v>
      </c>
      <c r="E626" t="s">
        <v>1720</v>
      </c>
      <c r="G626" t="s">
        <v>4397</v>
      </c>
      <c r="H626" t="s">
        <v>4216</v>
      </c>
    </row>
    <row r="627" spans="1:8" x14ac:dyDescent="0.35">
      <c r="A627" t="s">
        <v>140</v>
      </c>
      <c r="B627" t="s">
        <v>969</v>
      </c>
      <c r="C627" t="s">
        <v>4311</v>
      </c>
      <c r="D627">
        <v>0.03</v>
      </c>
      <c r="E627" t="s">
        <v>1720</v>
      </c>
      <c r="G627" t="s">
        <v>4387</v>
      </c>
      <c r="H627" t="s">
        <v>4312</v>
      </c>
    </row>
    <row r="628" spans="1:8" x14ac:dyDescent="0.35">
      <c r="A628" t="s">
        <v>140</v>
      </c>
      <c r="B628" t="s">
        <v>969</v>
      </c>
      <c r="C628" t="s">
        <v>4230</v>
      </c>
      <c r="D628">
        <v>0.03</v>
      </c>
      <c r="E628" t="s">
        <v>1720</v>
      </c>
      <c r="F628" t="s">
        <v>1721</v>
      </c>
      <c r="G628" t="s">
        <v>4396</v>
      </c>
      <c r="H628" t="s">
        <v>4231</v>
      </c>
    </row>
    <row r="629" spans="1:8" x14ac:dyDescent="0.35">
      <c r="A629" t="s">
        <v>140</v>
      </c>
      <c r="B629" t="s">
        <v>969</v>
      </c>
      <c r="C629" t="s">
        <v>4225</v>
      </c>
      <c r="D629">
        <v>0.03</v>
      </c>
      <c r="E629" t="s">
        <v>1720</v>
      </c>
      <c r="F629" t="s">
        <v>1721</v>
      </c>
      <c r="G629" t="s">
        <v>4400</v>
      </c>
      <c r="H629" t="s">
        <v>4226</v>
      </c>
    </row>
    <row r="630" spans="1:8" x14ac:dyDescent="0.35">
      <c r="A630" t="s">
        <v>140</v>
      </c>
      <c r="B630" t="s">
        <v>969</v>
      </c>
      <c r="C630" t="s">
        <v>4300</v>
      </c>
      <c r="D630">
        <v>0.03</v>
      </c>
      <c r="E630" t="s">
        <v>1720</v>
      </c>
      <c r="F630" t="s">
        <v>1721</v>
      </c>
      <c r="G630" t="s">
        <v>4389</v>
      </c>
      <c r="H630" t="s">
        <v>4301</v>
      </c>
    </row>
    <row r="631" spans="1:8" x14ac:dyDescent="0.35">
      <c r="A631" t="s">
        <v>140</v>
      </c>
      <c r="B631" t="s">
        <v>969</v>
      </c>
      <c r="C631" t="s">
        <v>4219</v>
      </c>
      <c r="D631">
        <v>0.03</v>
      </c>
      <c r="E631" t="s">
        <v>1720</v>
      </c>
      <c r="F631" t="s">
        <v>1721</v>
      </c>
      <c r="G631" t="s">
        <v>4380</v>
      </c>
      <c r="H631" t="s">
        <v>4220</v>
      </c>
    </row>
    <row r="632" spans="1:8" x14ac:dyDescent="0.35">
      <c r="A632" t="s">
        <v>140</v>
      </c>
      <c r="B632" t="s">
        <v>969</v>
      </c>
      <c r="C632" t="s">
        <v>4313</v>
      </c>
      <c r="D632">
        <v>0.03</v>
      </c>
      <c r="E632" t="s">
        <v>1720</v>
      </c>
      <c r="F632" t="s">
        <v>1721</v>
      </c>
      <c r="G632" t="s">
        <v>4423</v>
      </c>
      <c r="H632" t="s">
        <v>4314</v>
      </c>
    </row>
    <row r="633" spans="1:8" x14ac:dyDescent="0.35">
      <c r="A633" t="s">
        <v>140</v>
      </c>
      <c r="B633" t="s">
        <v>969</v>
      </c>
      <c r="C633" t="s">
        <v>4313</v>
      </c>
      <c r="D633">
        <v>0.03</v>
      </c>
      <c r="E633" t="s">
        <v>1720</v>
      </c>
      <c r="F633" t="s">
        <v>1721</v>
      </c>
      <c r="G633" t="s">
        <v>4424</v>
      </c>
      <c r="H633" t="s">
        <v>4314</v>
      </c>
    </row>
    <row r="634" spans="1:8" x14ac:dyDescent="0.35">
      <c r="A634" t="s">
        <v>140</v>
      </c>
      <c r="B634" t="s">
        <v>969</v>
      </c>
      <c r="C634" t="s">
        <v>4313</v>
      </c>
      <c r="D634">
        <v>0.03</v>
      </c>
      <c r="E634" t="s">
        <v>1720</v>
      </c>
      <c r="F634" t="s">
        <v>1721</v>
      </c>
      <c r="G634" t="s">
        <v>4425</v>
      </c>
      <c r="H634" t="s">
        <v>4314</v>
      </c>
    </row>
    <row r="635" spans="1:8" x14ac:dyDescent="0.35">
      <c r="A635" t="s">
        <v>140</v>
      </c>
      <c r="B635" t="s">
        <v>969</v>
      </c>
      <c r="C635" t="s">
        <v>4223</v>
      </c>
      <c r="D635">
        <v>0.03</v>
      </c>
      <c r="E635" t="s">
        <v>1720</v>
      </c>
      <c r="F635" t="s">
        <v>1721</v>
      </c>
      <c r="G635" t="s">
        <v>4399</v>
      </c>
      <c r="H635" t="s">
        <v>4224</v>
      </c>
    </row>
    <row r="636" spans="1:8" x14ac:dyDescent="0.35">
      <c r="A636" t="s">
        <v>140</v>
      </c>
      <c r="B636" t="s">
        <v>969</v>
      </c>
      <c r="C636" t="s">
        <v>4315</v>
      </c>
      <c r="D636">
        <v>0.03</v>
      </c>
      <c r="E636" t="s">
        <v>1720</v>
      </c>
      <c r="F636" t="s">
        <v>1721</v>
      </c>
      <c r="G636" t="s">
        <v>4383</v>
      </c>
      <c r="H636" t="s">
        <v>4316</v>
      </c>
    </row>
    <row r="637" spans="1:8" x14ac:dyDescent="0.35">
      <c r="A637" t="s">
        <v>140</v>
      </c>
      <c r="B637" t="s">
        <v>969</v>
      </c>
      <c r="C637" t="s">
        <v>4234</v>
      </c>
      <c r="D637">
        <v>0.03</v>
      </c>
      <c r="E637" t="s">
        <v>1720</v>
      </c>
      <c r="G637" t="s">
        <v>4383</v>
      </c>
      <c r="H637" t="s">
        <v>4235</v>
      </c>
    </row>
    <row r="638" spans="1:8" x14ac:dyDescent="0.35">
      <c r="A638" t="s">
        <v>140</v>
      </c>
      <c r="B638" t="s">
        <v>969</v>
      </c>
      <c r="C638" t="s">
        <v>4229</v>
      </c>
      <c r="D638">
        <v>0.03</v>
      </c>
      <c r="E638" t="s">
        <v>1720</v>
      </c>
      <c r="F638" t="s">
        <v>1721</v>
      </c>
      <c r="G638" t="s">
        <v>4399</v>
      </c>
      <c r="H638" t="s">
        <v>1711</v>
      </c>
    </row>
    <row r="639" spans="1:8" x14ac:dyDescent="0.35">
      <c r="A639" t="s">
        <v>140</v>
      </c>
      <c r="B639" t="s">
        <v>969</v>
      </c>
      <c r="C639" t="s">
        <v>4240</v>
      </c>
      <c r="D639">
        <v>0.03</v>
      </c>
      <c r="E639" t="s">
        <v>1720</v>
      </c>
      <c r="F639" t="s">
        <v>1721</v>
      </c>
      <c r="G639" t="s">
        <v>4402</v>
      </c>
      <c r="H639" t="s">
        <v>4241</v>
      </c>
    </row>
    <row r="640" spans="1:8" x14ac:dyDescent="0.35">
      <c r="A640" t="s">
        <v>140</v>
      </c>
      <c r="B640" t="s">
        <v>969</v>
      </c>
      <c r="C640" t="s">
        <v>4242</v>
      </c>
      <c r="D640">
        <v>0.03</v>
      </c>
      <c r="E640" t="s">
        <v>1720</v>
      </c>
      <c r="F640" t="s">
        <v>1721</v>
      </c>
      <c r="G640" t="s">
        <v>4405</v>
      </c>
      <c r="H640" t="s">
        <v>4243</v>
      </c>
    </row>
    <row r="641" spans="1:8" x14ac:dyDescent="0.35">
      <c r="A641" t="s">
        <v>140</v>
      </c>
      <c r="B641" t="s">
        <v>969</v>
      </c>
      <c r="C641" t="s">
        <v>4244</v>
      </c>
      <c r="D641">
        <v>0.03</v>
      </c>
      <c r="E641" t="s">
        <v>1720</v>
      </c>
      <c r="F641" t="s">
        <v>1721</v>
      </c>
      <c r="G641" t="s">
        <v>4406</v>
      </c>
      <c r="H641" t="s">
        <v>4245</v>
      </c>
    </row>
    <row r="642" spans="1:8" x14ac:dyDescent="0.35">
      <c r="A642" t="s">
        <v>140</v>
      </c>
      <c r="B642" t="s">
        <v>969</v>
      </c>
      <c r="C642" t="s">
        <v>4246</v>
      </c>
      <c r="D642">
        <v>0.03</v>
      </c>
      <c r="E642" t="s">
        <v>1720</v>
      </c>
      <c r="F642" t="s">
        <v>1721</v>
      </c>
      <c r="G642" t="s">
        <v>4402</v>
      </c>
      <c r="H642" t="s">
        <v>4247</v>
      </c>
    </row>
    <row r="643" spans="1:8" x14ac:dyDescent="0.35">
      <c r="A643" t="s">
        <v>140</v>
      </c>
      <c r="B643" t="s">
        <v>969</v>
      </c>
      <c r="C643" t="s">
        <v>4248</v>
      </c>
      <c r="D643">
        <v>0.03</v>
      </c>
      <c r="E643" t="s">
        <v>1720</v>
      </c>
      <c r="F643" t="s">
        <v>1721</v>
      </c>
      <c r="G643" t="s">
        <v>4402</v>
      </c>
      <c r="H643" t="s">
        <v>4249</v>
      </c>
    </row>
    <row r="644" spans="1:8" x14ac:dyDescent="0.35">
      <c r="A644" t="s">
        <v>140</v>
      </c>
      <c r="B644" t="s">
        <v>969</v>
      </c>
      <c r="C644" t="s">
        <v>4250</v>
      </c>
      <c r="D644">
        <v>0.03</v>
      </c>
      <c r="E644" t="s">
        <v>1720</v>
      </c>
      <c r="F644" t="s">
        <v>1721</v>
      </c>
      <c r="G644" t="s">
        <v>4402</v>
      </c>
      <c r="H644" t="s">
        <v>4251</v>
      </c>
    </row>
    <row r="645" spans="1:8" x14ac:dyDescent="0.35">
      <c r="A645" t="s">
        <v>140</v>
      </c>
      <c r="B645" t="s">
        <v>969</v>
      </c>
      <c r="C645" t="s">
        <v>4252</v>
      </c>
      <c r="D645">
        <v>0.03</v>
      </c>
      <c r="E645" t="s">
        <v>1720</v>
      </c>
      <c r="F645" t="s">
        <v>1721</v>
      </c>
      <c r="G645" t="s">
        <v>4402</v>
      </c>
      <c r="H645" t="s">
        <v>4253</v>
      </c>
    </row>
    <row r="646" spans="1:8" x14ac:dyDescent="0.35">
      <c r="A646" t="s">
        <v>140</v>
      </c>
      <c r="B646" t="s">
        <v>969</v>
      </c>
      <c r="C646" t="s">
        <v>4254</v>
      </c>
      <c r="D646">
        <v>0.03</v>
      </c>
      <c r="E646" t="s">
        <v>1720</v>
      </c>
      <c r="F646" t="s">
        <v>1721</v>
      </c>
      <c r="G646" t="s">
        <v>4402</v>
      </c>
      <c r="H646" t="s">
        <v>4255</v>
      </c>
    </row>
    <row r="647" spans="1:8" x14ac:dyDescent="0.35">
      <c r="A647" t="s">
        <v>140</v>
      </c>
      <c r="B647" t="s">
        <v>969</v>
      </c>
      <c r="C647" t="s">
        <v>4319</v>
      </c>
      <c r="D647">
        <v>0.03</v>
      </c>
      <c r="E647" t="s">
        <v>1720</v>
      </c>
      <c r="F647" t="s">
        <v>1721</v>
      </c>
      <c r="G647" t="s">
        <v>4402</v>
      </c>
      <c r="H647" t="s">
        <v>4320</v>
      </c>
    </row>
    <row r="648" spans="1:8" x14ac:dyDescent="0.35">
      <c r="A648" t="s">
        <v>140</v>
      </c>
      <c r="B648" t="s">
        <v>969</v>
      </c>
      <c r="C648" t="s">
        <v>4264</v>
      </c>
      <c r="D648">
        <v>0.03</v>
      </c>
      <c r="E648" t="s">
        <v>1720</v>
      </c>
      <c r="F648" t="s">
        <v>1721</v>
      </c>
      <c r="G648" t="s">
        <v>4402</v>
      </c>
      <c r="H648" t="s">
        <v>4265</v>
      </c>
    </row>
    <row r="649" spans="1:8" x14ac:dyDescent="0.35">
      <c r="A649" t="s">
        <v>140</v>
      </c>
      <c r="B649" t="s">
        <v>969</v>
      </c>
      <c r="C649" t="s">
        <v>4268</v>
      </c>
      <c r="D649">
        <v>0.03</v>
      </c>
      <c r="E649" t="s">
        <v>1720</v>
      </c>
      <c r="F649" t="s">
        <v>1721</v>
      </c>
      <c r="G649" t="s">
        <v>4402</v>
      </c>
      <c r="H649" t="s">
        <v>4269</v>
      </c>
    </row>
    <row r="650" spans="1:8" x14ac:dyDescent="0.35">
      <c r="A650" t="s">
        <v>140</v>
      </c>
      <c r="B650" t="s">
        <v>969</v>
      </c>
      <c r="C650" t="s">
        <v>4256</v>
      </c>
      <c r="D650">
        <v>0.03</v>
      </c>
      <c r="E650" t="s">
        <v>1720</v>
      </c>
      <c r="F650" t="s">
        <v>1721</v>
      </c>
      <c r="G650" t="s">
        <v>4402</v>
      </c>
      <c r="H650" t="s">
        <v>4257</v>
      </c>
    </row>
    <row r="651" spans="1:8" x14ac:dyDescent="0.35">
      <c r="A651" t="s">
        <v>140</v>
      </c>
      <c r="B651" t="s">
        <v>969</v>
      </c>
      <c r="C651" t="s">
        <v>4270</v>
      </c>
      <c r="D651">
        <v>0.03</v>
      </c>
      <c r="E651" t="s">
        <v>1720</v>
      </c>
      <c r="G651" t="s">
        <v>4411</v>
      </c>
      <c r="H651" t="s">
        <v>4271</v>
      </c>
    </row>
    <row r="652" spans="1:8" x14ac:dyDescent="0.35">
      <c r="A652" t="s">
        <v>140</v>
      </c>
      <c r="B652" t="s">
        <v>969</v>
      </c>
      <c r="C652" t="s">
        <v>4276</v>
      </c>
      <c r="D652">
        <v>0.03</v>
      </c>
      <c r="E652" t="s">
        <v>1720</v>
      </c>
      <c r="F652" t="s">
        <v>1721</v>
      </c>
      <c r="G652" t="s">
        <v>4413</v>
      </c>
      <c r="H652" t="s">
        <v>4277</v>
      </c>
    </row>
    <row r="653" spans="1:8" x14ac:dyDescent="0.35">
      <c r="A653" t="s">
        <v>140</v>
      </c>
      <c r="B653" t="s">
        <v>969</v>
      </c>
      <c r="C653" t="s">
        <v>4282</v>
      </c>
      <c r="D653">
        <v>0.03</v>
      </c>
      <c r="E653" t="s">
        <v>1720</v>
      </c>
      <c r="F653" t="s">
        <v>1721</v>
      </c>
      <c r="G653" t="s">
        <v>4402</v>
      </c>
      <c r="H653" t="s">
        <v>4283</v>
      </c>
    </row>
    <row r="654" spans="1:8" x14ac:dyDescent="0.35">
      <c r="A654" t="s">
        <v>140</v>
      </c>
      <c r="B654" t="s">
        <v>969</v>
      </c>
      <c r="C654" t="s">
        <v>4280</v>
      </c>
      <c r="D654">
        <v>0.03</v>
      </c>
      <c r="E654" t="s">
        <v>1720</v>
      </c>
      <c r="F654" t="s">
        <v>1721</v>
      </c>
      <c r="G654" t="s">
        <v>4415</v>
      </c>
      <c r="H654" t="s">
        <v>4281</v>
      </c>
    </row>
    <row r="655" spans="1:8" x14ac:dyDescent="0.35">
      <c r="A655" t="s">
        <v>140</v>
      </c>
      <c r="B655" t="s">
        <v>969</v>
      </c>
      <c r="C655" t="s">
        <v>4298</v>
      </c>
      <c r="D655">
        <v>0.03</v>
      </c>
      <c r="E655" t="s">
        <v>1720</v>
      </c>
      <c r="F655" t="s">
        <v>1721</v>
      </c>
      <c r="G655" t="s">
        <v>4419</v>
      </c>
      <c r="H655" t="s">
        <v>4299</v>
      </c>
    </row>
    <row r="656" spans="1:8" x14ac:dyDescent="0.35">
      <c r="A656" t="s">
        <v>140</v>
      </c>
      <c r="B656" t="s">
        <v>969</v>
      </c>
      <c r="C656" t="s">
        <v>4290</v>
      </c>
      <c r="D656">
        <v>0.03</v>
      </c>
      <c r="E656" t="s">
        <v>1720</v>
      </c>
      <c r="F656" t="s">
        <v>1721</v>
      </c>
      <c r="G656" t="s">
        <v>4402</v>
      </c>
      <c r="H656" t="s">
        <v>4291</v>
      </c>
    </row>
    <row r="657" spans="1:8" x14ac:dyDescent="0.35">
      <c r="A657" t="s">
        <v>140</v>
      </c>
      <c r="B657" t="s">
        <v>969</v>
      </c>
      <c r="C657" t="s">
        <v>4288</v>
      </c>
      <c r="D657">
        <v>0.03</v>
      </c>
      <c r="E657" t="s">
        <v>1720</v>
      </c>
      <c r="F657" t="s">
        <v>1721</v>
      </c>
      <c r="G657" t="s">
        <v>4415</v>
      </c>
      <c r="H657" t="s">
        <v>4289</v>
      </c>
    </row>
    <row r="658" spans="1:8" x14ac:dyDescent="0.35">
      <c r="A658" t="s">
        <v>140</v>
      </c>
      <c r="B658" t="s">
        <v>969</v>
      </c>
      <c r="C658" t="s">
        <v>4302</v>
      </c>
      <c r="D658">
        <v>0.03</v>
      </c>
      <c r="E658" t="s">
        <v>1720</v>
      </c>
      <c r="F658" t="s">
        <v>1721</v>
      </c>
      <c r="G658" t="s">
        <v>4420</v>
      </c>
      <c r="H658" t="s">
        <v>4303</v>
      </c>
    </row>
    <row r="659" spans="1:8" x14ac:dyDescent="0.35">
      <c r="A659" t="s">
        <v>140</v>
      </c>
      <c r="B659" t="s">
        <v>969</v>
      </c>
      <c r="C659" t="s">
        <v>4292</v>
      </c>
      <c r="D659">
        <v>0.03</v>
      </c>
      <c r="E659" t="s">
        <v>1720</v>
      </c>
      <c r="F659" t="s">
        <v>1721</v>
      </c>
      <c r="G659" t="s">
        <v>4402</v>
      </c>
      <c r="H659" t="s">
        <v>4293</v>
      </c>
    </row>
    <row r="660" spans="1:8" x14ac:dyDescent="0.35">
      <c r="A660" t="s">
        <v>140</v>
      </c>
      <c r="B660" t="s">
        <v>969</v>
      </c>
      <c r="C660" t="s">
        <v>4321</v>
      </c>
      <c r="D660">
        <v>0.03</v>
      </c>
      <c r="E660" t="s">
        <v>1720</v>
      </c>
      <c r="F660" t="s">
        <v>1721</v>
      </c>
      <c r="G660" t="s">
        <v>4427</v>
      </c>
      <c r="H660" t="s">
        <v>4322</v>
      </c>
    </row>
    <row r="661" spans="1:8" x14ac:dyDescent="0.35">
      <c r="A661" t="s">
        <v>140</v>
      </c>
      <c r="B661" t="s">
        <v>969</v>
      </c>
      <c r="C661" t="s">
        <v>4286</v>
      </c>
      <c r="D661">
        <v>0.03</v>
      </c>
      <c r="E661" t="s">
        <v>1720</v>
      </c>
      <c r="F661" t="s">
        <v>1721</v>
      </c>
      <c r="G661" t="s">
        <v>4402</v>
      </c>
      <c r="H661" t="s">
        <v>4287</v>
      </c>
    </row>
    <row r="662" spans="1:8" x14ac:dyDescent="0.35">
      <c r="A662" t="s">
        <v>140</v>
      </c>
      <c r="B662" t="s">
        <v>969</v>
      </c>
      <c r="C662" t="s">
        <v>4296</v>
      </c>
      <c r="D662">
        <v>0.03</v>
      </c>
      <c r="E662" t="s">
        <v>1720</v>
      </c>
      <c r="F662" t="s">
        <v>1721</v>
      </c>
      <c r="G662" t="s">
        <v>4402</v>
      </c>
      <c r="H662" t="s">
        <v>4297</v>
      </c>
    </row>
    <row r="663" spans="1:8" x14ac:dyDescent="0.35">
      <c r="A663" t="s">
        <v>142</v>
      </c>
      <c r="B663" t="s">
        <v>971</v>
      </c>
      <c r="C663" t="s">
        <v>4181</v>
      </c>
      <c r="D663">
        <v>3.5999999999999997E-2</v>
      </c>
      <c r="E663" t="s">
        <v>1720</v>
      </c>
      <c r="F663" t="s">
        <v>1721</v>
      </c>
      <c r="G663" t="s">
        <v>4381</v>
      </c>
      <c r="H663" t="s">
        <v>4182</v>
      </c>
    </row>
    <row r="664" spans="1:8" x14ac:dyDescent="0.35">
      <c r="A664" t="s">
        <v>142</v>
      </c>
      <c r="B664" t="s">
        <v>971</v>
      </c>
      <c r="C664" t="s">
        <v>4181</v>
      </c>
      <c r="D664">
        <v>8.5999999999999993E-2</v>
      </c>
      <c r="E664" t="s">
        <v>1720</v>
      </c>
      <c r="F664" t="s">
        <v>1724</v>
      </c>
      <c r="G664" t="s">
        <v>4381</v>
      </c>
      <c r="H664" t="s">
        <v>4182</v>
      </c>
    </row>
    <row r="665" spans="1:8" x14ac:dyDescent="0.35">
      <c r="A665" t="s">
        <v>142</v>
      </c>
      <c r="B665" t="s">
        <v>971</v>
      </c>
      <c r="C665" t="s">
        <v>4183</v>
      </c>
      <c r="D665">
        <v>3.5999999999999997E-2</v>
      </c>
      <c r="E665" t="s">
        <v>1720</v>
      </c>
      <c r="F665" t="s">
        <v>1721</v>
      </c>
      <c r="G665" t="s">
        <v>4382</v>
      </c>
      <c r="H665" t="s">
        <v>4184</v>
      </c>
    </row>
    <row r="666" spans="1:8" x14ac:dyDescent="0.35">
      <c r="A666" t="s">
        <v>142</v>
      </c>
      <c r="B666" t="s">
        <v>971</v>
      </c>
      <c r="C666" t="s">
        <v>4183</v>
      </c>
      <c r="D666">
        <v>8.5999999999999993E-2</v>
      </c>
      <c r="E666" t="s">
        <v>1720</v>
      </c>
      <c r="F666" t="s">
        <v>1724</v>
      </c>
      <c r="G666" t="s">
        <v>4382</v>
      </c>
      <c r="H666" t="s">
        <v>4184</v>
      </c>
    </row>
    <row r="667" spans="1:8" x14ac:dyDescent="0.35">
      <c r="A667" t="s">
        <v>142</v>
      </c>
      <c r="B667" t="s">
        <v>971</v>
      </c>
      <c r="C667" t="s">
        <v>4179</v>
      </c>
      <c r="D667">
        <v>3.5999999999999997E-2</v>
      </c>
      <c r="E667" t="s">
        <v>1720</v>
      </c>
      <c r="F667" t="s">
        <v>1721</v>
      </c>
      <c r="G667" t="s">
        <v>4380</v>
      </c>
      <c r="H667" t="s">
        <v>4180</v>
      </c>
    </row>
    <row r="668" spans="1:8" x14ac:dyDescent="0.35">
      <c r="A668" t="s">
        <v>142</v>
      </c>
      <c r="B668" t="s">
        <v>971</v>
      </c>
      <c r="C668" t="s">
        <v>4179</v>
      </c>
      <c r="D668">
        <v>8.5999999999999993E-2</v>
      </c>
      <c r="E668" t="s">
        <v>1720</v>
      </c>
      <c r="F668" t="s">
        <v>1724</v>
      </c>
      <c r="G668" t="s">
        <v>4380</v>
      </c>
      <c r="H668" t="s">
        <v>4180</v>
      </c>
    </row>
    <row r="669" spans="1:8" x14ac:dyDescent="0.35">
      <c r="A669" t="s">
        <v>142</v>
      </c>
      <c r="B669" t="s">
        <v>971</v>
      </c>
      <c r="C669" t="s">
        <v>4185</v>
      </c>
      <c r="D669">
        <v>3.5999999999999997E-2</v>
      </c>
      <c r="E669" t="s">
        <v>1720</v>
      </c>
      <c r="F669" t="s">
        <v>1721</v>
      </c>
      <c r="G669" t="s">
        <v>4383</v>
      </c>
      <c r="H669" t="s">
        <v>4186</v>
      </c>
    </row>
    <row r="670" spans="1:8" x14ac:dyDescent="0.35">
      <c r="A670" t="s">
        <v>142</v>
      </c>
      <c r="B670" t="s">
        <v>971</v>
      </c>
      <c r="C670" t="s">
        <v>4185</v>
      </c>
      <c r="D670">
        <v>8.5999999999999993E-2</v>
      </c>
      <c r="E670" t="s">
        <v>1720</v>
      </c>
      <c r="F670" t="s">
        <v>1724</v>
      </c>
      <c r="G670" t="s">
        <v>4383</v>
      </c>
      <c r="H670" t="s">
        <v>4186</v>
      </c>
    </row>
    <row r="671" spans="1:8" x14ac:dyDescent="0.35">
      <c r="A671" t="s">
        <v>142</v>
      </c>
      <c r="B671" t="s">
        <v>971</v>
      </c>
      <c r="C671" t="s">
        <v>4187</v>
      </c>
      <c r="D671">
        <v>3.5999999999999997E-2</v>
      </c>
      <c r="E671" t="s">
        <v>1720</v>
      </c>
      <c r="F671" t="s">
        <v>1721</v>
      </c>
      <c r="G671" t="s">
        <v>4384</v>
      </c>
      <c r="H671" t="s">
        <v>4188</v>
      </c>
    </row>
    <row r="672" spans="1:8" x14ac:dyDescent="0.35">
      <c r="A672" t="s">
        <v>142</v>
      </c>
      <c r="B672" t="s">
        <v>971</v>
      </c>
      <c r="C672" t="s">
        <v>4187</v>
      </c>
      <c r="D672">
        <v>8.5999999999999993E-2</v>
      </c>
      <c r="E672" t="s">
        <v>1720</v>
      </c>
      <c r="F672" t="s">
        <v>1724</v>
      </c>
      <c r="G672" t="s">
        <v>4384</v>
      </c>
      <c r="H672" t="s">
        <v>4188</v>
      </c>
    </row>
    <row r="673" spans="1:8" x14ac:dyDescent="0.35">
      <c r="A673" t="s">
        <v>142</v>
      </c>
      <c r="B673" t="s">
        <v>971</v>
      </c>
      <c r="C673" t="s">
        <v>4307</v>
      </c>
      <c r="D673">
        <v>8.5999999999999993E-2</v>
      </c>
      <c r="E673" t="s">
        <v>1720</v>
      </c>
      <c r="F673" t="s">
        <v>1724</v>
      </c>
      <c r="G673" t="s">
        <v>4432</v>
      </c>
      <c r="H673" t="s">
        <v>4308</v>
      </c>
    </row>
    <row r="674" spans="1:8" x14ac:dyDescent="0.35">
      <c r="A674" t="s">
        <v>142</v>
      </c>
      <c r="B674" t="s">
        <v>971</v>
      </c>
      <c r="C674" t="s">
        <v>4189</v>
      </c>
      <c r="D674">
        <v>3.5999999999999997E-2</v>
      </c>
      <c r="E674" t="s">
        <v>1720</v>
      </c>
      <c r="F674" t="s">
        <v>1721</v>
      </c>
      <c r="G674" t="s">
        <v>4385</v>
      </c>
      <c r="H674" t="s">
        <v>4190</v>
      </c>
    </row>
    <row r="675" spans="1:8" x14ac:dyDescent="0.35">
      <c r="A675" t="s">
        <v>142</v>
      </c>
      <c r="B675" t="s">
        <v>971</v>
      </c>
      <c r="C675" t="s">
        <v>4189</v>
      </c>
      <c r="D675">
        <v>8.5999999999999993E-2</v>
      </c>
      <c r="E675" t="s">
        <v>1720</v>
      </c>
      <c r="F675" t="s">
        <v>1724</v>
      </c>
      <c r="G675" t="s">
        <v>4385</v>
      </c>
      <c r="H675" t="s">
        <v>4190</v>
      </c>
    </row>
    <row r="676" spans="1:8" x14ac:dyDescent="0.35">
      <c r="A676" t="s">
        <v>142</v>
      </c>
      <c r="B676" t="s">
        <v>971</v>
      </c>
      <c r="C676" t="s">
        <v>4307</v>
      </c>
      <c r="D676">
        <v>3.5999999999999997E-2</v>
      </c>
      <c r="E676" t="s">
        <v>1720</v>
      </c>
      <c r="F676" t="s">
        <v>1721</v>
      </c>
      <c r="G676" t="s">
        <v>4431</v>
      </c>
      <c r="H676" t="s">
        <v>4325</v>
      </c>
    </row>
    <row r="677" spans="1:8" x14ac:dyDescent="0.35">
      <c r="A677" t="s">
        <v>142</v>
      </c>
      <c r="B677" t="s">
        <v>971</v>
      </c>
      <c r="C677" t="s">
        <v>4307</v>
      </c>
      <c r="D677">
        <v>8.5999999999999993E-2</v>
      </c>
      <c r="E677" t="s">
        <v>1720</v>
      </c>
      <c r="F677" t="s">
        <v>1724</v>
      </c>
      <c r="G677" t="s">
        <v>4431</v>
      </c>
      <c r="H677" t="s">
        <v>4325</v>
      </c>
    </row>
    <row r="678" spans="1:8" x14ac:dyDescent="0.35">
      <c r="A678" t="s">
        <v>142</v>
      </c>
      <c r="B678" t="s">
        <v>971</v>
      </c>
      <c r="C678" t="s">
        <v>4307</v>
      </c>
      <c r="D678">
        <v>3.5999999999999997E-2</v>
      </c>
      <c r="E678" t="s">
        <v>1720</v>
      </c>
      <c r="F678" t="s">
        <v>1721</v>
      </c>
      <c r="G678" t="s">
        <v>4432</v>
      </c>
      <c r="H678" t="s">
        <v>4308</v>
      </c>
    </row>
    <row r="679" spans="1:8" x14ac:dyDescent="0.35">
      <c r="A679" t="s">
        <v>142</v>
      </c>
      <c r="B679" t="s">
        <v>971</v>
      </c>
      <c r="C679" t="s">
        <v>4191</v>
      </c>
      <c r="D679">
        <v>3.5999999999999997E-2</v>
      </c>
      <c r="E679" t="s">
        <v>1720</v>
      </c>
      <c r="F679" t="s">
        <v>1721</v>
      </c>
      <c r="G679" t="s">
        <v>4383</v>
      </c>
      <c r="H679" t="s">
        <v>4192</v>
      </c>
    </row>
    <row r="680" spans="1:8" x14ac:dyDescent="0.35">
      <c r="A680" t="s">
        <v>142</v>
      </c>
      <c r="B680" t="s">
        <v>971</v>
      </c>
      <c r="C680" t="s">
        <v>4191</v>
      </c>
      <c r="D680">
        <v>8.5999999999999993E-2</v>
      </c>
      <c r="E680" t="s">
        <v>1720</v>
      </c>
      <c r="F680" t="s">
        <v>1724</v>
      </c>
      <c r="G680" t="s">
        <v>4383</v>
      </c>
      <c r="H680" t="s">
        <v>4192</v>
      </c>
    </row>
    <row r="681" spans="1:8" x14ac:dyDescent="0.35">
      <c r="A681" t="s">
        <v>142</v>
      </c>
      <c r="B681" t="s">
        <v>971</v>
      </c>
      <c r="C681" t="s">
        <v>4197</v>
      </c>
      <c r="D681">
        <v>8.5999999999999993E-2</v>
      </c>
      <c r="E681" t="s">
        <v>1720</v>
      </c>
      <c r="F681" t="s">
        <v>1724</v>
      </c>
      <c r="G681" t="s">
        <v>4433</v>
      </c>
      <c r="H681" t="s">
        <v>4326</v>
      </c>
    </row>
    <row r="682" spans="1:8" x14ac:dyDescent="0.35">
      <c r="A682" t="s">
        <v>142</v>
      </c>
      <c r="B682" t="s">
        <v>971</v>
      </c>
      <c r="C682" t="s">
        <v>4197</v>
      </c>
      <c r="D682">
        <v>3.5999999999999997E-2</v>
      </c>
      <c r="E682" t="s">
        <v>1720</v>
      </c>
      <c r="F682" t="s">
        <v>1721</v>
      </c>
      <c r="G682" t="s">
        <v>4447</v>
      </c>
      <c r="H682" t="s">
        <v>4198</v>
      </c>
    </row>
    <row r="683" spans="1:8" x14ac:dyDescent="0.35">
      <c r="A683" t="s">
        <v>142</v>
      </c>
      <c r="B683" t="s">
        <v>971</v>
      </c>
      <c r="C683" t="s">
        <v>4197</v>
      </c>
      <c r="D683">
        <v>8.5999999999999993E-2</v>
      </c>
      <c r="E683" t="s">
        <v>1720</v>
      </c>
      <c r="F683" t="s">
        <v>1724</v>
      </c>
      <c r="G683" t="s">
        <v>4447</v>
      </c>
      <c r="H683" t="s">
        <v>4198</v>
      </c>
    </row>
    <row r="684" spans="1:8" x14ac:dyDescent="0.35">
      <c r="A684" t="s">
        <v>142</v>
      </c>
      <c r="B684" t="s">
        <v>971</v>
      </c>
      <c r="C684" t="s">
        <v>4197</v>
      </c>
      <c r="D684">
        <v>3.5999999999999997E-2</v>
      </c>
      <c r="E684" t="s">
        <v>1720</v>
      </c>
      <c r="F684" t="s">
        <v>1721</v>
      </c>
      <c r="G684" t="s">
        <v>4383</v>
      </c>
      <c r="H684" t="s">
        <v>4198</v>
      </c>
    </row>
    <row r="685" spans="1:8" x14ac:dyDescent="0.35">
      <c r="A685" t="s">
        <v>142</v>
      </c>
      <c r="B685" t="s">
        <v>971</v>
      </c>
      <c r="C685" t="s">
        <v>4197</v>
      </c>
      <c r="D685">
        <v>8.5999999999999993E-2</v>
      </c>
      <c r="E685" t="s">
        <v>1720</v>
      </c>
      <c r="F685" t="s">
        <v>1724</v>
      </c>
      <c r="G685" t="s">
        <v>4383</v>
      </c>
      <c r="H685" t="s">
        <v>4198</v>
      </c>
    </row>
    <row r="686" spans="1:8" x14ac:dyDescent="0.35">
      <c r="A686" t="s">
        <v>142</v>
      </c>
      <c r="B686" t="s">
        <v>971</v>
      </c>
      <c r="C686" t="s">
        <v>4305</v>
      </c>
      <c r="D686">
        <v>8.5999999999999993E-2</v>
      </c>
      <c r="E686" t="s">
        <v>1720</v>
      </c>
      <c r="F686" t="s">
        <v>1724</v>
      </c>
      <c r="G686" t="s">
        <v>4448</v>
      </c>
      <c r="H686" t="s">
        <v>4306</v>
      </c>
    </row>
    <row r="687" spans="1:8" x14ac:dyDescent="0.35">
      <c r="A687" t="s">
        <v>142</v>
      </c>
      <c r="B687" t="s">
        <v>971</v>
      </c>
      <c r="C687" t="s">
        <v>4305</v>
      </c>
      <c r="D687">
        <v>3.5999999999999997E-2</v>
      </c>
      <c r="E687" t="s">
        <v>1720</v>
      </c>
      <c r="F687" t="s">
        <v>1721</v>
      </c>
      <c r="G687" t="s">
        <v>4421</v>
      </c>
      <c r="H687" t="s">
        <v>4306</v>
      </c>
    </row>
    <row r="688" spans="1:8" x14ac:dyDescent="0.35">
      <c r="A688" t="s">
        <v>142</v>
      </c>
      <c r="B688" t="s">
        <v>971</v>
      </c>
      <c r="C688" t="s">
        <v>4327</v>
      </c>
      <c r="D688">
        <v>2.2999999999999998</v>
      </c>
      <c r="E688" t="s">
        <v>1720</v>
      </c>
      <c r="F688" t="s">
        <v>1721</v>
      </c>
      <c r="G688" t="s">
        <v>4434</v>
      </c>
      <c r="H688" t="s">
        <v>4328</v>
      </c>
    </row>
    <row r="689" spans="1:8" x14ac:dyDescent="0.35">
      <c r="A689" t="s">
        <v>142</v>
      </c>
      <c r="B689" t="s">
        <v>971</v>
      </c>
      <c r="C689" t="s">
        <v>4327</v>
      </c>
      <c r="D689">
        <v>180</v>
      </c>
      <c r="E689" t="s">
        <v>1720</v>
      </c>
      <c r="F689" t="s">
        <v>1724</v>
      </c>
      <c r="G689" t="s">
        <v>4434</v>
      </c>
      <c r="H689" t="s">
        <v>4328</v>
      </c>
    </row>
    <row r="690" spans="1:8" x14ac:dyDescent="0.35">
      <c r="A690" t="s">
        <v>142</v>
      </c>
      <c r="B690" t="s">
        <v>971</v>
      </c>
      <c r="C690" t="s">
        <v>4327</v>
      </c>
      <c r="D690">
        <v>2.2999999999999998</v>
      </c>
      <c r="E690" t="s">
        <v>1720</v>
      </c>
      <c r="F690" t="s">
        <v>1721</v>
      </c>
      <c r="G690" t="s">
        <v>4435</v>
      </c>
      <c r="H690" t="s">
        <v>4328</v>
      </c>
    </row>
    <row r="691" spans="1:8" x14ac:dyDescent="0.35">
      <c r="A691" t="s">
        <v>142</v>
      </c>
      <c r="B691" t="s">
        <v>971</v>
      </c>
      <c r="C691" t="s">
        <v>4327</v>
      </c>
      <c r="D691">
        <v>180</v>
      </c>
      <c r="E691" t="s">
        <v>1720</v>
      </c>
      <c r="F691" t="s">
        <v>1724</v>
      </c>
      <c r="G691" t="s">
        <v>4435</v>
      </c>
      <c r="H691" t="s">
        <v>4328</v>
      </c>
    </row>
    <row r="692" spans="1:8" x14ac:dyDescent="0.35">
      <c r="A692" t="s">
        <v>142</v>
      </c>
      <c r="B692" t="s">
        <v>971</v>
      </c>
      <c r="C692" t="s">
        <v>4309</v>
      </c>
      <c r="D692">
        <v>8.5999999999999993E-2</v>
      </c>
      <c r="E692" t="s">
        <v>1720</v>
      </c>
      <c r="F692" t="s">
        <v>1724</v>
      </c>
      <c r="G692" t="s">
        <v>4396</v>
      </c>
      <c r="H692" t="s">
        <v>4310</v>
      </c>
    </row>
    <row r="693" spans="1:8" x14ac:dyDescent="0.35">
      <c r="A693" t="s">
        <v>142</v>
      </c>
      <c r="B693" t="s">
        <v>971</v>
      </c>
      <c r="C693" t="s">
        <v>4197</v>
      </c>
      <c r="D693">
        <v>3.5999999999999997E-2</v>
      </c>
      <c r="E693" t="s">
        <v>1720</v>
      </c>
      <c r="F693" t="s">
        <v>1721</v>
      </c>
      <c r="G693" t="s">
        <v>4433</v>
      </c>
      <c r="H693" t="s">
        <v>4326</v>
      </c>
    </row>
    <row r="694" spans="1:8" x14ac:dyDescent="0.35">
      <c r="A694" t="s">
        <v>142</v>
      </c>
      <c r="B694" t="s">
        <v>971</v>
      </c>
      <c r="C694" t="s">
        <v>4195</v>
      </c>
      <c r="D694">
        <v>3.5999999999999997E-2</v>
      </c>
      <c r="E694" t="s">
        <v>1720</v>
      </c>
      <c r="F694" t="s">
        <v>1721</v>
      </c>
      <c r="G694" t="s">
        <v>4387</v>
      </c>
      <c r="H694" t="s">
        <v>4196</v>
      </c>
    </row>
    <row r="695" spans="1:8" x14ac:dyDescent="0.35">
      <c r="A695" t="s">
        <v>142</v>
      </c>
      <c r="B695" t="s">
        <v>971</v>
      </c>
      <c r="C695" t="s">
        <v>4195</v>
      </c>
      <c r="D695">
        <v>8.5999999999999993E-2</v>
      </c>
      <c r="E695" t="s">
        <v>1720</v>
      </c>
      <c r="F695" t="s">
        <v>1724</v>
      </c>
      <c r="G695" t="s">
        <v>4387</v>
      </c>
      <c r="H695" t="s">
        <v>4196</v>
      </c>
    </row>
    <row r="696" spans="1:8" x14ac:dyDescent="0.35">
      <c r="A696" t="s">
        <v>142</v>
      </c>
      <c r="B696" t="s">
        <v>971</v>
      </c>
      <c r="C696" t="s">
        <v>4193</v>
      </c>
      <c r="D696">
        <v>3.5999999999999997E-2</v>
      </c>
      <c r="E696" t="s">
        <v>1720</v>
      </c>
      <c r="F696" t="s">
        <v>1721</v>
      </c>
      <c r="G696" t="s">
        <v>4386</v>
      </c>
      <c r="H696" t="s">
        <v>4194</v>
      </c>
    </row>
    <row r="697" spans="1:8" x14ac:dyDescent="0.35">
      <c r="A697" t="s">
        <v>142</v>
      </c>
      <c r="B697" t="s">
        <v>971</v>
      </c>
      <c r="C697" t="s">
        <v>4193</v>
      </c>
      <c r="D697">
        <v>8.5999999999999993E-2</v>
      </c>
      <c r="E697" t="s">
        <v>1720</v>
      </c>
      <c r="F697" t="s">
        <v>1724</v>
      </c>
      <c r="G697" t="s">
        <v>4386</v>
      </c>
      <c r="H697" t="s">
        <v>4194</v>
      </c>
    </row>
    <row r="698" spans="1:8" x14ac:dyDescent="0.35">
      <c r="A698" t="s">
        <v>142</v>
      </c>
      <c r="B698" t="s">
        <v>971</v>
      </c>
      <c r="C698" t="s">
        <v>4309</v>
      </c>
      <c r="D698">
        <v>3.5999999999999997E-2</v>
      </c>
      <c r="E698" t="s">
        <v>1720</v>
      </c>
      <c r="F698" t="s">
        <v>1721</v>
      </c>
      <c r="G698" t="s">
        <v>4396</v>
      </c>
      <c r="H698" t="s">
        <v>4310</v>
      </c>
    </row>
    <row r="699" spans="1:8" x14ac:dyDescent="0.35">
      <c r="A699" t="s">
        <v>142</v>
      </c>
      <c r="B699" t="s">
        <v>971</v>
      </c>
      <c r="C699" t="s">
        <v>4207</v>
      </c>
      <c r="D699">
        <v>3.5999999999999997E-2</v>
      </c>
      <c r="E699" t="s">
        <v>1720</v>
      </c>
      <c r="F699" t="s">
        <v>1721</v>
      </c>
      <c r="G699" t="s">
        <v>4383</v>
      </c>
      <c r="H699" t="s">
        <v>4208</v>
      </c>
    </row>
    <row r="700" spans="1:8" x14ac:dyDescent="0.35">
      <c r="A700" t="s">
        <v>142</v>
      </c>
      <c r="B700" t="s">
        <v>971</v>
      </c>
      <c r="C700" t="s">
        <v>4207</v>
      </c>
      <c r="D700">
        <v>8.5999999999999993E-2</v>
      </c>
      <c r="E700" t="s">
        <v>1720</v>
      </c>
      <c r="F700" t="s">
        <v>1724</v>
      </c>
      <c r="G700" t="s">
        <v>4383</v>
      </c>
      <c r="H700" t="s">
        <v>4208</v>
      </c>
    </row>
    <row r="701" spans="1:8" x14ac:dyDescent="0.35">
      <c r="A701" t="s">
        <v>142</v>
      </c>
      <c r="B701" t="s">
        <v>971</v>
      </c>
      <c r="C701" t="s">
        <v>4205</v>
      </c>
      <c r="D701">
        <v>3.5999999999999997E-2</v>
      </c>
      <c r="E701" t="s">
        <v>1720</v>
      </c>
      <c r="F701" t="s">
        <v>1721</v>
      </c>
      <c r="G701" t="s">
        <v>4391</v>
      </c>
      <c r="H701" t="s">
        <v>4206</v>
      </c>
    </row>
    <row r="702" spans="1:8" x14ac:dyDescent="0.35">
      <c r="A702" t="s">
        <v>142</v>
      </c>
      <c r="B702" t="s">
        <v>971</v>
      </c>
      <c r="C702" t="s">
        <v>4205</v>
      </c>
      <c r="D702">
        <v>8.5999999999999993E-2</v>
      </c>
      <c r="E702" t="s">
        <v>1720</v>
      </c>
      <c r="F702" t="s">
        <v>1724</v>
      </c>
      <c r="G702" t="s">
        <v>4391</v>
      </c>
      <c r="H702" t="s">
        <v>4206</v>
      </c>
    </row>
    <row r="703" spans="1:8" x14ac:dyDescent="0.35">
      <c r="A703" t="s">
        <v>142</v>
      </c>
      <c r="B703" t="s">
        <v>971</v>
      </c>
      <c r="C703" t="s">
        <v>4199</v>
      </c>
      <c r="D703">
        <v>3.5999999999999997E-2</v>
      </c>
      <c r="E703" t="s">
        <v>1720</v>
      </c>
      <c r="F703" t="s">
        <v>1721</v>
      </c>
      <c r="G703" t="s">
        <v>4388</v>
      </c>
      <c r="H703" t="s">
        <v>4200</v>
      </c>
    </row>
    <row r="704" spans="1:8" x14ac:dyDescent="0.35">
      <c r="A704" t="s">
        <v>142</v>
      </c>
      <c r="B704" t="s">
        <v>971</v>
      </c>
      <c r="C704" t="s">
        <v>4199</v>
      </c>
      <c r="D704">
        <v>8.5999999999999993E-2</v>
      </c>
      <c r="E704" t="s">
        <v>1720</v>
      </c>
      <c r="F704" t="s">
        <v>1724</v>
      </c>
      <c r="G704" t="s">
        <v>4388</v>
      </c>
      <c r="H704" t="s">
        <v>4200</v>
      </c>
    </row>
    <row r="705" spans="1:8" x14ac:dyDescent="0.35">
      <c r="A705" t="s">
        <v>142</v>
      </c>
      <c r="B705" t="s">
        <v>971</v>
      </c>
      <c r="C705" t="s">
        <v>4203</v>
      </c>
      <c r="D705">
        <v>3.5999999999999997E-2</v>
      </c>
      <c r="E705" t="s">
        <v>1720</v>
      </c>
      <c r="F705" t="s">
        <v>1721</v>
      </c>
      <c r="G705" t="s">
        <v>4390</v>
      </c>
      <c r="H705" t="s">
        <v>4204</v>
      </c>
    </row>
    <row r="706" spans="1:8" x14ac:dyDescent="0.35">
      <c r="A706" t="s">
        <v>142</v>
      </c>
      <c r="B706" t="s">
        <v>971</v>
      </c>
      <c r="C706" t="s">
        <v>4203</v>
      </c>
      <c r="D706">
        <v>8.5999999999999993E-2</v>
      </c>
      <c r="E706" t="s">
        <v>1720</v>
      </c>
      <c r="F706" t="s">
        <v>1724</v>
      </c>
      <c r="G706" t="s">
        <v>4390</v>
      </c>
      <c r="H706" t="s">
        <v>4204</v>
      </c>
    </row>
    <row r="707" spans="1:8" x14ac:dyDescent="0.35">
      <c r="A707" t="s">
        <v>142</v>
      </c>
      <c r="B707" t="s">
        <v>971</v>
      </c>
      <c r="C707" t="s">
        <v>4309</v>
      </c>
      <c r="D707">
        <v>3.5999999999999997E-2</v>
      </c>
      <c r="E707" t="s">
        <v>1720</v>
      </c>
      <c r="F707" t="s">
        <v>1721</v>
      </c>
      <c r="G707" t="s">
        <v>4436</v>
      </c>
      <c r="H707" t="s">
        <v>4329</v>
      </c>
    </row>
    <row r="708" spans="1:8" x14ac:dyDescent="0.35">
      <c r="A708" t="s">
        <v>142</v>
      </c>
      <c r="B708" t="s">
        <v>971</v>
      </c>
      <c r="C708" t="s">
        <v>4309</v>
      </c>
      <c r="D708">
        <v>8.5999999999999993E-2</v>
      </c>
      <c r="E708" t="s">
        <v>1720</v>
      </c>
      <c r="F708" t="s">
        <v>1724</v>
      </c>
      <c r="G708" t="s">
        <v>4436</v>
      </c>
      <c r="H708" t="s">
        <v>4329</v>
      </c>
    </row>
    <row r="709" spans="1:8" x14ac:dyDescent="0.35">
      <c r="A709" t="s">
        <v>142</v>
      </c>
      <c r="B709" t="s">
        <v>971</v>
      </c>
      <c r="C709" t="s">
        <v>4201</v>
      </c>
      <c r="D709">
        <v>3.5999999999999997E-2</v>
      </c>
      <c r="E709" t="s">
        <v>1720</v>
      </c>
      <c r="F709" t="s">
        <v>1721</v>
      </c>
      <c r="G709" t="s">
        <v>4389</v>
      </c>
      <c r="H709" t="s">
        <v>4202</v>
      </c>
    </row>
    <row r="710" spans="1:8" x14ac:dyDescent="0.35">
      <c r="A710" t="s">
        <v>142</v>
      </c>
      <c r="B710" t="s">
        <v>971</v>
      </c>
      <c r="C710" t="s">
        <v>4201</v>
      </c>
      <c r="D710">
        <v>8.5999999999999993E-2</v>
      </c>
      <c r="E710" t="s">
        <v>1720</v>
      </c>
      <c r="F710" t="s">
        <v>1724</v>
      </c>
      <c r="G710" t="s">
        <v>4389</v>
      </c>
      <c r="H710" t="s">
        <v>4202</v>
      </c>
    </row>
    <row r="711" spans="1:8" x14ac:dyDescent="0.35">
      <c r="A711" t="s">
        <v>142</v>
      </c>
      <c r="B711" t="s">
        <v>971</v>
      </c>
      <c r="C711" t="s">
        <v>4311</v>
      </c>
      <c r="D711">
        <v>2E-3</v>
      </c>
      <c r="E711" t="s">
        <v>1720</v>
      </c>
      <c r="G711" t="s">
        <v>4387</v>
      </c>
      <c r="H711" t="s">
        <v>4312</v>
      </c>
    </row>
    <row r="712" spans="1:8" x14ac:dyDescent="0.35">
      <c r="A712" t="s">
        <v>142</v>
      </c>
      <c r="B712" t="s">
        <v>971</v>
      </c>
      <c r="C712" t="s">
        <v>4342</v>
      </c>
      <c r="D712">
        <v>3.5999999999999997E-2</v>
      </c>
      <c r="E712" t="s">
        <v>1720</v>
      </c>
      <c r="F712" t="s">
        <v>1721</v>
      </c>
      <c r="G712" t="s">
        <v>4449</v>
      </c>
      <c r="H712" t="s">
        <v>4343</v>
      </c>
    </row>
    <row r="713" spans="1:8" x14ac:dyDescent="0.35">
      <c r="A713" t="s">
        <v>142</v>
      </c>
      <c r="B713" t="s">
        <v>971</v>
      </c>
      <c r="C713" t="s">
        <v>4342</v>
      </c>
      <c r="D713">
        <v>8.5999999999999993E-2</v>
      </c>
      <c r="E713" t="s">
        <v>1720</v>
      </c>
      <c r="G713" t="s">
        <v>4449</v>
      </c>
      <c r="H713" t="s">
        <v>4343</v>
      </c>
    </row>
    <row r="714" spans="1:8" x14ac:dyDescent="0.35">
      <c r="A714" t="s">
        <v>142</v>
      </c>
      <c r="B714" t="s">
        <v>971</v>
      </c>
      <c r="C714" t="s">
        <v>4342</v>
      </c>
      <c r="D714">
        <v>0.17</v>
      </c>
      <c r="E714" t="s">
        <v>1720</v>
      </c>
      <c r="F714" t="s">
        <v>1724</v>
      </c>
      <c r="G714" t="s">
        <v>4449</v>
      </c>
      <c r="H714" t="s">
        <v>4343</v>
      </c>
    </row>
    <row r="715" spans="1:8" x14ac:dyDescent="0.35">
      <c r="A715" t="s">
        <v>142</v>
      </c>
      <c r="B715" t="s">
        <v>971</v>
      </c>
      <c r="C715" t="s">
        <v>4344</v>
      </c>
      <c r="D715">
        <v>0.17</v>
      </c>
      <c r="E715" t="s">
        <v>1720</v>
      </c>
      <c r="G715" t="s">
        <v>4450</v>
      </c>
      <c r="H715" t="s">
        <v>4345</v>
      </c>
    </row>
    <row r="716" spans="1:8" x14ac:dyDescent="0.35">
      <c r="A716" t="s">
        <v>142</v>
      </c>
      <c r="B716" t="s">
        <v>971</v>
      </c>
      <c r="C716" t="s">
        <v>4344</v>
      </c>
      <c r="D716">
        <v>3.5999999999999997E-2</v>
      </c>
      <c r="E716" t="s">
        <v>1720</v>
      </c>
      <c r="G716" t="s">
        <v>4451</v>
      </c>
      <c r="H716" t="s">
        <v>4345</v>
      </c>
    </row>
    <row r="717" spans="1:8" x14ac:dyDescent="0.35">
      <c r="A717" t="s">
        <v>142</v>
      </c>
      <c r="B717" t="s">
        <v>971</v>
      </c>
      <c r="C717" t="s">
        <v>4344</v>
      </c>
      <c r="D717">
        <v>8.5999999999999993E-2</v>
      </c>
      <c r="E717" t="s">
        <v>1720</v>
      </c>
      <c r="G717" t="s">
        <v>4452</v>
      </c>
      <c r="H717" t="s">
        <v>4345</v>
      </c>
    </row>
    <row r="718" spans="1:8" x14ac:dyDescent="0.35">
      <c r="A718" t="s">
        <v>142</v>
      </c>
      <c r="B718" t="s">
        <v>971</v>
      </c>
      <c r="C718" t="s">
        <v>4346</v>
      </c>
      <c r="D718">
        <v>3.5999999999999997E-2</v>
      </c>
      <c r="E718" t="s">
        <v>1720</v>
      </c>
      <c r="F718" t="s">
        <v>1721</v>
      </c>
      <c r="G718" t="s">
        <v>4453</v>
      </c>
      <c r="H718" t="s">
        <v>4347</v>
      </c>
    </row>
    <row r="719" spans="1:8" x14ac:dyDescent="0.35">
      <c r="A719" t="s">
        <v>142</v>
      </c>
      <c r="B719" t="s">
        <v>971</v>
      </c>
      <c r="C719" t="s">
        <v>4346</v>
      </c>
      <c r="D719">
        <v>8.5999999999999993E-2</v>
      </c>
      <c r="E719" t="s">
        <v>1720</v>
      </c>
      <c r="F719" t="s">
        <v>1724</v>
      </c>
      <c r="G719" t="s">
        <v>4453</v>
      </c>
      <c r="H719" t="s">
        <v>4347</v>
      </c>
    </row>
    <row r="720" spans="1:8" x14ac:dyDescent="0.35">
      <c r="A720" t="s">
        <v>142</v>
      </c>
      <c r="B720" t="s">
        <v>971</v>
      </c>
      <c r="C720" t="s">
        <v>4346</v>
      </c>
      <c r="D720">
        <v>0.12</v>
      </c>
      <c r="E720" t="s">
        <v>1720</v>
      </c>
      <c r="F720" t="s">
        <v>1724</v>
      </c>
      <c r="G720" t="s">
        <v>4454</v>
      </c>
      <c r="H720" t="s">
        <v>4347</v>
      </c>
    </row>
    <row r="721" spans="1:8" x14ac:dyDescent="0.35">
      <c r="A721" t="s">
        <v>142</v>
      </c>
      <c r="B721" t="s">
        <v>971</v>
      </c>
      <c r="C721" t="s">
        <v>4346</v>
      </c>
      <c r="D721">
        <v>0.05</v>
      </c>
      <c r="E721" t="s">
        <v>1720</v>
      </c>
      <c r="F721" t="s">
        <v>1721</v>
      </c>
      <c r="G721" t="s">
        <v>4455</v>
      </c>
      <c r="H721" t="s">
        <v>4347</v>
      </c>
    </row>
    <row r="722" spans="1:8" x14ac:dyDescent="0.35">
      <c r="A722" t="s">
        <v>142</v>
      </c>
      <c r="B722" t="s">
        <v>971</v>
      </c>
      <c r="C722" t="s">
        <v>4346</v>
      </c>
      <c r="D722">
        <v>0.05</v>
      </c>
      <c r="E722" t="s">
        <v>1720</v>
      </c>
      <c r="F722" t="s">
        <v>1721</v>
      </c>
      <c r="G722" t="s">
        <v>4456</v>
      </c>
      <c r="H722" t="s">
        <v>4347</v>
      </c>
    </row>
    <row r="723" spans="1:8" x14ac:dyDescent="0.35">
      <c r="A723" t="s">
        <v>142</v>
      </c>
      <c r="B723" t="s">
        <v>971</v>
      </c>
      <c r="C723" t="s">
        <v>4346</v>
      </c>
      <c r="D723">
        <v>8.5999999999999993E-2</v>
      </c>
      <c r="E723" t="s">
        <v>1720</v>
      </c>
      <c r="F723" t="s">
        <v>1724</v>
      </c>
      <c r="G723" t="s">
        <v>4457</v>
      </c>
      <c r="H723" t="s">
        <v>4347</v>
      </c>
    </row>
    <row r="724" spans="1:8" x14ac:dyDescent="0.35">
      <c r="A724" t="s">
        <v>142</v>
      </c>
      <c r="B724" t="s">
        <v>971</v>
      </c>
      <c r="C724" t="s">
        <v>4348</v>
      </c>
      <c r="D724">
        <v>3.5999999999999997E-2</v>
      </c>
      <c r="E724" t="s">
        <v>1720</v>
      </c>
      <c r="F724" t="s">
        <v>1721</v>
      </c>
      <c r="G724" t="s">
        <v>4458</v>
      </c>
      <c r="H724" t="s">
        <v>4349</v>
      </c>
    </row>
    <row r="725" spans="1:8" x14ac:dyDescent="0.35">
      <c r="A725" t="s">
        <v>142</v>
      </c>
      <c r="B725" t="s">
        <v>971</v>
      </c>
      <c r="C725" t="s">
        <v>4348</v>
      </c>
      <c r="D725">
        <v>8.5999999999999993E-2</v>
      </c>
      <c r="E725" t="s">
        <v>1720</v>
      </c>
      <c r="F725" t="s">
        <v>1724</v>
      </c>
      <c r="G725" t="s">
        <v>4458</v>
      </c>
      <c r="H725" t="s">
        <v>4349</v>
      </c>
    </row>
    <row r="726" spans="1:8" x14ac:dyDescent="0.35">
      <c r="A726" t="s">
        <v>142</v>
      </c>
      <c r="B726" t="s">
        <v>971</v>
      </c>
      <c r="C726" t="s">
        <v>4221</v>
      </c>
      <c r="D726">
        <v>3.5999999999999997E-2</v>
      </c>
      <c r="E726" t="s">
        <v>1720</v>
      </c>
      <c r="F726" t="s">
        <v>1721</v>
      </c>
      <c r="G726" t="s">
        <v>4383</v>
      </c>
      <c r="H726" t="s">
        <v>4222</v>
      </c>
    </row>
    <row r="727" spans="1:8" x14ac:dyDescent="0.35">
      <c r="A727" t="s">
        <v>142</v>
      </c>
      <c r="B727" t="s">
        <v>971</v>
      </c>
      <c r="C727" t="s">
        <v>4221</v>
      </c>
      <c r="D727">
        <v>8.5999999999999993E-2</v>
      </c>
      <c r="E727" t="s">
        <v>1720</v>
      </c>
      <c r="F727" t="s">
        <v>1724</v>
      </c>
      <c r="G727" t="s">
        <v>4383</v>
      </c>
      <c r="H727" t="s">
        <v>4222</v>
      </c>
    </row>
    <row r="728" spans="1:8" x14ac:dyDescent="0.35">
      <c r="A728" t="s">
        <v>142</v>
      </c>
      <c r="B728" t="s">
        <v>971</v>
      </c>
      <c r="C728" t="s">
        <v>4213</v>
      </c>
      <c r="D728">
        <v>0.03</v>
      </c>
      <c r="E728" t="s">
        <v>1720</v>
      </c>
      <c r="F728" t="s">
        <v>1721</v>
      </c>
      <c r="G728" t="s">
        <v>4393</v>
      </c>
      <c r="H728" t="s">
        <v>4214</v>
      </c>
    </row>
    <row r="729" spans="1:8" x14ac:dyDescent="0.35">
      <c r="A729" t="s">
        <v>142</v>
      </c>
      <c r="B729" t="s">
        <v>971</v>
      </c>
      <c r="C729" t="s">
        <v>4213</v>
      </c>
      <c r="D729">
        <v>8.5999999999999993E-2</v>
      </c>
      <c r="E729" t="s">
        <v>1720</v>
      </c>
      <c r="F729" t="s">
        <v>1724</v>
      </c>
      <c r="G729" t="s">
        <v>4393</v>
      </c>
      <c r="H729" t="s">
        <v>4214</v>
      </c>
    </row>
    <row r="730" spans="1:8" x14ac:dyDescent="0.35">
      <c r="A730" t="s">
        <v>142</v>
      </c>
      <c r="B730" t="s">
        <v>971</v>
      </c>
      <c r="C730" t="s">
        <v>4332</v>
      </c>
      <c r="D730">
        <v>0.05</v>
      </c>
      <c r="E730" t="s">
        <v>1720</v>
      </c>
      <c r="F730" t="s">
        <v>1721</v>
      </c>
      <c r="G730" t="s">
        <v>4438</v>
      </c>
      <c r="H730" t="s">
        <v>4333</v>
      </c>
    </row>
    <row r="731" spans="1:8" x14ac:dyDescent="0.35">
      <c r="A731" t="s">
        <v>142</v>
      </c>
      <c r="B731" t="s">
        <v>971</v>
      </c>
      <c r="C731" t="s">
        <v>4332</v>
      </c>
      <c r="D731">
        <v>0.12</v>
      </c>
      <c r="E731" t="s">
        <v>1720</v>
      </c>
      <c r="F731" t="s">
        <v>1724</v>
      </c>
      <c r="G731" t="s">
        <v>4438</v>
      </c>
      <c r="H731" t="s">
        <v>4333</v>
      </c>
    </row>
    <row r="732" spans="1:8" x14ac:dyDescent="0.35">
      <c r="A732" t="s">
        <v>142</v>
      </c>
      <c r="B732" t="s">
        <v>971</v>
      </c>
      <c r="C732" t="s">
        <v>4332</v>
      </c>
      <c r="D732">
        <v>3.5999999999999997E-2</v>
      </c>
      <c r="E732" t="s">
        <v>1720</v>
      </c>
      <c r="F732" t="s">
        <v>1721</v>
      </c>
      <c r="G732" t="s">
        <v>4439</v>
      </c>
      <c r="H732" t="s">
        <v>4333</v>
      </c>
    </row>
    <row r="733" spans="1:8" x14ac:dyDescent="0.35">
      <c r="A733" t="s">
        <v>142</v>
      </c>
      <c r="B733" t="s">
        <v>971</v>
      </c>
      <c r="C733" t="s">
        <v>4332</v>
      </c>
      <c r="D733">
        <v>8.5999999999999993E-2</v>
      </c>
      <c r="E733" t="s">
        <v>1720</v>
      </c>
      <c r="F733" t="s">
        <v>1724</v>
      </c>
      <c r="G733" t="s">
        <v>4439</v>
      </c>
      <c r="H733" t="s">
        <v>4333</v>
      </c>
    </row>
    <row r="734" spans="1:8" x14ac:dyDescent="0.35">
      <c r="A734" t="s">
        <v>142</v>
      </c>
      <c r="B734" t="s">
        <v>971</v>
      </c>
      <c r="C734" t="s">
        <v>4332</v>
      </c>
      <c r="D734">
        <v>3.5999999999999997E-2</v>
      </c>
      <c r="E734" t="s">
        <v>1720</v>
      </c>
      <c r="F734" t="s">
        <v>1721</v>
      </c>
      <c r="G734" t="s">
        <v>4440</v>
      </c>
      <c r="H734" t="s">
        <v>4333</v>
      </c>
    </row>
    <row r="735" spans="1:8" x14ac:dyDescent="0.35">
      <c r="A735" t="s">
        <v>142</v>
      </c>
      <c r="B735" t="s">
        <v>971</v>
      </c>
      <c r="C735" t="s">
        <v>4332</v>
      </c>
      <c r="D735">
        <v>8.5999999999999993E-2</v>
      </c>
      <c r="E735" t="s">
        <v>1720</v>
      </c>
      <c r="F735" t="s">
        <v>1724</v>
      </c>
      <c r="G735" t="s">
        <v>4440</v>
      </c>
      <c r="H735" t="s">
        <v>4333</v>
      </c>
    </row>
    <row r="736" spans="1:8" x14ac:dyDescent="0.35">
      <c r="A736" t="s">
        <v>142</v>
      </c>
      <c r="B736" t="s">
        <v>971</v>
      </c>
      <c r="C736" t="s">
        <v>4332</v>
      </c>
      <c r="D736">
        <v>3.5999999999999997E-2</v>
      </c>
      <c r="E736" t="s">
        <v>1720</v>
      </c>
      <c r="F736" t="s">
        <v>1721</v>
      </c>
      <c r="G736" t="s">
        <v>4441</v>
      </c>
      <c r="H736" t="s">
        <v>4333</v>
      </c>
    </row>
    <row r="737" spans="1:8" x14ac:dyDescent="0.35">
      <c r="A737" t="s">
        <v>142</v>
      </c>
      <c r="B737" t="s">
        <v>971</v>
      </c>
      <c r="C737" t="s">
        <v>4332</v>
      </c>
      <c r="D737">
        <v>8.5999999999999993E-2</v>
      </c>
      <c r="E737" t="s">
        <v>1720</v>
      </c>
      <c r="F737" t="s">
        <v>1724</v>
      </c>
      <c r="G737" t="s">
        <v>4441</v>
      </c>
      <c r="H737" t="s">
        <v>4333</v>
      </c>
    </row>
    <row r="738" spans="1:8" x14ac:dyDescent="0.35">
      <c r="A738" t="s">
        <v>142</v>
      </c>
      <c r="B738" t="s">
        <v>971</v>
      </c>
      <c r="C738" t="s">
        <v>4332</v>
      </c>
      <c r="D738">
        <v>3.5999999999999997E-2</v>
      </c>
      <c r="E738" t="s">
        <v>1720</v>
      </c>
      <c r="F738" t="s">
        <v>1721</v>
      </c>
      <c r="G738" t="s">
        <v>4442</v>
      </c>
      <c r="H738" t="s">
        <v>4333</v>
      </c>
    </row>
    <row r="739" spans="1:8" x14ac:dyDescent="0.35">
      <c r="A739" t="s">
        <v>142</v>
      </c>
      <c r="B739" t="s">
        <v>971</v>
      </c>
      <c r="C739" t="s">
        <v>4332</v>
      </c>
      <c r="D739">
        <v>8.5999999999999993E-2</v>
      </c>
      <c r="E739" t="s">
        <v>1720</v>
      </c>
      <c r="F739" t="s">
        <v>1724</v>
      </c>
      <c r="G739" t="s">
        <v>4442</v>
      </c>
      <c r="H739" t="s">
        <v>4333</v>
      </c>
    </row>
    <row r="740" spans="1:8" x14ac:dyDescent="0.35">
      <c r="A740" t="s">
        <v>142</v>
      </c>
      <c r="B740" t="s">
        <v>971</v>
      </c>
      <c r="C740" t="s">
        <v>4217</v>
      </c>
      <c r="D740">
        <v>2E-3</v>
      </c>
      <c r="E740" t="s">
        <v>1720</v>
      </c>
      <c r="F740" t="s">
        <v>1721</v>
      </c>
      <c r="G740" t="s">
        <v>4396</v>
      </c>
      <c r="H740" t="s">
        <v>4218</v>
      </c>
    </row>
    <row r="741" spans="1:8" x14ac:dyDescent="0.35">
      <c r="A741" t="s">
        <v>142</v>
      </c>
      <c r="B741" t="s">
        <v>971</v>
      </c>
      <c r="C741" t="s">
        <v>4217</v>
      </c>
      <c r="D741">
        <v>8.5999999999999993E-2</v>
      </c>
      <c r="E741" t="s">
        <v>1720</v>
      </c>
      <c r="F741" t="s">
        <v>1724</v>
      </c>
      <c r="G741" t="s">
        <v>4396</v>
      </c>
      <c r="H741" t="s">
        <v>4218</v>
      </c>
    </row>
    <row r="742" spans="1:8" x14ac:dyDescent="0.35">
      <c r="A742" t="s">
        <v>142</v>
      </c>
      <c r="B742" t="s">
        <v>971</v>
      </c>
      <c r="C742" t="s">
        <v>4209</v>
      </c>
      <c r="D742">
        <v>3.5999999999999997E-2</v>
      </c>
      <c r="E742" t="s">
        <v>1720</v>
      </c>
      <c r="F742" t="s">
        <v>1721</v>
      </c>
      <c r="G742" t="s">
        <v>4383</v>
      </c>
      <c r="H742" t="s">
        <v>4210</v>
      </c>
    </row>
    <row r="743" spans="1:8" x14ac:dyDescent="0.35">
      <c r="A743" t="s">
        <v>142</v>
      </c>
      <c r="B743" t="s">
        <v>971</v>
      </c>
      <c r="C743" t="s">
        <v>4209</v>
      </c>
      <c r="D743">
        <v>8.5999999999999993E-2</v>
      </c>
      <c r="E743" t="s">
        <v>1720</v>
      </c>
      <c r="F743" t="s">
        <v>1724</v>
      </c>
      <c r="G743" t="s">
        <v>4383</v>
      </c>
      <c r="H743" t="s">
        <v>4210</v>
      </c>
    </row>
    <row r="744" spans="1:8" x14ac:dyDescent="0.35">
      <c r="A744" t="s">
        <v>142</v>
      </c>
      <c r="B744" t="s">
        <v>971</v>
      </c>
      <c r="C744" t="s">
        <v>4350</v>
      </c>
      <c r="D744">
        <v>8.5999999999999993E-2</v>
      </c>
      <c r="E744" t="s">
        <v>1720</v>
      </c>
      <c r="F744" t="s">
        <v>1724</v>
      </c>
      <c r="G744" t="s">
        <v>4383</v>
      </c>
      <c r="H744" t="s">
        <v>4351</v>
      </c>
    </row>
    <row r="745" spans="1:8" x14ac:dyDescent="0.35">
      <c r="A745" t="s">
        <v>142</v>
      </c>
      <c r="B745" t="s">
        <v>971</v>
      </c>
      <c r="C745" t="s">
        <v>4350</v>
      </c>
      <c r="D745">
        <v>3.5999999999999997E-2</v>
      </c>
      <c r="E745" t="s">
        <v>1720</v>
      </c>
      <c r="F745" t="s">
        <v>1721</v>
      </c>
      <c r="G745" t="s">
        <v>4383</v>
      </c>
      <c r="H745" t="s">
        <v>4351</v>
      </c>
    </row>
    <row r="746" spans="1:8" x14ac:dyDescent="0.35">
      <c r="A746" t="s">
        <v>142</v>
      </c>
      <c r="B746" t="s">
        <v>971</v>
      </c>
      <c r="C746" t="s">
        <v>4211</v>
      </c>
      <c r="D746">
        <v>3.5999999999999997E-2</v>
      </c>
      <c r="E746" t="s">
        <v>1720</v>
      </c>
      <c r="F746" t="s">
        <v>1721</v>
      </c>
      <c r="G746" t="s">
        <v>4392</v>
      </c>
      <c r="H746" t="s">
        <v>4212</v>
      </c>
    </row>
    <row r="747" spans="1:8" x14ac:dyDescent="0.35">
      <c r="A747" t="s">
        <v>142</v>
      </c>
      <c r="B747" t="s">
        <v>971</v>
      </c>
      <c r="C747" t="s">
        <v>4211</v>
      </c>
      <c r="D747">
        <v>8.5999999999999993E-2</v>
      </c>
      <c r="E747" t="s">
        <v>1720</v>
      </c>
      <c r="F747" t="s">
        <v>1724</v>
      </c>
      <c r="G747" t="s">
        <v>4392</v>
      </c>
      <c r="H747" t="s">
        <v>4212</v>
      </c>
    </row>
    <row r="748" spans="1:8" x14ac:dyDescent="0.35">
      <c r="A748" t="s">
        <v>142</v>
      </c>
      <c r="B748" t="s">
        <v>971</v>
      </c>
      <c r="C748" t="s">
        <v>4232</v>
      </c>
      <c r="D748">
        <v>3.5999999999999997E-2</v>
      </c>
      <c r="E748" t="s">
        <v>1720</v>
      </c>
      <c r="F748" t="s">
        <v>1721</v>
      </c>
      <c r="G748" t="s">
        <v>4402</v>
      </c>
      <c r="H748" t="s">
        <v>4233</v>
      </c>
    </row>
    <row r="749" spans="1:8" x14ac:dyDescent="0.35">
      <c r="A749" t="s">
        <v>142</v>
      </c>
      <c r="B749" t="s">
        <v>971</v>
      </c>
      <c r="C749" t="s">
        <v>4232</v>
      </c>
      <c r="D749">
        <v>8.5999999999999993E-2</v>
      </c>
      <c r="E749" t="s">
        <v>1720</v>
      </c>
      <c r="F749" t="s">
        <v>1724</v>
      </c>
      <c r="G749" t="s">
        <v>4402</v>
      </c>
      <c r="H749" t="s">
        <v>4233</v>
      </c>
    </row>
    <row r="750" spans="1:8" x14ac:dyDescent="0.35">
      <c r="A750" t="s">
        <v>142</v>
      </c>
      <c r="B750" t="s">
        <v>971</v>
      </c>
      <c r="C750" t="s">
        <v>4330</v>
      </c>
      <c r="D750">
        <v>2.3E-3</v>
      </c>
      <c r="E750" t="s">
        <v>1720</v>
      </c>
      <c r="F750" t="s">
        <v>1721</v>
      </c>
      <c r="G750" t="s">
        <v>4437</v>
      </c>
      <c r="H750" t="s">
        <v>4331</v>
      </c>
    </row>
    <row r="751" spans="1:8" x14ac:dyDescent="0.35">
      <c r="A751" t="s">
        <v>142</v>
      </c>
      <c r="B751" t="s">
        <v>971</v>
      </c>
      <c r="C751" t="s">
        <v>4330</v>
      </c>
      <c r="D751">
        <v>0.09</v>
      </c>
      <c r="E751" t="s">
        <v>1720</v>
      </c>
      <c r="F751" t="s">
        <v>1724</v>
      </c>
      <c r="G751" t="s">
        <v>4437</v>
      </c>
      <c r="H751" t="s">
        <v>4331</v>
      </c>
    </row>
    <row r="752" spans="1:8" x14ac:dyDescent="0.35">
      <c r="A752" t="s">
        <v>142</v>
      </c>
      <c r="B752" t="s">
        <v>971</v>
      </c>
      <c r="C752" t="s">
        <v>4330</v>
      </c>
      <c r="D752">
        <v>3.5999999999999997E-2</v>
      </c>
      <c r="E752" t="s">
        <v>1720</v>
      </c>
      <c r="F752" t="s">
        <v>1721</v>
      </c>
      <c r="G752" t="s">
        <v>4396</v>
      </c>
      <c r="H752" t="s">
        <v>4331</v>
      </c>
    </row>
    <row r="753" spans="1:8" x14ac:dyDescent="0.35">
      <c r="A753" t="s">
        <v>142</v>
      </c>
      <c r="B753" t="s">
        <v>971</v>
      </c>
      <c r="C753" t="s">
        <v>4330</v>
      </c>
      <c r="D753">
        <v>8.5999999999999993E-2</v>
      </c>
      <c r="E753" t="s">
        <v>1720</v>
      </c>
      <c r="F753" t="s">
        <v>1724</v>
      </c>
      <c r="G753" t="s">
        <v>4396</v>
      </c>
      <c r="H753" t="s">
        <v>4331</v>
      </c>
    </row>
    <row r="754" spans="1:8" x14ac:dyDescent="0.35">
      <c r="A754" t="s">
        <v>142</v>
      </c>
      <c r="B754" t="s">
        <v>971</v>
      </c>
      <c r="C754" t="s">
        <v>4342</v>
      </c>
      <c r="D754">
        <v>3.5999999999999997E-2</v>
      </c>
      <c r="E754" t="s">
        <v>1720</v>
      </c>
      <c r="F754" t="s">
        <v>1721</v>
      </c>
      <c r="G754" t="s">
        <v>4459</v>
      </c>
      <c r="H754" t="s">
        <v>4343</v>
      </c>
    </row>
    <row r="755" spans="1:8" x14ac:dyDescent="0.35">
      <c r="A755" t="s">
        <v>142</v>
      </c>
      <c r="B755" t="s">
        <v>971</v>
      </c>
      <c r="C755" t="s">
        <v>4342</v>
      </c>
      <c r="D755">
        <v>8.5999999999999993E-2</v>
      </c>
      <c r="E755" t="s">
        <v>1720</v>
      </c>
      <c r="G755" t="s">
        <v>4459</v>
      </c>
      <c r="H755" t="s">
        <v>4343</v>
      </c>
    </row>
    <row r="756" spans="1:8" x14ac:dyDescent="0.35">
      <c r="A756" t="s">
        <v>142</v>
      </c>
      <c r="B756" t="s">
        <v>971</v>
      </c>
      <c r="C756" t="s">
        <v>4342</v>
      </c>
      <c r="D756">
        <v>0.17</v>
      </c>
      <c r="E756" t="s">
        <v>1720</v>
      </c>
      <c r="F756" t="s">
        <v>1724</v>
      </c>
      <c r="G756" t="s">
        <v>4459</v>
      </c>
      <c r="H756" t="s">
        <v>4343</v>
      </c>
    </row>
    <row r="757" spans="1:8" x14ac:dyDescent="0.35">
      <c r="A757" t="s">
        <v>142</v>
      </c>
      <c r="B757" t="s">
        <v>971</v>
      </c>
      <c r="C757" t="s">
        <v>4342</v>
      </c>
      <c r="D757">
        <v>3.5999999999999997E-2</v>
      </c>
      <c r="E757" t="s">
        <v>1720</v>
      </c>
      <c r="F757" t="s">
        <v>1721</v>
      </c>
      <c r="G757" t="s">
        <v>4460</v>
      </c>
      <c r="H757" t="s">
        <v>4343</v>
      </c>
    </row>
    <row r="758" spans="1:8" x14ac:dyDescent="0.35">
      <c r="A758" t="s">
        <v>142</v>
      </c>
      <c r="B758" t="s">
        <v>971</v>
      </c>
      <c r="C758" t="s">
        <v>4342</v>
      </c>
      <c r="D758">
        <v>8.5999999999999993E-2</v>
      </c>
      <c r="E758" t="s">
        <v>1720</v>
      </c>
      <c r="G758" t="s">
        <v>4460</v>
      </c>
      <c r="H758" t="s">
        <v>4343</v>
      </c>
    </row>
    <row r="759" spans="1:8" x14ac:dyDescent="0.35">
      <c r="A759" t="s">
        <v>142</v>
      </c>
      <c r="B759" t="s">
        <v>971</v>
      </c>
      <c r="C759" t="s">
        <v>4342</v>
      </c>
      <c r="D759">
        <v>0.17</v>
      </c>
      <c r="E759" t="s">
        <v>1720</v>
      </c>
      <c r="F759" t="s">
        <v>1724</v>
      </c>
      <c r="G759" t="s">
        <v>4460</v>
      </c>
      <c r="H759" t="s">
        <v>4343</v>
      </c>
    </row>
    <row r="760" spans="1:8" x14ac:dyDescent="0.35">
      <c r="A760" t="s">
        <v>142</v>
      </c>
      <c r="B760" t="s">
        <v>971</v>
      </c>
      <c r="C760" t="s">
        <v>4342</v>
      </c>
      <c r="D760">
        <v>3.5999999999999997E-2</v>
      </c>
      <c r="E760" t="s">
        <v>1720</v>
      </c>
      <c r="F760" t="s">
        <v>1721</v>
      </c>
      <c r="G760" t="s">
        <v>4461</v>
      </c>
      <c r="H760" t="s">
        <v>4343</v>
      </c>
    </row>
    <row r="761" spans="1:8" x14ac:dyDescent="0.35">
      <c r="A761" t="s">
        <v>142</v>
      </c>
      <c r="B761" t="s">
        <v>971</v>
      </c>
      <c r="C761" t="s">
        <v>4342</v>
      </c>
      <c r="D761">
        <v>8.5999999999999993E-2</v>
      </c>
      <c r="E761" t="s">
        <v>1720</v>
      </c>
      <c r="G761" t="s">
        <v>4461</v>
      </c>
      <c r="H761" t="s">
        <v>4343</v>
      </c>
    </row>
    <row r="762" spans="1:8" x14ac:dyDescent="0.35">
      <c r="A762" t="s">
        <v>142</v>
      </c>
      <c r="B762" t="s">
        <v>971</v>
      </c>
      <c r="C762" t="s">
        <v>4342</v>
      </c>
      <c r="D762">
        <v>0.17</v>
      </c>
      <c r="E762" t="s">
        <v>1720</v>
      </c>
      <c r="F762" t="s">
        <v>1724</v>
      </c>
      <c r="G762" t="s">
        <v>4461</v>
      </c>
      <c r="H762" t="s">
        <v>4343</v>
      </c>
    </row>
    <row r="763" spans="1:8" x14ac:dyDescent="0.35">
      <c r="A763" t="s">
        <v>142</v>
      </c>
      <c r="B763" t="s">
        <v>971</v>
      </c>
      <c r="C763" t="s">
        <v>4302</v>
      </c>
      <c r="D763">
        <v>3.5999999999999997E-2</v>
      </c>
      <c r="E763" t="s">
        <v>1720</v>
      </c>
      <c r="F763" t="s">
        <v>1721</v>
      </c>
      <c r="G763" t="s">
        <v>4420</v>
      </c>
      <c r="H763" t="s">
        <v>4303</v>
      </c>
    </row>
    <row r="764" spans="1:8" x14ac:dyDescent="0.35">
      <c r="A764" t="s">
        <v>142</v>
      </c>
      <c r="B764" t="s">
        <v>971</v>
      </c>
      <c r="C764" t="s">
        <v>4302</v>
      </c>
      <c r="D764">
        <v>8.5999999999999993E-2</v>
      </c>
      <c r="E764" t="s">
        <v>1720</v>
      </c>
      <c r="F764" t="s">
        <v>1724</v>
      </c>
      <c r="G764" t="s">
        <v>4420</v>
      </c>
      <c r="H764" t="s">
        <v>4303</v>
      </c>
    </row>
    <row r="765" spans="1:8" x14ac:dyDescent="0.35">
      <c r="A765" t="s">
        <v>142</v>
      </c>
      <c r="B765" t="s">
        <v>971</v>
      </c>
      <c r="C765" t="s">
        <v>4215</v>
      </c>
      <c r="D765">
        <v>3.5999999999999997E-2</v>
      </c>
      <c r="E765" t="s">
        <v>1720</v>
      </c>
      <c r="F765" t="s">
        <v>1721</v>
      </c>
      <c r="G765" t="s">
        <v>4394</v>
      </c>
      <c r="H765" t="s">
        <v>4216</v>
      </c>
    </row>
    <row r="766" spans="1:8" x14ac:dyDescent="0.35">
      <c r="A766" t="s">
        <v>142</v>
      </c>
      <c r="B766" t="s">
        <v>971</v>
      </c>
      <c r="C766" t="s">
        <v>4215</v>
      </c>
      <c r="D766">
        <v>8.5999999999999993E-2</v>
      </c>
      <c r="E766" t="s">
        <v>1720</v>
      </c>
      <c r="F766" t="s">
        <v>1724</v>
      </c>
      <c r="G766" t="s">
        <v>4394</v>
      </c>
      <c r="H766" t="s">
        <v>4216</v>
      </c>
    </row>
    <row r="767" spans="1:8" x14ac:dyDescent="0.35">
      <c r="A767" t="s">
        <v>142</v>
      </c>
      <c r="B767" t="s">
        <v>971</v>
      </c>
      <c r="C767" t="s">
        <v>4215</v>
      </c>
      <c r="D767">
        <v>3.5999999999999997E-2</v>
      </c>
      <c r="E767" t="s">
        <v>1720</v>
      </c>
      <c r="F767" t="s">
        <v>1721</v>
      </c>
      <c r="G767" t="s">
        <v>4395</v>
      </c>
      <c r="H767" t="s">
        <v>4216</v>
      </c>
    </row>
    <row r="768" spans="1:8" x14ac:dyDescent="0.35">
      <c r="A768" t="s">
        <v>142</v>
      </c>
      <c r="B768" t="s">
        <v>971</v>
      </c>
      <c r="C768" t="s">
        <v>4215</v>
      </c>
      <c r="D768">
        <v>8.5999999999999993E-2</v>
      </c>
      <c r="E768" t="s">
        <v>1720</v>
      </c>
      <c r="F768" t="s">
        <v>1724</v>
      </c>
      <c r="G768" t="s">
        <v>4395</v>
      </c>
      <c r="H768" t="s">
        <v>4216</v>
      </c>
    </row>
    <row r="769" spans="1:8" x14ac:dyDescent="0.35">
      <c r="A769" t="s">
        <v>142</v>
      </c>
      <c r="B769" t="s">
        <v>971</v>
      </c>
      <c r="C769" t="s">
        <v>4215</v>
      </c>
      <c r="D769">
        <v>3.5999999999999997E-2</v>
      </c>
      <c r="E769" t="s">
        <v>1720</v>
      </c>
      <c r="F769" t="s">
        <v>1721</v>
      </c>
      <c r="G769" t="s">
        <v>4397</v>
      </c>
      <c r="H769" t="s">
        <v>4216</v>
      </c>
    </row>
    <row r="770" spans="1:8" x14ac:dyDescent="0.35">
      <c r="A770" t="s">
        <v>142</v>
      </c>
      <c r="B770" t="s">
        <v>971</v>
      </c>
      <c r="C770" t="s">
        <v>4215</v>
      </c>
      <c r="D770">
        <v>8.5999999999999993E-2</v>
      </c>
      <c r="E770" t="s">
        <v>1720</v>
      </c>
      <c r="F770" t="s">
        <v>1724</v>
      </c>
      <c r="G770" t="s">
        <v>4397</v>
      </c>
      <c r="H770" t="s">
        <v>4216</v>
      </c>
    </row>
    <row r="771" spans="1:8" x14ac:dyDescent="0.35">
      <c r="A771" t="s">
        <v>142</v>
      </c>
      <c r="B771" t="s">
        <v>971</v>
      </c>
      <c r="C771" t="s">
        <v>4215</v>
      </c>
      <c r="D771">
        <v>3.5999999999999997E-2</v>
      </c>
      <c r="E771" t="s">
        <v>1720</v>
      </c>
      <c r="F771" t="s">
        <v>1721</v>
      </c>
      <c r="G771" t="s">
        <v>4398</v>
      </c>
      <c r="H771" t="s">
        <v>4216</v>
      </c>
    </row>
    <row r="772" spans="1:8" x14ac:dyDescent="0.35">
      <c r="A772" t="s">
        <v>142</v>
      </c>
      <c r="B772" t="s">
        <v>971</v>
      </c>
      <c r="C772" t="s">
        <v>4215</v>
      </c>
      <c r="D772">
        <v>8.5999999999999993E-2</v>
      </c>
      <c r="E772" t="s">
        <v>1720</v>
      </c>
      <c r="F772" t="s">
        <v>1724</v>
      </c>
      <c r="G772" t="s">
        <v>4398</v>
      </c>
      <c r="H772" t="s">
        <v>4216</v>
      </c>
    </row>
    <row r="773" spans="1:8" x14ac:dyDescent="0.35">
      <c r="A773" t="s">
        <v>142</v>
      </c>
      <c r="B773" t="s">
        <v>971</v>
      </c>
      <c r="C773" t="s">
        <v>4334</v>
      </c>
      <c r="D773">
        <v>2.3E-3</v>
      </c>
      <c r="E773" t="s">
        <v>1720</v>
      </c>
      <c r="F773" t="s">
        <v>1721</v>
      </c>
      <c r="G773" t="s">
        <v>4443</v>
      </c>
      <c r="H773" t="s">
        <v>4335</v>
      </c>
    </row>
    <row r="774" spans="1:8" x14ac:dyDescent="0.35">
      <c r="A774" t="s">
        <v>142</v>
      </c>
      <c r="B774" t="s">
        <v>971</v>
      </c>
      <c r="C774" t="s">
        <v>4334</v>
      </c>
      <c r="D774">
        <v>0.18</v>
      </c>
      <c r="E774" t="s">
        <v>1720</v>
      </c>
      <c r="F774" t="s">
        <v>1724</v>
      </c>
      <c r="G774" t="s">
        <v>4443</v>
      </c>
      <c r="H774" t="s">
        <v>4335</v>
      </c>
    </row>
    <row r="775" spans="1:8" x14ac:dyDescent="0.35">
      <c r="A775" t="s">
        <v>142</v>
      </c>
      <c r="B775" t="s">
        <v>971</v>
      </c>
      <c r="C775" t="s">
        <v>4336</v>
      </c>
      <c r="D775">
        <v>3.7499999999999999E-2</v>
      </c>
      <c r="E775" t="s">
        <v>1720</v>
      </c>
      <c r="F775" t="s">
        <v>1721</v>
      </c>
      <c r="G775" t="s">
        <v>4445</v>
      </c>
      <c r="H775" t="s">
        <v>4337</v>
      </c>
    </row>
    <row r="776" spans="1:8" x14ac:dyDescent="0.35">
      <c r="A776" t="s">
        <v>142</v>
      </c>
      <c r="B776" t="s">
        <v>971</v>
      </c>
      <c r="C776" t="s">
        <v>4336</v>
      </c>
      <c r="D776">
        <v>8.6400000000000005E-2</v>
      </c>
      <c r="E776" t="s">
        <v>1720</v>
      </c>
      <c r="F776" t="s">
        <v>1724</v>
      </c>
      <c r="G776" t="s">
        <v>4445</v>
      </c>
      <c r="H776" t="s">
        <v>4337</v>
      </c>
    </row>
    <row r="777" spans="1:8" x14ac:dyDescent="0.35">
      <c r="A777" t="s">
        <v>142</v>
      </c>
      <c r="B777" t="s">
        <v>971</v>
      </c>
      <c r="C777" t="s">
        <v>4313</v>
      </c>
      <c r="D777">
        <v>0.04</v>
      </c>
      <c r="E777" t="s">
        <v>1720</v>
      </c>
      <c r="F777" t="s">
        <v>1721</v>
      </c>
      <c r="G777" t="s">
        <v>4424</v>
      </c>
      <c r="H777" t="s">
        <v>4314</v>
      </c>
    </row>
    <row r="778" spans="1:8" x14ac:dyDescent="0.35">
      <c r="A778" t="s">
        <v>142</v>
      </c>
      <c r="B778" t="s">
        <v>971</v>
      </c>
      <c r="C778" t="s">
        <v>4313</v>
      </c>
      <c r="D778">
        <v>0.09</v>
      </c>
      <c r="E778" t="s">
        <v>1720</v>
      </c>
      <c r="F778" t="s">
        <v>1724</v>
      </c>
      <c r="G778" t="s">
        <v>4424</v>
      </c>
      <c r="H778" t="s">
        <v>4314</v>
      </c>
    </row>
    <row r="779" spans="1:8" x14ac:dyDescent="0.35">
      <c r="A779" t="s">
        <v>142</v>
      </c>
      <c r="B779" t="s">
        <v>971</v>
      </c>
      <c r="C779" t="s">
        <v>4313</v>
      </c>
      <c r="D779">
        <v>0.7</v>
      </c>
      <c r="E779" t="s">
        <v>1720</v>
      </c>
      <c r="F779" t="s">
        <v>1724</v>
      </c>
      <c r="G779" t="s">
        <v>4444</v>
      </c>
      <c r="H779" t="s">
        <v>4314</v>
      </c>
    </row>
    <row r="780" spans="1:8" x14ac:dyDescent="0.35">
      <c r="A780" t="s">
        <v>142</v>
      </c>
      <c r="B780" t="s">
        <v>971</v>
      </c>
      <c r="C780" t="s">
        <v>4313</v>
      </c>
      <c r="D780">
        <v>0.04</v>
      </c>
      <c r="E780" t="s">
        <v>1720</v>
      </c>
      <c r="F780" t="s">
        <v>1721</v>
      </c>
      <c r="G780" t="s">
        <v>4425</v>
      </c>
      <c r="H780" t="s">
        <v>4314</v>
      </c>
    </row>
    <row r="781" spans="1:8" x14ac:dyDescent="0.35">
      <c r="A781" t="s">
        <v>142</v>
      </c>
      <c r="B781" t="s">
        <v>971</v>
      </c>
      <c r="C781" t="s">
        <v>4313</v>
      </c>
      <c r="D781">
        <v>0.09</v>
      </c>
      <c r="E781" t="s">
        <v>1720</v>
      </c>
      <c r="F781" t="s">
        <v>1724</v>
      </c>
      <c r="G781" t="s">
        <v>4425</v>
      </c>
      <c r="H781" t="s">
        <v>4314</v>
      </c>
    </row>
    <row r="782" spans="1:8" x14ac:dyDescent="0.35">
      <c r="A782" t="s">
        <v>142</v>
      </c>
      <c r="B782" t="s">
        <v>971</v>
      </c>
      <c r="C782" t="s">
        <v>4223</v>
      </c>
      <c r="D782">
        <v>3.5999999999999997E-2</v>
      </c>
      <c r="E782" t="s">
        <v>1720</v>
      </c>
      <c r="F782" t="s">
        <v>1721</v>
      </c>
      <c r="G782" t="s">
        <v>4399</v>
      </c>
      <c r="H782" t="s">
        <v>4224</v>
      </c>
    </row>
    <row r="783" spans="1:8" x14ac:dyDescent="0.35">
      <c r="A783" t="s">
        <v>142</v>
      </c>
      <c r="B783" t="s">
        <v>971</v>
      </c>
      <c r="C783" t="s">
        <v>4223</v>
      </c>
      <c r="D783">
        <v>8.5999999999999993E-2</v>
      </c>
      <c r="E783" t="s">
        <v>1720</v>
      </c>
      <c r="F783" t="s">
        <v>1724</v>
      </c>
      <c r="G783" t="s">
        <v>4399</v>
      </c>
      <c r="H783" t="s">
        <v>4224</v>
      </c>
    </row>
    <row r="784" spans="1:8" x14ac:dyDescent="0.35">
      <c r="A784" t="s">
        <v>142</v>
      </c>
      <c r="B784" t="s">
        <v>971</v>
      </c>
      <c r="C784" t="s">
        <v>4229</v>
      </c>
      <c r="D784">
        <v>8.5999999999999993E-2</v>
      </c>
      <c r="E784" t="s">
        <v>1720</v>
      </c>
      <c r="F784" t="s">
        <v>1724</v>
      </c>
      <c r="G784" t="s">
        <v>4399</v>
      </c>
      <c r="H784" t="s">
        <v>1711</v>
      </c>
    </row>
    <row r="785" spans="1:8" x14ac:dyDescent="0.35">
      <c r="A785" t="s">
        <v>142</v>
      </c>
      <c r="B785" t="s">
        <v>971</v>
      </c>
      <c r="C785" t="s">
        <v>4229</v>
      </c>
      <c r="D785">
        <v>3.5999999999999997E-2</v>
      </c>
      <c r="E785" t="s">
        <v>1720</v>
      </c>
      <c r="F785" t="s">
        <v>1721</v>
      </c>
      <c r="G785" t="s">
        <v>4399</v>
      </c>
      <c r="H785" t="s">
        <v>1711</v>
      </c>
    </row>
    <row r="786" spans="1:8" x14ac:dyDescent="0.35">
      <c r="A786" t="s">
        <v>142</v>
      </c>
      <c r="B786" t="s">
        <v>971</v>
      </c>
      <c r="C786" t="s">
        <v>4300</v>
      </c>
      <c r="D786">
        <v>2.3E-3</v>
      </c>
      <c r="E786" t="s">
        <v>1720</v>
      </c>
      <c r="F786" t="s">
        <v>1721</v>
      </c>
      <c r="G786" t="s">
        <v>4389</v>
      </c>
      <c r="H786" t="s">
        <v>4301</v>
      </c>
    </row>
    <row r="787" spans="1:8" x14ac:dyDescent="0.35">
      <c r="A787" t="s">
        <v>142</v>
      </c>
      <c r="B787" t="s">
        <v>971</v>
      </c>
      <c r="C787" t="s">
        <v>4238</v>
      </c>
      <c r="D787">
        <v>3.5999999999999997E-2</v>
      </c>
      <c r="E787" t="s">
        <v>1720</v>
      </c>
      <c r="F787" t="s">
        <v>1721</v>
      </c>
      <c r="G787" t="s">
        <v>4404</v>
      </c>
      <c r="H787" t="s">
        <v>4239</v>
      </c>
    </row>
    <row r="788" spans="1:8" x14ac:dyDescent="0.35">
      <c r="A788" t="s">
        <v>142</v>
      </c>
      <c r="B788" t="s">
        <v>971</v>
      </c>
      <c r="C788" t="s">
        <v>4219</v>
      </c>
      <c r="D788">
        <v>3.5999999999999997E-2</v>
      </c>
      <c r="E788" t="s">
        <v>1720</v>
      </c>
      <c r="F788" t="s">
        <v>1721</v>
      </c>
      <c r="G788" t="s">
        <v>4380</v>
      </c>
      <c r="H788" t="s">
        <v>4220</v>
      </c>
    </row>
    <row r="789" spans="1:8" x14ac:dyDescent="0.35">
      <c r="A789" t="s">
        <v>142</v>
      </c>
      <c r="B789" t="s">
        <v>971</v>
      </c>
      <c r="C789" t="s">
        <v>4219</v>
      </c>
      <c r="D789">
        <v>8.5999999999999993E-2</v>
      </c>
      <c r="E789" t="s">
        <v>1720</v>
      </c>
      <c r="F789" t="s">
        <v>1724</v>
      </c>
      <c r="G789" t="s">
        <v>4380</v>
      </c>
      <c r="H789" t="s">
        <v>4220</v>
      </c>
    </row>
    <row r="790" spans="1:8" x14ac:dyDescent="0.35">
      <c r="A790" t="s">
        <v>142</v>
      </c>
      <c r="B790" t="s">
        <v>971</v>
      </c>
      <c r="C790" t="s">
        <v>4338</v>
      </c>
      <c r="D790">
        <v>0.18</v>
      </c>
      <c r="E790" t="s">
        <v>1720</v>
      </c>
      <c r="F790" t="s">
        <v>1724</v>
      </c>
      <c r="G790" t="s">
        <v>4383</v>
      </c>
      <c r="H790" t="s">
        <v>4339</v>
      </c>
    </row>
    <row r="791" spans="1:8" x14ac:dyDescent="0.35">
      <c r="A791" t="s">
        <v>142</v>
      </c>
      <c r="B791" t="s">
        <v>971</v>
      </c>
      <c r="C791" t="s">
        <v>4338</v>
      </c>
      <c r="D791">
        <v>2.3E-3</v>
      </c>
      <c r="E791" t="s">
        <v>1720</v>
      </c>
      <c r="F791" t="s">
        <v>1721</v>
      </c>
      <c r="G791" t="s">
        <v>4383</v>
      </c>
      <c r="H791" t="s">
        <v>4339</v>
      </c>
    </row>
    <row r="792" spans="1:8" x14ac:dyDescent="0.35">
      <c r="A792" t="s">
        <v>142</v>
      </c>
      <c r="B792" t="s">
        <v>971</v>
      </c>
      <c r="C792" t="s">
        <v>4300</v>
      </c>
      <c r="D792">
        <v>0.18</v>
      </c>
      <c r="E792" t="s">
        <v>1720</v>
      </c>
      <c r="F792" t="s">
        <v>1724</v>
      </c>
      <c r="G792" t="s">
        <v>4389</v>
      </c>
      <c r="H792" t="s">
        <v>4301</v>
      </c>
    </row>
    <row r="793" spans="1:8" x14ac:dyDescent="0.35">
      <c r="A793" t="s">
        <v>142</v>
      </c>
      <c r="B793" t="s">
        <v>971</v>
      </c>
      <c r="C793" t="s">
        <v>4313</v>
      </c>
      <c r="D793">
        <v>0.04</v>
      </c>
      <c r="E793" t="s">
        <v>1720</v>
      </c>
      <c r="F793" t="s">
        <v>1721</v>
      </c>
      <c r="G793" t="s">
        <v>4423</v>
      </c>
      <c r="H793" t="s">
        <v>4314</v>
      </c>
    </row>
    <row r="794" spans="1:8" x14ac:dyDescent="0.35">
      <c r="A794" t="s">
        <v>142</v>
      </c>
      <c r="B794" t="s">
        <v>971</v>
      </c>
      <c r="C794" t="s">
        <v>4313</v>
      </c>
      <c r="D794">
        <v>0.09</v>
      </c>
      <c r="E794" t="s">
        <v>1720</v>
      </c>
      <c r="F794" t="s">
        <v>1724</v>
      </c>
      <c r="G794" t="s">
        <v>4423</v>
      </c>
      <c r="H794" t="s">
        <v>4314</v>
      </c>
    </row>
    <row r="795" spans="1:8" x14ac:dyDescent="0.35">
      <c r="A795" t="s">
        <v>142</v>
      </c>
      <c r="B795" t="s">
        <v>971</v>
      </c>
      <c r="C795" t="s">
        <v>4317</v>
      </c>
      <c r="D795">
        <v>2.3E-3</v>
      </c>
      <c r="E795" t="s">
        <v>1720</v>
      </c>
      <c r="F795" t="s">
        <v>1721</v>
      </c>
      <c r="G795" t="s">
        <v>4426</v>
      </c>
      <c r="H795" t="s">
        <v>4318</v>
      </c>
    </row>
    <row r="796" spans="1:8" x14ac:dyDescent="0.35">
      <c r="A796" t="s">
        <v>142</v>
      </c>
      <c r="B796" t="s">
        <v>971</v>
      </c>
      <c r="C796" t="s">
        <v>4317</v>
      </c>
      <c r="D796">
        <v>0.18</v>
      </c>
      <c r="E796" t="s">
        <v>1720</v>
      </c>
      <c r="F796" t="s">
        <v>1724</v>
      </c>
      <c r="G796" t="s">
        <v>4426</v>
      </c>
      <c r="H796" t="s">
        <v>4318</v>
      </c>
    </row>
    <row r="797" spans="1:8" x14ac:dyDescent="0.35">
      <c r="A797" t="s">
        <v>142</v>
      </c>
      <c r="B797" t="s">
        <v>971</v>
      </c>
      <c r="C797" t="s">
        <v>4227</v>
      </c>
      <c r="D797">
        <v>2.3E-3</v>
      </c>
      <c r="E797" t="s">
        <v>1720</v>
      </c>
      <c r="F797" t="s">
        <v>1721</v>
      </c>
      <c r="G797" t="s">
        <v>4401</v>
      </c>
      <c r="H797" t="s">
        <v>4228</v>
      </c>
    </row>
    <row r="798" spans="1:8" x14ac:dyDescent="0.35">
      <c r="A798" t="s">
        <v>142</v>
      </c>
      <c r="B798" t="s">
        <v>971</v>
      </c>
      <c r="C798" t="s">
        <v>4227</v>
      </c>
      <c r="D798">
        <v>0.18</v>
      </c>
      <c r="E798" t="s">
        <v>1720</v>
      </c>
      <c r="F798" t="s">
        <v>1724</v>
      </c>
      <c r="G798" t="s">
        <v>4401</v>
      </c>
      <c r="H798" t="s">
        <v>4228</v>
      </c>
    </row>
    <row r="799" spans="1:8" x14ac:dyDescent="0.35">
      <c r="A799" t="s">
        <v>142</v>
      </c>
      <c r="B799" t="s">
        <v>971</v>
      </c>
      <c r="C799" t="s">
        <v>4234</v>
      </c>
      <c r="D799">
        <v>3.5999999999999997E-2</v>
      </c>
      <c r="E799" t="s">
        <v>1720</v>
      </c>
      <c r="G799" t="s">
        <v>4383</v>
      </c>
      <c r="H799" t="s">
        <v>4235</v>
      </c>
    </row>
    <row r="800" spans="1:8" x14ac:dyDescent="0.35">
      <c r="A800" t="s">
        <v>142</v>
      </c>
      <c r="B800" t="s">
        <v>971</v>
      </c>
      <c r="C800" t="s">
        <v>4234</v>
      </c>
      <c r="D800">
        <v>8.5999999999999993E-2</v>
      </c>
      <c r="E800" t="s">
        <v>1720</v>
      </c>
      <c r="G800" t="s">
        <v>4383</v>
      </c>
      <c r="H800" t="s">
        <v>4235</v>
      </c>
    </row>
    <row r="801" spans="1:8" x14ac:dyDescent="0.35">
      <c r="A801" t="s">
        <v>142</v>
      </c>
      <c r="B801" t="s">
        <v>971</v>
      </c>
      <c r="C801" t="s">
        <v>4315</v>
      </c>
      <c r="D801">
        <v>3.5999999999999997E-2</v>
      </c>
      <c r="E801" t="s">
        <v>1720</v>
      </c>
      <c r="F801" t="s">
        <v>1721</v>
      </c>
      <c r="G801" t="s">
        <v>4383</v>
      </c>
      <c r="H801" t="s">
        <v>4316</v>
      </c>
    </row>
    <row r="802" spans="1:8" x14ac:dyDescent="0.35">
      <c r="A802" t="s">
        <v>142</v>
      </c>
      <c r="B802" t="s">
        <v>971</v>
      </c>
      <c r="C802" t="s">
        <v>4315</v>
      </c>
      <c r="D802">
        <v>8.5999999999999993E-2</v>
      </c>
      <c r="E802" t="s">
        <v>1720</v>
      </c>
      <c r="F802" t="s">
        <v>1724</v>
      </c>
      <c r="G802" t="s">
        <v>4383</v>
      </c>
      <c r="H802" t="s">
        <v>4316</v>
      </c>
    </row>
    <row r="803" spans="1:8" x14ac:dyDescent="0.35">
      <c r="A803" t="s">
        <v>142</v>
      </c>
      <c r="B803" t="s">
        <v>971</v>
      </c>
      <c r="C803" t="s">
        <v>4225</v>
      </c>
      <c r="D803">
        <v>3.5999999999999997E-2</v>
      </c>
      <c r="E803" t="s">
        <v>1720</v>
      </c>
      <c r="F803" t="s">
        <v>1721</v>
      </c>
      <c r="G803" t="s">
        <v>4400</v>
      </c>
      <c r="H803" t="s">
        <v>4226</v>
      </c>
    </row>
    <row r="804" spans="1:8" x14ac:dyDescent="0.35">
      <c r="A804" t="s">
        <v>142</v>
      </c>
      <c r="B804" t="s">
        <v>971</v>
      </c>
      <c r="C804" t="s">
        <v>4225</v>
      </c>
      <c r="D804">
        <v>8.5999999999999993E-2</v>
      </c>
      <c r="E804" t="s">
        <v>1720</v>
      </c>
      <c r="F804" t="s">
        <v>1724</v>
      </c>
      <c r="G804" t="s">
        <v>4400</v>
      </c>
      <c r="H804" t="s">
        <v>4226</v>
      </c>
    </row>
    <row r="805" spans="1:8" x14ac:dyDescent="0.35">
      <c r="A805" t="s">
        <v>142</v>
      </c>
      <c r="B805" t="s">
        <v>971</v>
      </c>
      <c r="C805" t="s">
        <v>4236</v>
      </c>
      <c r="D805">
        <v>0.18</v>
      </c>
      <c r="E805" t="s">
        <v>1720</v>
      </c>
      <c r="F805" t="s">
        <v>1724</v>
      </c>
      <c r="G805" t="s">
        <v>4403</v>
      </c>
      <c r="H805" t="s">
        <v>4237</v>
      </c>
    </row>
    <row r="806" spans="1:8" x14ac:dyDescent="0.35">
      <c r="A806" t="s">
        <v>142</v>
      </c>
      <c r="B806" t="s">
        <v>971</v>
      </c>
      <c r="C806" t="s">
        <v>4236</v>
      </c>
      <c r="D806">
        <v>2.3E-3</v>
      </c>
      <c r="E806" t="s">
        <v>1720</v>
      </c>
      <c r="F806" t="s">
        <v>1721</v>
      </c>
      <c r="G806" t="s">
        <v>4403</v>
      </c>
      <c r="H806" t="s">
        <v>4237</v>
      </c>
    </row>
    <row r="807" spans="1:8" x14ac:dyDescent="0.35">
      <c r="A807" t="s">
        <v>142</v>
      </c>
      <c r="B807" t="s">
        <v>971</v>
      </c>
      <c r="C807" t="s">
        <v>4238</v>
      </c>
      <c r="D807">
        <v>8.5999999999999993E-2</v>
      </c>
      <c r="E807" t="s">
        <v>1720</v>
      </c>
      <c r="F807" t="s">
        <v>1724</v>
      </c>
      <c r="G807" t="s">
        <v>4404</v>
      </c>
      <c r="H807" t="s">
        <v>4239</v>
      </c>
    </row>
    <row r="808" spans="1:8" x14ac:dyDescent="0.35">
      <c r="A808" t="s">
        <v>142</v>
      </c>
      <c r="B808" t="s">
        <v>971</v>
      </c>
      <c r="C808" t="s">
        <v>4240</v>
      </c>
      <c r="D808">
        <v>8.5999999999999993E-2</v>
      </c>
      <c r="E808" t="s">
        <v>1720</v>
      </c>
      <c r="F808" t="s">
        <v>1724</v>
      </c>
      <c r="G808" t="s">
        <v>4402</v>
      </c>
      <c r="H808" t="s">
        <v>4241</v>
      </c>
    </row>
    <row r="809" spans="1:8" x14ac:dyDescent="0.35">
      <c r="A809" t="s">
        <v>142</v>
      </c>
      <c r="B809" t="s">
        <v>971</v>
      </c>
      <c r="C809" t="s">
        <v>4240</v>
      </c>
      <c r="D809">
        <v>3.5999999999999997E-2</v>
      </c>
      <c r="E809" t="s">
        <v>1720</v>
      </c>
      <c r="F809" t="s">
        <v>1721</v>
      </c>
      <c r="G809" t="s">
        <v>4402</v>
      </c>
      <c r="H809" t="s">
        <v>4241</v>
      </c>
    </row>
    <row r="810" spans="1:8" x14ac:dyDescent="0.35">
      <c r="A810" t="s">
        <v>142</v>
      </c>
      <c r="B810" t="s">
        <v>971</v>
      </c>
      <c r="C810" t="s">
        <v>4340</v>
      </c>
      <c r="D810">
        <v>0.18</v>
      </c>
      <c r="E810" t="s">
        <v>1720</v>
      </c>
      <c r="F810" t="s">
        <v>1724</v>
      </c>
      <c r="G810" t="s">
        <v>4402</v>
      </c>
      <c r="H810" t="s">
        <v>4341</v>
      </c>
    </row>
    <row r="811" spans="1:8" x14ac:dyDescent="0.35">
      <c r="A811" t="s">
        <v>142</v>
      </c>
      <c r="B811" t="s">
        <v>971</v>
      </c>
      <c r="C811" t="s">
        <v>4340</v>
      </c>
      <c r="D811">
        <v>2.3E-3</v>
      </c>
      <c r="E811" t="s">
        <v>1720</v>
      </c>
      <c r="F811" t="s">
        <v>1721</v>
      </c>
      <c r="G811" t="s">
        <v>4402</v>
      </c>
      <c r="H811" t="s">
        <v>4341</v>
      </c>
    </row>
    <row r="812" spans="1:8" x14ac:dyDescent="0.35">
      <c r="A812" t="s">
        <v>142</v>
      </c>
      <c r="B812" t="s">
        <v>971</v>
      </c>
      <c r="C812" t="s">
        <v>4242</v>
      </c>
      <c r="D812">
        <v>8.5999999999999993E-2</v>
      </c>
      <c r="E812" t="s">
        <v>1720</v>
      </c>
      <c r="F812" t="s">
        <v>1724</v>
      </c>
      <c r="G812" t="s">
        <v>4405</v>
      </c>
      <c r="H812" t="s">
        <v>4243</v>
      </c>
    </row>
    <row r="813" spans="1:8" x14ac:dyDescent="0.35">
      <c r="A813" t="s">
        <v>142</v>
      </c>
      <c r="B813" t="s">
        <v>971</v>
      </c>
      <c r="C813" t="s">
        <v>4242</v>
      </c>
      <c r="D813">
        <v>3.5999999999999997E-2</v>
      </c>
      <c r="E813" t="s">
        <v>1720</v>
      </c>
      <c r="F813" t="s">
        <v>1721</v>
      </c>
      <c r="G813" t="s">
        <v>4405</v>
      </c>
      <c r="H813" t="s">
        <v>4243</v>
      </c>
    </row>
    <row r="814" spans="1:8" x14ac:dyDescent="0.35">
      <c r="A814" t="s">
        <v>142</v>
      </c>
      <c r="B814" t="s">
        <v>971</v>
      </c>
      <c r="C814" t="s">
        <v>4244</v>
      </c>
      <c r="D814">
        <v>8.5999999999999993E-2</v>
      </c>
      <c r="E814" t="s">
        <v>1720</v>
      </c>
      <c r="F814" t="s">
        <v>1724</v>
      </c>
      <c r="G814" t="s">
        <v>4406</v>
      </c>
      <c r="H814" t="s">
        <v>4245</v>
      </c>
    </row>
    <row r="815" spans="1:8" x14ac:dyDescent="0.35">
      <c r="A815" t="s">
        <v>142</v>
      </c>
      <c r="B815" t="s">
        <v>971</v>
      </c>
      <c r="C815" t="s">
        <v>4244</v>
      </c>
      <c r="D815">
        <v>3.5999999999999997E-2</v>
      </c>
      <c r="E815" t="s">
        <v>1720</v>
      </c>
      <c r="F815" t="s">
        <v>1721</v>
      </c>
      <c r="G815" t="s">
        <v>4406</v>
      </c>
      <c r="H815" t="s">
        <v>4245</v>
      </c>
    </row>
    <row r="816" spans="1:8" x14ac:dyDescent="0.35">
      <c r="A816" t="s">
        <v>142</v>
      </c>
      <c r="B816" t="s">
        <v>971</v>
      </c>
      <c r="C816" t="s">
        <v>4244</v>
      </c>
      <c r="D816">
        <v>0.7</v>
      </c>
      <c r="E816" t="s">
        <v>1720</v>
      </c>
      <c r="F816" t="s">
        <v>1724</v>
      </c>
      <c r="G816" t="s">
        <v>4407</v>
      </c>
      <c r="H816" t="s">
        <v>4245</v>
      </c>
    </row>
    <row r="817" spans="1:8" x14ac:dyDescent="0.35">
      <c r="A817" t="s">
        <v>142</v>
      </c>
      <c r="B817" t="s">
        <v>971</v>
      </c>
      <c r="C817" t="s">
        <v>4244</v>
      </c>
      <c r="D817">
        <v>0.3</v>
      </c>
      <c r="E817" t="s">
        <v>1720</v>
      </c>
      <c r="F817" t="s">
        <v>1721</v>
      </c>
      <c r="G817" t="s">
        <v>4407</v>
      </c>
      <c r="H817" t="s">
        <v>4245</v>
      </c>
    </row>
    <row r="818" spans="1:8" x14ac:dyDescent="0.35">
      <c r="A818" t="s">
        <v>142</v>
      </c>
      <c r="B818" t="s">
        <v>971</v>
      </c>
      <c r="C818" t="s">
        <v>4246</v>
      </c>
      <c r="D818">
        <v>3.5999999999999997E-2</v>
      </c>
      <c r="E818" t="s">
        <v>1720</v>
      </c>
      <c r="F818" t="s">
        <v>1721</v>
      </c>
      <c r="G818" t="s">
        <v>4402</v>
      </c>
      <c r="H818" t="s">
        <v>4247</v>
      </c>
    </row>
    <row r="819" spans="1:8" x14ac:dyDescent="0.35">
      <c r="A819" t="s">
        <v>142</v>
      </c>
      <c r="B819" t="s">
        <v>971</v>
      </c>
      <c r="C819" t="s">
        <v>4246</v>
      </c>
      <c r="D819">
        <v>8.5999999999999993E-2</v>
      </c>
      <c r="E819" t="s">
        <v>1720</v>
      </c>
      <c r="F819" t="s">
        <v>1724</v>
      </c>
      <c r="G819" t="s">
        <v>4402</v>
      </c>
      <c r="H819" t="s">
        <v>4247</v>
      </c>
    </row>
    <row r="820" spans="1:8" x14ac:dyDescent="0.35">
      <c r="A820" t="s">
        <v>142</v>
      </c>
      <c r="B820" t="s">
        <v>971</v>
      </c>
      <c r="C820" t="s">
        <v>4248</v>
      </c>
      <c r="D820">
        <v>8.5999999999999993E-2</v>
      </c>
      <c r="E820" t="s">
        <v>1720</v>
      </c>
      <c r="F820" t="s">
        <v>1724</v>
      </c>
      <c r="G820" t="s">
        <v>4402</v>
      </c>
      <c r="H820" t="s">
        <v>4249</v>
      </c>
    </row>
    <row r="821" spans="1:8" x14ac:dyDescent="0.35">
      <c r="A821" t="s">
        <v>142</v>
      </c>
      <c r="B821" t="s">
        <v>971</v>
      </c>
      <c r="C821" t="s">
        <v>4248</v>
      </c>
      <c r="D821">
        <v>3.5999999999999997E-2</v>
      </c>
      <c r="E821" t="s">
        <v>1720</v>
      </c>
      <c r="F821" t="s">
        <v>1721</v>
      </c>
      <c r="G821" t="s">
        <v>4402</v>
      </c>
      <c r="H821" t="s">
        <v>4249</v>
      </c>
    </row>
    <row r="822" spans="1:8" x14ac:dyDescent="0.35">
      <c r="A822" t="s">
        <v>142</v>
      </c>
      <c r="B822" t="s">
        <v>971</v>
      </c>
      <c r="C822" t="s">
        <v>4323</v>
      </c>
      <c r="D822">
        <v>0.18</v>
      </c>
      <c r="E822" t="s">
        <v>1720</v>
      </c>
      <c r="F822" t="s">
        <v>1724</v>
      </c>
      <c r="G822" t="s">
        <v>4428</v>
      </c>
      <c r="H822" t="s">
        <v>4324</v>
      </c>
    </row>
    <row r="823" spans="1:8" x14ac:dyDescent="0.35">
      <c r="A823" t="s">
        <v>142</v>
      </c>
      <c r="B823" t="s">
        <v>971</v>
      </c>
      <c r="C823" t="s">
        <v>4323</v>
      </c>
      <c r="D823">
        <v>2E-3</v>
      </c>
      <c r="E823" t="s">
        <v>1720</v>
      </c>
      <c r="F823" t="s">
        <v>1721</v>
      </c>
      <c r="G823" t="s">
        <v>4428</v>
      </c>
      <c r="H823" t="s">
        <v>4324</v>
      </c>
    </row>
    <row r="824" spans="1:8" x14ac:dyDescent="0.35">
      <c r="A824" t="s">
        <v>142</v>
      </c>
      <c r="B824" t="s">
        <v>971</v>
      </c>
      <c r="C824" t="s">
        <v>4323</v>
      </c>
      <c r="D824">
        <v>0.2</v>
      </c>
      <c r="E824" t="s">
        <v>1720</v>
      </c>
      <c r="F824" t="s">
        <v>1724</v>
      </c>
      <c r="G824" t="s">
        <v>4429</v>
      </c>
      <c r="H824" t="s">
        <v>4324</v>
      </c>
    </row>
    <row r="825" spans="1:8" x14ac:dyDescent="0.35">
      <c r="A825" t="s">
        <v>142</v>
      </c>
      <c r="B825" t="s">
        <v>971</v>
      </c>
      <c r="C825" t="s">
        <v>4323</v>
      </c>
      <c r="D825">
        <v>0.08</v>
      </c>
      <c r="E825" t="s">
        <v>1720</v>
      </c>
      <c r="F825" t="s">
        <v>1721</v>
      </c>
      <c r="G825" t="s">
        <v>4429</v>
      </c>
      <c r="H825" t="s">
        <v>4324</v>
      </c>
    </row>
    <row r="826" spans="1:8" x14ac:dyDescent="0.35">
      <c r="A826" t="s">
        <v>142</v>
      </c>
      <c r="B826" t="s">
        <v>971</v>
      </c>
      <c r="C826" t="s">
        <v>4323</v>
      </c>
      <c r="D826">
        <v>0.2</v>
      </c>
      <c r="E826" t="s">
        <v>1720</v>
      </c>
      <c r="F826" t="s">
        <v>1724</v>
      </c>
      <c r="G826" t="s">
        <v>4430</v>
      </c>
      <c r="H826" t="s">
        <v>4324</v>
      </c>
    </row>
    <row r="827" spans="1:8" x14ac:dyDescent="0.35">
      <c r="A827" t="s">
        <v>142</v>
      </c>
      <c r="B827" t="s">
        <v>971</v>
      </c>
      <c r="C827" t="s">
        <v>4323</v>
      </c>
      <c r="D827">
        <v>0.08</v>
      </c>
      <c r="E827" t="s">
        <v>1720</v>
      </c>
      <c r="F827" t="s">
        <v>1721</v>
      </c>
      <c r="G827" t="s">
        <v>4430</v>
      </c>
      <c r="H827" t="s">
        <v>4324</v>
      </c>
    </row>
    <row r="828" spans="1:8" x14ac:dyDescent="0.35">
      <c r="A828" t="s">
        <v>142</v>
      </c>
      <c r="B828" t="s">
        <v>971</v>
      </c>
      <c r="C828" t="s">
        <v>4323</v>
      </c>
      <c r="D828">
        <v>0.7</v>
      </c>
      <c r="E828" t="s">
        <v>1720</v>
      </c>
      <c r="F828" t="s">
        <v>1724</v>
      </c>
      <c r="G828" t="s">
        <v>4446</v>
      </c>
      <c r="H828" t="s">
        <v>4324</v>
      </c>
    </row>
    <row r="829" spans="1:8" x14ac:dyDescent="0.35">
      <c r="A829" t="s">
        <v>142</v>
      </c>
      <c r="B829" t="s">
        <v>971</v>
      </c>
      <c r="C829" t="s">
        <v>4323</v>
      </c>
      <c r="D829">
        <v>0.3</v>
      </c>
      <c r="E829" t="s">
        <v>1720</v>
      </c>
      <c r="F829" t="s">
        <v>1721</v>
      </c>
      <c r="G829" t="s">
        <v>4446</v>
      </c>
      <c r="H829" t="s">
        <v>4324</v>
      </c>
    </row>
    <row r="830" spans="1:8" x14ac:dyDescent="0.35">
      <c r="A830" t="s">
        <v>142</v>
      </c>
      <c r="B830" t="s">
        <v>971</v>
      </c>
      <c r="C830" t="s">
        <v>4250</v>
      </c>
      <c r="D830">
        <v>8.5999999999999993E-2</v>
      </c>
      <c r="E830" t="s">
        <v>1720</v>
      </c>
      <c r="F830" t="s">
        <v>1724</v>
      </c>
      <c r="G830" t="s">
        <v>4402</v>
      </c>
      <c r="H830" t="s">
        <v>4251</v>
      </c>
    </row>
    <row r="831" spans="1:8" x14ac:dyDescent="0.35">
      <c r="A831" t="s">
        <v>142</v>
      </c>
      <c r="B831" t="s">
        <v>971</v>
      </c>
      <c r="C831" t="s">
        <v>4250</v>
      </c>
      <c r="D831">
        <v>3.5999999999999997E-2</v>
      </c>
      <c r="E831" t="s">
        <v>1720</v>
      </c>
      <c r="F831" t="s">
        <v>1721</v>
      </c>
      <c r="G831" t="s">
        <v>4402</v>
      </c>
      <c r="H831" t="s">
        <v>4251</v>
      </c>
    </row>
    <row r="832" spans="1:8" x14ac:dyDescent="0.35">
      <c r="A832" t="s">
        <v>142</v>
      </c>
      <c r="B832" t="s">
        <v>971</v>
      </c>
      <c r="C832" t="s">
        <v>4252</v>
      </c>
      <c r="D832">
        <v>8.5999999999999993E-2</v>
      </c>
      <c r="E832" t="s">
        <v>1720</v>
      </c>
      <c r="F832" t="s">
        <v>1724</v>
      </c>
      <c r="G832" t="s">
        <v>4402</v>
      </c>
      <c r="H832" t="s">
        <v>4253</v>
      </c>
    </row>
    <row r="833" spans="1:8" x14ac:dyDescent="0.35">
      <c r="A833" t="s">
        <v>142</v>
      </c>
      <c r="B833" t="s">
        <v>971</v>
      </c>
      <c r="C833" t="s">
        <v>4252</v>
      </c>
      <c r="D833">
        <v>3.5999999999999997E-2</v>
      </c>
      <c r="E833" t="s">
        <v>1720</v>
      </c>
      <c r="F833" t="s">
        <v>1721</v>
      </c>
      <c r="G833" t="s">
        <v>4402</v>
      </c>
      <c r="H833" t="s">
        <v>4253</v>
      </c>
    </row>
    <row r="834" spans="1:8" x14ac:dyDescent="0.35">
      <c r="A834" t="s">
        <v>142</v>
      </c>
      <c r="B834" t="s">
        <v>971</v>
      </c>
      <c r="C834" t="s">
        <v>4254</v>
      </c>
      <c r="D834">
        <v>8.5999999999999993E-2</v>
      </c>
      <c r="E834" t="s">
        <v>1720</v>
      </c>
      <c r="F834" t="s">
        <v>1724</v>
      </c>
      <c r="G834" t="s">
        <v>4402</v>
      </c>
      <c r="H834" t="s">
        <v>4255</v>
      </c>
    </row>
    <row r="835" spans="1:8" x14ac:dyDescent="0.35">
      <c r="A835" t="s">
        <v>142</v>
      </c>
      <c r="B835" t="s">
        <v>971</v>
      </c>
      <c r="C835" t="s">
        <v>4254</v>
      </c>
      <c r="D835">
        <v>3.5999999999999997E-2</v>
      </c>
      <c r="E835" t="s">
        <v>1720</v>
      </c>
      <c r="F835" t="s">
        <v>1721</v>
      </c>
      <c r="G835" t="s">
        <v>4402</v>
      </c>
      <c r="H835" t="s">
        <v>4255</v>
      </c>
    </row>
    <row r="836" spans="1:8" x14ac:dyDescent="0.35">
      <c r="A836" t="s">
        <v>142</v>
      </c>
      <c r="B836" t="s">
        <v>971</v>
      </c>
      <c r="C836" t="s">
        <v>4352</v>
      </c>
      <c r="D836">
        <v>8.5999999999999993E-2</v>
      </c>
      <c r="E836" t="s">
        <v>1720</v>
      </c>
      <c r="F836" t="s">
        <v>1724</v>
      </c>
      <c r="G836" t="s">
        <v>4462</v>
      </c>
      <c r="H836" t="s">
        <v>4353</v>
      </c>
    </row>
    <row r="837" spans="1:8" x14ac:dyDescent="0.35">
      <c r="A837" t="s">
        <v>142</v>
      </c>
      <c r="B837" t="s">
        <v>971</v>
      </c>
      <c r="C837" t="s">
        <v>4352</v>
      </c>
      <c r="D837">
        <v>3.5999999999999997E-2</v>
      </c>
      <c r="E837" t="s">
        <v>1720</v>
      </c>
      <c r="F837" t="s">
        <v>1721</v>
      </c>
      <c r="G837" t="s">
        <v>4462</v>
      </c>
      <c r="H837" t="s">
        <v>4353</v>
      </c>
    </row>
    <row r="838" spans="1:8" x14ac:dyDescent="0.35">
      <c r="A838" t="s">
        <v>142</v>
      </c>
      <c r="B838" t="s">
        <v>971</v>
      </c>
      <c r="C838" t="s">
        <v>4319</v>
      </c>
      <c r="D838">
        <v>3.5999999999999997E-2</v>
      </c>
      <c r="E838" t="s">
        <v>1720</v>
      </c>
      <c r="F838" t="s">
        <v>1721</v>
      </c>
      <c r="G838" t="s">
        <v>4402</v>
      </c>
      <c r="H838" t="s">
        <v>4320</v>
      </c>
    </row>
    <row r="839" spans="1:8" x14ac:dyDescent="0.35">
      <c r="A839" t="s">
        <v>142</v>
      </c>
      <c r="B839" t="s">
        <v>971</v>
      </c>
      <c r="C839" t="s">
        <v>4319</v>
      </c>
      <c r="D839">
        <v>8.5999999999999993E-2</v>
      </c>
      <c r="E839" t="s">
        <v>1720</v>
      </c>
      <c r="F839" t="s">
        <v>1724</v>
      </c>
      <c r="G839" t="s">
        <v>4402</v>
      </c>
      <c r="H839" t="s">
        <v>4320</v>
      </c>
    </row>
    <row r="840" spans="1:8" x14ac:dyDescent="0.35">
      <c r="A840" t="s">
        <v>142</v>
      </c>
      <c r="B840" t="s">
        <v>971</v>
      </c>
      <c r="C840" t="s">
        <v>4260</v>
      </c>
      <c r="D840">
        <v>8.5999999999999993E-2</v>
      </c>
      <c r="E840" t="s">
        <v>1720</v>
      </c>
      <c r="F840" t="s">
        <v>1724</v>
      </c>
      <c r="G840" t="s">
        <v>4409</v>
      </c>
      <c r="H840" t="s">
        <v>4261</v>
      </c>
    </row>
    <row r="841" spans="1:8" x14ac:dyDescent="0.35">
      <c r="A841" t="s">
        <v>142</v>
      </c>
      <c r="B841" t="s">
        <v>971</v>
      </c>
      <c r="C841" t="s">
        <v>4260</v>
      </c>
      <c r="D841">
        <v>3.5999999999999997E-2</v>
      </c>
      <c r="E841" t="s">
        <v>1720</v>
      </c>
      <c r="F841" t="s">
        <v>1721</v>
      </c>
      <c r="G841" t="s">
        <v>4409</v>
      </c>
      <c r="H841" t="s">
        <v>4261</v>
      </c>
    </row>
    <row r="842" spans="1:8" x14ac:dyDescent="0.35">
      <c r="A842" t="s">
        <v>142</v>
      </c>
      <c r="B842" t="s">
        <v>971</v>
      </c>
      <c r="C842" t="s">
        <v>4262</v>
      </c>
      <c r="D842">
        <v>8.5999999999999993E-2</v>
      </c>
      <c r="E842" t="s">
        <v>1720</v>
      </c>
      <c r="F842" t="s">
        <v>1724</v>
      </c>
      <c r="G842" t="s">
        <v>4410</v>
      </c>
      <c r="H842" t="s">
        <v>4263</v>
      </c>
    </row>
    <row r="843" spans="1:8" x14ac:dyDescent="0.35">
      <c r="A843" t="s">
        <v>142</v>
      </c>
      <c r="B843" t="s">
        <v>971</v>
      </c>
      <c r="C843" t="s">
        <v>4262</v>
      </c>
      <c r="D843">
        <v>3.5999999999999997E-2</v>
      </c>
      <c r="E843" t="s">
        <v>1720</v>
      </c>
      <c r="F843" t="s">
        <v>1721</v>
      </c>
      <c r="G843" t="s">
        <v>4410</v>
      </c>
      <c r="H843" t="s">
        <v>4263</v>
      </c>
    </row>
    <row r="844" spans="1:8" x14ac:dyDescent="0.35">
      <c r="A844" t="s">
        <v>142</v>
      </c>
      <c r="B844" t="s">
        <v>971</v>
      </c>
      <c r="C844" t="s">
        <v>4264</v>
      </c>
      <c r="D844">
        <v>8.5999999999999993E-2</v>
      </c>
      <c r="E844" t="s">
        <v>1720</v>
      </c>
      <c r="F844" t="s">
        <v>1724</v>
      </c>
      <c r="G844" t="s">
        <v>4402</v>
      </c>
      <c r="H844" t="s">
        <v>4265</v>
      </c>
    </row>
    <row r="845" spans="1:8" x14ac:dyDescent="0.35">
      <c r="A845" t="s">
        <v>142</v>
      </c>
      <c r="B845" t="s">
        <v>971</v>
      </c>
      <c r="C845" t="s">
        <v>4264</v>
      </c>
      <c r="D845">
        <v>3.5999999999999997E-2</v>
      </c>
      <c r="E845" t="s">
        <v>1720</v>
      </c>
      <c r="F845" t="s">
        <v>1721</v>
      </c>
      <c r="G845" t="s">
        <v>4402</v>
      </c>
      <c r="H845" t="s">
        <v>4265</v>
      </c>
    </row>
    <row r="846" spans="1:8" x14ac:dyDescent="0.35">
      <c r="A846" t="s">
        <v>142</v>
      </c>
      <c r="B846" t="s">
        <v>971</v>
      </c>
      <c r="C846" t="s">
        <v>4266</v>
      </c>
      <c r="D846">
        <v>8.5999999999999993E-2</v>
      </c>
      <c r="E846" t="s">
        <v>1720</v>
      </c>
      <c r="F846" t="s">
        <v>1724</v>
      </c>
      <c r="G846" t="s">
        <v>4402</v>
      </c>
      <c r="H846" t="s">
        <v>4267</v>
      </c>
    </row>
    <row r="847" spans="1:8" x14ac:dyDescent="0.35">
      <c r="A847" t="s">
        <v>142</v>
      </c>
      <c r="B847" t="s">
        <v>971</v>
      </c>
      <c r="C847" t="s">
        <v>4266</v>
      </c>
      <c r="D847">
        <v>3.5999999999999997E-2</v>
      </c>
      <c r="E847" t="s">
        <v>1720</v>
      </c>
      <c r="F847" t="s">
        <v>1721</v>
      </c>
      <c r="G847" t="s">
        <v>4402</v>
      </c>
      <c r="H847" t="s">
        <v>4267</v>
      </c>
    </row>
    <row r="848" spans="1:8" x14ac:dyDescent="0.35">
      <c r="A848" t="s">
        <v>142</v>
      </c>
      <c r="B848" t="s">
        <v>971</v>
      </c>
      <c r="C848" t="s">
        <v>4268</v>
      </c>
      <c r="D848">
        <v>8.5999999999999993E-2</v>
      </c>
      <c r="E848" t="s">
        <v>1720</v>
      </c>
      <c r="F848" t="s">
        <v>1724</v>
      </c>
      <c r="G848" t="s">
        <v>4402</v>
      </c>
      <c r="H848" t="s">
        <v>4269</v>
      </c>
    </row>
    <row r="849" spans="1:8" x14ac:dyDescent="0.35">
      <c r="A849" t="s">
        <v>142</v>
      </c>
      <c r="B849" t="s">
        <v>971</v>
      </c>
      <c r="C849" t="s">
        <v>4268</v>
      </c>
      <c r="D849">
        <v>3.5999999999999997E-2</v>
      </c>
      <c r="E849" t="s">
        <v>1720</v>
      </c>
      <c r="F849" t="s">
        <v>1721</v>
      </c>
      <c r="G849" t="s">
        <v>4402</v>
      </c>
      <c r="H849" t="s">
        <v>4269</v>
      </c>
    </row>
    <row r="850" spans="1:8" x14ac:dyDescent="0.35">
      <c r="A850" t="s">
        <v>142</v>
      </c>
      <c r="B850" t="s">
        <v>971</v>
      </c>
      <c r="C850" t="s">
        <v>4270</v>
      </c>
      <c r="D850">
        <v>8.5999999999999993E-2</v>
      </c>
      <c r="E850" t="s">
        <v>1720</v>
      </c>
      <c r="F850" t="s">
        <v>1724</v>
      </c>
      <c r="G850" t="s">
        <v>4411</v>
      </c>
      <c r="H850" t="s">
        <v>4271</v>
      </c>
    </row>
    <row r="851" spans="1:8" x14ac:dyDescent="0.35">
      <c r="A851" t="s">
        <v>142</v>
      </c>
      <c r="B851" t="s">
        <v>971</v>
      </c>
      <c r="C851" t="s">
        <v>4270</v>
      </c>
      <c r="D851">
        <v>3.5999999999999997E-2</v>
      </c>
      <c r="E851" t="s">
        <v>1720</v>
      </c>
      <c r="F851" t="s">
        <v>1721</v>
      </c>
      <c r="G851" t="s">
        <v>4411</v>
      </c>
      <c r="H851" t="s">
        <v>4271</v>
      </c>
    </row>
    <row r="852" spans="1:8" x14ac:dyDescent="0.35">
      <c r="A852" t="s">
        <v>142</v>
      </c>
      <c r="B852" t="s">
        <v>971</v>
      </c>
      <c r="C852" t="s">
        <v>4272</v>
      </c>
      <c r="D852">
        <v>8.5999999999999993E-2</v>
      </c>
      <c r="E852" t="s">
        <v>1720</v>
      </c>
      <c r="F852" t="s">
        <v>1724</v>
      </c>
      <c r="G852" t="s">
        <v>4402</v>
      </c>
      <c r="H852" t="s">
        <v>4273</v>
      </c>
    </row>
    <row r="853" spans="1:8" x14ac:dyDescent="0.35">
      <c r="A853" t="s">
        <v>142</v>
      </c>
      <c r="B853" t="s">
        <v>971</v>
      </c>
      <c r="C853" t="s">
        <v>4272</v>
      </c>
      <c r="D853">
        <v>3.5999999999999997E-2</v>
      </c>
      <c r="E853" t="s">
        <v>1720</v>
      </c>
      <c r="F853" t="s">
        <v>1721</v>
      </c>
      <c r="G853" t="s">
        <v>4402</v>
      </c>
      <c r="H853" t="s">
        <v>4273</v>
      </c>
    </row>
    <row r="854" spans="1:8" x14ac:dyDescent="0.35">
      <c r="A854" t="s">
        <v>142</v>
      </c>
      <c r="B854" t="s">
        <v>971</v>
      </c>
      <c r="C854" t="s">
        <v>4258</v>
      </c>
      <c r="D854">
        <v>8.5999999999999993E-2</v>
      </c>
      <c r="E854" t="s">
        <v>1720</v>
      </c>
      <c r="F854" t="s">
        <v>1724</v>
      </c>
      <c r="G854" t="s">
        <v>4408</v>
      </c>
      <c r="H854" t="s">
        <v>4259</v>
      </c>
    </row>
    <row r="855" spans="1:8" x14ac:dyDescent="0.35">
      <c r="A855" t="s">
        <v>142</v>
      </c>
      <c r="B855" t="s">
        <v>971</v>
      </c>
      <c r="C855" t="s">
        <v>4258</v>
      </c>
      <c r="D855">
        <v>3.5999999999999997E-2</v>
      </c>
      <c r="E855" t="s">
        <v>1720</v>
      </c>
      <c r="F855" t="s">
        <v>1721</v>
      </c>
      <c r="G855" t="s">
        <v>4408</v>
      </c>
      <c r="H855" t="s">
        <v>4259</v>
      </c>
    </row>
    <row r="856" spans="1:8" x14ac:dyDescent="0.35">
      <c r="A856" t="s">
        <v>142</v>
      </c>
      <c r="B856" t="s">
        <v>971</v>
      </c>
      <c r="C856" t="s">
        <v>4274</v>
      </c>
      <c r="D856">
        <v>8.5999999999999993E-2</v>
      </c>
      <c r="E856" t="s">
        <v>1720</v>
      </c>
      <c r="F856" t="s">
        <v>1724</v>
      </c>
      <c r="G856" t="s">
        <v>4412</v>
      </c>
      <c r="H856" t="s">
        <v>4275</v>
      </c>
    </row>
    <row r="857" spans="1:8" x14ac:dyDescent="0.35">
      <c r="A857" t="s">
        <v>142</v>
      </c>
      <c r="B857" t="s">
        <v>971</v>
      </c>
      <c r="C857" t="s">
        <v>4274</v>
      </c>
      <c r="D857">
        <v>3.5999999999999997E-2</v>
      </c>
      <c r="E857" t="s">
        <v>1720</v>
      </c>
      <c r="F857" t="s">
        <v>1721</v>
      </c>
      <c r="G857" t="s">
        <v>4412</v>
      </c>
      <c r="H857" t="s">
        <v>4275</v>
      </c>
    </row>
    <row r="858" spans="1:8" x14ac:dyDescent="0.35">
      <c r="A858" t="s">
        <v>142</v>
      </c>
      <c r="B858" t="s">
        <v>971</v>
      </c>
      <c r="C858" t="s">
        <v>4276</v>
      </c>
      <c r="D858">
        <v>8.5999999999999993E-2</v>
      </c>
      <c r="E858" t="s">
        <v>1720</v>
      </c>
      <c r="F858" t="s">
        <v>1724</v>
      </c>
      <c r="G858" t="s">
        <v>4413</v>
      </c>
      <c r="H858" t="s">
        <v>4277</v>
      </c>
    </row>
    <row r="859" spans="1:8" x14ac:dyDescent="0.35">
      <c r="A859" t="s">
        <v>142</v>
      </c>
      <c r="B859" t="s">
        <v>971</v>
      </c>
      <c r="C859" t="s">
        <v>4276</v>
      </c>
      <c r="D859">
        <v>2.3E-3</v>
      </c>
      <c r="E859" t="s">
        <v>1720</v>
      </c>
      <c r="F859" t="s">
        <v>1721</v>
      </c>
      <c r="G859" t="s">
        <v>4413</v>
      </c>
      <c r="H859" t="s">
        <v>4277</v>
      </c>
    </row>
    <row r="860" spans="1:8" x14ac:dyDescent="0.35">
      <c r="A860" t="s">
        <v>142</v>
      </c>
      <c r="B860" t="s">
        <v>971</v>
      </c>
      <c r="C860" t="s">
        <v>4278</v>
      </c>
      <c r="D860">
        <v>3.5999999999999997E-2</v>
      </c>
      <c r="E860" t="s">
        <v>1720</v>
      </c>
      <c r="F860" t="s">
        <v>1724</v>
      </c>
      <c r="G860" t="s">
        <v>4414</v>
      </c>
      <c r="H860" t="s">
        <v>4279</v>
      </c>
    </row>
    <row r="861" spans="1:8" x14ac:dyDescent="0.35">
      <c r="A861" t="s">
        <v>142</v>
      </c>
      <c r="B861" t="s">
        <v>971</v>
      </c>
      <c r="C861" t="s">
        <v>4278</v>
      </c>
      <c r="D861">
        <v>8.5999999999999993E-2</v>
      </c>
      <c r="E861" t="s">
        <v>1720</v>
      </c>
      <c r="F861" t="s">
        <v>1721</v>
      </c>
      <c r="G861" t="s">
        <v>4414</v>
      </c>
      <c r="H861" t="s">
        <v>4279</v>
      </c>
    </row>
    <row r="862" spans="1:8" x14ac:dyDescent="0.35">
      <c r="A862" t="s">
        <v>142</v>
      </c>
      <c r="B862" t="s">
        <v>971</v>
      </c>
      <c r="C862" t="s">
        <v>4280</v>
      </c>
      <c r="D862">
        <v>3.5999999999999997E-2</v>
      </c>
      <c r="E862" t="s">
        <v>1720</v>
      </c>
      <c r="F862" t="s">
        <v>1721</v>
      </c>
      <c r="G862" t="s">
        <v>4415</v>
      </c>
      <c r="H862" t="s">
        <v>4281</v>
      </c>
    </row>
    <row r="863" spans="1:8" x14ac:dyDescent="0.35">
      <c r="A863" t="s">
        <v>142</v>
      </c>
      <c r="B863" t="s">
        <v>971</v>
      </c>
      <c r="C863" t="s">
        <v>4280</v>
      </c>
      <c r="D863">
        <v>8.5999999999999993E-2</v>
      </c>
      <c r="E863" t="s">
        <v>1720</v>
      </c>
      <c r="F863" t="s">
        <v>1724</v>
      </c>
      <c r="G863" t="s">
        <v>4415</v>
      </c>
      <c r="H863" t="s">
        <v>4281</v>
      </c>
    </row>
    <row r="864" spans="1:8" x14ac:dyDescent="0.35">
      <c r="A864" t="s">
        <v>142</v>
      </c>
      <c r="B864" t="s">
        <v>971</v>
      </c>
      <c r="C864" t="s">
        <v>4256</v>
      </c>
      <c r="D864">
        <v>8.5999999999999993E-2</v>
      </c>
      <c r="E864" t="s">
        <v>1720</v>
      </c>
      <c r="F864" t="s">
        <v>1724</v>
      </c>
      <c r="G864" t="s">
        <v>4402</v>
      </c>
      <c r="H864" t="s">
        <v>4257</v>
      </c>
    </row>
    <row r="865" spans="1:8" x14ac:dyDescent="0.35">
      <c r="A865" t="s">
        <v>142</v>
      </c>
      <c r="B865" t="s">
        <v>971</v>
      </c>
      <c r="C865" t="s">
        <v>4256</v>
      </c>
      <c r="D865">
        <v>3.5999999999999997E-2</v>
      </c>
      <c r="E865" t="s">
        <v>1720</v>
      </c>
      <c r="F865" t="s">
        <v>1721</v>
      </c>
      <c r="G865" t="s">
        <v>4402</v>
      </c>
      <c r="H865" t="s">
        <v>4257</v>
      </c>
    </row>
    <row r="866" spans="1:8" x14ac:dyDescent="0.35">
      <c r="A866" t="s">
        <v>142</v>
      </c>
      <c r="B866" t="s">
        <v>971</v>
      </c>
      <c r="C866" t="s">
        <v>4282</v>
      </c>
      <c r="D866">
        <v>8.5999999999999993E-2</v>
      </c>
      <c r="E866" t="s">
        <v>1720</v>
      </c>
      <c r="F866" t="s">
        <v>1724</v>
      </c>
      <c r="G866" t="s">
        <v>4402</v>
      </c>
      <c r="H866" t="s">
        <v>4283</v>
      </c>
    </row>
    <row r="867" spans="1:8" x14ac:dyDescent="0.35">
      <c r="A867" t="s">
        <v>142</v>
      </c>
      <c r="B867" t="s">
        <v>971</v>
      </c>
      <c r="C867" t="s">
        <v>4282</v>
      </c>
      <c r="D867">
        <v>3.5999999999999997E-2</v>
      </c>
      <c r="E867" t="s">
        <v>1720</v>
      </c>
      <c r="F867" t="s">
        <v>1721</v>
      </c>
      <c r="G867" t="s">
        <v>4402</v>
      </c>
      <c r="H867" t="s">
        <v>4283</v>
      </c>
    </row>
    <row r="868" spans="1:8" x14ac:dyDescent="0.35">
      <c r="A868" t="s">
        <v>142</v>
      </c>
      <c r="B868" t="s">
        <v>971</v>
      </c>
      <c r="C868" t="s">
        <v>4284</v>
      </c>
      <c r="D868">
        <v>2.3E-3</v>
      </c>
      <c r="E868" t="s">
        <v>1720</v>
      </c>
      <c r="G868" t="s">
        <v>4416</v>
      </c>
      <c r="H868" t="s">
        <v>4285</v>
      </c>
    </row>
    <row r="869" spans="1:8" x14ac:dyDescent="0.35">
      <c r="A869" t="s">
        <v>142</v>
      </c>
      <c r="B869" t="s">
        <v>971</v>
      </c>
      <c r="C869" t="s">
        <v>4298</v>
      </c>
      <c r="D869">
        <v>8.5999999999999993E-2</v>
      </c>
      <c r="E869" t="s">
        <v>1720</v>
      </c>
      <c r="F869" t="s">
        <v>1724</v>
      </c>
      <c r="G869" t="s">
        <v>4419</v>
      </c>
      <c r="H869" t="s">
        <v>4299</v>
      </c>
    </row>
    <row r="870" spans="1:8" x14ac:dyDescent="0.35">
      <c r="A870" t="s">
        <v>142</v>
      </c>
      <c r="B870" t="s">
        <v>971</v>
      </c>
      <c r="C870" t="s">
        <v>4298</v>
      </c>
      <c r="D870">
        <v>3.5999999999999997E-2</v>
      </c>
      <c r="E870" t="s">
        <v>1720</v>
      </c>
      <c r="F870" t="s">
        <v>1721</v>
      </c>
      <c r="G870" t="s">
        <v>4419</v>
      </c>
      <c r="H870" t="s">
        <v>4299</v>
      </c>
    </row>
    <row r="871" spans="1:8" x14ac:dyDescent="0.35">
      <c r="A871" t="s">
        <v>142</v>
      </c>
      <c r="B871" t="s">
        <v>971</v>
      </c>
      <c r="C871" t="s">
        <v>4354</v>
      </c>
      <c r="D871">
        <v>3.5999999999999997E-2</v>
      </c>
      <c r="E871" t="s">
        <v>1720</v>
      </c>
      <c r="F871" t="s">
        <v>1721</v>
      </c>
      <c r="G871" t="s">
        <v>4402</v>
      </c>
      <c r="H871" t="s">
        <v>4355</v>
      </c>
    </row>
    <row r="872" spans="1:8" x14ac:dyDescent="0.35">
      <c r="A872" t="s">
        <v>142</v>
      </c>
      <c r="B872" t="s">
        <v>971</v>
      </c>
      <c r="C872" t="s">
        <v>4288</v>
      </c>
      <c r="D872">
        <v>8.5999999999999993E-2</v>
      </c>
      <c r="E872" t="s">
        <v>1720</v>
      </c>
      <c r="F872" t="s">
        <v>1724</v>
      </c>
      <c r="G872" t="s">
        <v>4415</v>
      </c>
      <c r="H872" t="s">
        <v>4289</v>
      </c>
    </row>
    <row r="873" spans="1:8" x14ac:dyDescent="0.35">
      <c r="A873" t="s">
        <v>142</v>
      </c>
      <c r="B873" t="s">
        <v>971</v>
      </c>
      <c r="C873" t="s">
        <v>4288</v>
      </c>
      <c r="D873">
        <v>3.5999999999999997E-2</v>
      </c>
      <c r="E873" t="s">
        <v>1720</v>
      </c>
      <c r="F873" t="s">
        <v>1721</v>
      </c>
      <c r="G873" t="s">
        <v>4415</v>
      </c>
      <c r="H873" t="s">
        <v>4289</v>
      </c>
    </row>
    <row r="874" spans="1:8" x14ac:dyDescent="0.35">
      <c r="A874" t="s">
        <v>142</v>
      </c>
      <c r="B874" t="s">
        <v>971</v>
      </c>
      <c r="C874" t="s">
        <v>4290</v>
      </c>
      <c r="D874">
        <v>8.5999999999999993E-2</v>
      </c>
      <c r="E874" t="s">
        <v>1720</v>
      </c>
      <c r="F874" t="s">
        <v>1724</v>
      </c>
      <c r="G874" t="s">
        <v>4402</v>
      </c>
      <c r="H874" t="s">
        <v>4291</v>
      </c>
    </row>
    <row r="875" spans="1:8" x14ac:dyDescent="0.35">
      <c r="A875" t="s">
        <v>142</v>
      </c>
      <c r="B875" t="s">
        <v>971</v>
      </c>
      <c r="C875" t="s">
        <v>4290</v>
      </c>
      <c r="D875">
        <v>2.3E-3</v>
      </c>
      <c r="E875" t="s">
        <v>1720</v>
      </c>
      <c r="F875" t="s">
        <v>1721</v>
      </c>
      <c r="G875" t="s">
        <v>4402</v>
      </c>
      <c r="H875" t="s">
        <v>4291</v>
      </c>
    </row>
    <row r="876" spans="1:8" x14ac:dyDescent="0.35">
      <c r="A876" t="s">
        <v>142</v>
      </c>
      <c r="B876" t="s">
        <v>971</v>
      </c>
      <c r="C876" t="s">
        <v>4292</v>
      </c>
      <c r="D876">
        <v>8.5999999999999993E-2</v>
      </c>
      <c r="E876" t="s">
        <v>1720</v>
      </c>
      <c r="F876" t="s">
        <v>1724</v>
      </c>
      <c r="G876" t="s">
        <v>4402</v>
      </c>
      <c r="H876" t="s">
        <v>4293</v>
      </c>
    </row>
    <row r="877" spans="1:8" x14ac:dyDescent="0.35">
      <c r="A877" t="s">
        <v>142</v>
      </c>
      <c r="B877" t="s">
        <v>971</v>
      </c>
      <c r="C877" t="s">
        <v>4292</v>
      </c>
      <c r="D877">
        <v>3.5999999999999997E-2</v>
      </c>
      <c r="E877" t="s">
        <v>1720</v>
      </c>
      <c r="F877" t="s">
        <v>1721</v>
      </c>
      <c r="G877" t="s">
        <v>4402</v>
      </c>
      <c r="H877" t="s">
        <v>4293</v>
      </c>
    </row>
    <row r="878" spans="1:8" x14ac:dyDescent="0.35">
      <c r="A878" t="s">
        <v>142</v>
      </c>
      <c r="B878" t="s">
        <v>971</v>
      </c>
      <c r="C878" t="s">
        <v>4294</v>
      </c>
      <c r="D878">
        <v>8.5999999999999993E-2</v>
      </c>
      <c r="E878" t="s">
        <v>1720</v>
      </c>
      <c r="F878" t="s">
        <v>1724</v>
      </c>
      <c r="G878" t="s">
        <v>4418</v>
      </c>
      <c r="H878" t="s">
        <v>4295</v>
      </c>
    </row>
    <row r="879" spans="1:8" x14ac:dyDescent="0.35">
      <c r="A879" t="s">
        <v>142</v>
      </c>
      <c r="B879" t="s">
        <v>971</v>
      </c>
      <c r="C879" t="s">
        <v>4294</v>
      </c>
      <c r="D879">
        <v>3.5999999999999997E-2</v>
      </c>
      <c r="E879" t="s">
        <v>1720</v>
      </c>
      <c r="F879" t="s">
        <v>1721</v>
      </c>
      <c r="G879" t="s">
        <v>4418</v>
      </c>
      <c r="H879" t="s">
        <v>4295</v>
      </c>
    </row>
    <row r="880" spans="1:8" x14ac:dyDescent="0.35">
      <c r="A880" t="s">
        <v>142</v>
      </c>
      <c r="B880" t="s">
        <v>971</v>
      </c>
      <c r="C880" t="s">
        <v>4321</v>
      </c>
      <c r="D880">
        <v>3.5999999999999997E-2</v>
      </c>
      <c r="E880" t="s">
        <v>1720</v>
      </c>
      <c r="F880" t="s">
        <v>1721</v>
      </c>
      <c r="G880" t="s">
        <v>4427</v>
      </c>
      <c r="H880" t="s">
        <v>4322</v>
      </c>
    </row>
    <row r="881" spans="1:8" x14ac:dyDescent="0.35">
      <c r="A881" t="s">
        <v>142</v>
      </c>
      <c r="B881" t="s">
        <v>971</v>
      </c>
      <c r="C881" t="s">
        <v>4321</v>
      </c>
      <c r="D881">
        <v>8.5999999999999993E-2</v>
      </c>
      <c r="E881" t="s">
        <v>1720</v>
      </c>
      <c r="F881" t="s">
        <v>1724</v>
      </c>
      <c r="G881" t="s">
        <v>4427</v>
      </c>
      <c r="H881" t="s">
        <v>4322</v>
      </c>
    </row>
    <row r="882" spans="1:8" x14ac:dyDescent="0.35">
      <c r="A882" t="s">
        <v>142</v>
      </c>
      <c r="B882" t="s">
        <v>971</v>
      </c>
      <c r="C882" t="s">
        <v>4356</v>
      </c>
      <c r="D882">
        <v>3.5999999999999997E-2</v>
      </c>
      <c r="E882" t="s">
        <v>1720</v>
      </c>
      <c r="F882" t="s">
        <v>1721</v>
      </c>
      <c r="G882" t="s">
        <v>4463</v>
      </c>
      <c r="H882" t="s">
        <v>4357</v>
      </c>
    </row>
    <row r="883" spans="1:8" x14ac:dyDescent="0.35">
      <c r="A883" t="s">
        <v>142</v>
      </c>
      <c r="B883" t="s">
        <v>971</v>
      </c>
      <c r="C883" t="s">
        <v>4356</v>
      </c>
      <c r="D883">
        <v>8.5999999999999993E-2</v>
      </c>
      <c r="E883" t="s">
        <v>1720</v>
      </c>
      <c r="G883" t="s">
        <v>4463</v>
      </c>
      <c r="H883" t="s">
        <v>4357</v>
      </c>
    </row>
    <row r="884" spans="1:8" x14ac:dyDescent="0.35">
      <c r="A884" t="s">
        <v>142</v>
      </c>
      <c r="B884" t="s">
        <v>971</v>
      </c>
      <c r="C884" t="s">
        <v>4356</v>
      </c>
      <c r="D884">
        <v>0.17</v>
      </c>
      <c r="E884" t="s">
        <v>1720</v>
      </c>
      <c r="F884" t="s">
        <v>1724</v>
      </c>
      <c r="G884" t="s">
        <v>4463</v>
      </c>
      <c r="H884" t="s">
        <v>4357</v>
      </c>
    </row>
    <row r="885" spans="1:8" x14ac:dyDescent="0.35">
      <c r="A885" t="s">
        <v>142</v>
      </c>
      <c r="B885" t="s">
        <v>971</v>
      </c>
      <c r="C885" t="s">
        <v>4356</v>
      </c>
      <c r="D885">
        <v>3.5999999999999997E-2</v>
      </c>
      <c r="E885" t="s">
        <v>1720</v>
      </c>
      <c r="F885" t="s">
        <v>1721</v>
      </c>
      <c r="G885" t="s">
        <v>4464</v>
      </c>
      <c r="H885" t="s">
        <v>4357</v>
      </c>
    </row>
    <row r="886" spans="1:8" x14ac:dyDescent="0.35">
      <c r="A886" t="s">
        <v>142</v>
      </c>
      <c r="B886" t="s">
        <v>971</v>
      </c>
      <c r="C886" t="s">
        <v>4356</v>
      </c>
      <c r="D886">
        <v>8.5999999999999993E-2</v>
      </c>
      <c r="E886" t="s">
        <v>1720</v>
      </c>
      <c r="G886" t="s">
        <v>4464</v>
      </c>
      <c r="H886" t="s">
        <v>4357</v>
      </c>
    </row>
    <row r="887" spans="1:8" x14ac:dyDescent="0.35">
      <c r="A887" t="s">
        <v>142</v>
      </c>
      <c r="B887" t="s">
        <v>971</v>
      </c>
      <c r="C887" t="s">
        <v>4356</v>
      </c>
      <c r="D887">
        <v>0.17</v>
      </c>
      <c r="E887" t="s">
        <v>1720</v>
      </c>
      <c r="F887" t="s">
        <v>1724</v>
      </c>
      <c r="G887" t="s">
        <v>4464</v>
      </c>
      <c r="H887" t="s">
        <v>4357</v>
      </c>
    </row>
    <row r="888" spans="1:8" x14ac:dyDescent="0.35">
      <c r="A888" t="s">
        <v>142</v>
      </c>
      <c r="B888" t="s">
        <v>971</v>
      </c>
      <c r="C888" t="s">
        <v>4286</v>
      </c>
      <c r="D888">
        <v>8.5999999999999993E-2</v>
      </c>
      <c r="E888" t="s">
        <v>1720</v>
      </c>
      <c r="F888" t="s">
        <v>1724</v>
      </c>
      <c r="G888" t="s">
        <v>4402</v>
      </c>
      <c r="H888" t="s">
        <v>4287</v>
      </c>
    </row>
    <row r="889" spans="1:8" x14ac:dyDescent="0.35">
      <c r="A889" t="s">
        <v>142</v>
      </c>
      <c r="B889" t="s">
        <v>971</v>
      </c>
      <c r="C889" t="s">
        <v>4286</v>
      </c>
      <c r="D889">
        <v>3.5999999999999997E-2</v>
      </c>
      <c r="E889" t="s">
        <v>1720</v>
      </c>
      <c r="F889" t="s">
        <v>1721</v>
      </c>
      <c r="G889" t="s">
        <v>4402</v>
      </c>
      <c r="H889" t="s">
        <v>4287</v>
      </c>
    </row>
    <row r="890" spans="1:8" x14ac:dyDescent="0.35">
      <c r="A890" t="s">
        <v>142</v>
      </c>
      <c r="B890" t="s">
        <v>971</v>
      </c>
      <c r="C890" t="s">
        <v>4356</v>
      </c>
      <c r="D890">
        <v>3.5999999999999997E-2</v>
      </c>
      <c r="E890" t="s">
        <v>1720</v>
      </c>
      <c r="F890" t="s">
        <v>1721</v>
      </c>
      <c r="G890" t="s">
        <v>4465</v>
      </c>
      <c r="H890" t="s">
        <v>4357</v>
      </c>
    </row>
    <row r="891" spans="1:8" x14ac:dyDescent="0.35">
      <c r="A891" t="s">
        <v>142</v>
      </c>
      <c r="B891" t="s">
        <v>971</v>
      </c>
      <c r="C891" t="s">
        <v>4356</v>
      </c>
      <c r="D891">
        <v>8.5999999999999993E-2</v>
      </c>
      <c r="E891" t="s">
        <v>1720</v>
      </c>
      <c r="G891" t="s">
        <v>4465</v>
      </c>
      <c r="H891" t="s">
        <v>4357</v>
      </c>
    </row>
    <row r="892" spans="1:8" x14ac:dyDescent="0.35">
      <c r="A892" t="s">
        <v>142</v>
      </c>
      <c r="B892" t="s">
        <v>971</v>
      </c>
      <c r="C892" t="s">
        <v>4356</v>
      </c>
      <c r="D892">
        <v>0.17</v>
      </c>
      <c r="E892" t="s">
        <v>1720</v>
      </c>
      <c r="F892" t="s">
        <v>1724</v>
      </c>
      <c r="G892" t="s">
        <v>4465</v>
      </c>
      <c r="H892" t="s">
        <v>4357</v>
      </c>
    </row>
    <row r="893" spans="1:8" x14ac:dyDescent="0.35">
      <c r="A893" t="s">
        <v>142</v>
      </c>
      <c r="B893" t="s">
        <v>971</v>
      </c>
      <c r="C893" t="s">
        <v>4296</v>
      </c>
      <c r="D893">
        <v>8.5999999999999993E-2</v>
      </c>
      <c r="E893" t="s">
        <v>1720</v>
      </c>
      <c r="F893" t="s">
        <v>1724</v>
      </c>
      <c r="G893" t="s">
        <v>4402</v>
      </c>
      <c r="H893" t="s">
        <v>4297</v>
      </c>
    </row>
    <row r="894" spans="1:8" x14ac:dyDescent="0.35">
      <c r="A894" t="s">
        <v>142</v>
      </c>
      <c r="B894" t="s">
        <v>971</v>
      </c>
      <c r="C894" t="s">
        <v>4296</v>
      </c>
      <c r="D894">
        <v>3.5999999999999997E-2</v>
      </c>
      <c r="E894" t="s">
        <v>1720</v>
      </c>
      <c r="F894" t="s">
        <v>1721</v>
      </c>
      <c r="G894" t="s">
        <v>4402</v>
      </c>
      <c r="H894" t="s">
        <v>4297</v>
      </c>
    </row>
    <row r="895" spans="1:8" x14ac:dyDescent="0.35">
      <c r="A895" t="s">
        <v>149</v>
      </c>
      <c r="B895" t="s">
        <v>978</v>
      </c>
      <c r="C895" t="s">
        <v>4223</v>
      </c>
      <c r="D895">
        <v>120</v>
      </c>
      <c r="E895" t="s">
        <v>1720</v>
      </c>
      <c r="F895" t="s">
        <v>1721</v>
      </c>
      <c r="G895" t="s">
        <v>4399</v>
      </c>
      <c r="H895" t="s">
        <v>4224</v>
      </c>
    </row>
    <row r="896" spans="1:8" x14ac:dyDescent="0.35">
      <c r="A896" t="s">
        <v>149</v>
      </c>
      <c r="B896" t="s">
        <v>978</v>
      </c>
      <c r="C896" t="s">
        <v>4223</v>
      </c>
      <c r="D896">
        <v>360</v>
      </c>
      <c r="E896" t="s">
        <v>1720</v>
      </c>
      <c r="F896" t="s">
        <v>1724</v>
      </c>
      <c r="G896" t="s">
        <v>4399</v>
      </c>
      <c r="H896" t="s">
        <v>4224</v>
      </c>
    </row>
    <row r="897" spans="1:8" x14ac:dyDescent="0.35">
      <c r="A897" t="s">
        <v>175</v>
      </c>
      <c r="B897" t="s">
        <v>1004</v>
      </c>
      <c r="C897" t="s">
        <v>4189</v>
      </c>
      <c r="D897">
        <v>2.1</v>
      </c>
      <c r="E897" t="s">
        <v>1720</v>
      </c>
      <c r="F897" t="s">
        <v>1721</v>
      </c>
      <c r="G897" t="s">
        <v>4385</v>
      </c>
      <c r="H897" t="s">
        <v>4190</v>
      </c>
    </row>
    <row r="898" spans="1:8" x14ac:dyDescent="0.35">
      <c r="A898" t="s">
        <v>175</v>
      </c>
      <c r="B898" t="s">
        <v>1004</v>
      </c>
      <c r="C898" t="s">
        <v>4189</v>
      </c>
      <c r="D898">
        <v>2.1</v>
      </c>
      <c r="E898" t="s">
        <v>1720</v>
      </c>
      <c r="F898" t="s">
        <v>1724</v>
      </c>
      <c r="G898" t="s">
        <v>4385</v>
      </c>
      <c r="H898" t="s">
        <v>4190</v>
      </c>
    </row>
    <row r="899" spans="1:8" x14ac:dyDescent="0.35">
      <c r="A899" t="s">
        <v>175</v>
      </c>
      <c r="B899" t="s">
        <v>1004</v>
      </c>
      <c r="C899" t="s">
        <v>4195</v>
      </c>
      <c r="D899">
        <v>2.1</v>
      </c>
      <c r="E899" t="s">
        <v>1720</v>
      </c>
      <c r="F899" t="s">
        <v>1724</v>
      </c>
      <c r="G899" t="s">
        <v>4387</v>
      </c>
      <c r="H899" t="s">
        <v>4196</v>
      </c>
    </row>
    <row r="900" spans="1:8" x14ac:dyDescent="0.35">
      <c r="A900" t="s">
        <v>175</v>
      </c>
      <c r="B900" t="s">
        <v>1004</v>
      </c>
      <c r="C900" t="s">
        <v>4195</v>
      </c>
      <c r="D900">
        <v>2.1</v>
      </c>
      <c r="E900" t="s">
        <v>1720</v>
      </c>
      <c r="F900" t="s">
        <v>1721</v>
      </c>
      <c r="G900" t="s">
        <v>4387</v>
      </c>
      <c r="H900" t="s">
        <v>4196</v>
      </c>
    </row>
    <row r="901" spans="1:8" x14ac:dyDescent="0.35">
      <c r="A901" t="s">
        <v>175</v>
      </c>
      <c r="B901" t="s">
        <v>1004</v>
      </c>
      <c r="C901" t="s">
        <v>4217</v>
      </c>
      <c r="D901">
        <v>2</v>
      </c>
      <c r="E901" t="s">
        <v>1720</v>
      </c>
      <c r="F901" t="s">
        <v>1724</v>
      </c>
      <c r="G901" t="s">
        <v>4396</v>
      </c>
      <c r="H901" t="s">
        <v>4218</v>
      </c>
    </row>
    <row r="902" spans="1:8" x14ac:dyDescent="0.35">
      <c r="A902" t="s">
        <v>175</v>
      </c>
      <c r="B902" t="s">
        <v>1004</v>
      </c>
      <c r="C902" t="s">
        <v>4223</v>
      </c>
      <c r="D902">
        <v>0.02</v>
      </c>
      <c r="E902" t="s">
        <v>1720</v>
      </c>
      <c r="F902" t="s">
        <v>1721</v>
      </c>
      <c r="G902" t="s">
        <v>4399</v>
      </c>
      <c r="H902" t="s">
        <v>4224</v>
      </c>
    </row>
    <row r="903" spans="1:8" x14ac:dyDescent="0.35">
      <c r="A903" t="s">
        <v>175</v>
      </c>
      <c r="B903" t="s">
        <v>1004</v>
      </c>
      <c r="C903" t="s">
        <v>4205</v>
      </c>
      <c r="D903">
        <v>2.1</v>
      </c>
      <c r="E903" t="s">
        <v>1720</v>
      </c>
      <c r="F903" t="s">
        <v>1721</v>
      </c>
      <c r="G903" t="s">
        <v>4391</v>
      </c>
      <c r="H903" t="s">
        <v>4206</v>
      </c>
    </row>
    <row r="904" spans="1:8" x14ac:dyDescent="0.35">
      <c r="A904" t="s">
        <v>175</v>
      </c>
      <c r="B904" t="s">
        <v>1004</v>
      </c>
      <c r="C904" t="s">
        <v>4205</v>
      </c>
      <c r="D904">
        <v>2.1</v>
      </c>
      <c r="E904" t="s">
        <v>1720</v>
      </c>
      <c r="F904" t="s">
        <v>1724</v>
      </c>
      <c r="G904" t="s">
        <v>4391</v>
      </c>
      <c r="H904" t="s">
        <v>4206</v>
      </c>
    </row>
    <row r="905" spans="1:8" x14ac:dyDescent="0.35">
      <c r="A905" t="s">
        <v>175</v>
      </c>
      <c r="B905" t="s">
        <v>1004</v>
      </c>
      <c r="C905" t="s">
        <v>4211</v>
      </c>
      <c r="D905">
        <v>2.1</v>
      </c>
      <c r="E905" t="s">
        <v>1720</v>
      </c>
      <c r="F905" t="s">
        <v>1721</v>
      </c>
      <c r="G905" t="s">
        <v>4392</v>
      </c>
      <c r="H905" t="s">
        <v>4212</v>
      </c>
    </row>
    <row r="906" spans="1:8" x14ac:dyDescent="0.35">
      <c r="A906" t="s">
        <v>175</v>
      </c>
      <c r="B906" t="s">
        <v>1004</v>
      </c>
      <c r="C906" t="s">
        <v>4211</v>
      </c>
      <c r="D906">
        <v>2.1</v>
      </c>
      <c r="E906" t="s">
        <v>1720</v>
      </c>
      <c r="F906" t="s">
        <v>1724</v>
      </c>
      <c r="G906" t="s">
        <v>4392</v>
      </c>
      <c r="H906" t="s">
        <v>4212</v>
      </c>
    </row>
    <row r="907" spans="1:8" x14ac:dyDescent="0.35">
      <c r="A907" t="s">
        <v>175</v>
      </c>
      <c r="B907" t="s">
        <v>1004</v>
      </c>
      <c r="C907" t="s">
        <v>4199</v>
      </c>
      <c r="D907">
        <v>2.1</v>
      </c>
      <c r="E907" t="s">
        <v>1720</v>
      </c>
      <c r="F907" t="s">
        <v>1721</v>
      </c>
      <c r="G907" t="s">
        <v>4388</v>
      </c>
      <c r="H907" t="s">
        <v>4200</v>
      </c>
    </row>
    <row r="908" spans="1:8" x14ac:dyDescent="0.35">
      <c r="A908" t="s">
        <v>175</v>
      </c>
      <c r="B908" t="s">
        <v>1004</v>
      </c>
      <c r="C908" t="s">
        <v>4199</v>
      </c>
      <c r="D908">
        <v>2.1</v>
      </c>
      <c r="E908" t="s">
        <v>1720</v>
      </c>
      <c r="F908" t="s">
        <v>1724</v>
      </c>
      <c r="G908" t="s">
        <v>4388</v>
      </c>
      <c r="H908" t="s">
        <v>4200</v>
      </c>
    </row>
    <row r="909" spans="1:8" x14ac:dyDescent="0.35">
      <c r="A909" t="s">
        <v>175</v>
      </c>
      <c r="B909" t="s">
        <v>1004</v>
      </c>
      <c r="C909" t="s">
        <v>4213</v>
      </c>
      <c r="D909">
        <v>2.1</v>
      </c>
      <c r="E909" t="s">
        <v>1720</v>
      </c>
      <c r="F909" t="s">
        <v>1721</v>
      </c>
      <c r="G909" t="s">
        <v>4393</v>
      </c>
      <c r="H909" t="s">
        <v>4214</v>
      </c>
    </row>
    <row r="910" spans="1:8" x14ac:dyDescent="0.35">
      <c r="A910" t="s">
        <v>175</v>
      </c>
      <c r="B910" t="s">
        <v>1004</v>
      </c>
      <c r="C910" t="s">
        <v>4213</v>
      </c>
      <c r="D910">
        <v>2.1</v>
      </c>
      <c r="E910" t="s">
        <v>1720</v>
      </c>
      <c r="F910" t="s">
        <v>1724</v>
      </c>
      <c r="G910" t="s">
        <v>4393</v>
      </c>
      <c r="H910" t="s">
        <v>4214</v>
      </c>
    </row>
    <row r="911" spans="1:8" x14ac:dyDescent="0.35">
      <c r="A911" t="s">
        <v>175</v>
      </c>
      <c r="B911" t="s">
        <v>1004</v>
      </c>
      <c r="C911" t="s">
        <v>4232</v>
      </c>
      <c r="D911">
        <v>2.1</v>
      </c>
      <c r="E911" t="s">
        <v>1720</v>
      </c>
      <c r="F911" t="s">
        <v>1724</v>
      </c>
      <c r="G911" t="s">
        <v>4402</v>
      </c>
      <c r="H911" t="s">
        <v>4233</v>
      </c>
    </row>
    <row r="912" spans="1:8" x14ac:dyDescent="0.35">
      <c r="A912" t="s">
        <v>175</v>
      </c>
      <c r="B912" t="s">
        <v>1004</v>
      </c>
      <c r="C912" t="s">
        <v>4232</v>
      </c>
      <c r="D912">
        <v>2.1</v>
      </c>
      <c r="E912" t="s">
        <v>1720</v>
      </c>
      <c r="F912" t="s">
        <v>1721</v>
      </c>
      <c r="G912" t="s">
        <v>4402</v>
      </c>
      <c r="H912" t="s">
        <v>4233</v>
      </c>
    </row>
    <row r="913" spans="1:8" x14ac:dyDescent="0.35">
      <c r="A913" t="s">
        <v>175</v>
      </c>
      <c r="B913" t="s">
        <v>1004</v>
      </c>
      <c r="C913" t="s">
        <v>4191</v>
      </c>
      <c r="D913">
        <v>2.1</v>
      </c>
      <c r="E913" t="s">
        <v>1720</v>
      </c>
      <c r="F913" t="s">
        <v>1724</v>
      </c>
      <c r="G913" t="s">
        <v>4383</v>
      </c>
      <c r="H913" t="s">
        <v>4192</v>
      </c>
    </row>
    <row r="914" spans="1:8" x14ac:dyDescent="0.35">
      <c r="A914" t="s">
        <v>175</v>
      </c>
      <c r="B914" t="s">
        <v>1004</v>
      </c>
      <c r="C914" t="s">
        <v>4191</v>
      </c>
      <c r="D914">
        <v>2.1</v>
      </c>
      <c r="E914" t="s">
        <v>1720</v>
      </c>
      <c r="F914" t="s">
        <v>1721</v>
      </c>
      <c r="G914" t="s">
        <v>4383</v>
      </c>
      <c r="H914" t="s">
        <v>4192</v>
      </c>
    </row>
    <row r="915" spans="1:8" x14ac:dyDescent="0.35">
      <c r="A915" t="s">
        <v>175</v>
      </c>
      <c r="B915" t="s">
        <v>1004</v>
      </c>
      <c r="C915" t="s">
        <v>4242</v>
      </c>
      <c r="D915">
        <v>2.1</v>
      </c>
      <c r="E915" t="s">
        <v>1720</v>
      </c>
      <c r="F915" t="s">
        <v>1724</v>
      </c>
      <c r="G915" t="s">
        <v>4405</v>
      </c>
      <c r="H915" t="s">
        <v>4243</v>
      </c>
    </row>
    <row r="916" spans="1:8" x14ac:dyDescent="0.35">
      <c r="A916" t="s">
        <v>175</v>
      </c>
      <c r="B916" t="s">
        <v>1004</v>
      </c>
      <c r="C916" t="s">
        <v>4242</v>
      </c>
      <c r="D916">
        <v>2.1</v>
      </c>
      <c r="E916" t="s">
        <v>1720</v>
      </c>
      <c r="F916" t="s">
        <v>1721</v>
      </c>
      <c r="G916" t="s">
        <v>4405</v>
      </c>
      <c r="H916" t="s">
        <v>4243</v>
      </c>
    </row>
    <row r="917" spans="1:8" x14ac:dyDescent="0.35">
      <c r="A917" t="s">
        <v>175</v>
      </c>
      <c r="B917" t="s">
        <v>1004</v>
      </c>
      <c r="C917" t="s">
        <v>4246</v>
      </c>
      <c r="D917">
        <v>2.1</v>
      </c>
      <c r="E917" t="s">
        <v>1720</v>
      </c>
      <c r="F917" t="s">
        <v>1721</v>
      </c>
      <c r="G917" t="s">
        <v>4402</v>
      </c>
      <c r="H917" t="s">
        <v>4247</v>
      </c>
    </row>
    <row r="918" spans="1:8" x14ac:dyDescent="0.35">
      <c r="A918" t="s">
        <v>175</v>
      </c>
      <c r="B918" t="s">
        <v>1004</v>
      </c>
      <c r="C918" t="s">
        <v>4246</v>
      </c>
      <c r="D918">
        <v>2.1</v>
      </c>
      <c r="E918" t="s">
        <v>1720</v>
      </c>
      <c r="F918" t="s">
        <v>1724</v>
      </c>
      <c r="G918" t="s">
        <v>4402</v>
      </c>
      <c r="H918" t="s">
        <v>4247</v>
      </c>
    </row>
    <row r="919" spans="1:8" x14ac:dyDescent="0.35">
      <c r="A919" t="s">
        <v>175</v>
      </c>
      <c r="B919" t="s">
        <v>1004</v>
      </c>
      <c r="C919" t="s">
        <v>4256</v>
      </c>
      <c r="D919">
        <v>2.1</v>
      </c>
      <c r="E919" t="s">
        <v>1720</v>
      </c>
      <c r="F919" t="s">
        <v>1724</v>
      </c>
      <c r="G919" t="s">
        <v>4402</v>
      </c>
      <c r="H919" t="s">
        <v>4257</v>
      </c>
    </row>
    <row r="920" spans="1:8" x14ac:dyDescent="0.35">
      <c r="A920" t="s">
        <v>175</v>
      </c>
      <c r="B920" t="s">
        <v>1004</v>
      </c>
      <c r="C920" t="s">
        <v>4256</v>
      </c>
      <c r="D920">
        <v>2.1</v>
      </c>
      <c r="E920" t="s">
        <v>1720</v>
      </c>
      <c r="F920" t="s">
        <v>1721</v>
      </c>
      <c r="G920" t="s">
        <v>4402</v>
      </c>
      <c r="H920" t="s">
        <v>4257</v>
      </c>
    </row>
    <row r="921" spans="1:8" x14ac:dyDescent="0.35">
      <c r="A921" t="s">
        <v>175</v>
      </c>
      <c r="B921" t="s">
        <v>1004</v>
      </c>
      <c r="C921" t="s">
        <v>4319</v>
      </c>
      <c r="D921">
        <v>2.1</v>
      </c>
      <c r="E921" t="s">
        <v>1720</v>
      </c>
      <c r="F921" t="s">
        <v>1721</v>
      </c>
      <c r="G921" t="s">
        <v>4402</v>
      </c>
      <c r="H921" t="s">
        <v>4320</v>
      </c>
    </row>
    <row r="922" spans="1:8" x14ac:dyDescent="0.35">
      <c r="A922" t="s">
        <v>175</v>
      </c>
      <c r="B922" t="s">
        <v>1004</v>
      </c>
      <c r="C922" t="s">
        <v>4319</v>
      </c>
      <c r="D922">
        <v>2.1</v>
      </c>
      <c r="E922" t="s">
        <v>1720</v>
      </c>
      <c r="F922" t="s">
        <v>1724</v>
      </c>
      <c r="G922" t="s">
        <v>4402</v>
      </c>
      <c r="H922" t="s">
        <v>4320</v>
      </c>
    </row>
    <row r="923" spans="1:8" x14ac:dyDescent="0.35">
      <c r="A923" t="s">
        <v>175</v>
      </c>
      <c r="B923" t="s">
        <v>1004</v>
      </c>
      <c r="C923" t="s">
        <v>4284</v>
      </c>
      <c r="D923">
        <v>1.6</v>
      </c>
      <c r="E923" t="s">
        <v>1720</v>
      </c>
      <c r="G923" t="s">
        <v>4416</v>
      </c>
      <c r="H923" t="s">
        <v>4285</v>
      </c>
    </row>
    <row r="924" spans="1:8" x14ac:dyDescent="0.35">
      <c r="A924" t="s">
        <v>175</v>
      </c>
      <c r="B924" t="s">
        <v>1004</v>
      </c>
      <c r="C924" t="s">
        <v>4284</v>
      </c>
      <c r="D924">
        <v>2.1</v>
      </c>
      <c r="E924" t="s">
        <v>1720</v>
      </c>
      <c r="G924" t="s">
        <v>4417</v>
      </c>
      <c r="H924" t="s">
        <v>4285</v>
      </c>
    </row>
    <row r="925" spans="1:8" x14ac:dyDescent="0.35">
      <c r="A925" t="s">
        <v>175</v>
      </c>
      <c r="B925" t="s">
        <v>1004</v>
      </c>
      <c r="C925" t="s">
        <v>4207</v>
      </c>
      <c r="D925">
        <v>2.1</v>
      </c>
      <c r="E925" t="s">
        <v>1720</v>
      </c>
      <c r="F925" t="s">
        <v>1724</v>
      </c>
      <c r="G925" t="s">
        <v>4383</v>
      </c>
      <c r="H925" t="s">
        <v>4208</v>
      </c>
    </row>
    <row r="926" spans="1:8" x14ac:dyDescent="0.35">
      <c r="A926" t="s">
        <v>175</v>
      </c>
      <c r="B926" t="s">
        <v>1004</v>
      </c>
      <c r="C926" t="s">
        <v>4207</v>
      </c>
      <c r="D926">
        <v>2.1</v>
      </c>
      <c r="E926" t="s">
        <v>1720</v>
      </c>
      <c r="F926" t="s">
        <v>1721</v>
      </c>
      <c r="G926" t="s">
        <v>4383</v>
      </c>
      <c r="H926" t="s">
        <v>4208</v>
      </c>
    </row>
    <row r="927" spans="1:8" x14ac:dyDescent="0.35">
      <c r="A927" t="s">
        <v>175</v>
      </c>
      <c r="B927" t="s">
        <v>1004</v>
      </c>
      <c r="C927" t="s">
        <v>4276</v>
      </c>
      <c r="D927">
        <v>2.1</v>
      </c>
      <c r="E927" t="s">
        <v>1720</v>
      </c>
      <c r="F927" t="s">
        <v>1724</v>
      </c>
      <c r="G927" t="s">
        <v>4413</v>
      </c>
      <c r="H927" t="s">
        <v>4277</v>
      </c>
    </row>
    <row r="928" spans="1:8" x14ac:dyDescent="0.35">
      <c r="A928" t="s">
        <v>175</v>
      </c>
      <c r="B928" t="s">
        <v>1004</v>
      </c>
      <c r="C928" t="s">
        <v>4276</v>
      </c>
      <c r="D928">
        <v>2.1</v>
      </c>
      <c r="E928" t="s">
        <v>1720</v>
      </c>
      <c r="F928" t="s">
        <v>1721</v>
      </c>
      <c r="G928" t="s">
        <v>4413</v>
      </c>
      <c r="H928" t="s">
        <v>4277</v>
      </c>
    </row>
    <row r="929" spans="1:8" x14ac:dyDescent="0.35">
      <c r="A929" t="s">
        <v>175</v>
      </c>
      <c r="B929" t="s">
        <v>1004</v>
      </c>
      <c r="C929" t="s">
        <v>4288</v>
      </c>
      <c r="D929">
        <v>2.1</v>
      </c>
      <c r="E929" t="s">
        <v>1720</v>
      </c>
      <c r="F929" t="s">
        <v>1724</v>
      </c>
      <c r="G929" t="s">
        <v>4415</v>
      </c>
      <c r="H929" t="s">
        <v>4289</v>
      </c>
    </row>
    <row r="930" spans="1:8" x14ac:dyDescent="0.35">
      <c r="A930" t="s">
        <v>175</v>
      </c>
      <c r="B930" t="s">
        <v>1004</v>
      </c>
      <c r="C930" t="s">
        <v>4288</v>
      </c>
      <c r="D930">
        <v>2.1</v>
      </c>
      <c r="E930" t="s">
        <v>1720</v>
      </c>
      <c r="F930" t="s">
        <v>1721</v>
      </c>
      <c r="G930" t="s">
        <v>4415</v>
      </c>
      <c r="H930" t="s">
        <v>4289</v>
      </c>
    </row>
    <row r="931" spans="1:8" x14ac:dyDescent="0.35">
      <c r="A931" t="s">
        <v>175</v>
      </c>
      <c r="B931" t="s">
        <v>1004</v>
      </c>
      <c r="C931" t="s">
        <v>4292</v>
      </c>
      <c r="D931">
        <v>2.1</v>
      </c>
      <c r="E931" t="s">
        <v>1720</v>
      </c>
      <c r="F931" t="s">
        <v>1724</v>
      </c>
      <c r="G931" t="s">
        <v>4402</v>
      </c>
      <c r="H931" t="s">
        <v>4293</v>
      </c>
    </row>
    <row r="932" spans="1:8" x14ac:dyDescent="0.35">
      <c r="A932" t="s">
        <v>175</v>
      </c>
      <c r="B932" t="s">
        <v>1004</v>
      </c>
      <c r="C932" t="s">
        <v>4292</v>
      </c>
      <c r="D932">
        <v>2.1</v>
      </c>
      <c r="E932" t="s">
        <v>1720</v>
      </c>
      <c r="F932" t="s">
        <v>1721</v>
      </c>
      <c r="G932" t="s">
        <v>4402</v>
      </c>
      <c r="H932" t="s">
        <v>4293</v>
      </c>
    </row>
    <row r="933" spans="1:8" x14ac:dyDescent="0.35">
      <c r="A933" t="s">
        <v>175</v>
      </c>
      <c r="B933" t="s">
        <v>1004</v>
      </c>
      <c r="C933" t="s">
        <v>4321</v>
      </c>
      <c r="D933">
        <v>2.1</v>
      </c>
      <c r="E933" t="s">
        <v>1720</v>
      </c>
      <c r="F933" t="s">
        <v>1724</v>
      </c>
      <c r="G933" t="s">
        <v>4427</v>
      </c>
      <c r="H933" t="s">
        <v>4322</v>
      </c>
    </row>
    <row r="934" spans="1:8" x14ac:dyDescent="0.35">
      <c r="A934" t="s">
        <v>175</v>
      </c>
      <c r="B934" t="s">
        <v>1004</v>
      </c>
      <c r="C934" t="s">
        <v>4321</v>
      </c>
      <c r="D934">
        <v>2.1</v>
      </c>
      <c r="E934" t="s">
        <v>1720</v>
      </c>
      <c r="F934" t="s">
        <v>1721</v>
      </c>
      <c r="G934" t="s">
        <v>4427</v>
      </c>
      <c r="H934" t="s">
        <v>4322</v>
      </c>
    </row>
    <row r="935" spans="1:8" x14ac:dyDescent="0.35">
      <c r="A935" t="s">
        <v>175</v>
      </c>
      <c r="B935" t="s">
        <v>1004</v>
      </c>
      <c r="C935" t="s">
        <v>4286</v>
      </c>
      <c r="D935">
        <v>2.1</v>
      </c>
      <c r="E935" t="s">
        <v>1720</v>
      </c>
      <c r="F935" t="s">
        <v>1724</v>
      </c>
      <c r="G935" t="s">
        <v>4402</v>
      </c>
      <c r="H935" t="s">
        <v>4287</v>
      </c>
    </row>
    <row r="936" spans="1:8" x14ac:dyDescent="0.35">
      <c r="A936" t="s">
        <v>175</v>
      </c>
      <c r="B936" t="s">
        <v>1004</v>
      </c>
      <c r="C936" t="s">
        <v>4286</v>
      </c>
      <c r="D936">
        <v>2.1</v>
      </c>
      <c r="E936" t="s">
        <v>1720</v>
      </c>
      <c r="F936" t="s">
        <v>1721</v>
      </c>
      <c r="G936" t="s">
        <v>4402</v>
      </c>
      <c r="H936" t="s">
        <v>4287</v>
      </c>
    </row>
    <row r="937" spans="1:8" x14ac:dyDescent="0.35">
      <c r="A937" t="s">
        <v>175</v>
      </c>
      <c r="B937" t="s">
        <v>1004</v>
      </c>
      <c r="C937" t="s">
        <v>4298</v>
      </c>
      <c r="D937">
        <v>2.1</v>
      </c>
      <c r="E937" t="s">
        <v>1720</v>
      </c>
      <c r="F937" t="s">
        <v>1724</v>
      </c>
      <c r="G937" t="s">
        <v>4419</v>
      </c>
      <c r="H937" t="s">
        <v>4299</v>
      </c>
    </row>
    <row r="938" spans="1:8" x14ac:dyDescent="0.35">
      <c r="A938" t="s">
        <v>175</v>
      </c>
      <c r="B938" t="s">
        <v>1004</v>
      </c>
      <c r="C938" t="s">
        <v>4298</v>
      </c>
      <c r="D938">
        <v>2.1</v>
      </c>
      <c r="E938" t="s">
        <v>1720</v>
      </c>
      <c r="F938" t="s">
        <v>1721</v>
      </c>
      <c r="G938" t="s">
        <v>4419</v>
      </c>
      <c r="H938" t="s">
        <v>4299</v>
      </c>
    </row>
    <row r="939" spans="1:8" x14ac:dyDescent="0.35">
      <c r="A939" t="s">
        <v>190</v>
      </c>
      <c r="B939" t="s">
        <v>1018</v>
      </c>
      <c r="C939" t="s">
        <v>4181</v>
      </c>
      <c r="D939">
        <v>5.6000000000000001E-2</v>
      </c>
      <c r="E939" t="s">
        <v>1720</v>
      </c>
      <c r="F939" t="s">
        <v>1721</v>
      </c>
      <c r="G939" t="s">
        <v>4466</v>
      </c>
      <c r="H939" t="s">
        <v>4182</v>
      </c>
    </row>
    <row r="940" spans="1:8" x14ac:dyDescent="0.35">
      <c r="A940" t="s">
        <v>190</v>
      </c>
      <c r="B940" t="s">
        <v>1018</v>
      </c>
      <c r="C940" t="s">
        <v>4181</v>
      </c>
      <c r="D940">
        <v>0.24</v>
      </c>
      <c r="E940" t="s">
        <v>1720</v>
      </c>
      <c r="F940" t="s">
        <v>1724</v>
      </c>
      <c r="G940" t="s">
        <v>4466</v>
      </c>
      <c r="H940" t="s">
        <v>4182</v>
      </c>
    </row>
    <row r="941" spans="1:8" x14ac:dyDescent="0.35">
      <c r="A941" t="s">
        <v>190</v>
      </c>
      <c r="B941" t="s">
        <v>1018</v>
      </c>
      <c r="C941" t="s">
        <v>4183</v>
      </c>
      <c r="D941">
        <v>5.6000000000000001E-2</v>
      </c>
      <c r="E941" t="s">
        <v>1720</v>
      </c>
      <c r="F941" t="s">
        <v>1721</v>
      </c>
      <c r="G941" t="s">
        <v>4382</v>
      </c>
      <c r="H941" t="s">
        <v>4184</v>
      </c>
    </row>
    <row r="942" spans="1:8" x14ac:dyDescent="0.35">
      <c r="A942" t="s">
        <v>190</v>
      </c>
      <c r="B942" t="s">
        <v>1018</v>
      </c>
      <c r="C942" t="s">
        <v>4183</v>
      </c>
      <c r="D942">
        <v>0.24</v>
      </c>
      <c r="E942" t="s">
        <v>1720</v>
      </c>
      <c r="F942" t="s">
        <v>1724</v>
      </c>
      <c r="G942" t="s">
        <v>4382</v>
      </c>
      <c r="H942" t="s">
        <v>4184</v>
      </c>
    </row>
    <row r="943" spans="1:8" x14ac:dyDescent="0.35">
      <c r="A943" t="s">
        <v>190</v>
      </c>
      <c r="B943" t="s">
        <v>1018</v>
      </c>
      <c r="C943" t="s">
        <v>4179</v>
      </c>
      <c r="D943">
        <v>5.6000000000000001E-2</v>
      </c>
      <c r="E943" t="s">
        <v>1720</v>
      </c>
      <c r="F943" t="s">
        <v>1721</v>
      </c>
      <c r="G943" t="s">
        <v>4380</v>
      </c>
      <c r="H943" t="s">
        <v>4180</v>
      </c>
    </row>
    <row r="944" spans="1:8" x14ac:dyDescent="0.35">
      <c r="A944" t="s">
        <v>190</v>
      </c>
      <c r="B944" t="s">
        <v>1018</v>
      </c>
      <c r="C944" t="s">
        <v>4179</v>
      </c>
      <c r="D944">
        <v>0.24</v>
      </c>
      <c r="E944" t="s">
        <v>1720</v>
      </c>
      <c r="F944" t="s">
        <v>1724</v>
      </c>
      <c r="G944" t="s">
        <v>4380</v>
      </c>
      <c r="H944" t="s">
        <v>4180</v>
      </c>
    </row>
    <row r="945" spans="1:8" x14ac:dyDescent="0.35">
      <c r="A945" t="s">
        <v>190</v>
      </c>
      <c r="B945" t="s">
        <v>1018</v>
      </c>
      <c r="C945" t="s">
        <v>4185</v>
      </c>
      <c r="D945">
        <v>5.6000000000000001E-2</v>
      </c>
      <c r="E945" t="s">
        <v>1720</v>
      </c>
      <c r="F945" t="s">
        <v>1721</v>
      </c>
      <c r="G945" t="s">
        <v>4383</v>
      </c>
      <c r="H945" t="s">
        <v>4186</v>
      </c>
    </row>
    <row r="946" spans="1:8" x14ac:dyDescent="0.35">
      <c r="A946" t="s">
        <v>190</v>
      </c>
      <c r="B946" t="s">
        <v>1018</v>
      </c>
      <c r="C946" t="s">
        <v>4185</v>
      </c>
      <c r="D946">
        <v>0.24</v>
      </c>
      <c r="E946" t="s">
        <v>1720</v>
      </c>
      <c r="F946" t="s">
        <v>1724</v>
      </c>
      <c r="G946" t="s">
        <v>4383</v>
      </c>
      <c r="H946" t="s">
        <v>4186</v>
      </c>
    </row>
    <row r="947" spans="1:8" x14ac:dyDescent="0.35">
      <c r="A947" t="s">
        <v>190</v>
      </c>
      <c r="B947" t="s">
        <v>1018</v>
      </c>
      <c r="C947" t="s">
        <v>4187</v>
      </c>
      <c r="D947">
        <v>5.6000000000000001E-2</v>
      </c>
      <c r="E947" t="s">
        <v>1720</v>
      </c>
      <c r="F947" t="s">
        <v>1721</v>
      </c>
      <c r="G947" t="s">
        <v>4384</v>
      </c>
      <c r="H947" t="s">
        <v>4188</v>
      </c>
    </row>
    <row r="948" spans="1:8" x14ac:dyDescent="0.35">
      <c r="A948" t="s">
        <v>190</v>
      </c>
      <c r="B948" t="s">
        <v>1018</v>
      </c>
      <c r="C948" t="s">
        <v>4187</v>
      </c>
      <c r="D948">
        <v>0.24</v>
      </c>
      <c r="E948" t="s">
        <v>1720</v>
      </c>
      <c r="F948" t="s">
        <v>1724</v>
      </c>
      <c r="G948" t="s">
        <v>4384</v>
      </c>
      <c r="H948" t="s">
        <v>4188</v>
      </c>
    </row>
    <row r="949" spans="1:8" x14ac:dyDescent="0.35">
      <c r="A949" t="s">
        <v>190</v>
      </c>
      <c r="B949" t="s">
        <v>1018</v>
      </c>
      <c r="C949" t="s">
        <v>4189</v>
      </c>
      <c r="D949">
        <v>5.6000000000000001E-2</v>
      </c>
      <c r="E949" t="s">
        <v>1720</v>
      </c>
      <c r="F949" t="s">
        <v>1721</v>
      </c>
      <c r="G949" t="s">
        <v>4385</v>
      </c>
      <c r="H949" t="s">
        <v>4190</v>
      </c>
    </row>
    <row r="950" spans="1:8" x14ac:dyDescent="0.35">
      <c r="A950" t="s">
        <v>190</v>
      </c>
      <c r="B950" t="s">
        <v>1018</v>
      </c>
      <c r="C950" t="s">
        <v>4189</v>
      </c>
      <c r="D950">
        <v>0.24</v>
      </c>
      <c r="E950" t="s">
        <v>1720</v>
      </c>
      <c r="F950" t="s">
        <v>1724</v>
      </c>
      <c r="G950" t="s">
        <v>4385</v>
      </c>
      <c r="H950" t="s">
        <v>4190</v>
      </c>
    </row>
    <row r="951" spans="1:8" x14ac:dyDescent="0.35">
      <c r="A951" t="s">
        <v>190</v>
      </c>
      <c r="B951" t="s">
        <v>1018</v>
      </c>
      <c r="C951" t="s">
        <v>4307</v>
      </c>
      <c r="D951">
        <v>5.6000000000000001E-2</v>
      </c>
      <c r="E951" t="s">
        <v>1720</v>
      </c>
      <c r="F951" t="s">
        <v>1721</v>
      </c>
      <c r="G951" t="s">
        <v>4431</v>
      </c>
      <c r="H951" t="s">
        <v>4325</v>
      </c>
    </row>
    <row r="952" spans="1:8" x14ac:dyDescent="0.35">
      <c r="A952" t="s">
        <v>190</v>
      </c>
      <c r="B952" t="s">
        <v>1018</v>
      </c>
      <c r="C952" t="s">
        <v>4307</v>
      </c>
      <c r="D952">
        <v>0.24</v>
      </c>
      <c r="E952" t="s">
        <v>1720</v>
      </c>
      <c r="F952" t="s">
        <v>1724</v>
      </c>
      <c r="G952" t="s">
        <v>4431</v>
      </c>
      <c r="H952" t="s">
        <v>4325</v>
      </c>
    </row>
    <row r="953" spans="1:8" x14ac:dyDescent="0.35">
      <c r="A953" t="s">
        <v>190</v>
      </c>
      <c r="B953" t="s">
        <v>1018</v>
      </c>
      <c r="C953" t="s">
        <v>4307</v>
      </c>
      <c r="D953">
        <v>5.6000000000000001E-2</v>
      </c>
      <c r="E953" t="s">
        <v>1720</v>
      </c>
      <c r="F953" t="s">
        <v>1721</v>
      </c>
      <c r="G953" t="s">
        <v>4422</v>
      </c>
      <c r="H953" t="s">
        <v>4308</v>
      </c>
    </row>
    <row r="954" spans="1:8" x14ac:dyDescent="0.35">
      <c r="A954" t="s">
        <v>190</v>
      </c>
      <c r="B954" t="s">
        <v>1018</v>
      </c>
      <c r="C954" t="s">
        <v>4307</v>
      </c>
      <c r="D954">
        <v>0.24</v>
      </c>
      <c r="E954" t="s">
        <v>1720</v>
      </c>
      <c r="F954" t="s">
        <v>1724</v>
      </c>
      <c r="G954" t="s">
        <v>4422</v>
      </c>
      <c r="H954" t="s">
        <v>4308</v>
      </c>
    </row>
    <row r="955" spans="1:8" x14ac:dyDescent="0.35">
      <c r="A955" t="s">
        <v>190</v>
      </c>
      <c r="B955" t="s">
        <v>1018</v>
      </c>
      <c r="C955" t="s">
        <v>4191</v>
      </c>
      <c r="D955">
        <v>5.6000000000000001E-2</v>
      </c>
      <c r="E955" t="s">
        <v>1720</v>
      </c>
      <c r="F955" t="s">
        <v>1721</v>
      </c>
      <c r="G955" t="s">
        <v>4383</v>
      </c>
      <c r="H955" t="s">
        <v>4192</v>
      </c>
    </row>
    <row r="956" spans="1:8" x14ac:dyDescent="0.35">
      <c r="A956" t="s">
        <v>190</v>
      </c>
      <c r="B956" t="s">
        <v>1018</v>
      </c>
      <c r="C956" t="s">
        <v>4191</v>
      </c>
      <c r="D956">
        <v>0.24</v>
      </c>
      <c r="E956" t="s">
        <v>1720</v>
      </c>
      <c r="F956" t="s">
        <v>1724</v>
      </c>
      <c r="G956" t="s">
        <v>4383</v>
      </c>
      <c r="H956" t="s">
        <v>4192</v>
      </c>
    </row>
    <row r="957" spans="1:8" x14ac:dyDescent="0.35">
      <c r="A957" t="s">
        <v>190</v>
      </c>
      <c r="B957" t="s">
        <v>1018</v>
      </c>
      <c r="C957" t="s">
        <v>4305</v>
      </c>
      <c r="D957">
        <v>5.6000000000000001E-2</v>
      </c>
      <c r="E957" t="s">
        <v>1720</v>
      </c>
      <c r="F957" t="s">
        <v>1721</v>
      </c>
      <c r="G957" t="s">
        <v>4421</v>
      </c>
      <c r="H957" t="s">
        <v>4306</v>
      </c>
    </row>
    <row r="958" spans="1:8" x14ac:dyDescent="0.35">
      <c r="A958" t="s">
        <v>190</v>
      </c>
      <c r="B958" t="s">
        <v>1018</v>
      </c>
      <c r="C958" t="s">
        <v>4305</v>
      </c>
      <c r="D958">
        <v>0.24</v>
      </c>
      <c r="E958" t="s">
        <v>1720</v>
      </c>
      <c r="F958" t="s">
        <v>1724</v>
      </c>
      <c r="G958" t="s">
        <v>4448</v>
      </c>
      <c r="H958" t="s">
        <v>4306</v>
      </c>
    </row>
    <row r="959" spans="1:8" x14ac:dyDescent="0.35">
      <c r="A959" t="s">
        <v>190</v>
      </c>
      <c r="B959" t="s">
        <v>1018</v>
      </c>
      <c r="C959" t="s">
        <v>4309</v>
      </c>
      <c r="D959">
        <v>5.6000000000000001E-2</v>
      </c>
      <c r="E959" t="s">
        <v>1720</v>
      </c>
      <c r="F959" t="s">
        <v>1721</v>
      </c>
      <c r="G959" t="s">
        <v>4396</v>
      </c>
      <c r="H959" t="s">
        <v>4310</v>
      </c>
    </row>
    <row r="960" spans="1:8" x14ac:dyDescent="0.35">
      <c r="A960" t="s">
        <v>190</v>
      </c>
      <c r="B960" t="s">
        <v>1018</v>
      </c>
      <c r="C960" t="s">
        <v>4309</v>
      </c>
      <c r="D960">
        <v>0.24</v>
      </c>
      <c r="E960" t="s">
        <v>1720</v>
      </c>
      <c r="F960" t="s">
        <v>1724</v>
      </c>
      <c r="G960" t="s">
        <v>4396</v>
      </c>
      <c r="H960" t="s">
        <v>4310</v>
      </c>
    </row>
    <row r="961" spans="1:8" x14ac:dyDescent="0.35">
      <c r="A961" t="s">
        <v>190</v>
      </c>
      <c r="B961" t="s">
        <v>1018</v>
      </c>
      <c r="C961" t="s">
        <v>4327</v>
      </c>
      <c r="D961">
        <v>1.9</v>
      </c>
      <c r="E961" t="s">
        <v>1720</v>
      </c>
      <c r="F961" t="s">
        <v>1721</v>
      </c>
      <c r="G961" t="s">
        <v>4434</v>
      </c>
      <c r="H961" t="s">
        <v>4328</v>
      </c>
    </row>
    <row r="962" spans="1:8" x14ac:dyDescent="0.35">
      <c r="A962" t="s">
        <v>190</v>
      </c>
      <c r="B962" t="s">
        <v>1018</v>
      </c>
      <c r="C962" t="s">
        <v>4327</v>
      </c>
      <c r="D962">
        <v>2500</v>
      </c>
      <c r="E962" t="s">
        <v>1720</v>
      </c>
      <c r="F962" t="s">
        <v>1724</v>
      </c>
      <c r="G962" t="s">
        <v>4434</v>
      </c>
      <c r="H962" t="s">
        <v>4328</v>
      </c>
    </row>
    <row r="963" spans="1:8" x14ac:dyDescent="0.35">
      <c r="A963" t="s">
        <v>190</v>
      </c>
      <c r="B963" t="s">
        <v>1018</v>
      </c>
      <c r="C963" t="s">
        <v>4327</v>
      </c>
      <c r="D963">
        <v>1.9</v>
      </c>
      <c r="E963" t="s">
        <v>1720</v>
      </c>
      <c r="F963" t="s">
        <v>1721</v>
      </c>
      <c r="G963" t="s">
        <v>4435</v>
      </c>
      <c r="H963" t="s">
        <v>4328</v>
      </c>
    </row>
    <row r="964" spans="1:8" x14ac:dyDescent="0.35">
      <c r="A964" t="s">
        <v>190</v>
      </c>
      <c r="B964" t="s">
        <v>1018</v>
      </c>
      <c r="C964" t="s">
        <v>4327</v>
      </c>
      <c r="D964">
        <v>2500</v>
      </c>
      <c r="E964" t="s">
        <v>1720</v>
      </c>
      <c r="F964" t="s">
        <v>1724</v>
      </c>
      <c r="G964" t="s">
        <v>4435</v>
      </c>
      <c r="H964" t="s">
        <v>4328</v>
      </c>
    </row>
    <row r="965" spans="1:8" x14ac:dyDescent="0.35">
      <c r="A965" t="s">
        <v>190</v>
      </c>
      <c r="B965" t="s">
        <v>1018</v>
      </c>
      <c r="C965" t="s">
        <v>4197</v>
      </c>
      <c r="D965">
        <v>5.6000000000000001E-2</v>
      </c>
      <c r="E965" t="s">
        <v>1720</v>
      </c>
      <c r="F965" t="s">
        <v>1721</v>
      </c>
      <c r="G965" t="s">
        <v>4433</v>
      </c>
      <c r="H965" t="s">
        <v>4326</v>
      </c>
    </row>
    <row r="966" spans="1:8" x14ac:dyDescent="0.35">
      <c r="A966" t="s">
        <v>190</v>
      </c>
      <c r="B966" t="s">
        <v>1018</v>
      </c>
      <c r="C966" t="s">
        <v>4197</v>
      </c>
      <c r="D966">
        <v>0.24</v>
      </c>
      <c r="E966" t="s">
        <v>1720</v>
      </c>
      <c r="F966" t="s">
        <v>1724</v>
      </c>
      <c r="G966" t="s">
        <v>4433</v>
      </c>
      <c r="H966" t="s">
        <v>4326</v>
      </c>
    </row>
    <row r="967" spans="1:8" x14ac:dyDescent="0.35">
      <c r="A967" t="s">
        <v>190</v>
      </c>
      <c r="B967" t="s">
        <v>1018</v>
      </c>
      <c r="C967" t="s">
        <v>4195</v>
      </c>
      <c r="D967">
        <v>5.6000000000000001E-2</v>
      </c>
      <c r="E967" t="s">
        <v>1720</v>
      </c>
      <c r="F967" t="s">
        <v>1721</v>
      </c>
      <c r="G967" t="s">
        <v>4387</v>
      </c>
      <c r="H967" t="s">
        <v>4196</v>
      </c>
    </row>
    <row r="968" spans="1:8" x14ac:dyDescent="0.35">
      <c r="A968" t="s">
        <v>190</v>
      </c>
      <c r="B968" t="s">
        <v>1018</v>
      </c>
      <c r="C968" t="s">
        <v>4195</v>
      </c>
      <c r="D968">
        <v>0.24</v>
      </c>
      <c r="E968" t="s">
        <v>1720</v>
      </c>
      <c r="F968" t="s">
        <v>1724</v>
      </c>
      <c r="G968" t="s">
        <v>4387</v>
      </c>
      <c r="H968" t="s">
        <v>4196</v>
      </c>
    </row>
    <row r="969" spans="1:8" x14ac:dyDescent="0.35">
      <c r="A969" t="s">
        <v>190</v>
      </c>
      <c r="B969" t="s">
        <v>1018</v>
      </c>
      <c r="C969" t="s">
        <v>4193</v>
      </c>
      <c r="D969">
        <v>5.6000000000000001E-2</v>
      </c>
      <c r="E969" t="s">
        <v>1720</v>
      </c>
      <c r="F969" t="s">
        <v>1721</v>
      </c>
      <c r="G969" t="s">
        <v>4386</v>
      </c>
      <c r="H969" t="s">
        <v>4194</v>
      </c>
    </row>
    <row r="970" spans="1:8" x14ac:dyDescent="0.35">
      <c r="A970" t="s">
        <v>190</v>
      </c>
      <c r="B970" t="s">
        <v>1018</v>
      </c>
      <c r="C970" t="s">
        <v>4193</v>
      </c>
      <c r="D970">
        <v>0.24</v>
      </c>
      <c r="E970" t="s">
        <v>1720</v>
      </c>
      <c r="F970" t="s">
        <v>1724</v>
      </c>
      <c r="G970" t="s">
        <v>4386</v>
      </c>
      <c r="H970" t="s">
        <v>4194</v>
      </c>
    </row>
    <row r="971" spans="1:8" x14ac:dyDescent="0.35">
      <c r="A971" t="s">
        <v>190</v>
      </c>
      <c r="B971" t="s">
        <v>1018</v>
      </c>
      <c r="C971" t="s">
        <v>4197</v>
      </c>
      <c r="D971">
        <v>5.6000000000000001E-2</v>
      </c>
      <c r="E971" t="s">
        <v>1720</v>
      </c>
      <c r="F971" t="s">
        <v>1721</v>
      </c>
      <c r="G971" t="s">
        <v>4388</v>
      </c>
      <c r="H971" t="s">
        <v>4198</v>
      </c>
    </row>
    <row r="972" spans="1:8" x14ac:dyDescent="0.35">
      <c r="A972" t="s">
        <v>190</v>
      </c>
      <c r="B972" t="s">
        <v>1018</v>
      </c>
      <c r="C972" t="s">
        <v>4197</v>
      </c>
      <c r="D972">
        <v>5.6000000000000001E-2</v>
      </c>
      <c r="E972" t="s">
        <v>1720</v>
      </c>
      <c r="F972" t="s">
        <v>1721</v>
      </c>
      <c r="G972" t="s">
        <v>4467</v>
      </c>
      <c r="H972" t="s">
        <v>4198</v>
      </c>
    </row>
    <row r="973" spans="1:8" x14ac:dyDescent="0.35">
      <c r="A973" t="s">
        <v>190</v>
      </c>
      <c r="B973" t="s">
        <v>1018</v>
      </c>
      <c r="C973" t="s">
        <v>4197</v>
      </c>
      <c r="D973">
        <v>0.24</v>
      </c>
      <c r="E973" t="s">
        <v>1720</v>
      </c>
      <c r="F973" t="s">
        <v>1724</v>
      </c>
      <c r="G973" t="s">
        <v>4388</v>
      </c>
      <c r="H973" t="s">
        <v>4198</v>
      </c>
    </row>
    <row r="974" spans="1:8" x14ac:dyDescent="0.35">
      <c r="A974" t="s">
        <v>190</v>
      </c>
      <c r="B974" t="s">
        <v>1018</v>
      </c>
      <c r="C974" t="s">
        <v>4197</v>
      </c>
      <c r="D974">
        <v>0.24</v>
      </c>
      <c r="E974" t="s">
        <v>1720</v>
      </c>
      <c r="F974" t="s">
        <v>1724</v>
      </c>
      <c r="G974" t="s">
        <v>4467</v>
      </c>
      <c r="H974" t="s">
        <v>4198</v>
      </c>
    </row>
    <row r="975" spans="1:8" x14ac:dyDescent="0.35">
      <c r="A975" t="s">
        <v>190</v>
      </c>
      <c r="B975" t="s">
        <v>1018</v>
      </c>
      <c r="C975" t="s">
        <v>4203</v>
      </c>
      <c r="D975">
        <v>5.6000000000000001E-2</v>
      </c>
      <c r="E975" t="s">
        <v>1720</v>
      </c>
      <c r="F975" t="s">
        <v>1721</v>
      </c>
      <c r="G975" t="s">
        <v>4390</v>
      </c>
      <c r="H975" t="s">
        <v>4204</v>
      </c>
    </row>
    <row r="976" spans="1:8" x14ac:dyDescent="0.35">
      <c r="A976" t="s">
        <v>190</v>
      </c>
      <c r="B976" t="s">
        <v>1018</v>
      </c>
      <c r="C976" t="s">
        <v>4207</v>
      </c>
      <c r="D976">
        <v>5.6000000000000001E-2</v>
      </c>
      <c r="E976" t="s">
        <v>1720</v>
      </c>
      <c r="F976" t="s">
        <v>1721</v>
      </c>
      <c r="G976" t="s">
        <v>4383</v>
      </c>
      <c r="H976" t="s">
        <v>4208</v>
      </c>
    </row>
    <row r="977" spans="1:8" x14ac:dyDescent="0.35">
      <c r="A977" t="s">
        <v>190</v>
      </c>
      <c r="B977" t="s">
        <v>1018</v>
      </c>
      <c r="C977" t="s">
        <v>4207</v>
      </c>
      <c r="D977">
        <v>0.24</v>
      </c>
      <c r="E977" t="s">
        <v>1720</v>
      </c>
      <c r="F977" t="s">
        <v>1724</v>
      </c>
      <c r="G977" t="s">
        <v>4383</v>
      </c>
      <c r="H977" t="s">
        <v>4208</v>
      </c>
    </row>
    <row r="978" spans="1:8" x14ac:dyDescent="0.35">
      <c r="A978" t="s">
        <v>190</v>
      </c>
      <c r="B978" t="s">
        <v>1018</v>
      </c>
      <c r="C978" t="s">
        <v>4199</v>
      </c>
      <c r="D978">
        <v>5.6000000000000001E-2</v>
      </c>
      <c r="E978" t="s">
        <v>1720</v>
      </c>
      <c r="F978" t="s">
        <v>1721</v>
      </c>
      <c r="G978" t="s">
        <v>4388</v>
      </c>
      <c r="H978" t="s">
        <v>4200</v>
      </c>
    </row>
    <row r="979" spans="1:8" x14ac:dyDescent="0.35">
      <c r="A979" t="s">
        <v>190</v>
      </c>
      <c r="B979" t="s">
        <v>1018</v>
      </c>
      <c r="C979" t="s">
        <v>4199</v>
      </c>
      <c r="D979">
        <v>0.24</v>
      </c>
      <c r="E979" t="s">
        <v>1720</v>
      </c>
      <c r="F979" t="s">
        <v>1724</v>
      </c>
      <c r="G979" t="s">
        <v>4388</v>
      </c>
      <c r="H979" t="s">
        <v>4200</v>
      </c>
    </row>
    <row r="980" spans="1:8" x14ac:dyDescent="0.35">
      <c r="A980" t="s">
        <v>190</v>
      </c>
      <c r="B980" t="s">
        <v>1018</v>
      </c>
      <c r="C980" t="s">
        <v>4203</v>
      </c>
      <c r="D980">
        <v>0.24</v>
      </c>
      <c r="E980" t="s">
        <v>1720</v>
      </c>
      <c r="F980" t="s">
        <v>1724</v>
      </c>
      <c r="G980" t="s">
        <v>4390</v>
      </c>
      <c r="H980" t="s">
        <v>4204</v>
      </c>
    </row>
    <row r="981" spans="1:8" x14ac:dyDescent="0.35">
      <c r="A981" t="s">
        <v>190</v>
      </c>
      <c r="B981" t="s">
        <v>1018</v>
      </c>
      <c r="C981" t="s">
        <v>4309</v>
      </c>
      <c r="D981">
        <v>5.6000000000000001E-2</v>
      </c>
      <c r="E981" t="s">
        <v>1720</v>
      </c>
      <c r="F981" t="s">
        <v>1721</v>
      </c>
      <c r="G981" t="s">
        <v>4436</v>
      </c>
      <c r="H981" t="s">
        <v>4329</v>
      </c>
    </row>
    <row r="982" spans="1:8" x14ac:dyDescent="0.35">
      <c r="A982" t="s">
        <v>190</v>
      </c>
      <c r="B982" t="s">
        <v>1018</v>
      </c>
      <c r="C982" t="s">
        <v>4309</v>
      </c>
      <c r="D982">
        <v>0.24</v>
      </c>
      <c r="E982" t="s">
        <v>1720</v>
      </c>
      <c r="F982" t="s">
        <v>1724</v>
      </c>
      <c r="G982" t="s">
        <v>4436</v>
      </c>
      <c r="H982" t="s">
        <v>4329</v>
      </c>
    </row>
    <row r="983" spans="1:8" x14ac:dyDescent="0.35">
      <c r="A983" t="s">
        <v>190</v>
      </c>
      <c r="B983" t="s">
        <v>1018</v>
      </c>
      <c r="C983" t="s">
        <v>4205</v>
      </c>
      <c r="D983">
        <v>5.6000000000000001E-2</v>
      </c>
      <c r="E983" t="s">
        <v>1720</v>
      </c>
      <c r="F983" t="s">
        <v>1721</v>
      </c>
      <c r="G983" t="s">
        <v>4391</v>
      </c>
      <c r="H983" t="s">
        <v>4206</v>
      </c>
    </row>
    <row r="984" spans="1:8" x14ac:dyDescent="0.35">
      <c r="A984" t="s">
        <v>190</v>
      </c>
      <c r="B984" t="s">
        <v>1018</v>
      </c>
      <c r="C984" t="s">
        <v>4205</v>
      </c>
      <c r="D984">
        <v>0.24</v>
      </c>
      <c r="E984" t="s">
        <v>1720</v>
      </c>
      <c r="F984" t="s">
        <v>1724</v>
      </c>
      <c r="G984" t="s">
        <v>4391</v>
      </c>
      <c r="H984" t="s">
        <v>4206</v>
      </c>
    </row>
    <row r="985" spans="1:8" x14ac:dyDescent="0.35">
      <c r="A985" t="s">
        <v>190</v>
      </c>
      <c r="B985" t="s">
        <v>1018</v>
      </c>
      <c r="C985" t="s">
        <v>4201</v>
      </c>
      <c r="D985">
        <v>5.6000000000000001E-2</v>
      </c>
      <c r="E985" t="s">
        <v>1720</v>
      </c>
      <c r="F985" t="s">
        <v>1721</v>
      </c>
      <c r="G985" t="s">
        <v>4389</v>
      </c>
      <c r="H985" t="s">
        <v>4202</v>
      </c>
    </row>
    <row r="986" spans="1:8" x14ac:dyDescent="0.35">
      <c r="A986" t="s">
        <v>190</v>
      </c>
      <c r="B986" t="s">
        <v>1018</v>
      </c>
      <c r="C986" t="s">
        <v>4201</v>
      </c>
      <c r="D986">
        <v>0.24</v>
      </c>
      <c r="E986" t="s">
        <v>1720</v>
      </c>
      <c r="F986" t="s">
        <v>1724</v>
      </c>
      <c r="G986" t="s">
        <v>4389</v>
      </c>
      <c r="H986" t="s">
        <v>4202</v>
      </c>
    </row>
    <row r="987" spans="1:8" x14ac:dyDescent="0.35">
      <c r="A987" t="s">
        <v>190</v>
      </c>
      <c r="B987" t="s">
        <v>1018</v>
      </c>
      <c r="C987" t="s">
        <v>4344</v>
      </c>
      <c r="D987">
        <v>0.47</v>
      </c>
      <c r="E987" t="s">
        <v>1720</v>
      </c>
      <c r="G987" t="s">
        <v>4450</v>
      </c>
      <c r="H987" t="s">
        <v>4345</v>
      </c>
    </row>
    <row r="988" spans="1:8" x14ac:dyDescent="0.35">
      <c r="A988" t="s">
        <v>190</v>
      </c>
      <c r="B988" t="s">
        <v>1018</v>
      </c>
      <c r="C988" t="s">
        <v>4344</v>
      </c>
      <c r="D988">
        <v>5.6000000000000001E-2</v>
      </c>
      <c r="E988" t="s">
        <v>1720</v>
      </c>
      <c r="G988" t="s">
        <v>4451</v>
      </c>
      <c r="H988" t="s">
        <v>4345</v>
      </c>
    </row>
    <row r="989" spans="1:8" x14ac:dyDescent="0.35">
      <c r="A989" t="s">
        <v>190</v>
      </c>
      <c r="B989" t="s">
        <v>1018</v>
      </c>
      <c r="C989" t="s">
        <v>4344</v>
      </c>
      <c r="D989">
        <v>0.24</v>
      </c>
      <c r="E989" t="s">
        <v>1720</v>
      </c>
      <c r="G989" t="s">
        <v>4452</v>
      </c>
      <c r="H989" t="s">
        <v>4345</v>
      </c>
    </row>
    <row r="990" spans="1:8" x14ac:dyDescent="0.35">
      <c r="A990" t="s">
        <v>190</v>
      </c>
      <c r="B990" t="s">
        <v>1018</v>
      </c>
      <c r="C990" t="s">
        <v>4311</v>
      </c>
      <c r="D990">
        <v>2E-3</v>
      </c>
      <c r="E990" t="s">
        <v>1720</v>
      </c>
      <c r="G990" t="s">
        <v>4387</v>
      </c>
      <c r="H990" t="s">
        <v>4312</v>
      </c>
    </row>
    <row r="991" spans="1:8" x14ac:dyDescent="0.35">
      <c r="A991" t="s">
        <v>190</v>
      </c>
      <c r="B991" t="s">
        <v>1018</v>
      </c>
      <c r="C991" t="s">
        <v>4317</v>
      </c>
      <c r="D991">
        <v>2.5</v>
      </c>
      <c r="E991" t="s">
        <v>1720</v>
      </c>
      <c r="F991" t="s">
        <v>1724</v>
      </c>
      <c r="G991" t="s">
        <v>4426</v>
      </c>
      <c r="H991" t="s">
        <v>4318</v>
      </c>
    </row>
    <row r="992" spans="1:8" x14ac:dyDescent="0.35">
      <c r="A992" t="s">
        <v>190</v>
      </c>
      <c r="B992" t="s">
        <v>1018</v>
      </c>
      <c r="C992" t="s">
        <v>4336</v>
      </c>
      <c r="D992">
        <v>5.57E-2</v>
      </c>
      <c r="E992" t="s">
        <v>1720</v>
      </c>
      <c r="F992" t="s">
        <v>1721</v>
      </c>
      <c r="G992" t="s">
        <v>4445</v>
      </c>
      <c r="H992" t="s">
        <v>4337</v>
      </c>
    </row>
    <row r="993" spans="1:8" x14ac:dyDescent="0.35">
      <c r="A993" t="s">
        <v>190</v>
      </c>
      <c r="B993" t="s">
        <v>1018</v>
      </c>
      <c r="C993" t="s">
        <v>4336</v>
      </c>
      <c r="D993">
        <v>0.2374</v>
      </c>
      <c r="E993" t="s">
        <v>1720</v>
      </c>
      <c r="F993" t="s">
        <v>1724</v>
      </c>
      <c r="G993" t="s">
        <v>4445</v>
      </c>
      <c r="H993" t="s">
        <v>4337</v>
      </c>
    </row>
    <row r="994" spans="1:8" x14ac:dyDescent="0.35">
      <c r="A994" t="s">
        <v>190</v>
      </c>
      <c r="B994" t="s">
        <v>1018</v>
      </c>
      <c r="C994" t="s">
        <v>4209</v>
      </c>
      <c r="D994">
        <v>5.6000000000000001E-2</v>
      </c>
      <c r="E994" t="s">
        <v>1720</v>
      </c>
      <c r="F994" t="s">
        <v>1721</v>
      </c>
      <c r="G994" t="s">
        <v>4383</v>
      </c>
      <c r="H994" t="s">
        <v>4210</v>
      </c>
    </row>
    <row r="995" spans="1:8" x14ac:dyDescent="0.35">
      <c r="A995" t="s">
        <v>190</v>
      </c>
      <c r="B995" t="s">
        <v>1018</v>
      </c>
      <c r="C995" t="s">
        <v>4209</v>
      </c>
      <c r="D995">
        <v>0.24</v>
      </c>
      <c r="E995" t="s">
        <v>1720</v>
      </c>
      <c r="F995" t="s">
        <v>1724</v>
      </c>
      <c r="G995" t="s">
        <v>4383</v>
      </c>
      <c r="H995" t="s">
        <v>4210</v>
      </c>
    </row>
    <row r="996" spans="1:8" x14ac:dyDescent="0.35">
      <c r="A996" t="s">
        <v>190</v>
      </c>
      <c r="B996" t="s">
        <v>1018</v>
      </c>
      <c r="C996" t="s">
        <v>4330</v>
      </c>
      <c r="D996">
        <v>1.9E-3</v>
      </c>
      <c r="E996" t="s">
        <v>1720</v>
      </c>
      <c r="F996" t="s">
        <v>1721</v>
      </c>
      <c r="G996" t="s">
        <v>4437</v>
      </c>
      <c r="H996" t="s">
        <v>4331</v>
      </c>
    </row>
    <row r="997" spans="1:8" x14ac:dyDescent="0.35">
      <c r="A997" t="s">
        <v>190</v>
      </c>
      <c r="B997" t="s">
        <v>1018</v>
      </c>
      <c r="C997" t="s">
        <v>4330</v>
      </c>
      <c r="D997">
        <v>1.3</v>
      </c>
      <c r="E997" t="s">
        <v>1720</v>
      </c>
      <c r="F997" t="s">
        <v>1724</v>
      </c>
      <c r="G997" t="s">
        <v>4437</v>
      </c>
      <c r="H997" t="s">
        <v>4331</v>
      </c>
    </row>
    <row r="998" spans="1:8" x14ac:dyDescent="0.35">
      <c r="A998" t="s">
        <v>190</v>
      </c>
      <c r="B998" t="s">
        <v>1018</v>
      </c>
      <c r="C998" t="s">
        <v>4330</v>
      </c>
      <c r="D998">
        <v>5.6000000000000001E-2</v>
      </c>
      <c r="E998" t="s">
        <v>1720</v>
      </c>
      <c r="F998" t="s">
        <v>1721</v>
      </c>
      <c r="G998" t="s">
        <v>4396</v>
      </c>
      <c r="H998" t="s">
        <v>4331</v>
      </c>
    </row>
    <row r="999" spans="1:8" x14ac:dyDescent="0.35">
      <c r="A999" t="s">
        <v>190</v>
      </c>
      <c r="B999" t="s">
        <v>1018</v>
      </c>
      <c r="C999" t="s">
        <v>4330</v>
      </c>
      <c r="D999">
        <v>0.24</v>
      </c>
      <c r="E999" t="s">
        <v>1720</v>
      </c>
      <c r="F999" t="s">
        <v>1724</v>
      </c>
      <c r="G999" t="s">
        <v>4396</v>
      </c>
      <c r="H999" t="s">
        <v>4331</v>
      </c>
    </row>
    <row r="1000" spans="1:8" x14ac:dyDescent="0.35">
      <c r="A1000" t="s">
        <v>190</v>
      </c>
      <c r="B1000" t="s">
        <v>1018</v>
      </c>
      <c r="C1000" t="s">
        <v>4219</v>
      </c>
      <c r="D1000">
        <v>5.6000000000000001E-2</v>
      </c>
      <c r="E1000" t="s">
        <v>1720</v>
      </c>
      <c r="F1000" t="s">
        <v>1721</v>
      </c>
      <c r="G1000" t="s">
        <v>4380</v>
      </c>
      <c r="H1000" t="s">
        <v>4220</v>
      </c>
    </row>
    <row r="1001" spans="1:8" x14ac:dyDescent="0.35">
      <c r="A1001" t="s">
        <v>190</v>
      </c>
      <c r="B1001" t="s">
        <v>1018</v>
      </c>
      <c r="C1001" t="s">
        <v>4221</v>
      </c>
      <c r="D1001">
        <v>5.6000000000000001E-2</v>
      </c>
      <c r="E1001" t="s">
        <v>1720</v>
      </c>
      <c r="F1001" t="s">
        <v>1721</v>
      </c>
      <c r="G1001" t="s">
        <v>4383</v>
      </c>
      <c r="H1001" t="s">
        <v>4222</v>
      </c>
    </row>
    <row r="1002" spans="1:8" x14ac:dyDescent="0.35">
      <c r="A1002" t="s">
        <v>190</v>
      </c>
      <c r="B1002" t="s">
        <v>1018</v>
      </c>
      <c r="C1002" t="s">
        <v>4221</v>
      </c>
      <c r="D1002">
        <v>0.24</v>
      </c>
      <c r="E1002" t="s">
        <v>1720</v>
      </c>
      <c r="F1002" t="s">
        <v>1724</v>
      </c>
      <c r="G1002" t="s">
        <v>4383</v>
      </c>
      <c r="H1002" t="s">
        <v>4222</v>
      </c>
    </row>
    <row r="1003" spans="1:8" x14ac:dyDescent="0.35">
      <c r="A1003" t="s">
        <v>190</v>
      </c>
      <c r="B1003" t="s">
        <v>1018</v>
      </c>
      <c r="C1003" t="s">
        <v>4317</v>
      </c>
      <c r="D1003">
        <v>1.9E-3</v>
      </c>
      <c r="E1003" t="s">
        <v>1720</v>
      </c>
      <c r="F1003" t="s">
        <v>1721</v>
      </c>
      <c r="G1003" t="s">
        <v>4426</v>
      </c>
      <c r="H1003" t="s">
        <v>4318</v>
      </c>
    </row>
    <row r="1004" spans="1:8" x14ac:dyDescent="0.35">
      <c r="A1004" t="s">
        <v>190</v>
      </c>
      <c r="B1004" t="s">
        <v>1018</v>
      </c>
      <c r="C1004" t="s">
        <v>4346</v>
      </c>
      <c r="D1004">
        <v>7.6999999999999999E-2</v>
      </c>
      <c r="E1004" t="s">
        <v>1720</v>
      </c>
      <c r="F1004" t="s">
        <v>1721</v>
      </c>
      <c r="G1004" t="s">
        <v>4456</v>
      </c>
      <c r="H1004" t="s">
        <v>4347</v>
      </c>
    </row>
    <row r="1005" spans="1:8" x14ac:dyDescent="0.35">
      <c r="A1005" t="s">
        <v>190</v>
      </c>
      <c r="B1005" t="s">
        <v>1018</v>
      </c>
      <c r="C1005" t="s">
        <v>4346</v>
      </c>
      <c r="D1005">
        <v>0.24</v>
      </c>
      <c r="E1005" t="s">
        <v>1720</v>
      </c>
      <c r="F1005" t="s">
        <v>1724</v>
      </c>
      <c r="G1005" t="s">
        <v>4457</v>
      </c>
      <c r="H1005" t="s">
        <v>4347</v>
      </c>
    </row>
    <row r="1006" spans="1:8" x14ac:dyDescent="0.35">
      <c r="A1006" t="s">
        <v>190</v>
      </c>
      <c r="B1006" t="s">
        <v>1018</v>
      </c>
      <c r="C1006" t="s">
        <v>4350</v>
      </c>
      <c r="D1006">
        <v>5.6000000000000001E-2</v>
      </c>
      <c r="E1006" t="s">
        <v>1720</v>
      </c>
      <c r="F1006" t="s">
        <v>1721</v>
      </c>
      <c r="G1006" t="s">
        <v>4383</v>
      </c>
      <c r="H1006" t="s">
        <v>4351</v>
      </c>
    </row>
    <row r="1007" spans="1:8" x14ac:dyDescent="0.35">
      <c r="A1007" t="s">
        <v>190</v>
      </c>
      <c r="B1007" t="s">
        <v>1018</v>
      </c>
      <c r="C1007" t="s">
        <v>4350</v>
      </c>
      <c r="D1007">
        <v>0.24</v>
      </c>
      <c r="E1007" t="s">
        <v>1720</v>
      </c>
      <c r="F1007" t="s">
        <v>1724</v>
      </c>
      <c r="G1007" t="s">
        <v>4383</v>
      </c>
      <c r="H1007" t="s">
        <v>4351</v>
      </c>
    </row>
    <row r="1008" spans="1:8" x14ac:dyDescent="0.35">
      <c r="A1008" t="s">
        <v>190</v>
      </c>
      <c r="B1008" t="s">
        <v>1018</v>
      </c>
      <c r="C1008" t="s">
        <v>4217</v>
      </c>
      <c r="D1008">
        <v>2E-3</v>
      </c>
      <c r="E1008" t="s">
        <v>1720</v>
      </c>
      <c r="F1008" t="s">
        <v>1721</v>
      </c>
      <c r="G1008" t="s">
        <v>4396</v>
      </c>
      <c r="H1008" t="s">
        <v>4218</v>
      </c>
    </row>
    <row r="1009" spans="1:8" x14ac:dyDescent="0.35">
      <c r="A1009" t="s">
        <v>190</v>
      </c>
      <c r="B1009" t="s">
        <v>1018</v>
      </c>
      <c r="C1009" t="s">
        <v>4217</v>
      </c>
      <c r="D1009">
        <v>0.24</v>
      </c>
      <c r="E1009" t="s">
        <v>1720</v>
      </c>
      <c r="F1009" t="s">
        <v>1724</v>
      </c>
      <c r="G1009" t="s">
        <v>4396</v>
      </c>
      <c r="H1009" t="s">
        <v>4218</v>
      </c>
    </row>
    <row r="1010" spans="1:8" x14ac:dyDescent="0.35">
      <c r="A1010" t="s">
        <v>190</v>
      </c>
      <c r="B1010" t="s">
        <v>1018</v>
      </c>
      <c r="C1010" t="s">
        <v>4342</v>
      </c>
      <c r="D1010">
        <v>56000</v>
      </c>
      <c r="E1010" t="s">
        <v>1720</v>
      </c>
      <c r="F1010" t="s">
        <v>1721</v>
      </c>
      <c r="G1010" t="s">
        <v>4459</v>
      </c>
      <c r="H1010" t="s">
        <v>4343</v>
      </c>
    </row>
    <row r="1011" spans="1:8" x14ac:dyDescent="0.35">
      <c r="A1011" t="s">
        <v>190</v>
      </c>
      <c r="B1011" t="s">
        <v>1018</v>
      </c>
      <c r="C1011" t="s">
        <v>4342</v>
      </c>
      <c r="D1011">
        <v>240000</v>
      </c>
      <c r="E1011" t="s">
        <v>1720</v>
      </c>
      <c r="G1011" t="s">
        <v>4459</v>
      </c>
      <c r="H1011" t="s">
        <v>4343</v>
      </c>
    </row>
    <row r="1012" spans="1:8" x14ac:dyDescent="0.35">
      <c r="A1012" t="s">
        <v>190</v>
      </c>
      <c r="B1012" t="s">
        <v>1018</v>
      </c>
      <c r="C1012" t="s">
        <v>4342</v>
      </c>
      <c r="D1012">
        <v>480000</v>
      </c>
      <c r="E1012" t="s">
        <v>1720</v>
      </c>
      <c r="F1012" t="s">
        <v>1724</v>
      </c>
      <c r="G1012" t="s">
        <v>4459</v>
      </c>
      <c r="H1012" t="s">
        <v>4343</v>
      </c>
    </row>
    <row r="1013" spans="1:8" x14ac:dyDescent="0.35">
      <c r="A1013" t="s">
        <v>190</v>
      </c>
      <c r="B1013" t="s">
        <v>1018</v>
      </c>
      <c r="C1013" t="s">
        <v>4342</v>
      </c>
      <c r="D1013">
        <v>56000</v>
      </c>
      <c r="E1013" t="s">
        <v>1720</v>
      </c>
      <c r="F1013" t="s">
        <v>1721</v>
      </c>
      <c r="G1013" t="s">
        <v>4460</v>
      </c>
      <c r="H1013" t="s">
        <v>4343</v>
      </c>
    </row>
    <row r="1014" spans="1:8" x14ac:dyDescent="0.35">
      <c r="A1014" t="s">
        <v>190</v>
      </c>
      <c r="B1014" t="s">
        <v>1018</v>
      </c>
      <c r="C1014" t="s">
        <v>4342</v>
      </c>
      <c r="D1014">
        <v>240000</v>
      </c>
      <c r="E1014" t="s">
        <v>1720</v>
      </c>
      <c r="G1014" t="s">
        <v>4460</v>
      </c>
      <c r="H1014" t="s">
        <v>4343</v>
      </c>
    </row>
    <row r="1015" spans="1:8" x14ac:dyDescent="0.35">
      <c r="A1015" t="s">
        <v>190</v>
      </c>
      <c r="B1015" t="s">
        <v>1018</v>
      </c>
      <c r="C1015" t="s">
        <v>4342</v>
      </c>
      <c r="D1015">
        <v>480000</v>
      </c>
      <c r="E1015" t="s">
        <v>1720</v>
      </c>
      <c r="F1015" t="s">
        <v>1724</v>
      </c>
      <c r="G1015" t="s">
        <v>4460</v>
      </c>
      <c r="H1015" t="s">
        <v>4343</v>
      </c>
    </row>
    <row r="1016" spans="1:8" x14ac:dyDescent="0.35">
      <c r="A1016" t="s">
        <v>190</v>
      </c>
      <c r="B1016" t="s">
        <v>1018</v>
      </c>
      <c r="C1016" t="s">
        <v>4342</v>
      </c>
      <c r="D1016">
        <v>56000</v>
      </c>
      <c r="E1016" t="s">
        <v>1720</v>
      </c>
      <c r="F1016" t="s">
        <v>1721</v>
      </c>
      <c r="G1016" t="s">
        <v>4461</v>
      </c>
      <c r="H1016" t="s">
        <v>4343</v>
      </c>
    </row>
    <row r="1017" spans="1:8" x14ac:dyDescent="0.35">
      <c r="A1017" t="s">
        <v>190</v>
      </c>
      <c r="B1017" t="s">
        <v>1018</v>
      </c>
      <c r="C1017" t="s">
        <v>4342</v>
      </c>
      <c r="D1017">
        <v>240000</v>
      </c>
      <c r="E1017" t="s">
        <v>1720</v>
      </c>
      <c r="G1017" t="s">
        <v>4461</v>
      </c>
      <c r="H1017" t="s">
        <v>4343</v>
      </c>
    </row>
    <row r="1018" spans="1:8" x14ac:dyDescent="0.35">
      <c r="A1018" t="s">
        <v>190</v>
      </c>
      <c r="B1018" t="s">
        <v>1018</v>
      </c>
      <c r="C1018" t="s">
        <v>4342</v>
      </c>
      <c r="D1018">
        <v>480000</v>
      </c>
      <c r="E1018" t="s">
        <v>1720</v>
      </c>
      <c r="F1018" t="s">
        <v>1724</v>
      </c>
      <c r="G1018" t="s">
        <v>4461</v>
      </c>
      <c r="H1018" t="s">
        <v>4343</v>
      </c>
    </row>
    <row r="1019" spans="1:8" x14ac:dyDescent="0.35">
      <c r="A1019" t="s">
        <v>190</v>
      </c>
      <c r="B1019" t="s">
        <v>1018</v>
      </c>
      <c r="C1019" t="s">
        <v>4346</v>
      </c>
      <c r="D1019">
        <v>5.5E-2</v>
      </c>
      <c r="E1019" t="s">
        <v>1720</v>
      </c>
      <c r="F1019" t="s">
        <v>1721</v>
      </c>
      <c r="G1019" t="s">
        <v>4453</v>
      </c>
      <c r="H1019" t="s">
        <v>4347</v>
      </c>
    </row>
    <row r="1020" spans="1:8" x14ac:dyDescent="0.35">
      <c r="A1020" t="s">
        <v>190</v>
      </c>
      <c r="B1020" t="s">
        <v>1018</v>
      </c>
      <c r="C1020" t="s">
        <v>4346</v>
      </c>
      <c r="D1020">
        <v>0.24</v>
      </c>
      <c r="E1020" t="s">
        <v>1720</v>
      </c>
      <c r="F1020" t="s">
        <v>1724</v>
      </c>
      <c r="G1020" t="s">
        <v>4453</v>
      </c>
      <c r="H1020" t="s">
        <v>4347</v>
      </c>
    </row>
    <row r="1021" spans="1:8" x14ac:dyDescent="0.35">
      <c r="A1021" t="s">
        <v>190</v>
      </c>
      <c r="B1021" t="s">
        <v>1018</v>
      </c>
      <c r="C1021" t="s">
        <v>4346</v>
      </c>
      <c r="D1021">
        <v>0.24</v>
      </c>
      <c r="E1021" t="s">
        <v>1720</v>
      </c>
      <c r="F1021" t="s">
        <v>1724</v>
      </c>
      <c r="G1021" t="s">
        <v>4454</v>
      </c>
      <c r="H1021" t="s">
        <v>4347</v>
      </c>
    </row>
    <row r="1022" spans="1:8" x14ac:dyDescent="0.35">
      <c r="A1022" t="s">
        <v>190</v>
      </c>
      <c r="B1022" t="s">
        <v>1018</v>
      </c>
      <c r="C1022" t="s">
        <v>4346</v>
      </c>
      <c r="D1022">
        <v>7.6999999999999999E-2</v>
      </c>
      <c r="E1022" t="s">
        <v>1720</v>
      </c>
      <c r="F1022" t="s">
        <v>1721</v>
      </c>
      <c r="G1022" t="s">
        <v>4455</v>
      </c>
      <c r="H1022" t="s">
        <v>4347</v>
      </c>
    </row>
    <row r="1023" spans="1:8" x14ac:dyDescent="0.35">
      <c r="A1023" t="s">
        <v>190</v>
      </c>
      <c r="B1023" t="s">
        <v>1018</v>
      </c>
      <c r="C1023" t="s">
        <v>4232</v>
      </c>
      <c r="D1023">
        <v>5.6000000000000001E-2</v>
      </c>
      <c r="E1023" t="s">
        <v>1720</v>
      </c>
      <c r="F1023" t="s">
        <v>1721</v>
      </c>
      <c r="G1023" t="s">
        <v>4402</v>
      </c>
      <c r="H1023" t="s">
        <v>4233</v>
      </c>
    </row>
    <row r="1024" spans="1:8" x14ac:dyDescent="0.35">
      <c r="A1024" t="s">
        <v>190</v>
      </c>
      <c r="B1024" t="s">
        <v>1018</v>
      </c>
      <c r="C1024" t="s">
        <v>4232</v>
      </c>
      <c r="D1024">
        <v>0.24</v>
      </c>
      <c r="E1024" t="s">
        <v>1720</v>
      </c>
      <c r="F1024" t="s">
        <v>1724</v>
      </c>
      <c r="G1024" t="s">
        <v>4402</v>
      </c>
      <c r="H1024" t="s">
        <v>4233</v>
      </c>
    </row>
    <row r="1025" spans="1:8" x14ac:dyDescent="0.35">
      <c r="A1025" t="s">
        <v>190</v>
      </c>
      <c r="B1025" t="s">
        <v>1018</v>
      </c>
      <c r="C1025" t="s">
        <v>4213</v>
      </c>
      <c r="D1025">
        <v>1.2E-5</v>
      </c>
      <c r="E1025" t="s">
        <v>1720</v>
      </c>
      <c r="F1025" t="s">
        <v>1721</v>
      </c>
      <c r="G1025" t="s">
        <v>4393</v>
      </c>
      <c r="H1025" t="s">
        <v>4214</v>
      </c>
    </row>
    <row r="1026" spans="1:8" x14ac:dyDescent="0.35">
      <c r="A1026" t="s">
        <v>190</v>
      </c>
      <c r="B1026" t="s">
        <v>1018</v>
      </c>
      <c r="C1026" t="s">
        <v>4213</v>
      </c>
      <c r="D1026">
        <v>0.24</v>
      </c>
      <c r="E1026" t="s">
        <v>1720</v>
      </c>
      <c r="F1026" t="s">
        <v>1724</v>
      </c>
      <c r="G1026" t="s">
        <v>4393</v>
      </c>
      <c r="H1026" t="s">
        <v>4214</v>
      </c>
    </row>
    <row r="1027" spans="1:8" x14ac:dyDescent="0.35">
      <c r="A1027" t="s">
        <v>190</v>
      </c>
      <c r="B1027" t="s">
        <v>1018</v>
      </c>
      <c r="C1027" t="s">
        <v>4348</v>
      </c>
      <c r="D1027">
        <v>56</v>
      </c>
      <c r="E1027" t="s">
        <v>1720</v>
      </c>
      <c r="G1027" t="s">
        <v>4458</v>
      </c>
      <c r="H1027" t="s">
        <v>4349</v>
      </c>
    </row>
    <row r="1028" spans="1:8" x14ac:dyDescent="0.35">
      <c r="A1028" t="s">
        <v>190</v>
      </c>
      <c r="B1028" t="s">
        <v>1018</v>
      </c>
      <c r="C1028" t="s">
        <v>4348</v>
      </c>
      <c r="D1028">
        <v>240</v>
      </c>
      <c r="E1028" t="s">
        <v>1720</v>
      </c>
      <c r="G1028" t="s">
        <v>4458</v>
      </c>
      <c r="H1028" t="s">
        <v>4349</v>
      </c>
    </row>
    <row r="1029" spans="1:8" x14ac:dyDescent="0.35">
      <c r="A1029" t="s">
        <v>190</v>
      </c>
      <c r="B1029" t="s">
        <v>1018</v>
      </c>
      <c r="C1029" t="s">
        <v>4342</v>
      </c>
      <c r="D1029">
        <v>56000</v>
      </c>
      <c r="E1029" t="s">
        <v>1720</v>
      </c>
      <c r="F1029" t="s">
        <v>1721</v>
      </c>
      <c r="G1029" t="s">
        <v>4449</v>
      </c>
      <c r="H1029" t="s">
        <v>4343</v>
      </c>
    </row>
    <row r="1030" spans="1:8" x14ac:dyDescent="0.35">
      <c r="A1030" t="s">
        <v>190</v>
      </c>
      <c r="B1030" t="s">
        <v>1018</v>
      </c>
      <c r="C1030" t="s">
        <v>4342</v>
      </c>
      <c r="D1030">
        <v>240000</v>
      </c>
      <c r="E1030" t="s">
        <v>1720</v>
      </c>
      <c r="G1030" t="s">
        <v>4449</v>
      </c>
      <c r="H1030" t="s">
        <v>4343</v>
      </c>
    </row>
    <row r="1031" spans="1:8" x14ac:dyDescent="0.35">
      <c r="A1031" t="s">
        <v>190</v>
      </c>
      <c r="B1031" t="s">
        <v>1018</v>
      </c>
      <c r="C1031" t="s">
        <v>4342</v>
      </c>
      <c r="D1031">
        <v>480000</v>
      </c>
      <c r="E1031" t="s">
        <v>1720</v>
      </c>
      <c r="F1031" t="s">
        <v>1724</v>
      </c>
      <c r="G1031" t="s">
        <v>4449</v>
      </c>
      <c r="H1031" t="s">
        <v>4343</v>
      </c>
    </row>
    <row r="1032" spans="1:8" x14ac:dyDescent="0.35">
      <c r="A1032" t="s">
        <v>190</v>
      </c>
      <c r="B1032" t="s">
        <v>1018</v>
      </c>
      <c r="C1032" t="s">
        <v>4215</v>
      </c>
      <c r="D1032">
        <v>5.6000000000000001E-2</v>
      </c>
      <c r="E1032" t="s">
        <v>1720</v>
      </c>
      <c r="F1032" t="s">
        <v>1721</v>
      </c>
      <c r="G1032" t="s">
        <v>4394</v>
      </c>
      <c r="H1032" t="s">
        <v>4216</v>
      </c>
    </row>
    <row r="1033" spans="1:8" x14ac:dyDescent="0.35">
      <c r="A1033" t="s">
        <v>190</v>
      </c>
      <c r="B1033" t="s">
        <v>1018</v>
      </c>
      <c r="C1033" t="s">
        <v>4215</v>
      </c>
      <c r="D1033">
        <v>0.24</v>
      </c>
      <c r="E1033" t="s">
        <v>1720</v>
      </c>
      <c r="F1033" t="s">
        <v>1724</v>
      </c>
      <c r="G1033" t="s">
        <v>4394</v>
      </c>
      <c r="H1033" t="s">
        <v>4216</v>
      </c>
    </row>
    <row r="1034" spans="1:8" x14ac:dyDescent="0.35">
      <c r="A1034" t="s">
        <v>190</v>
      </c>
      <c r="B1034" t="s">
        <v>1018</v>
      </c>
      <c r="C1034" t="s">
        <v>4215</v>
      </c>
      <c r="D1034">
        <v>5.6000000000000001E-2</v>
      </c>
      <c r="E1034" t="s">
        <v>1720</v>
      </c>
      <c r="F1034" t="s">
        <v>1721</v>
      </c>
      <c r="G1034" t="s">
        <v>4395</v>
      </c>
      <c r="H1034" t="s">
        <v>4216</v>
      </c>
    </row>
    <row r="1035" spans="1:8" x14ac:dyDescent="0.35">
      <c r="A1035" t="s">
        <v>190</v>
      </c>
      <c r="B1035" t="s">
        <v>1018</v>
      </c>
      <c r="C1035" t="s">
        <v>4215</v>
      </c>
      <c r="D1035">
        <v>0.24</v>
      </c>
      <c r="E1035" t="s">
        <v>1720</v>
      </c>
      <c r="F1035" t="s">
        <v>1724</v>
      </c>
      <c r="G1035" t="s">
        <v>4395</v>
      </c>
      <c r="H1035" t="s">
        <v>4216</v>
      </c>
    </row>
    <row r="1036" spans="1:8" x14ac:dyDescent="0.35">
      <c r="A1036" t="s">
        <v>190</v>
      </c>
      <c r="B1036" t="s">
        <v>1018</v>
      </c>
      <c r="C1036" t="s">
        <v>4215</v>
      </c>
      <c r="D1036">
        <v>5.6000000000000001E-2</v>
      </c>
      <c r="E1036" t="s">
        <v>1720</v>
      </c>
      <c r="F1036" t="s">
        <v>1721</v>
      </c>
      <c r="G1036" t="s">
        <v>4397</v>
      </c>
      <c r="H1036" t="s">
        <v>4216</v>
      </c>
    </row>
    <row r="1037" spans="1:8" x14ac:dyDescent="0.35">
      <c r="A1037" t="s">
        <v>190</v>
      </c>
      <c r="B1037" t="s">
        <v>1018</v>
      </c>
      <c r="C1037" t="s">
        <v>4215</v>
      </c>
      <c r="D1037">
        <v>0.24</v>
      </c>
      <c r="E1037" t="s">
        <v>1720</v>
      </c>
      <c r="F1037" t="s">
        <v>1724</v>
      </c>
      <c r="G1037" t="s">
        <v>4397</v>
      </c>
      <c r="H1037" t="s">
        <v>4216</v>
      </c>
    </row>
    <row r="1038" spans="1:8" x14ac:dyDescent="0.35">
      <c r="A1038" t="s">
        <v>190</v>
      </c>
      <c r="B1038" t="s">
        <v>1018</v>
      </c>
      <c r="C1038" t="s">
        <v>4215</v>
      </c>
      <c r="D1038">
        <v>5.6000000000000001E-2</v>
      </c>
      <c r="E1038" t="s">
        <v>1720</v>
      </c>
      <c r="F1038" t="s">
        <v>1721</v>
      </c>
      <c r="G1038" t="s">
        <v>4398</v>
      </c>
      <c r="H1038" t="s">
        <v>4216</v>
      </c>
    </row>
    <row r="1039" spans="1:8" x14ac:dyDescent="0.35">
      <c r="A1039" t="s">
        <v>190</v>
      </c>
      <c r="B1039" t="s">
        <v>1018</v>
      </c>
      <c r="C1039" t="s">
        <v>4215</v>
      </c>
      <c r="D1039">
        <v>0.24</v>
      </c>
      <c r="E1039" t="s">
        <v>1720</v>
      </c>
      <c r="F1039" t="s">
        <v>1724</v>
      </c>
      <c r="G1039" t="s">
        <v>4398</v>
      </c>
      <c r="H1039" t="s">
        <v>4216</v>
      </c>
    </row>
    <row r="1040" spans="1:8" x14ac:dyDescent="0.35">
      <c r="A1040" t="s">
        <v>190</v>
      </c>
      <c r="B1040" t="s">
        <v>1018</v>
      </c>
      <c r="C1040" t="s">
        <v>4223</v>
      </c>
      <c r="D1040">
        <v>5.6000000000000001E-2</v>
      </c>
      <c r="E1040" t="s">
        <v>1720</v>
      </c>
      <c r="F1040" t="s">
        <v>1721</v>
      </c>
      <c r="G1040" t="s">
        <v>4399</v>
      </c>
      <c r="H1040" t="s">
        <v>4224</v>
      </c>
    </row>
    <row r="1041" spans="1:8" x14ac:dyDescent="0.35">
      <c r="A1041" t="s">
        <v>190</v>
      </c>
      <c r="B1041" t="s">
        <v>1018</v>
      </c>
      <c r="C1041" t="s">
        <v>4223</v>
      </c>
      <c r="D1041">
        <v>0.24</v>
      </c>
      <c r="E1041" t="s">
        <v>1720</v>
      </c>
      <c r="F1041" t="s">
        <v>1724</v>
      </c>
      <c r="G1041" t="s">
        <v>4399</v>
      </c>
      <c r="H1041" t="s">
        <v>4224</v>
      </c>
    </row>
    <row r="1042" spans="1:8" x14ac:dyDescent="0.35">
      <c r="A1042" t="s">
        <v>190</v>
      </c>
      <c r="B1042" t="s">
        <v>1018</v>
      </c>
      <c r="C1042" t="s">
        <v>4302</v>
      </c>
      <c r="D1042">
        <v>5.6000000000000001E-2</v>
      </c>
      <c r="E1042" t="s">
        <v>1720</v>
      </c>
      <c r="F1042" t="s">
        <v>1721</v>
      </c>
      <c r="G1042" t="s">
        <v>4420</v>
      </c>
      <c r="H1042" t="s">
        <v>4303</v>
      </c>
    </row>
    <row r="1043" spans="1:8" x14ac:dyDescent="0.35">
      <c r="A1043" t="s">
        <v>190</v>
      </c>
      <c r="B1043" t="s">
        <v>1018</v>
      </c>
      <c r="C1043" t="s">
        <v>4302</v>
      </c>
      <c r="D1043">
        <v>0.24</v>
      </c>
      <c r="E1043" t="s">
        <v>1720</v>
      </c>
      <c r="F1043" t="s">
        <v>1724</v>
      </c>
      <c r="G1043" t="s">
        <v>4420</v>
      </c>
      <c r="H1043" t="s">
        <v>4303</v>
      </c>
    </row>
    <row r="1044" spans="1:8" x14ac:dyDescent="0.35">
      <c r="A1044" t="s">
        <v>190</v>
      </c>
      <c r="B1044" t="s">
        <v>1018</v>
      </c>
      <c r="C1044" t="s">
        <v>4313</v>
      </c>
      <c r="D1044">
        <v>0.06</v>
      </c>
      <c r="E1044" t="s">
        <v>1720</v>
      </c>
      <c r="F1044" t="s">
        <v>1721</v>
      </c>
      <c r="G1044" t="s">
        <v>4423</v>
      </c>
      <c r="H1044" t="s">
        <v>4314</v>
      </c>
    </row>
    <row r="1045" spans="1:8" x14ac:dyDescent="0.35">
      <c r="A1045" t="s">
        <v>190</v>
      </c>
      <c r="B1045" t="s">
        <v>1018</v>
      </c>
      <c r="C1045" t="s">
        <v>4313</v>
      </c>
      <c r="D1045">
        <v>0.2</v>
      </c>
      <c r="E1045" t="s">
        <v>1720</v>
      </c>
      <c r="F1045" t="s">
        <v>1724</v>
      </c>
      <c r="G1045" t="s">
        <v>4423</v>
      </c>
      <c r="H1045" t="s">
        <v>4314</v>
      </c>
    </row>
    <row r="1046" spans="1:8" x14ac:dyDescent="0.35">
      <c r="A1046" t="s">
        <v>190</v>
      </c>
      <c r="B1046" t="s">
        <v>1018</v>
      </c>
      <c r="C1046" t="s">
        <v>4313</v>
      </c>
      <c r="D1046">
        <v>0.06</v>
      </c>
      <c r="E1046" t="s">
        <v>1720</v>
      </c>
      <c r="F1046" t="s">
        <v>1721</v>
      </c>
      <c r="G1046" t="s">
        <v>4424</v>
      </c>
      <c r="H1046" t="s">
        <v>4314</v>
      </c>
    </row>
    <row r="1047" spans="1:8" x14ac:dyDescent="0.35">
      <c r="A1047" t="s">
        <v>190</v>
      </c>
      <c r="B1047" t="s">
        <v>1018</v>
      </c>
      <c r="C1047" t="s">
        <v>4313</v>
      </c>
      <c r="D1047">
        <v>0.2</v>
      </c>
      <c r="E1047" t="s">
        <v>1720</v>
      </c>
      <c r="F1047" t="s">
        <v>1724</v>
      </c>
      <c r="G1047" t="s">
        <v>4424</v>
      </c>
      <c r="H1047" t="s">
        <v>4314</v>
      </c>
    </row>
    <row r="1048" spans="1:8" x14ac:dyDescent="0.35">
      <c r="A1048" t="s">
        <v>190</v>
      </c>
      <c r="B1048" t="s">
        <v>1018</v>
      </c>
      <c r="C1048" t="s">
        <v>4313</v>
      </c>
      <c r="D1048">
        <v>4</v>
      </c>
      <c r="E1048" t="s">
        <v>1720</v>
      </c>
      <c r="F1048" t="s">
        <v>1724</v>
      </c>
      <c r="G1048" t="s">
        <v>4444</v>
      </c>
      <c r="H1048" t="s">
        <v>4314</v>
      </c>
    </row>
    <row r="1049" spans="1:8" x14ac:dyDescent="0.35">
      <c r="A1049" t="s">
        <v>190</v>
      </c>
      <c r="B1049" t="s">
        <v>1018</v>
      </c>
      <c r="C1049" t="s">
        <v>4313</v>
      </c>
      <c r="D1049">
        <v>0.06</v>
      </c>
      <c r="E1049" t="s">
        <v>1720</v>
      </c>
      <c r="F1049" t="s">
        <v>1721</v>
      </c>
      <c r="G1049" t="s">
        <v>4425</v>
      </c>
      <c r="H1049" t="s">
        <v>4314</v>
      </c>
    </row>
    <row r="1050" spans="1:8" x14ac:dyDescent="0.35">
      <c r="A1050" t="s">
        <v>190</v>
      </c>
      <c r="B1050" t="s">
        <v>1018</v>
      </c>
      <c r="C1050" t="s">
        <v>4313</v>
      </c>
      <c r="D1050">
        <v>0.2</v>
      </c>
      <c r="E1050" t="s">
        <v>1720</v>
      </c>
      <c r="F1050" t="s">
        <v>1724</v>
      </c>
      <c r="G1050" t="s">
        <v>4425</v>
      </c>
      <c r="H1050" t="s">
        <v>4314</v>
      </c>
    </row>
    <row r="1051" spans="1:8" x14ac:dyDescent="0.35">
      <c r="A1051" t="s">
        <v>190</v>
      </c>
      <c r="B1051" t="s">
        <v>1018</v>
      </c>
      <c r="C1051" t="s">
        <v>4334</v>
      </c>
      <c r="D1051">
        <v>1.9E-3</v>
      </c>
      <c r="E1051" t="s">
        <v>1720</v>
      </c>
      <c r="F1051" t="s">
        <v>1721</v>
      </c>
      <c r="G1051" t="s">
        <v>4443</v>
      </c>
      <c r="H1051" t="s">
        <v>4335</v>
      </c>
    </row>
    <row r="1052" spans="1:8" x14ac:dyDescent="0.35">
      <c r="A1052" t="s">
        <v>190</v>
      </c>
      <c r="B1052" t="s">
        <v>1018</v>
      </c>
      <c r="C1052" t="s">
        <v>4334</v>
      </c>
      <c r="D1052">
        <v>2.5</v>
      </c>
      <c r="E1052" t="s">
        <v>1720</v>
      </c>
      <c r="F1052" t="s">
        <v>1724</v>
      </c>
      <c r="G1052" t="s">
        <v>4443</v>
      </c>
      <c r="H1052" t="s">
        <v>4335</v>
      </c>
    </row>
    <row r="1053" spans="1:8" x14ac:dyDescent="0.35">
      <c r="A1053" t="s">
        <v>190</v>
      </c>
      <c r="B1053" t="s">
        <v>1018</v>
      </c>
      <c r="C1053" t="s">
        <v>4225</v>
      </c>
      <c r="D1053">
        <v>5.6000000000000001E-2</v>
      </c>
      <c r="E1053" t="s">
        <v>1720</v>
      </c>
      <c r="F1053" t="s">
        <v>1721</v>
      </c>
      <c r="G1053" t="s">
        <v>4400</v>
      </c>
      <c r="H1053" t="s">
        <v>4226</v>
      </c>
    </row>
    <row r="1054" spans="1:8" x14ac:dyDescent="0.35">
      <c r="A1054" t="s">
        <v>190</v>
      </c>
      <c r="B1054" t="s">
        <v>1018</v>
      </c>
      <c r="C1054" t="s">
        <v>4225</v>
      </c>
      <c r="D1054">
        <v>0.24</v>
      </c>
      <c r="E1054" t="s">
        <v>1720</v>
      </c>
      <c r="F1054" t="s">
        <v>1724</v>
      </c>
      <c r="G1054" t="s">
        <v>4400</v>
      </c>
      <c r="H1054" t="s">
        <v>4226</v>
      </c>
    </row>
    <row r="1055" spans="1:8" x14ac:dyDescent="0.35">
      <c r="A1055" t="s">
        <v>190</v>
      </c>
      <c r="B1055" t="s">
        <v>1018</v>
      </c>
      <c r="C1055" t="s">
        <v>4234</v>
      </c>
      <c r="D1055">
        <v>0.24</v>
      </c>
      <c r="E1055" t="s">
        <v>1720</v>
      </c>
      <c r="G1055" t="s">
        <v>4383</v>
      </c>
      <c r="H1055" t="s">
        <v>4235</v>
      </c>
    </row>
    <row r="1056" spans="1:8" x14ac:dyDescent="0.35">
      <c r="A1056" t="s">
        <v>190</v>
      </c>
      <c r="B1056" t="s">
        <v>1018</v>
      </c>
      <c r="C1056" t="s">
        <v>4234</v>
      </c>
      <c r="D1056">
        <v>5.6000000000000001E-2</v>
      </c>
      <c r="E1056" t="s">
        <v>1720</v>
      </c>
      <c r="G1056" t="s">
        <v>4383</v>
      </c>
      <c r="H1056" t="s">
        <v>4235</v>
      </c>
    </row>
    <row r="1057" spans="1:8" x14ac:dyDescent="0.35">
      <c r="A1057" t="s">
        <v>190</v>
      </c>
      <c r="B1057" t="s">
        <v>1018</v>
      </c>
      <c r="C1057" t="s">
        <v>4229</v>
      </c>
      <c r="D1057">
        <v>0.24</v>
      </c>
      <c r="E1057" t="s">
        <v>1720</v>
      </c>
      <c r="F1057" t="s">
        <v>1724</v>
      </c>
      <c r="G1057" t="s">
        <v>4399</v>
      </c>
      <c r="H1057" t="s">
        <v>1711</v>
      </c>
    </row>
    <row r="1058" spans="1:8" x14ac:dyDescent="0.35">
      <c r="A1058" t="s">
        <v>190</v>
      </c>
      <c r="B1058" t="s">
        <v>1018</v>
      </c>
      <c r="C1058" t="s">
        <v>4229</v>
      </c>
      <c r="D1058">
        <v>5.6000000000000001E-2</v>
      </c>
      <c r="E1058" t="s">
        <v>1720</v>
      </c>
      <c r="F1058" t="s">
        <v>1721</v>
      </c>
      <c r="G1058" t="s">
        <v>4399</v>
      </c>
      <c r="H1058" t="s">
        <v>1711</v>
      </c>
    </row>
    <row r="1059" spans="1:8" x14ac:dyDescent="0.35">
      <c r="A1059" t="s">
        <v>190</v>
      </c>
      <c r="B1059" t="s">
        <v>1018</v>
      </c>
      <c r="C1059" t="s">
        <v>4211</v>
      </c>
      <c r="D1059">
        <v>5.6000000000000001E-2</v>
      </c>
      <c r="E1059" t="s">
        <v>1720</v>
      </c>
      <c r="F1059" t="s">
        <v>1721</v>
      </c>
      <c r="G1059" t="s">
        <v>4392</v>
      </c>
      <c r="H1059" t="s">
        <v>4212</v>
      </c>
    </row>
    <row r="1060" spans="1:8" x14ac:dyDescent="0.35">
      <c r="A1060" t="s">
        <v>190</v>
      </c>
      <c r="B1060" t="s">
        <v>1018</v>
      </c>
      <c r="C1060" t="s">
        <v>4211</v>
      </c>
      <c r="D1060">
        <v>0.24</v>
      </c>
      <c r="E1060" t="s">
        <v>1720</v>
      </c>
      <c r="F1060" t="s">
        <v>1724</v>
      </c>
      <c r="G1060" t="s">
        <v>4392</v>
      </c>
      <c r="H1060" t="s">
        <v>4212</v>
      </c>
    </row>
    <row r="1061" spans="1:8" x14ac:dyDescent="0.35">
      <c r="A1061" t="s">
        <v>190</v>
      </c>
      <c r="B1061" t="s">
        <v>1018</v>
      </c>
      <c r="C1061" t="s">
        <v>4219</v>
      </c>
      <c r="D1061">
        <v>0.24</v>
      </c>
      <c r="E1061" t="s">
        <v>1720</v>
      </c>
      <c r="F1061" t="s">
        <v>1724</v>
      </c>
      <c r="G1061" t="s">
        <v>4380</v>
      </c>
      <c r="H1061" t="s">
        <v>4220</v>
      </c>
    </row>
    <row r="1062" spans="1:8" x14ac:dyDescent="0.35">
      <c r="A1062" t="s">
        <v>190</v>
      </c>
      <c r="B1062" t="s">
        <v>1018</v>
      </c>
      <c r="C1062" t="s">
        <v>4300</v>
      </c>
      <c r="D1062">
        <v>1.9E-3</v>
      </c>
      <c r="E1062" t="s">
        <v>1720</v>
      </c>
      <c r="F1062" t="s">
        <v>1721</v>
      </c>
      <c r="G1062" t="s">
        <v>4389</v>
      </c>
      <c r="H1062" t="s">
        <v>4301</v>
      </c>
    </row>
    <row r="1063" spans="1:8" x14ac:dyDescent="0.35">
      <c r="A1063" t="s">
        <v>190</v>
      </c>
      <c r="B1063" t="s">
        <v>1018</v>
      </c>
      <c r="C1063" t="s">
        <v>4300</v>
      </c>
      <c r="D1063">
        <v>2.5</v>
      </c>
      <c r="E1063" t="s">
        <v>1720</v>
      </c>
      <c r="F1063" t="s">
        <v>1724</v>
      </c>
      <c r="G1063" t="s">
        <v>4389</v>
      </c>
      <c r="H1063" t="s">
        <v>4301</v>
      </c>
    </row>
    <row r="1064" spans="1:8" x14ac:dyDescent="0.35">
      <c r="A1064" t="s">
        <v>190</v>
      </c>
      <c r="B1064" t="s">
        <v>1018</v>
      </c>
      <c r="C1064" t="s">
        <v>4238</v>
      </c>
      <c r="D1064">
        <v>5.6000000000000001E-2</v>
      </c>
      <c r="E1064" t="s">
        <v>1720</v>
      </c>
      <c r="F1064" t="s">
        <v>1721</v>
      </c>
      <c r="G1064" t="s">
        <v>4404</v>
      </c>
      <c r="H1064" t="s">
        <v>4239</v>
      </c>
    </row>
    <row r="1065" spans="1:8" x14ac:dyDescent="0.35">
      <c r="A1065" t="s">
        <v>190</v>
      </c>
      <c r="B1065" t="s">
        <v>1018</v>
      </c>
      <c r="C1065" t="s">
        <v>4338</v>
      </c>
      <c r="D1065">
        <v>2.5</v>
      </c>
      <c r="E1065" t="s">
        <v>1720</v>
      </c>
      <c r="F1065" t="s">
        <v>1724</v>
      </c>
      <c r="G1065" t="s">
        <v>4383</v>
      </c>
      <c r="H1065" t="s">
        <v>4339</v>
      </c>
    </row>
    <row r="1066" spans="1:8" x14ac:dyDescent="0.35">
      <c r="A1066" t="s">
        <v>190</v>
      </c>
      <c r="B1066" t="s">
        <v>1018</v>
      </c>
      <c r="C1066" t="s">
        <v>4338</v>
      </c>
      <c r="D1066">
        <v>1.9E-3</v>
      </c>
      <c r="E1066" t="s">
        <v>1720</v>
      </c>
      <c r="F1066" t="s">
        <v>1721</v>
      </c>
      <c r="G1066" t="s">
        <v>4383</v>
      </c>
      <c r="H1066" t="s">
        <v>4339</v>
      </c>
    </row>
    <row r="1067" spans="1:8" x14ac:dyDescent="0.35">
      <c r="A1067" t="s">
        <v>190</v>
      </c>
      <c r="B1067" t="s">
        <v>1018</v>
      </c>
      <c r="C1067" t="s">
        <v>4227</v>
      </c>
      <c r="D1067">
        <v>1.9E-3</v>
      </c>
      <c r="E1067" t="s">
        <v>1720</v>
      </c>
      <c r="F1067" t="s">
        <v>1721</v>
      </c>
      <c r="G1067" t="s">
        <v>4401</v>
      </c>
      <c r="H1067" t="s">
        <v>4228</v>
      </c>
    </row>
    <row r="1068" spans="1:8" x14ac:dyDescent="0.35">
      <c r="A1068" t="s">
        <v>190</v>
      </c>
      <c r="B1068" t="s">
        <v>1018</v>
      </c>
      <c r="C1068" t="s">
        <v>4227</v>
      </c>
      <c r="D1068">
        <v>2.5</v>
      </c>
      <c r="E1068" t="s">
        <v>1720</v>
      </c>
      <c r="F1068" t="s">
        <v>1724</v>
      </c>
      <c r="G1068" t="s">
        <v>4401</v>
      </c>
      <c r="H1068" t="s">
        <v>4228</v>
      </c>
    </row>
    <row r="1069" spans="1:8" x14ac:dyDescent="0.35">
      <c r="A1069" t="s">
        <v>190</v>
      </c>
      <c r="B1069" t="s">
        <v>1018</v>
      </c>
      <c r="C1069" t="s">
        <v>4332</v>
      </c>
      <c r="D1069">
        <v>5.6000000000000001E-2</v>
      </c>
      <c r="E1069" t="s">
        <v>1720</v>
      </c>
      <c r="F1069" t="s">
        <v>1721</v>
      </c>
      <c r="G1069" t="s">
        <v>4438</v>
      </c>
      <c r="H1069" t="s">
        <v>4333</v>
      </c>
    </row>
    <row r="1070" spans="1:8" x14ac:dyDescent="0.35">
      <c r="A1070" t="s">
        <v>190</v>
      </c>
      <c r="B1070" t="s">
        <v>1018</v>
      </c>
      <c r="C1070" t="s">
        <v>4332</v>
      </c>
      <c r="D1070">
        <v>0.24</v>
      </c>
      <c r="E1070" t="s">
        <v>1720</v>
      </c>
      <c r="F1070" t="s">
        <v>1724</v>
      </c>
      <c r="G1070" t="s">
        <v>4438</v>
      </c>
      <c r="H1070" t="s">
        <v>4333</v>
      </c>
    </row>
    <row r="1071" spans="1:8" x14ac:dyDescent="0.35">
      <c r="A1071" t="s">
        <v>190</v>
      </c>
      <c r="B1071" t="s">
        <v>1018</v>
      </c>
      <c r="C1071" t="s">
        <v>4332</v>
      </c>
      <c r="D1071">
        <v>5.6000000000000001E-2</v>
      </c>
      <c r="E1071" t="s">
        <v>1720</v>
      </c>
      <c r="F1071" t="s">
        <v>1721</v>
      </c>
      <c r="G1071" t="s">
        <v>4439</v>
      </c>
      <c r="H1071" t="s">
        <v>4333</v>
      </c>
    </row>
    <row r="1072" spans="1:8" x14ac:dyDescent="0.35">
      <c r="A1072" t="s">
        <v>190</v>
      </c>
      <c r="B1072" t="s">
        <v>1018</v>
      </c>
      <c r="C1072" t="s">
        <v>4332</v>
      </c>
      <c r="D1072">
        <v>0.24</v>
      </c>
      <c r="E1072" t="s">
        <v>1720</v>
      </c>
      <c r="F1072" t="s">
        <v>1724</v>
      </c>
      <c r="G1072" t="s">
        <v>4439</v>
      </c>
      <c r="H1072" t="s">
        <v>4333</v>
      </c>
    </row>
    <row r="1073" spans="1:8" x14ac:dyDescent="0.35">
      <c r="A1073" t="s">
        <v>190</v>
      </c>
      <c r="B1073" t="s">
        <v>1018</v>
      </c>
      <c r="C1073" t="s">
        <v>4332</v>
      </c>
      <c r="D1073">
        <v>5.6000000000000001E-2</v>
      </c>
      <c r="E1073" t="s">
        <v>1720</v>
      </c>
      <c r="F1073" t="s">
        <v>1721</v>
      </c>
      <c r="G1073" t="s">
        <v>4440</v>
      </c>
      <c r="H1073" t="s">
        <v>4333</v>
      </c>
    </row>
    <row r="1074" spans="1:8" x14ac:dyDescent="0.35">
      <c r="A1074" t="s">
        <v>190</v>
      </c>
      <c r="B1074" t="s">
        <v>1018</v>
      </c>
      <c r="C1074" t="s">
        <v>4332</v>
      </c>
      <c r="D1074">
        <v>0.24</v>
      </c>
      <c r="E1074" t="s">
        <v>1720</v>
      </c>
      <c r="F1074" t="s">
        <v>1724</v>
      </c>
      <c r="G1074" t="s">
        <v>4440</v>
      </c>
      <c r="H1074" t="s">
        <v>4333</v>
      </c>
    </row>
    <row r="1075" spans="1:8" x14ac:dyDescent="0.35">
      <c r="A1075" t="s">
        <v>190</v>
      </c>
      <c r="B1075" t="s">
        <v>1018</v>
      </c>
      <c r="C1075" t="s">
        <v>4332</v>
      </c>
      <c r="D1075">
        <v>5.6000000000000001E-2</v>
      </c>
      <c r="E1075" t="s">
        <v>1720</v>
      </c>
      <c r="F1075" t="s">
        <v>1721</v>
      </c>
      <c r="G1075" t="s">
        <v>4441</v>
      </c>
      <c r="H1075" t="s">
        <v>4333</v>
      </c>
    </row>
    <row r="1076" spans="1:8" x14ac:dyDescent="0.35">
      <c r="A1076" t="s">
        <v>190</v>
      </c>
      <c r="B1076" t="s">
        <v>1018</v>
      </c>
      <c r="C1076" t="s">
        <v>4332</v>
      </c>
      <c r="D1076">
        <v>0.24</v>
      </c>
      <c r="E1076" t="s">
        <v>1720</v>
      </c>
      <c r="F1076" t="s">
        <v>1724</v>
      </c>
      <c r="G1076" t="s">
        <v>4441</v>
      </c>
      <c r="H1076" t="s">
        <v>4333</v>
      </c>
    </row>
    <row r="1077" spans="1:8" x14ac:dyDescent="0.35">
      <c r="A1077" t="s">
        <v>190</v>
      </c>
      <c r="B1077" t="s">
        <v>1018</v>
      </c>
      <c r="C1077" t="s">
        <v>4332</v>
      </c>
      <c r="D1077">
        <v>5.6000000000000001E-2</v>
      </c>
      <c r="E1077" t="s">
        <v>1720</v>
      </c>
      <c r="F1077" t="s">
        <v>1721</v>
      </c>
      <c r="G1077" t="s">
        <v>4442</v>
      </c>
      <c r="H1077" t="s">
        <v>4333</v>
      </c>
    </row>
    <row r="1078" spans="1:8" x14ac:dyDescent="0.35">
      <c r="A1078" t="s">
        <v>190</v>
      </c>
      <c r="B1078" t="s">
        <v>1018</v>
      </c>
      <c r="C1078" t="s">
        <v>4332</v>
      </c>
      <c r="D1078">
        <v>0.24</v>
      </c>
      <c r="E1078" t="s">
        <v>1720</v>
      </c>
      <c r="F1078" t="s">
        <v>1724</v>
      </c>
      <c r="G1078" t="s">
        <v>4442</v>
      </c>
      <c r="H1078" t="s">
        <v>4333</v>
      </c>
    </row>
    <row r="1079" spans="1:8" x14ac:dyDescent="0.35">
      <c r="A1079" t="s">
        <v>190</v>
      </c>
      <c r="B1079" t="s">
        <v>1018</v>
      </c>
      <c r="C1079" t="s">
        <v>4315</v>
      </c>
      <c r="D1079">
        <v>5.6000000000000001E-2</v>
      </c>
      <c r="E1079" t="s">
        <v>1720</v>
      </c>
      <c r="F1079" t="s">
        <v>1721</v>
      </c>
      <c r="G1079" t="s">
        <v>4383</v>
      </c>
      <c r="H1079" t="s">
        <v>4316</v>
      </c>
    </row>
    <row r="1080" spans="1:8" x14ac:dyDescent="0.35">
      <c r="A1080" t="s">
        <v>190</v>
      </c>
      <c r="B1080" t="s">
        <v>1018</v>
      </c>
      <c r="C1080" t="s">
        <v>4315</v>
      </c>
      <c r="D1080">
        <v>0.24</v>
      </c>
      <c r="E1080" t="s">
        <v>1720</v>
      </c>
      <c r="F1080" t="s">
        <v>1724</v>
      </c>
      <c r="G1080" t="s">
        <v>4383</v>
      </c>
      <c r="H1080" t="s">
        <v>4316</v>
      </c>
    </row>
    <row r="1081" spans="1:8" x14ac:dyDescent="0.35">
      <c r="A1081" t="s">
        <v>190</v>
      </c>
      <c r="B1081" t="s">
        <v>1018</v>
      </c>
      <c r="C1081" t="s">
        <v>4236</v>
      </c>
      <c r="D1081">
        <v>2.5</v>
      </c>
      <c r="E1081" t="s">
        <v>1720</v>
      </c>
      <c r="F1081" t="s">
        <v>1724</v>
      </c>
      <c r="G1081" t="s">
        <v>4403</v>
      </c>
      <c r="H1081" t="s">
        <v>4237</v>
      </c>
    </row>
    <row r="1082" spans="1:8" x14ac:dyDescent="0.35">
      <c r="A1082" t="s">
        <v>190</v>
      </c>
      <c r="B1082" t="s">
        <v>1018</v>
      </c>
      <c r="C1082" t="s">
        <v>4230</v>
      </c>
      <c r="D1082">
        <v>0.24</v>
      </c>
      <c r="E1082" t="s">
        <v>1720</v>
      </c>
      <c r="F1082" t="s">
        <v>1724</v>
      </c>
      <c r="G1082" t="s">
        <v>4396</v>
      </c>
      <c r="H1082" t="s">
        <v>4231</v>
      </c>
    </row>
    <row r="1083" spans="1:8" x14ac:dyDescent="0.35">
      <c r="A1083" t="s">
        <v>190</v>
      </c>
      <c r="B1083" t="s">
        <v>1018</v>
      </c>
      <c r="C1083" t="s">
        <v>4230</v>
      </c>
      <c r="D1083">
        <v>5.6000000000000001E-2</v>
      </c>
      <c r="E1083" t="s">
        <v>1720</v>
      </c>
      <c r="F1083" t="s">
        <v>1721</v>
      </c>
      <c r="G1083" t="s">
        <v>4396</v>
      </c>
      <c r="H1083" t="s">
        <v>4231</v>
      </c>
    </row>
    <row r="1084" spans="1:8" x14ac:dyDescent="0.35">
      <c r="A1084" t="s">
        <v>190</v>
      </c>
      <c r="B1084" t="s">
        <v>1018</v>
      </c>
      <c r="C1084" t="s">
        <v>4236</v>
      </c>
      <c r="D1084">
        <v>1.9E-3</v>
      </c>
      <c r="E1084" t="s">
        <v>1720</v>
      </c>
      <c r="F1084" t="s">
        <v>1721</v>
      </c>
      <c r="G1084" t="s">
        <v>4403</v>
      </c>
      <c r="H1084" t="s">
        <v>4237</v>
      </c>
    </row>
    <row r="1085" spans="1:8" x14ac:dyDescent="0.35">
      <c r="A1085" t="s">
        <v>190</v>
      </c>
      <c r="B1085" t="s">
        <v>1018</v>
      </c>
      <c r="C1085" t="s">
        <v>4238</v>
      </c>
      <c r="D1085">
        <v>0.24</v>
      </c>
      <c r="E1085" t="s">
        <v>1720</v>
      </c>
      <c r="F1085" t="s">
        <v>1724</v>
      </c>
      <c r="G1085" t="s">
        <v>4404</v>
      </c>
      <c r="H1085" t="s">
        <v>4239</v>
      </c>
    </row>
    <row r="1086" spans="1:8" x14ac:dyDescent="0.35">
      <c r="A1086" t="s">
        <v>190</v>
      </c>
      <c r="B1086" t="s">
        <v>1018</v>
      </c>
      <c r="C1086" t="s">
        <v>4240</v>
      </c>
      <c r="D1086">
        <v>0.24</v>
      </c>
      <c r="E1086" t="s">
        <v>1720</v>
      </c>
      <c r="F1086" t="s">
        <v>1724</v>
      </c>
      <c r="G1086" t="s">
        <v>4402</v>
      </c>
      <c r="H1086" t="s">
        <v>4241</v>
      </c>
    </row>
    <row r="1087" spans="1:8" x14ac:dyDescent="0.35">
      <c r="A1087" t="s">
        <v>190</v>
      </c>
      <c r="B1087" t="s">
        <v>1018</v>
      </c>
      <c r="C1087" t="s">
        <v>4240</v>
      </c>
      <c r="D1087">
        <v>5.6000000000000001E-2</v>
      </c>
      <c r="E1087" t="s">
        <v>1720</v>
      </c>
      <c r="F1087" t="s">
        <v>1721</v>
      </c>
      <c r="G1087" t="s">
        <v>4402</v>
      </c>
      <c r="H1087" t="s">
        <v>4241</v>
      </c>
    </row>
    <row r="1088" spans="1:8" x14ac:dyDescent="0.35">
      <c r="A1088" t="s">
        <v>190</v>
      </c>
      <c r="B1088" t="s">
        <v>1018</v>
      </c>
      <c r="C1088" t="s">
        <v>4242</v>
      </c>
      <c r="D1088">
        <v>0.24</v>
      </c>
      <c r="E1088" t="s">
        <v>1720</v>
      </c>
      <c r="F1088" t="s">
        <v>1724</v>
      </c>
      <c r="G1088" t="s">
        <v>4405</v>
      </c>
      <c r="H1088" t="s">
        <v>4243</v>
      </c>
    </row>
    <row r="1089" spans="1:8" x14ac:dyDescent="0.35">
      <c r="A1089" t="s">
        <v>190</v>
      </c>
      <c r="B1089" t="s">
        <v>1018</v>
      </c>
      <c r="C1089" t="s">
        <v>4242</v>
      </c>
      <c r="D1089">
        <v>5.6000000000000001E-2</v>
      </c>
      <c r="E1089" t="s">
        <v>1720</v>
      </c>
      <c r="F1089" t="s">
        <v>1721</v>
      </c>
      <c r="G1089" t="s">
        <v>4405</v>
      </c>
      <c r="H1089" t="s">
        <v>4243</v>
      </c>
    </row>
    <row r="1090" spans="1:8" x14ac:dyDescent="0.35">
      <c r="A1090" t="s">
        <v>190</v>
      </c>
      <c r="B1090" t="s">
        <v>1018</v>
      </c>
      <c r="C1090" t="s">
        <v>4244</v>
      </c>
      <c r="D1090">
        <v>0.24</v>
      </c>
      <c r="E1090" t="s">
        <v>1720</v>
      </c>
      <c r="F1090" t="s">
        <v>1724</v>
      </c>
      <c r="G1090" t="s">
        <v>4406</v>
      </c>
      <c r="H1090" t="s">
        <v>4245</v>
      </c>
    </row>
    <row r="1091" spans="1:8" x14ac:dyDescent="0.35">
      <c r="A1091" t="s">
        <v>190</v>
      </c>
      <c r="B1091" t="s">
        <v>1018</v>
      </c>
      <c r="C1091" t="s">
        <v>4244</v>
      </c>
      <c r="D1091">
        <v>5.6000000000000001E-2</v>
      </c>
      <c r="E1091" t="s">
        <v>1720</v>
      </c>
      <c r="F1091" t="s">
        <v>1721</v>
      </c>
      <c r="G1091" t="s">
        <v>4406</v>
      </c>
      <c r="H1091" t="s">
        <v>4245</v>
      </c>
    </row>
    <row r="1092" spans="1:8" x14ac:dyDescent="0.35">
      <c r="A1092" t="s">
        <v>190</v>
      </c>
      <c r="B1092" t="s">
        <v>1018</v>
      </c>
      <c r="C1092" t="s">
        <v>4244</v>
      </c>
      <c r="D1092">
        <v>4</v>
      </c>
      <c r="E1092" t="s">
        <v>1720</v>
      </c>
      <c r="F1092" t="s">
        <v>1724</v>
      </c>
      <c r="G1092" t="s">
        <v>4407</v>
      </c>
      <c r="H1092" t="s">
        <v>4245</v>
      </c>
    </row>
    <row r="1093" spans="1:8" x14ac:dyDescent="0.35">
      <c r="A1093" t="s">
        <v>190</v>
      </c>
      <c r="B1093" t="s">
        <v>1018</v>
      </c>
      <c r="C1093" t="s">
        <v>4244</v>
      </c>
      <c r="D1093">
        <v>0.9</v>
      </c>
      <c r="E1093" t="s">
        <v>1720</v>
      </c>
      <c r="F1093" t="s">
        <v>1721</v>
      </c>
      <c r="G1093" t="s">
        <v>4407</v>
      </c>
      <c r="H1093" t="s">
        <v>4245</v>
      </c>
    </row>
    <row r="1094" spans="1:8" x14ac:dyDescent="0.35">
      <c r="A1094" t="s">
        <v>190</v>
      </c>
      <c r="B1094" t="s">
        <v>1018</v>
      </c>
      <c r="C1094" t="s">
        <v>4248</v>
      </c>
      <c r="D1094">
        <v>0.24</v>
      </c>
      <c r="E1094" t="s">
        <v>1720</v>
      </c>
      <c r="F1094" t="s">
        <v>1724</v>
      </c>
      <c r="G1094" t="s">
        <v>4402</v>
      </c>
      <c r="H1094" t="s">
        <v>4249</v>
      </c>
    </row>
    <row r="1095" spans="1:8" x14ac:dyDescent="0.35">
      <c r="A1095" t="s">
        <v>190</v>
      </c>
      <c r="B1095" t="s">
        <v>1018</v>
      </c>
      <c r="C1095" t="s">
        <v>4248</v>
      </c>
      <c r="D1095">
        <v>5.6000000000000001E-2</v>
      </c>
      <c r="E1095" t="s">
        <v>1720</v>
      </c>
      <c r="F1095" t="s">
        <v>1721</v>
      </c>
      <c r="G1095" t="s">
        <v>4402</v>
      </c>
      <c r="H1095" t="s">
        <v>4249</v>
      </c>
    </row>
    <row r="1096" spans="1:8" x14ac:dyDescent="0.35">
      <c r="A1096" t="s">
        <v>190</v>
      </c>
      <c r="B1096" t="s">
        <v>1018</v>
      </c>
      <c r="C1096" t="s">
        <v>4323</v>
      </c>
      <c r="D1096">
        <v>2.5</v>
      </c>
      <c r="E1096" t="s">
        <v>1720</v>
      </c>
      <c r="F1096" t="s">
        <v>1724</v>
      </c>
      <c r="G1096" t="s">
        <v>4428</v>
      </c>
      <c r="H1096" t="s">
        <v>4324</v>
      </c>
    </row>
    <row r="1097" spans="1:8" x14ac:dyDescent="0.35">
      <c r="A1097" t="s">
        <v>190</v>
      </c>
      <c r="B1097" t="s">
        <v>1018</v>
      </c>
      <c r="C1097" t="s">
        <v>4323</v>
      </c>
      <c r="D1097">
        <v>2E-3</v>
      </c>
      <c r="E1097" t="s">
        <v>1720</v>
      </c>
      <c r="F1097" t="s">
        <v>1721</v>
      </c>
      <c r="G1097" t="s">
        <v>4428</v>
      </c>
      <c r="H1097" t="s">
        <v>4324</v>
      </c>
    </row>
    <row r="1098" spans="1:8" x14ac:dyDescent="0.35">
      <c r="A1098" t="s">
        <v>190</v>
      </c>
      <c r="B1098" t="s">
        <v>1018</v>
      </c>
      <c r="C1098" t="s">
        <v>4323</v>
      </c>
      <c r="D1098">
        <v>2.5</v>
      </c>
      <c r="E1098" t="s">
        <v>1720</v>
      </c>
      <c r="F1098" t="s">
        <v>1724</v>
      </c>
      <c r="G1098" t="s">
        <v>4429</v>
      </c>
      <c r="H1098" t="s">
        <v>4324</v>
      </c>
    </row>
    <row r="1099" spans="1:8" x14ac:dyDescent="0.35">
      <c r="A1099" t="s">
        <v>190</v>
      </c>
      <c r="B1099" t="s">
        <v>1018</v>
      </c>
      <c r="C1099" t="s">
        <v>4323</v>
      </c>
      <c r="D1099">
        <v>2E-3</v>
      </c>
      <c r="E1099" t="s">
        <v>1720</v>
      </c>
      <c r="F1099" t="s">
        <v>1721</v>
      </c>
      <c r="G1099" t="s">
        <v>4429</v>
      </c>
      <c r="H1099" t="s">
        <v>4324</v>
      </c>
    </row>
    <row r="1100" spans="1:8" x14ac:dyDescent="0.35">
      <c r="A1100" t="s">
        <v>190</v>
      </c>
      <c r="B1100" t="s">
        <v>1018</v>
      </c>
      <c r="C1100" t="s">
        <v>4323</v>
      </c>
      <c r="D1100">
        <v>2.5</v>
      </c>
      <c r="E1100" t="s">
        <v>1720</v>
      </c>
      <c r="F1100" t="s">
        <v>1724</v>
      </c>
      <c r="G1100" t="s">
        <v>4430</v>
      </c>
      <c r="H1100" t="s">
        <v>4324</v>
      </c>
    </row>
    <row r="1101" spans="1:8" x14ac:dyDescent="0.35">
      <c r="A1101" t="s">
        <v>190</v>
      </c>
      <c r="B1101" t="s">
        <v>1018</v>
      </c>
      <c r="C1101" t="s">
        <v>4323</v>
      </c>
      <c r="D1101">
        <v>5.0000000000000001E-3</v>
      </c>
      <c r="E1101" t="s">
        <v>1720</v>
      </c>
      <c r="F1101" t="s">
        <v>1721</v>
      </c>
      <c r="G1101" t="s">
        <v>4430</v>
      </c>
      <c r="H1101" t="s">
        <v>4324</v>
      </c>
    </row>
    <row r="1102" spans="1:8" x14ac:dyDescent="0.35">
      <c r="A1102" t="s">
        <v>190</v>
      </c>
      <c r="B1102" t="s">
        <v>1018</v>
      </c>
      <c r="C1102" t="s">
        <v>4323</v>
      </c>
      <c r="D1102">
        <v>4</v>
      </c>
      <c r="E1102" t="s">
        <v>1720</v>
      </c>
      <c r="F1102" t="s">
        <v>1724</v>
      </c>
      <c r="G1102" t="s">
        <v>4446</v>
      </c>
      <c r="H1102" t="s">
        <v>4324</v>
      </c>
    </row>
    <row r="1103" spans="1:8" x14ac:dyDescent="0.35">
      <c r="A1103" t="s">
        <v>190</v>
      </c>
      <c r="B1103" t="s">
        <v>1018</v>
      </c>
      <c r="C1103" t="s">
        <v>4323</v>
      </c>
      <c r="D1103">
        <v>0.9</v>
      </c>
      <c r="E1103" t="s">
        <v>1720</v>
      </c>
      <c r="F1103" t="s">
        <v>1721</v>
      </c>
      <c r="G1103" t="s">
        <v>4446</v>
      </c>
      <c r="H1103" t="s">
        <v>4324</v>
      </c>
    </row>
    <row r="1104" spans="1:8" x14ac:dyDescent="0.35">
      <c r="A1104" t="s">
        <v>190</v>
      </c>
      <c r="B1104" t="s">
        <v>1018</v>
      </c>
      <c r="C1104" t="s">
        <v>4246</v>
      </c>
      <c r="D1104">
        <v>5.6000000000000001E-2</v>
      </c>
      <c r="E1104" t="s">
        <v>1720</v>
      </c>
      <c r="F1104" t="s">
        <v>1721</v>
      </c>
      <c r="G1104" t="s">
        <v>4402</v>
      </c>
      <c r="H1104" t="s">
        <v>4247</v>
      </c>
    </row>
    <row r="1105" spans="1:8" x14ac:dyDescent="0.35">
      <c r="A1105" t="s">
        <v>190</v>
      </c>
      <c r="B1105" t="s">
        <v>1018</v>
      </c>
      <c r="C1105" t="s">
        <v>4246</v>
      </c>
      <c r="D1105">
        <v>0.24</v>
      </c>
      <c r="E1105" t="s">
        <v>1720</v>
      </c>
      <c r="F1105" t="s">
        <v>1724</v>
      </c>
      <c r="G1105" t="s">
        <v>4402</v>
      </c>
      <c r="H1105" t="s">
        <v>4247</v>
      </c>
    </row>
    <row r="1106" spans="1:8" x14ac:dyDescent="0.35">
      <c r="A1106" t="s">
        <v>190</v>
      </c>
      <c r="B1106" t="s">
        <v>1018</v>
      </c>
      <c r="C1106" t="s">
        <v>4252</v>
      </c>
      <c r="D1106">
        <v>0.24</v>
      </c>
      <c r="E1106" t="s">
        <v>1720</v>
      </c>
      <c r="F1106" t="s">
        <v>1724</v>
      </c>
      <c r="G1106" t="s">
        <v>4402</v>
      </c>
      <c r="H1106" t="s">
        <v>4253</v>
      </c>
    </row>
    <row r="1107" spans="1:8" x14ac:dyDescent="0.35">
      <c r="A1107" t="s">
        <v>190</v>
      </c>
      <c r="B1107" t="s">
        <v>1018</v>
      </c>
      <c r="C1107" t="s">
        <v>4252</v>
      </c>
      <c r="D1107">
        <v>5.6000000000000001E-2</v>
      </c>
      <c r="E1107" t="s">
        <v>1720</v>
      </c>
      <c r="F1107" t="s">
        <v>1721</v>
      </c>
      <c r="G1107" t="s">
        <v>4402</v>
      </c>
      <c r="H1107" t="s">
        <v>4253</v>
      </c>
    </row>
    <row r="1108" spans="1:8" x14ac:dyDescent="0.35">
      <c r="A1108" t="s">
        <v>190</v>
      </c>
      <c r="B1108" t="s">
        <v>1018</v>
      </c>
      <c r="C1108" t="s">
        <v>4250</v>
      </c>
      <c r="D1108">
        <v>0.24</v>
      </c>
      <c r="E1108" t="s">
        <v>1720</v>
      </c>
      <c r="F1108" t="s">
        <v>1724</v>
      </c>
      <c r="G1108" t="s">
        <v>4402</v>
      </c>
      <c r="H1108" t="s">
        <v>4251</v>
      </c>
    </row>
    <row r="1109" spans="1:8" x14ac:dyDescent="0.35">
      <c r="A1109" t="s">
        <v>190</v>
      </c>
      <c r="B1109" t="s">
        <v>1018</v>
      </c>
      <c r="C1109" t="s">
        <v>4250</v>
      </c>
      <c r="D1109">
        <v>5.6000000000000001E-2</v>
      </c>
      <c r="E1109" t="s">
        <v>1720</v>
      </c>
      <c r="F1109" t="s">
        <v>1721</v>
      </c>
      <c r="G1109" t="s">
        <v>4402</v>
      </c>
      <c r="H1109" t="s">
        <v>4251</v>
      </c>
    </row>
    <row r="1110" spans="1:8" x14ac:dyDescent="0.35">
      <c r="A1110" t="s">
        <v>190</v>
      </c>
      <c r="B1110" t="s">
        <v>1018</v>
      </c>
      <c r="C1110" t="s">
        <v>4254</v>
      </c>
      <c r="D1110">
        <v>0.24</v>
      </c>
      <c r="E1110" t="s">
        <v>1720</v>
      </c>
      <c r="F1110" t="s">
        <v>1724</v>
      </c>
      <c r="G1110" t="s">
        <v>4402</v>
      </c>
      <c r="H1110" t="s">
        <v>4255</v>
      </c>
    </row>
    <row r="1111" spans="1:8" x14ac:dyDescent="0.35">
      <c r="A1111" t="s">
        <v>190</v>
      </c>
      <c r="B1111" t="s">
        <v>1018</v>
      </c>
      <c r="C1111" t="s">
        <v>4254</v>
      </c>
      <c r="D1111">
        <v>5.6000000000000001E-2</v>
      </c>
      <c r="E1111" t="s">
        <v>1720</v>
      </c>
      <c r="F1111" t="s">
        <v>1721</v>
      </c>
      <c r="G1111" t="s">
        <v>4402</v>
      </c>
      <c r="H1111" t="s">
        <v>4255</v>
      </c>
    </row>
    <row r="1112" spans="1:8" x14ac:dyDescent="0.35">
      <c r="A1112" t="s">
        <v>190</v>
      </c>
      <c r="B1112" t="s">
        <v>1018</v>
      </c>
      <c r="C1112" t="s">
        <v>4352</v>
      </c>
      <c r="D1112">
        <v>0.24</v>
      </c>
      <c r="E1112" t="s">
        <v>1720</v>
      </c>
      <c r="F1112" t="s">
        <v>1724</v>
      </c>
      <c r="G1112" t="s">
        <v>4462</v>
      </c>
      <c r="H1112" t="s">
        <v>4353</v>
      </c>
    </row>
    <row r="1113" spans="1:8" x14ac:dyDescent="0.35">
      <c r="A1113" t="s">
        <v>190</v>
      </c>
      <c r="B1113" t="s">
        <v>1018</v>
      </c>
      <c r="C1113" t="s">
        <v>4352</v>
      </c>
      <c r="D1113">
        <v>5.6000000000000001E-2</v>
      </c>
      <c r="E1113" t="s">
        <v>1720</v>
      </c>
      <c r="F1113" t="s">
        <v>1721</v>
      </c>
      <c r="G1113" t="s">
        <v>4462</v>
      </c>
      <c r="H1113" t="s">
        <v>4353</v>
      </c>
    </row>
    <row r="1114" spans="1:8" x14ac:dyDescent="0.35">
      <c r="A1114" t="s">
        <v>190</v>
      </c>
      <c r="B1114" t="s">
        <v>1018</v>
      </c>
      <c r="C1114" t="s">
        <v>4319</v>
      </c>
      <c r="D1114">
        <v>5.6000000000000001E-2</v>
      </c>
      <c r="E1114" t="s">
        <v>1720</v>
      </c>
      <c r="F1114" t="s">
        <v>1721</v>
      </c>
      <c r="G1114" t="s">
        <v>4402</v>
      </c>
      <c r="H1114" t="s">
        <v>4320</v>
      </c>
    </row>
    <row r="1115" spans="1:8" x14ac:dyDescent="0.35">
      <c r="A1115" t="s">
        <v>190</v>
      </c>
      <c r="B1115" t="s">
        <v>1018</v>
      </c>
      <c r="C1115" t="s">
        <v>4319</v>
      </c>
      <c r="D1115">
        <v>0.24</v>
      </c>
      <c r="E1115" t="s">
        <v>1720</v>
      </c>
      <c r="F1115" t="s">
        <v>1724</v>
      </c>
      <c r="G1115" t="s">
        <v>4402</v>
      </c>
      <c r="H1115" t="s">
        <v>4320</v>
      </c>
    </row>
    <row r="1116" spans="1:8" x14ac:dyDescent="0.35">
      <c r="A1116" t="s">
        <v>190</v>
      </c>
      <c r="B1116" t="s">
        <v>1018</v>
      </c>
      <c r="C1116" t="s">
        <v>4260</v>
      </c>
      <c r="D1116">
        <v>0.24</v>
      </c>
      <c r="E1116" t="s">
        <v>1720</v>
      </c>
      <c r="F1116" t="s">
        <v>1724</v>
      </c>
      <c r="G1116" t="s">
        <v>4409</v>
      </c>
      <c r="H1116" t="s">
        <v>4261</v>
      </c>
    </row>
    <row r="1117" spans="1:8" x14ac:dyDescent="0.35">
      <c r="A1117" t="s">
        <v>190</v>
      </c>
      <c r="B1117" t="s">
        <v>1018</v>
      </c>
      <c r="C1117" t="s">
        <v>4260</v>
      </c>
      <c r="D1117">
        <v>5.6000000000000001E-2</v>
      </c>
      <c r="E1117" t="s">
        <v>1720</v>
      </c>
      <c r="F1117" t="s">
        <v>1721</v>
      </c>
      <c r="G1117" t="s">
        <v>4409</v>
      </c>
      <c r="H1117" t="s">
        <v>4261</v>
      </c>
    </row>
    <row r="1118" spans="1:8" x14ac:dyDescent="0.35">
      <c r="A1118" t="s">
        <v>190</v>
      </c>
      <c r="B1118" t="s">
        <v>1018</v>
      </c>
      <c r="C1118" t="s">
        <v>4262</v>
      </c>
      <c r="D1118">
        <v>0.24</v>
      </c>
      <c r="E1118" t="s">
        <v>1720</v>
      </c>
      <c r="F1118" t="s">
        <v>1724</v>
      </c>
      <c r="G1118" t="s">
        <v>4410</v>
      </c>
      <c r="H1118" t="s">
        <v>4263</v>
      </c>
    </row>
    <row r="1119" spans="1:8" x14ac:dyDescent="0.35">
      <c r="A1119" t="s">
        <v>190</v>
      </c>
      <c r="B1119" t="s">
        <v>1018</v>
      </c>
      <c r="C1119" t="s">
        <v>4262</v>
      </c>
      <c r="D1119">
        <v>5.6000000000000001E-2</v>
      </c>
      <c r="E1119" t="s">
        <v>1720</v>
      </c>
      <c r="F1119" t="s">
        <v>1721</v>
      </c>
      <c r="G1119" t="s">
        <v>4410</v>
      </c>
      <c r="H1119" t="s">
        <v>4263</v>
      </c>
    </row>
    <row r="1120" spans="1:8" x14ac:dyDescent="0.35">
      <c r="A1120" t="s">
        <v>190</v>
      </c>
      <c r="B1120" t="s">
        <v>1018</v>
      </c>
      <c r="C1120" t="s">
        <v>4258</v>
      </c>
      <c r="D1120">
        <v>0.24</v>
      </c>
      <c r="E1120" t="s">
        <v>1720</v>
      </c>
      <c r="F1120" t="s">
        <v>1724</v>
      </c>
      <c r="G1120" t="s">
        <v>4408</v>
      </c>
      <c r="H1120" t="s">
        <v>4259</v>
      </c>
    </row>
    <row r="1121" spans="1:8" x14ac:dyDescent="0.35">
      <c r="A1121" t="s">
        <v>190</v>
      </c>
      <c r="B1121" t="s">
        <v>1018</v>
      </c>
      <c r="C1121" t="s">
        <v>4258</v>
      </c>
      <c r="D1121">
        <v>5.6000000000000001E-2</v>
      </c>
      <c r="E1121" t="s">
        <v>1720</v>
      </c>
      <c r="F1121" t="s">
        <v>1721</v>
      </c>
      <c r="G1121" t="s">
        <v>4408</v>
      </c>
      <c r="H1121" t="s">
        <v>4259</v>
      </c>
    </row>
    <row r="1122" spans="1:8" x14ac:dyDescent="0.35">
      <c r="A1122" t="s">
        <v>190</v>
      </c>
      <c r="B1122" t="s">
        <v>1018</v>
      </c>
      <c r="C1122" t="s">
        <v>4264</v>
      </c>
      <c r="D1122">
        <v>0.24</v>
      </c>
      <c r="E1122" t="s">
        <v>1720</v>
      </c>
      <c r="F1122" t="s">
        <v>1724</v>
      </c>
      <c r="G1122" t="s">
        <v>4402</v>
      </c>
      <c r="H1122" t="s">
        <v>4265</v>
      </c>
    </row>
    <row r="1123" spans="1:8" x14ac:dyDescent="0.35">
      <c r="A1123" t="s">
        <v>190</v>
      </c>
      <c r="B1123" t="s">
        <v>1018</v>
      </c>
      <c r="C1123" t="s">
        <v>4264</v>
      </c>
      <c r="D1123">
        <v>5.6000000000000001E-2</v>
      </c>
      <c r="E1123" t="s">
        <v>1720</v>
      </c>
      <c r="F1123" t="s">
        <v>1721</v>
      </c>
      <c r="G1123" t="s">
        <v>4402</v>
      </c>
      <c r="H1123" t="s">
        <v>4265</v>
      </c>
    </row>
    <row r="1124" spans="1:8" x14ac:dyDescent="0.35">
      <c r="A1124" t="s">
        <v>190</v>
      </c>
      <c r="B1124" t="s">
        <v>1018</v>
      </c>
      <c r="C1124" t="s">
        <v>4266</v>
      </c>
      <c r="D1124">
        <v>0.24</v>
      </c>
      <c r="E1124" t="s">
        <v>1720</v>
      </c>
      <c r="F1124" t="s">
        <v>1724</v>
      </c>
      <c r="G1124" t="s">
        <v>4402</v>
      </c>
      <c r="H1124" t="s">
        <v>4267</v>
      </c>
    </row>
    <row r="1125" spans="1:8" x14ac:dyDescent="0.35">
      <c r="A1125" t="s">
        <v>190</v>
      </c>
      <c r="B1125" t="s">
        <v>1018</v>
      </c>
      <c r="C1125" t="s">
        <v>4266</v>
      </c>
      <c r="D1125">
        <v>5.6000000000000001E-2</v>
      </c>
      <c r="E1125" t="s">
        <v>1720</v>
      </c>
      <c r="F1125" t="s">
        <v>1721</v>
      </c>
      <c r="G1125" t="s">
        <v>4402</v>
      </c>
      <c r="H1125" t="s">
        <v>4267</v>
      </c>
    </row>
    <row r="1126" spans="1:8" x14ac:dyDescent="0.35">
      <c r="A1126" t="s">
        <v>190</v>
      </c>
      <c r="B1126" t="s">
        <v>1018</v>
      </c>
      <c r="C1126" t="s">
        <v>4268</v>
      </c>
      <c r="D1126">
        <v>0.24</v>
      </c>
      <c r="E1126" t="s">
        <v>1720</v>
      </c>
      <c r="F1126" t="s">
        <v>1724</v>
      </c>
      <c r="G1126" t="s">
        <v>4402</v>
      </c>
      <c r="H1126" t="s">
        <v>4269</v>
      </c>
    </row>
    <row r="1127" spans="1:8" x14ac:dyDescent="0.35">
      <c r="A1127" t="s">
        <v>190</v>
      </c>
      <c r="B1127" t="s">
        <v>1018</v>
      </c>
      <c r="C1127" t="s">
        <v>4268</v>
      </c>
      <c r="D1127">
        <v>5.6000000000000001E-2</v>
      </c>
      <c r="E1127" t="s">
        <v>1720</v>
      </c>
      <c r="F1127" t="s">
        <v>1721</v>
      </c>
      <c r="G1127" t="s">
        <v>4402</v>
      </c>
      <c r="H1127" t="s">
        <v>4269</v>
      </c>
    </row>
    <row r="1128" spans="1:8" x14ac:dyDescent="0.35">
      <c r="A1128" t="s">
        <v>190</v>
      </c>
      <c r="B1128" t="s">
        <v>1018</v>
      </c>
      <c r="C1128" t="s">
        <v>4270</v>
      </c>
      <c r="D1128">
        <v>0.24</v>
      </c>
      <c r="E1128" t="s">
        <v>1720</v>
      </c>
      <c r="F1128" t="s">
        <v>1724</v>
      </c>
      <c r="G1128" t="s">
        <v>4411</v>
      </c>
      <c r="H1128" t="s">
        <v>4271</v>
      </c>
    </row>
    <row r="1129" spans="1:8" x14ac:dyDescent="0.35">
      <c r="A1129" t="s">
        <v>190</v>
      </c>
      <c r="B1129" t="s">
        <v>1018</v>
      </c>
      <c r="C1129" t="s">
        <v>4270</v>
      </c>
      <c r="D1129">
        <v>5.6000000000000001E-2</v>
      </c>
      <c r="E1129" t="s">
        <v>1720</v>
      </c>
      <c r="F1129" t="s">
        <v>1721</v>
      </c>
      <c r="G1129" t="s">
        <v>4411</v>
      </c>
      <c r="H1129" t="s">
        <v>4271</v>
      </c>
    </row>
    <row r="1130" spans="1:8" x14ac:dyDescent="0.35">
      <c r="A1130" t="s">
        <v>190</v>
      </c>
      <c r="B1130" t="s">
        <v>1018</v>
      </c>
      <c r="C1130" t="s">
        <v>4272</v>
      </c>
      <c r="D1130">
        <v>0.24</v>
      </c>
      <c r="E1130" t="s">
        <v>1720</v>
      </c>
      <c r="F1130" t="s">
        <v>1724</v>
      </c>
      <c r="G1130" t="s">
        <v>4402</v>
      </c>
      <c r="H1130" t="s">
        <v>4273</v>
      </c>
    </row>
    <row r="1131" spans="1:8" x14ac:dyDescent="0.35">
      <c r="A1131" t="s">
        <v>190</v>
      </c>
      <c r="B1131" t="s">
        <v>1018</v>
      </c>
      <c r="C1131" t="s">
        <v>4272</v>
      </c>
      <c r="D1131">
        <v>5.6000000000000001E-2</v>
      </c>
      <c r="E1131" t="s">
        <v>1720</v>
      </c>
      <c r="F1131" t="s">
        <v>1721</v>
      </c>
      <c r="G1131" t="s">
        <v>4402</v>
      </c>
      <c r="H1131" t="s">
        <v>4273</v>
      </c>
    </row>
    <row r="1132" spans="1:8" x14ac:dyDescent="0.35">
      <c r="A1132" t="s">
        <v>190</v>
      </c>
      <c r="B1132" t="s">
        <v>1018</v>
      </c>
      <c r="C1132" t="s">
        <v>4276</v>
      </c>
      <c r="D1132">
        <v>0.24</v>
      </c>
      <c r="E1132" t="s">
        <v>1720</v>
      </c>
      <c r="F1132" t="s">
        <v>1724</v>
      </c>
      <c r="G1132" t="s">
        <v>4413</v>
      </c>
      <c r="H1132" t="s">
        <v>4277</v>
      </c>
    </row>
    <row r="1133" spans="1:8" x14ac:dyDescent="0.35">
      <c r="A1133" t="s">
        <v>190</v>
      </c>
      <c r="B1133" t="s">
        <v>1018</v>
      </c>
      <c r="C1133" t="s">
        <v>4276</v>
      </c>
      <c r="D1133">
        <v>1.9E-3</v>
      </c>
      <c r="E1133" t="s">
        <v>1720</v>
      </c>
      <c r="F1133" t="s">
        <v>1721</v>
      </c>
      <c r="G1133" t="s">
        <v>4413</v>
      </c>
      <c r="H1133" t="s">
        <v>4277</v>
      </c>
    </row>
    <row r="1134" spans="1:8" x14ac:dyDescent="0.35">
      <c r="A1134" t="s">
        <v>190</v>
      </c>
      <c r="B1134" t="s">
        <v>1018</v>
      </c>
      <c r="C1134" t="s">
        <v>4278</v>
      </c>
      <c r="D1134">
        <v>5.6000000000000001E-2</v>
      </c>
      <c r="E1134" t="s">
        <v>1720</v>
      </c>
      <c r="F1134" t="s">
        <v>1724</v>
      </c>
      <c r="G1134" t="s">
        <v>4414</v>
      </c>
      <c r="H1134" t="s">
        <v>4279</v>
      </c>
    </row>
    <row r="1135" spans="1:8" x14ac:dyDescent="0.35">
      <c r="A1135" t="s">
        <v>190</v>
      </c>
      <c r="B1135" t="s">
        <v>1018</v>
      </c>
      <c r="C1135" t="s">
        <v>4278</v>
      </c>
      <c r="D1135">
        <v>0.24</v>
      </c>
      <c r="E1135" t="s">
        <v>1720</v>
      </c>
      <c r="F1135" t="s">
        <v>1721</v>
      </c>
      <c r="G1135" t="s">
        <v>4414</v>
      </c>
      <c r="H1135" t="s">
        <v>4279</v>
      </c>
    </row>
    <row r="1136" spans="1:8" x14ac:dyDescent="0.35">
      <c r="A1136" t="s">
        <v>190</v>
      </c>
      <c r="B1136" t="s">
        <v>1018</v>
      </c>
      <c r="C1136" t="s">
        <v>4280</v>
      </c>
      <c r="D1136">
        <v>5.6000000000000001E-2</v>
      </c>
      <c r="E1136" t="s">
        <v>1720</v>
      </c>
      <c r="F1136" t="s">
        <v>1721</v>
      </c>
      <c r="G1136" t="s">
        <v>4415</v>
      </c>
      <c r="H1136" t="s">
        <v>4281</v>
      </c>
    </row>
    <row r="1137" spans="1:8" x14ac:dyDescent="0.35">
      <c r="A1137" t="s">
        <v>190</v>
      </c>
      <c r="B1137" t="s">
        <v>1018</v>
      </c>
      <c r="C1137" t="s">
        <v>4280</v>
      </c>
      <c r="D1137">
        <v>0.24</v>
      </c>
      <c r="E1137" t="s">
        <v>1720</v>
      </c>
      <c r="F1137" t="s">
        <v>1724</v>
      </c>
      <c r="G1137" t="s">
        <v>4415</v>
      </c>
      <c r="H1137" t="s">
        <v>4281</v>
      </c>
    </row>
    <row r="1138" spans="1:8" x14ac:dyDescent="0.35">
      <c r="A1138" t="s">
        <v>190</v>
      </c>
      <c r="B1138" t="s">
        <v>1018</v>
      </c>
      <c r="C1138" t="s">
        <v>4256</v>
      </c>
      <c r="D1138">
        <v>0.24</v>
      </c>
      <c r="E1138" t="s">
        <v>1720</v>
      </c>
      <c r="F1138" t="s">
        <v>1724</v>
      </c>
      <c r="G1138" t="s">
        <v>4402</v>
      </c>
      <c r="H1138" t="s">
        <v>4257</v>
      </c>
    </row>
    <row r="1139" spans="1:8" x14ac:dyDescent="0.35">
      <c r="A1139" t="s">
        <v>190</v>
      </c>
      <c r="B1139" t="s">
        <v>1018</v>
      </c>
      <c r="C1139" t="s">
        <v>4256</v>
      </c>
      <c r="D1139">
        <v>5.6000000000000001E-2</v>
      </c>
      <c r="E1139" t="s">
        <v>1720</v>
      </c>
      <c r="F1139" t="s">
        <v>1721</v>
      </c>
      <c r="G1139" t="s">
        <v>4402</v>
      </c>
      <c r="H1139" t="s">
        <v>4257</v>
      </c>
    </row>
    <row r="1140" spans="1:8" x14ac:dyDescent="0.35">
      <c r="A1140" t="s">
        <v>190</v>
      </c>
      <c r="B1140" t="s">
        <v>1018</v>
      </c>
      <c r="C1140" t="s">
        <v>4282</v>
      </c>
      <c r="D1140">
        <v>0.24</v>
      </c>
      <c r="E1140" t="s">
        <v>1720</v>
      </c>
      <c r="F1140" t="s">
        <v>1724</v>
      </c>
      <c r="G1140" t="s">
        <v>4402</v>
      </c>
      <c r="H1140" t="s">
        <v>4283</v>
      </c>
    </row>
    <row r="1141" spans="1:8" x14ac:dyDescent="0.35">
      <c r="A1141" t="s">
        <v>190</v>
      </c>
      <c r="B1141" t="s">
        <v>1018</v>
      </c>
      <c r="C1141" t="s">
        <v>4282</v>
      </c>
      <c r="D1141">
        <v>5.6000000000000001E-2</v>
      </c>
      <c r="E1141" t="s">
        <v>1720</v>
      </c>
      <c r="F1141" t="s">
        <v>1721</v>
      </c>
      <c r="G1141" t="s">
        <v>4402</v>
      </c>
      <c r="H1141" t="s">
        <v>4283</v>
      </c>
    </row>
    <row r="1142" spans="1:8" x14ac:dyDescent="0.35">
      <c r="A1142" t="s">
        <v>190</v>
      </c>
      <c r="B1142" t="s">
        <v>1018</v>
      </c>
      <c r="C1142" t="s">
        <v>4274</v>
      </c>
      <c r="D1142">
        <v>0.24</v>
      </c>
      <c r="E1142" t="s">
        <v>1720</v>
      </c>
      <c r="F1142" t="s">
        <v>1724</v>
      </c>
      <c r="G1142" t="s">
        <v>4412</v>
      </c>
      <c r="H1142" t="s">
        <v>4275</v>
      </c>
    </row>
    <row r="1143" spans="1:8" x14ac:dyDescent="0.35">
      <c r="A1143" t="s">
        <v>190</v>
      </c>
      <c r="B1143" t="s">
        <v>1018</v>
      </c>
      <c r="C1143" t="s">
        <v>4274</v>
      </c>
      <c r="D1143">
        <v>5.6000000000000001E-2</v>
      </c>
      <c r="E1143" t="s">
        <v>1720</v>
      </c>
      <c r="F1143" t="s">
        <v>1721</v>
      </c>
      <c r="G1143" t="s">
        <v>4412</v>
      </c>
      <c r="H1143" t="s">
        <v>4275</v>
      </c>
    </row>
    <row r="1144" spans="1:8" x14ac:dyDescent="0.35">
      <c r="A1144" t="s">
        <v>190</v>
      </c>
      <c r="B1144" t="s">
        <v>1018</v>
      </c>
      <c r="C1144" t="s">
        <v>4298</v>
      </c>
      <c r="D1144">
        <v>0.24</v>
      </c>
      <c r="E1144" t="s">
        <v>1720</v>
      </c>
      <c r="F1144" t="s">
        <v>1724</v>
      </c>
      <c r="G1144" t="s">
        <v>4419</v>
      </c>
      <c r="H1144" t="s">
        <v>4299</v>
      </c>
    </row>
    <row r="1145" spans="1:8" x14ac:dyDescent="0.35">
      <c r="A1145" t="s">
        <v>190</v>
      </c>
      <c r="B1145" t="s">
        <v>1018</v>
      </c>
      <c r="C1145" t="s">
        <v>4298</v>
      </c>
      <c r="D1145">
        <v>5.6000000000000001E-2</v>
      </c>
      <c r="E1145" t="s">
        <v>1720</v>
      </c>
      <c r="F1145" t="s">
        <v>1721</v>
      </c>
      <c r="G1145" t="s">
        <v>4419</v>
      </c>
      <c r="H1145" t="s">
        <v>4299</v>
      </c>
    </row>
    <row r="1146" spans="1:8" x14ac:dyDescent="0.35">
      <c r="A1146" t="s">
        <v>190</v>
      </c>
      <c r="B1146" t="s">
        <v>1018</v>
      </c>
      <c r="C1146" t="s">
        <v>4354</v>
      </c>
      <c r="D1146">
        <v>5.6000000000000001E-2</v>
      </c>
      <c r="E1146" t="s">
        <v>1720</v>
      </c>
      <c r="F1146" t="s">
        <v>1721</v>
      </c>
      <c r="G1146" t="s">
        <v>4402</v>
      </c>
      <c r="H1146" t="s">
        <v>4355</v>
      </c>
    </row>
    <row r="1147" spans="1:8" x14ac:dyDescent="0.35">
      <c r="A1147" t="s">
        <v>190</v>
      </c>
      <c r="B1147" t="s">
        <v>1018</v>
      </c>
      <c r="C1147" t="s">
        <v>4288</v>
      </c>
      <c r="D1147">
        <v>0.24</v>
      </c>
      <c r="E1147" t="s">
        <v>1720</v>
      </c>
      <c r="F1147" t="s">
        <v>1724</v>
      </c>
      <c r="G1147" t="s">
        <v>4415</v>
      </c>
      <c r="H1147" t="s">
        <v>4289</v>
      </c>
    </row>
    <row r="1148" spans="1:8" x14ac:dyDescent="0.35">
      <c r="A1148" t="s">
        <v>190</v>
      </c>
      <c r="B1148" t="s">
        <v>1018</v>
      </c>
      <c r="C1148" t="s">
        <v>4288</v>
      </c>
      <c r="D1148">
        <v>5.6000000000000001E-2</v>
      </c>
      <c r="E1148" t="s">
        <v>1720</v>
      </c>
      <c r="F1148" t="s">
        <v>1721</v>
      </c>
      <c r="G1148" t="s">
        <v>4415</v>
      </c>
      <c r="H1148" t="s">
        <v>4289</v>
      </c>
    </row>
    <row r="1149" spans="1:8" x14ac:dyDescent="0.35">
      <c r="A1149" t="s">
        <v>190</v>
      </c>
      <c r="B1149" t="s">
        <v>1018</v>
      </c>
      <c r="C1149" t="s">
        <v>4290</v>
      </c>
      <c r="D1149">
        <v>0.24</v>
      </c>
      <c r="E1149" t="s">
        <v>1720</v>
      </c>
      <c r="F1149" t="s">
        <v>1724</v>
      </c>
      <c r="G1149" t="s">
        <v>4402</v>
      </c>
      <c r="H1149" t="s">
        <v>4291</v>
      </c>
    </row>
    <row r="1150" spans="1:8" x14ac:dyDescent="0.35">
      <c r="A1150" t="s">
        <v>190</v>
      </c>
      <c r="B1150" t="s">
        <v>1018</v>
      </c>
      <c r="C1150" t="s">
        <v>4290</v>
      </c>
      <c r="D1150">
        <v>1.9E-3</v>
      </c>
      <c r="E1150" t="s">
        <v>1720</v>
      </c>
      <c r="F1150" t="s">
        <v>1721</v>
      </c>
      <c r="G1150" t="s">
        <v>4402</v>
      </c>
      <c r="H1150" t="s">
        <v>4291</v>
      </c>
    </row>
    <row r="1151" spans="1:8" x14ac:dyDescent="0.35">
      <c r="A1151" t="s">
        <v>190</v>
      </c>
      <c r="B1151" t="s">
        <v>1018</v>
      </c>
      <c r="C1151" t="s">
        <v>4292</v>
      </c>
      <c r="D1151">
        <v>0.24</v>
      </c>
      <c r="E1151" t="s">
        <v>1720</v>
      </c>
      <c r="F1151" t="s">
        <v>1724</v>
      </c>
      <c r="G1151" t="s">
        <v>4402</v>
      </c>
      <c r="H1151" t="s">
        <v>4293</v>
      </c>
    </row>
    <row r="1152" spans="1:8" x14ac:dyDescent="0.35">
      <c r="A1152" t="s">
        <v>190</v>
      </c>
      <c r="B1152" t="s">
        <v>1018</v>
      </c>
      <c r="C1152" t="s">
        <v>4292</v>
      </c>
      <c r="D1152">
        <v>5.6000000000000001E-2</v>
      </c>
      <c r="E1152" t="s">
        <v>1720</v>
      </c>
      <c r="F1152" t="s">
        <v>1721</v>
      </c>
      <c r="G1152" t="s">
        <v>4402</v>
      </c>
      <c r="H1152" t="s">
        <v>4293</v>
      </c>
    </row>
    <row r="1153" spans="1:8" x14ac:dyDescent="0.35">
      <c r="A1153" t="s">
        <v>190</v>
      </c>
      <c r="B1153" t="s">
        <v>1018</v>
      </c>
      <c r="C1153" t="s">
        <v>4294</v>
      </c>
      <c r="D1153">
        <v>0.24</v>
      </c>
      <c r="E1153" t="s">
        <v>1720</v>
      </c>
      <c r="F1153" t="s">
        <v>1724</v>
      </c>
      <c r="G1153" t="s">
        <v>4418</v>
      </c>
      <c r="H1153" t="s">
        <v>4295</v>
      </c>
    </row>
    <row r="1154" spans="1:8" x14ac:dyDescent="0.35">
      <c r="A1154" t="s">
        <v>190</v>
      </c>
      <c r="B1154" t="s">
        <v>1018</v>
      </c>
      <c r="C1154" t="s">
        <v>4294</v>
      </c>
      <c r="D1154">
        <v>5.6000000000000001E-2</v>
      </c>
      <c r="E1154" t="s">
        <v>1720</v>
      </c>
      <c r="F1154" t="s">
        <v>1721</v>
      </c>
      <c r="G1154" t="s">
        <v>4418</v>
      </c>
      <c r="H1154" t="s">
        <v>4295</v>
      </c>
    </row>
    <row r="1155" spans="1:8" x14ac:dyDescent="0.35">
      <c r="A1155" t="s">
        <v>190</v>
      </c>
      <c r="B1155" t="s">
        <v>1018</v>
      </c>
      <c r="C1155" t="s">
        <v>4321</v>
      </c>
      <c r="D1155">
        <v>5.6000000000000001E-2</v>
      </c>
      <c r="E1155" t="s">
        <v>1720</v>
      </c>
      <c r="F1155" t="s">
        <v>1721</v>
      </c>
      <c r="G1155" t="s">
        <v>4427</v>
      </c>
      <c r="H1155" t="s">
        <v>4322</v>
      </c>
    </row>
    <row r="1156" spans="1:8" x14ac:dyDescent="0.35">
      <c r="A1156" t="s">
        <v>190</v>
      </c>
      <c r="B1156" t="s">
        <v>1018</v>
      </c>
      <c r="C1156" t="s">
        <v>4321</v>
      </c>
      <c r="D1156">
        <v>0.24</v>
      </c>
      <c r="E1156" t="s">
        <v>1720</v>
      </c>
      <c r="F1156" t="s">
        <v>1724</v>
      </c>
      <c r="G1156" t="s">
        <v>4427</v>
      </c>
      <c r="H1156" t="s">
        <v>4322</v>
      </c>
    </row>
    <row r="1157" spans="1:8" x14ac:dyDescent="0.35">
      <c r="A1157" t="s">
        <v>190</v>
      </c>
      <c r="B1157" t="s">
        <v>1018</v>
      </c>
      <c r="C1157" t="s">
        <v>4356</v>
      </c>
      <c r="D1157">
        <v>56000</v>
      </c>
      <c r="E1157" t="s">
        <v>1720</v>
      </c>
      <c r="F1157" t="s">
        <v>1721</v>
      </c>
      <c r="G1157" t="s">
        <v>4463</v>
      </c>
      <c r="H1157" t="s">
        <v>4357</v>
      </c>
    </row>
    <row r="1158" spans="1:8" x14ac:dyDescent="0.35">
      <c r="A1158" t="s">
        <v>190</v>
      </c>
      <c r="B1158" t="s">
        <v>1018</v>
      </c>
      <c r="C1158" t="s">
        <v>4356</v>
      </c>
      <c r="D1158">
        <v>240000</v>
      </c>
      <c r="E1158" t="s">
        <v>1720</v>
      </c>
      <c r="G1158" t="s">
        <v>4463</v>
      </c>
      <c r="H1158" t="s">
        <v>4357</v>
      </c>
    </row>
    <row r="1159" spans="1:8" x14ac:dyDescent="0.35">
      <c r="A1159" t="s">
        <v>190</v>
      </c>
      <c r="B1159" t="s">
        <v>1018</v>
      </c>
      <c r="C1159" t="s">
        <v>4356</v>
      </c>
      <c r="D1159">
        <v>480000</v>
      </c>
      <c r="E1159" t="s">
        <v>1720</v>
      </c>
      <c r="F1159" t="s">
        <v>1724</v>
      </c>
      <c r="G1159" t="s">
        <v>4463</v>
      </c>
      <c r="H1159" t="s">
        <v>4357</v>
      </c>
    </row>
    <row r="1160" spans="1:8" x14ac:dyDescent="0.35">
      <c r="A1160" t="s">
        <v>190</v>
      </c>
      <c r="B1160" t="s">
        <v>1018</v>
      </c>
      <c r="C1160" t="s">
        <v>4356</v>
      </c>
      <c r="D1160">
        <v>56000</v>
      </c>
      <c r="E1160" t="s">
        <v>1720</v>
      </c>
      <c r="F1160" t="s">
        <v>1721</v>
      </c>
      <c r="G1160" t="s">
        <v>4464</v>
      </c>
      <c r="H1160" t="s">
        <v>4357</v>
      </c>
    </row>
    <row r="1161" spans="1:8" x14ac:dyDescent="0.35">
      <c r="A1161" t="s">
        <v>190</v>
      </c>
      <c r="B1161" t="s">
        <v>1018</v>
      </c>
      <c r="C1161" t="s">
        <v>4356</v>
      </c>
      <c r="D1161">
        <v>240000</v>
      </c>
      <c r="E1161" t="s">
        <v>1720</v>
      </c>
      <c r="G1161" t="s">
        <v>4464</v>
      </c>
      <c r="H1161" t="s">
        <v>4357</v>
      </c>
    </row>
    <row r="1162" spans="1:8" x14ac:dyDescent="0.35">
      <c r="A1162" t="s">
        <v>190</v>
      </c>
      <c r="B1162" t="s">
        <v>1018</v>
      </c>
      <c r="C1162" t="s">
        <v>4356</v>
      </c>
      <c r="D1162">
        <v>480000</v>
      </c>
      <c r="E1162" t="s">
        <v>1720</v>
      </c>
      <c r="F1162" t="s">
        <v>1724</v>
      </c>
      <c r="G1162" t="s">
        <v>4464</v>
      </c>
      <c r="H1162" t="s">
        <v>4357</v>
      </c>
    </row>
    <row r="1163" spans="1:8" x14ac:dyDescent="0.35">
      <c r="A1163" t="s">
        <v>190</v>
      </c>
      <c r="B1163" t="s">
        <v>1018</v>
      </c>
      <c r="C1163" t="s">
        <v>4356</v>
      </c>
      <c r="D1163">
        <v>56000</v>
      </c>
      <c r="E1163" t="s">
        <v>1720</v>
      </c>
      <c r="F1163" t="s">
        <v>1721</v>
      </c>
      <c r="G1163" t="s">
        <v>4465</v>
      </c>
      <c r="H1163" t="s">
        <v>4357</v>
      </c>
    </row>
    <row r="1164" spans="1:8" x14ac:dyDescent="0.35">
      <c r="A1164" t="s">
        <v>190</v>
      </c>
      <c r="B1164" t="s">
        <v>1018</v>
      </c>
      <c r="C1164" t="s">
        <v>4356</v>
      </c>
      <c r="D1164">
        <v>240000</v>
      </c>
      <c r="E1164" t="s">
        <v>1720</v>
      </c>
      <c r="G1164" t="s">
        <v>4465</v>
      </c>
      <c r="H1164" t="s">
        <v>4357</v>
      </c>
    </row>
    <row r="1165" spans="1:8" x14ac:dyDescent="0.35">
      <c r="A1165" t="s">
        <v>190</v>
      </c>
      <c r="B1165" t="s">
        <v>1018</v>
      </c>
      <c r="C1165" t="s">
        <v>4286</v>
      </c>
      <c r="D1165">
        <v>0.24</v>
      </c>
      <c r="E1165" t="s">
        <v>1720</v>
      </c>
      <c r="F1165" t="s">
        <v>1724</v>
      </c>
      <c r="G1165" t="s">
        <v>4402</v>
      </c>
      <c r="H1165" t="s">
        <v>4287</v>
      </c>
    </row>
    <row r="1166" spans="1:8" x14ac:dyDescent="0.35">
      <c r="A1166" t="s">
        <v>190</v>
      </c>
      <c r="B1166" t="s">
        <v>1018</v>
      </c>
      <c r="C1166" t="s">
        <v>4286</v>
      </c>
      <c r="D1166">
        <v>5.6000000000000001E-2</v>
      </c>
      <c r="E1166" t="s">
        <v>1720</v>
      </c>
      <c r="F1166" t="s">
        <v>1721</v>
      </c>
      <c r="G1166" t="s">
        <v>4402</v>
      </c>
      <c r="H1166" t="s">
        <v>4287</v>
      </c>
    </row>
    <row r="1167" spans="1:8" x14ac:dyDescent="0.35">
      <c r="A1167" t="s">
        <v>190</v>
      </c>
      <c r="B1167" t="s">
        <v>1018</v>
      </c>
      <c r="C1167" t="s">
        <v>4296</v>
      </c>
      <c r="D1167">
        <v>0.24</v>
      </c>
      <c r="E1167" t="s">
        <v>1720</v>
      </c>
      <c r="F1167" t="s">
        <v>1724</v>
      </c>
      <c r="G1167" t="s">
        <v>4402</v>
      </c>
      <c r="H1167" t="s">
        <v>4297</v>
      </c>
    </row>
    <row r="1168" spans="1:8" x14ac:dyDescent="0.35">
      <c r="A1168" t="s">
        <v>190</v>
      </c>
      <c r="B1168" t="s">
        <v>1018</v>
      </c>
      <c r="C1168" t="s">
        <v>4296</v>
      </c>
      <c r="D1168">
        <v>5.6000000000000001E-2</v>
      </c>
      <c r="E1168" t="s">
        <v>1720</v>
      </c>
      <c r="F1168" t="s">
        <v>1721</v>
      </c>
      <c r="G1168" t="s">
        <v>4402</v>
      </c>
      <c r="H1168" t="s">
        <v>4297</v>
      </c>
    </row>
    <row r="1169" spans="1:8" x14ac:dyDescent="0.35">
      <c r="A1169" t="s">
        <v>190</v>
      </c>
      <c r="B1169" t="s">
        <v>1018</v>
      </c>
      <c r="C1169" t="s">
        <v>4356</v>
      </c>
      <c r="D1169">
        <v>480000</v>
      </c>
      <c r="E1169" t="s">
        <v>1720</v>
      </c>
      <c r="F1169" t="s">
        <v>1724</v>
      </c>
      <c r="G1169" t="s">
        <v>4465</v>
      </c>
      <c r="H1169" t="s">
        <v>4357</v>
      </c>
    </row>
    <row r="1170" spans="1:8" x14ac:dyDescent="0.35">
      <c r="A1170" t="s">
        <v>212</v>
      </c>
      <c r="B1170" t="s">
        <v>1039</v>
      </c>
      <c r="C1170" t="s">
        <v>4181</v>
      </c>
      <c r="D1170">
        <v>0.95</v>
      </c>
      <c r="E1170" t="s">
        <v>1720</v>
      </c>
      <c r="F1170" t="s">
        <v>1724</v>
      </c>
      <c r="G1170" t="s">
        <v>4381</v>
      </c>
      <c r="H1170" t="s">
        <v>4182</v>
      </c>
    </row>
    <row r="1171" spans="1:8" x14ac:dyDescent="0.35">
      <c r="A1171" t="s">
        <v>212</v>
      </c>
      <c r="B1171" t="s">
        <v>1039</v>
      </c>
      <c r="C1171" t="s">
        <v>4183</v>
      </c>
      <c r="D1171">
        <v>0.95</v>
      </c>
      <c r="E1171" t="s">
        <v>1720</v>
      </c>
      <c r="F1171" t="s">
        <v>1724</v>
      </c>
      <c r="G1171" t="s">
        <v>4382</v>
      </c>
      <c r="H1171" t="s">
        <v>4184</v>
      </c>
    </row>
    <row r="1172" spans="1:8" x14ac:dyDescent="0.35">
      <c r="A1172" t="s">
        <v>212</v>
      </c>
      <c r="B1172" t="s">
        <v>1039</v>
      </c>
      <c r="C1172" t="s">
        <v>4179</v>
      </c>
      <c r="D1172">
        <v>0.95</v>
      </c>
      <c r="E1172" t="s">
        <v>1720</v>
      </c>
      <c r="F1172" t="s">
        <v>1724</v>
      </c>
      <c r="G1172" t="s">
        <v>4380</v>
      </c>
      <c r="H1172" t="s">
        <v>4180</v>
      </c>
    </row>
    <row r="1173" spans="1:8" x14ac:dyDescent="0.35">
      <c r="A1173" t="s">
        <v>212</v>
      </c>
      <c r="B1173" t="s">
        <v>1039</v>
      </c>
      <c r="C1173" t="s">
        <v>4187</v>
      </c>
      <c r="D1173">
        <v>0.08</v>
      </c>
      <c r="E1173" t="s">
        <v>1720</v>
      </c>
      <c r="F1173" t="s">
        <v>1721</v>
      </c>
      <c r="G1173" t="s">
        <v>4384</v>
      </c>
      <c r="H1173" t="s">
        <v>4188</v>
      </c>
    </row>
    <row r="1174" spans="1:8" x14ac:dyDescent="0.35">
      <c r="A1174" t="s">
        <v>212</v>
      </c>
      <c r="B1174" t="s">
        <v>1039</v>
      </c>
      <c r="C1174" t="s">
        <v>4187</v>
      </c>
      <c r="D1174">
        <v>0.95</v>
      </c>
      <c r="E1174" t="s">
        <v>1720</v>
      </c>
      <c r="F1174" t="s">
        <v>1724</v>
      </c>
      <c r="G1174" t="s">
        <v>4384</v>
      </c>
      <c r="H1174" t="s">
        <v>4188</v>
      </c>
    </row>
    <row r="1175" spans="1:8" x14ac:dyDescent="0.35">
      <c r="A1175" t="s">
        <v>212</v>
      </c>
      <c r="B1175" t="s">
        <v>1039</v>
      </c>
      <c r="C1175" t="s">
        <v>4189</v>
      </c>
      <c r="D1175">
        <v>0.95</v>
      </c>
      <c r="E1175" t="s">
        <v>1720</v>
      </c>
      <c r="F1175" t="s">
        <v>1724</v>
      </c>
      <c r="G1175" t="s">
        <v>4385</v>
      </c>
      <c r="H1175" t="s">
        <v>4190</v>
      </c>
    </row>
    <row r="1176" spans="1:8" x14ac:dyDescent="0.35">
      <c r="A1176" t="s">
        <v>212</v>
      </c>
      <c r="B1176" t="s">
        <v>1039</v>
      </c>
      <c r="C1176" t="s">
        <v>4307</v>
      </c>
      <c r="D1176">
        <v>0.95</v>
      </c>
      <c r="E1176" t="s">
        <v>1720</v>
      </c>
      <c r="F1176" t="s">
        <v>1724</v>
      </c>
      <c r="G1176" t="s">
        <v>4432</v>
      </c>
      <c r="H1176" t="s">
        <v>4308</v>
      </c>
    </row>
    <row r="1177" spans="1:8" x14ac:dyDescent="0.35">
      <c r="A1177" t="s">
        <v>212</v>
      </c>
      <c r="B1177" t="s">
        <v>1039</v>
      </c>
      <c r="C1177" t="s">
        <v>4307</v>
      </c>
      <c r="D1177">
        <v>0.95</v>
      </c>
      <c r="E1177" t="s">
        <v>1720</v>
      </c>
      <c r="F1177" t="s">
        <v>1724</v>
      </c>
      <c r="G1177" t="s">
        <v>4431</v>
      </c>
      <c r="H1177" t="s">
        <v>4325</v>
      </c>
    </row>
    <row r="1178" spans="1:8" x14ac:dyDescent="0.35">
      <c r="A1178" t="s">
        <v>212</v>
      </c>
      <c r="B1178" t="s">
        <v>1039</v>
      </c>
      <c r="C1178" t="s">
        <v>4191</v>
      </c>
      <c r="D1178">
        <v>0.95</v>
      </c>
      <c r="E1178" t="s">
        <v>1720</v>
      </c>
      <c r="F1178" t="s">
        <v>1724</v>
      </c>
      <c r="G1178" t="s">
        <v>4383</v>
      </c>
      <c r="H1178" t="s">
        <v>4192</v>
      </c>
    </row>
    <row r="1179" spans="1:8" x14ac:dyDescent="0.35">
      <c r="A1179" t="s">
        <v>212</v>
      </c>
      <c r="B1179" t="s">
        <v>1039</v>
      </c>
      <c r="C1179" t="s">
        <v>4305</v>
      </c>
      <c r="D1179">
        <v>0.95</v>
      </c>
      <c r="E1179" t="s">
        <v>1720</v>
      </c>
      <c r="F1179" t="s">
        <v>1724</v>
      </c>
      <c r="G1179" t="s">
        <v>4448</v>
      </c>
      <c r="H1179" t="s">
        <v>4306</v>
      </c>
    </row>
    <row r="1180" spans="1:8" x14ac:dyDescent="0.35">
      <c r="A1180" t="s">
        <v>212</v>
      </c>
      <c r="B1180" t="s">
        <v>1039</v>
      </c>
      <c r="C1180" t="s">
        <v>4197</v>
      </c>
      <c r="D1180">
        <v>0.95</v>
      </c>
      <c r="E1180" t="s">
        <v>1720</v>
      </c>
      <c r="F1180" t="s">
        <v>1724</v>
      </c>
      <c r="G1180" t="s">
        <v>4433</v>
      </c>
      <c r="H1180" t="s">
        <v>4326</v>
      </c>
    </row>
    <row r="1181" spans="1:8" x14ac:dyDescent="0.35">
      <c r="A1181" t="s">
        <v>212</v>
      </c>
      <c r="B1181" t="s">
        <v>1039</v>
      </c>
      <c r="C1181" t="s">
        <v>4197</v>
      </c>
      <c r="D1181">
        <v>0.47</v>
      </c>
      <c r="E1181" t="s">
        <v>1720</v>
      </c>
      <c r="F1181" t="s">
        <v>1724</v>
      </c>
      <c r="G1181" t="s">
        <v>4447</v>
      </c>
      <c r="H1181" t="s">
        <v>4198</v>
      </c>
    </row>
    <row r="1182" spans="1:8" x14ac:dyDescent="0.35">
      <c r="A1182" t="s">
        <v>212</v>
      </c>
      <c r="B1182" t="s">
        <v>1039</v>
      </c>
      <c r="C1182" t="s">
        <v>4197</v>
      </c>
      <c r="D1182">
        <v>0.95</v>
      </c>
      <c r="E1182" t="s">
        <v>1720</v>
      </c>
      <c r="F1182" t="s">
        <v>1724</v>
      </c>
      <c r="G1182" t="s">
        <v>4383</v>
      </c>
      <c r="H1182" t="s">
        <v>4198</v>
      </c>
    </row>
    <row r="1183" spans="1:8" x14ac:dyDescent="0.35">
      <c r="A1183" t="s">
        <v>212</v>
      </c>
      <c r="B1183" t="s">
        <v>1039</v>
      </c>
      <c r="C1183" t="s">
        <v>4327</v>
      </c>
      <c r="D1183">
        <v>0.08</v>
      </c>
      <c r="E1183" t="s">
        <v>1720</v>
      </c>
      <c r="F1183" t="s">
        <v>1721</v>
      </c>
      <c r="G1183" t="s">
        <v>4434</v>
      </c>
      <c r="H1183" t="s">
        <v>4328</v>
      </c>
    </row>
    <row r="1184" spans="1:8" x14ac:dyDescent="0.35">
      <c r="A1184" t="s">
        <v>212</v>
      </c>
      <c r="B1184" t="s">
        <v>1039</v>
      </c>
      <c r="C1184" t="s">
        <v>4327</v>
      </c>
      <c r="D1184">
        <v>2</v>
      </c>
      <c r="E1184" t="s">
        <v>1720</v>
      </c>
      <c r="F1184" t="s">
        <v>1724</v>
      </c>
      <c r="G1184" t="s">
        <v>4434</v>
      </c>
      <c r="H1184" t="s">
        <v>4328</v>
      </c>
    </row>
    <row r="1185" spans="1:8" x14ac:dyDescent="0.35">
      <c r="A1185" t="s">
        <v>212</v>
      </c>
      <c r="B1185" t="s">
        <v>1039</v>
      </c>
      <c r="C1185" t="s">
        <v>4327</v>
      </c>
      <c r="D1185">
        <v>0.08</v>
      </c>
      <c r="E1185" t="s">
        <v>1720</v>
      </c>
      <c r="F1185" t="s">
        <v>1721</v>
      </c>
      <c r="G1185" t="s">
        <v>4435</v>
      </c>
      <c r="H1185" t="s">
        <v>4328</v>
      </c>
    </row>
    <row r="1186" spans="1:8" x14ac:dyDescent="0.35">
      <c r="A1186" t="s">
        <v>212</v>
      </c>
      <c r="B1186" t="s">
        <v>1039</v>
      </c>
      <c r="C1186" t="s">
        <v>4327</v>
      </c>
      <c r="D1186">
        <v>2</v>
      </c>
      <c r="E1186" t="s">
        <v>1720</v>
      </c>
      <c r="F1186" t="s">
        <v>1724</v>
      </c>
      <c r="G1186" t="s">
        <v>4435</v>
      </c>
      <c r="H1186" t="s">
        <v>4328</v>
      </c>
    </row>
    <row r="1187" spans="1:8" x14ac:dyDescent="0.35">
      <c r="A1187" t="s">
        <v>212</v>
      </c>
      <c r="B1187" t="s">
        <v>1039</v>
      </c>
      <c r="C1187" t="s">
        <v>4195</v>
      </c>
      <c r="D1187">
        <v>0.08</v>
      </c>
      <c r="E1187" t="s">
        <v>1720</v>
      </c>
      <c r="F1187" t="s">
        <v>1721</v>
      </c>
      <c r="G1187" t="s">
        <v>4387</v>
      </c>
      <c r="H1187" t="s">
        <v>4196</v>
      </c>
    </row>
    <row r="1188" spans="1:8" x14ac:dyDescent="0.35">
      <c r="A1188" t="s">
        <v>212</v>
      </c>
      <c r="B1188" t="s">
        <v>1039</v>
      </c>
      <c r="C1188" t="s">
        <v>4195</v>
      </c>
      <c r="D1188">
        <v>0.95</v>
      </c>
      <c r="E1188" t="s">
        <v>1720</v>
      </c>
      <c r="F1188" t="s">
        <v>1724</v>
      </c>
      <c r="G1188" t="s">
        <v>4387</v>
      </c>
      <c r="H1188" t="s">
        <v>4196</v>
      </c>
    </row>
    <row r="1189" spans="1:8" x14ac:dyDescent="0.35">
      <c r="A1189" t="s">
        <v>212</v>
      </c>
      <c r="B1189" t="s">
        <v>1039</v>
      </c>
      <c r="C1189" t="s">
        <v>4193</v>
      </c>
      <c r="D1189">
        <v>0.95</v>
      </c>
      <c r="E1189" t="s">
        <v>1720</v>
      </c>
      <c r="F1189" t="s">
        <v>1724</v>
      </c>
      <c r="G1189" t="s">
        <v>4386</v>
      </c>
      <c r="H1189" t="s">
        <v>4194</v>
      </c>
    </row>
    <row r="1190" spans="1:8" x14ac:dyDescent="0.35">
      <c r="A1190" t="s">
        <v>212</v>
      </c>
      <c r="B1190" t="s">
        <v>1039</v>
      </c>
      <c r="C1190" t="s">
        <v>4199</v>
      </c>
      <c r="D1190">
        <v>0.95</v>
      </c>
      <c r="E1190" t="s">
        <v>1720</v>
      </c>
      <c r="F1190" t="s">
        <v>1724</v>
      </c>
      <c r="G1190" t="s">
        <v>4388</v>
      </c>
      <c r="H1190" t="s">
        <v>4200</v>
      </c>
    </row>
    <row r="1191" spans="1:8" x14ac:dyDescent="0.35">
      <c r="A1191" t="s">
        <v>212</v>
      </c>
      <c r="B1191" t="s">
        <v>1039</v>
      </c>
      <c r="C1191" t="s">
        <v>4205</v>
      </c>
      <c r="D1191">
        <v>0.95</v>
      </c>
      <c r="E1191" t="s">
        <v>1720</v>
      </c>
      <c r="F1191" t="s">
        <v>1724</v>
      </c>
      <c r="G1191" t="s">
        <v>4391</v>
      </c>
      <c r="H1191" t="s">
        <v>4206</v>
      </c>
    </row>
    <row r="1192" spans="1:8" x14ac:dyDescent="0.35">
      <c r="A1192" t="s">
        <v>212</v>
      </c>
      <c r="B1192" t="s">
        <v>1039</v>
      </c>
      <c r="C1192" t="s">
        <v>4207</v>
      </c>
      <c r="D1192">
        <v>0.95</v>
      </c>
      <c r="E1192" t="s">
        <v>1720</v>
      </c>
      <c r="F1192" t="s">
        <v>1724</v>
      </c>
      <c r="G1192" t="s">
        <v>4383</v>
      </c>
      <c r="H1192" t="s">
        <v>4208</v>
      </c>
    </row>
    <row r="1193" spans="1:8" x14ac:dyDescent="0.35">
      <c r="A1193" t="s">
        <v>212</v>
      </c>
      <c r="B1193" t="s">
        <v>1039</v>
      </c>
      <c r="C1193" t="s">
        <v>4309</v>
      </c>
      <c r="D1193">
        <v>0.95</v>
      </c>
      <c r="E1193" t="s">
        <v>1720</v>
      </c>
      <c r="F1193" t="s">
        <v>1724</v>
      </c>
      <c r="G1193" t="s">
        <v>4436</v>
      </c>
      <c r="H1193" t="s">
        <v>4329</v>
      </c>
    </row>
    <row r="1194" spans="1:8" x14ac:dyDescent="0.35">
      <c r="A1194" t="s">
        <v>212</v>
      </c>
      <c r="B1194" t="s">
        <v>1039</v>
      </c>
      <c r="C1194" t="s">
        <v>4203</v>
      </c>
      <c r="D1194">
        <v>0.95</v>
      </c>
      <c r="E1194" t="s">
        <v>1720</v>
      </c>
      <c r="F1194" t="s">
        <v>1724</v>
      </c>
      <c r="G1194" t="s">
        <v>4390</v>
      </c>
      <c r="H1194" t="s">
        <v>4204</v>
      </c>
    </row>
    <row r="1195" spans="1:8" x14ac:dyDescent="0.35">
      <c r="A1195" t="s">
        <v>212</v>
      </c>
      <c r="B1195" t="s">
        <v>1039</v>
      </c>
      <c r="C1195" t="s">
        <v>4346</v>
      </c>
      <c r="D1195">
        <v>0.96</v>
      </c>
      <c r="E1195" t="s">
        <v>1720</v>
      </c>
      <c r="F1195" t="s">
        <v>1724</v>
      </c>
      <c r="G1195" t="s">
        <v>4457</v>
      </c>
      <c r="H1195" t="s">
        <v>4347</v>
      </c>
    </row>
    <row r="1196" spans="1:8" x14ac:dyDescent="0.35">
      <c r="A1196" t="s">
        <v>212</v>
      </c>
      <c r="B1196" t="s">
        <v>1039</v>
      </c>
      <c r="C1196" t="s">
        <v>4201</v>
      </c>
      <c r="D1196">
        <v>0.08</v>
      </c>
      <c r="E1196" t="s">
        <v>1720</v>
      </c>
      <c r="F1196" t="s">
        <v>1721</v>
      </c>
      <c r="G1196" t="s">
        <v>4389</v>
      </c>
      <c r="H1196" t="s">
        <v>4202</v>
      </c>
    </row>
    <row r="1197" spans="1:8" x14ac:dyDescent="0.35">
      <c r="A1197" t="s">
        <v>212</v>
      </c>
      <c r="B1197" t="s">
        <v>1039</v>
      </c>
      <c r="C1197" t="s">
        <v>4201</v>
      </c>
      <c r="D1197">
        <v>0.95</v>
      </c>
      <c r="E1197" t="s">
        <v>1720</v>
      </c>
      <c r="F1197" t="s">
        <v>1724</v>
      </c>
      <c r="G1197" t="s">
        <v>4389</v>
      </c>
      <c r="H1197" t="s">
        <v>4202</v>
      </c>
    </row>
    <row r="1198" spans="1:8" x14ac:dyDescent="0.35">
      <c r="A1198" t="s">
        <v>212</v>
      </c>
      <c r="B1198" t="s">
        <v>1039</v>
      </c>
      <c r="C1198" t="s">
        <v>4311</v>
      </c>
      <c r="D1198">
        <v>0.01</v>
      </c>
      <c r="E1198" t="s">
        <v>1720</v>
      </c>
      <c r="G1198" t="s">
        <v>4387</v>
      </c>
      <c r="H1198" t="s">
        <v>4312</v>
      </c>
    </row>
    <row r="1199" spans="1:8" x14ac:dyDescent="0.35">
      <c r="A1199" t="s">
        <v>212</v>
      </c>
      <c r="B1199" t="s">
        <v>1039</v>
      </c>
      <c r="C1199" t="s">
        <v>4344</v>
      </c>
      <c r="D1199">
        <v>1.9</v>
      </c>
      <c r="E1199" t="s">
        <v>1720</v>
      </c>
      <c r="G1199" t="s">
        <v>4450</v>
      </c>
      <c r="H1199" t="s">
        <v>4345</v>
      </c>
    </row>
    <row r="1200" spans="1:8" x14ac:dyDescent="0.35">
      <c r="A1200" t="s">
        <v>212</v>
      </c>
      <c r="B1200" t="s">
        <v>1039</v>
      </c>
      <c r="C1200" t="s">
        <v>4344</v>
      </c>
      <c r="D1200">
        <v>0.95</v>
      </c>
      <c r="E1200" t="s">
        <v>1720</v>
      </c>
      <c r="G1200" t="s">
        <v>4452</v>
      </c>
      <c r="H1200" t="s">
        <v>4345</v>
      </c>
    </row>
    <row r="1201" spans="1:8" x14ac:dyDescent="0.35">
      <c r="A1201" t="s">
        <v>212</v>
      </c>
      <c r="B1201" t="s">
        <v>1039</v>
      </c>
      <c r="C1201" t="s">
        <v>4342</v>
      </c>
      <c r="D1201">
        <v>0.95</v>
      </c>
      <c r="E1201" t="s">
        <v>1720</v>
      </c>
      <c r="G1201" t="s">
        <v>4459</v>
      </c>
      <c r="H1201" t="s">
        <v>4343</v>
      </c>
    </row>
    <row r="1202" spans="1:8" x14ac:dyDescent="0.35">
      <c r="A1202" t="s">
        <v>212</v>
      </c>
      <c r="B1202" t="s">
        <v>1039</v>
      </c>
      <c r="C1202" t="s">
        <v>4342</v>
      </c>
      <c r="D1202">
        <v>1.9</v>
      </c>
      <c r="E1202" t="s">
        <v>1720</v>
      </c>
      <c r="F1202" t="s">
        <v>1724</v>
      </c>
      <c r="G1202" t="s">
        <v>4459</v>
      </c>
      <c r="H1202" t="s">
        <v>4343</v>
      </c>
    </row>
    <row r="1203" spans="1:8" x14ac:dyDescent="0.35">
      <c r="A1203" t="s">
        <v>212</v>
      </c>
      <c r="B1203" t="s">
        <v>1039</v>
      </c>
      <c r="C1203" t="s">
        <v>4342</v>
      </c>
      <c r="D1203">
        <v>0.95</v>
      </c>
      <c r="E1203" t="s">
        <v>1720</v>
      </c>
      <c r="G1203" t="s">
        <v>4460</v>
      </c>
      <c r="H1203" t="s">
        <v>4343</v>
      </c>
    </row>
    <row r="1204" spans="1:8" x14ac:dyDescent="0.35">
      <c r="A1204" t="s">
        <v>212</v>
      </c>
      <c r="B1204" t="s">
        <v>1039</v>
      </c>
      <c r="C1204" t="s">
        <v>4342</v>
      </c>
      <c r="D1204">
        <v>1.9</v>
      </c>
      <c r="E1204" t="s">
        <v>1720</v>
      </c>
      <c r="F1204" t="s">
        <v>1724</v>
      </c>
      <c r="G1204" t="s">
        <v>4460</v>
      </c>
      <c r="H1204" t="s">
        <v>4343</v>
      </c>
    </row>
    <row r="1205" spans="1:8" x14ac:dyDescent="0.35">
      <c r="A1205" t="s">
        <v>212</v>
      </c>
      <c r="B1205" t="s">
        <v>1039</v>
      </c>
      <c r="C1205" t="s">
        <v>4342</v>
      </c>
      <c r="D1205">
        <v>0.95</v>
      </c>
      <c r="E1205" t="s">
        <v>1720</v>
      </c>
      <c r="G1205" t="s">
        <v>4461</v>
      </c>
      <c r="H1205" t="s">
        <v>4343</v>
      </c>
    </row>
    <row r="1206" spans="1:8" x14ac:dyDescent="0.35">
      <c r="A1206" t="s">
        <v>212</v>
      </c>
      <c r="B1206" t="s">
        <v>1039</v>
      </c>
      <c r="C1206" t="s">
        <v>4342</v>
      </c>
      <c r="D1206">
        <v>1.9</v>
      </c>
      <c r="E1206" t="s">
        <v>1720</v>
      </c>
      <c r="F1206" t="s">
        <v>1724</v>
      </c>
      <c r="G1206" t="s">
        <v>4461</v>
      </c>
      <c r="H1206" t="s">
        <v>4343</v>
      </c>
    </row>
    <row r="1207" spans="1:8" x14ac:dyDescent="0.35">
      <c r="A1207" t="s">
        <v>212</v>
      </c>
      <c r="B1207" t="s">
        <v>1039</v>
      </c>
      <c r="C1207" t="s">
        <v>4346</v>
      </c>
      <c r="D1207">
        <v>0.96</v>
      </c>
      <c r="E1207" t="s">
        <v>1720</v>
      </c>
      <c r="F1207" t="s">
        <v>1724</v>
      </c>
      <c r="G1207" t="s">
        <v>4453</v>
      </c>
      <c r="H1207" t="s">
        <v>4347</v>
      </c>
    </row>
    <row r="1208" spans="1:8" x14ac:dyDescent="0.35">
      <c r="A1208" t="s">
        <v>212</v>
      </c>
      <c r="B1208" t="s">
        <v>1039</v>
      </c>
      <c r="C1208" t="s">
        <v>4346</v>
      </c>
      <c r="D1208">
        <v>0.96</v>
      </c>
      <c r="E1208" t="s">
        <v>1720</v>
      </c>
      <c r="F1208" t="s">
        <v>1724</v>
      </c>
      <c r="G1208" t="s">
        <v>4454</v>
      </c>
      <c r="H1208" t="s">
        <v>4347</v>
      </c>
    </row>
    <row r="1209" spans="1:8" x14ac:dyDescent="0.35">
      <c r="A1209" t="s">
        <v>212</v>
      </c>
      <c r="B1209" t="s">
        <v>1039</v>
      </c>
      <c r="C1209" t="s">
        <v>4348</v>
      </c>
      <c r="D1209">
        <v>0.95</v>
      </c>
      <c r="E1209" t="s">
        <v>1720</v>
      </c>
      <c r="G1209" t="s">
        <v>4458</v>
      </c>
      <c r="H1209" t="s">
        <v>4349</v>
      </c>
    </row>
    <row r="1210" spans="1:8" x14ac:dyDescent="0.35">
      <c r="A1210" t="s">
        <v>212</v>
      </c>
      <c r="B1210" t="s">
        <v>1039</v>
      </c>
      <c r="C1210" t="s">
        <v>4221</v>
      </c>
      <c r="D1210">
        <v>0.95</v>
      </c>
      <c r="E1210" t="s">
        <v>1720</v>
      </c>
      <c r="F1210" t="s">
        <v>1724</v>
      </c>
      <c r="G1210" t="s">
        <v>4383</v>
      </c>
      <c r="H1210" t="s">
        <v>4222</v>
      </c>
    </row>
    <row r="1211" spans="1:8" x14ac:dyDescent="0.35">
      <c r="A1211" t="s">
        <v>212</v>
      </c>
      <c r="B1211" t="s">
        <v>1039</v>
      </c>
      <c r="C1211" t="s">
        <v>4342</v>
      </c>
      <c r="D1211">
        <v>1.9</v>
      </c>
      <c r="E1211" t="s">
        <v>1720</v>
      </c>
      <c r="F1211" t="s">
        <v>1724</v>
      </c>
      <c r="G1211" t="s">
        <v>4449</v>
      </c>
      <c r="H1211" t="s">
        <v>4343</v>
      </c>
    </row>
    <row r="1212" spans="1:8" x14ac:dyDescent="0.35">
      <c r="A1212" t="s">
        <v>212</v>
      </c>
      <c r="B1212" t="s">
        <v>1039</v>
      </c>
      <c r="C1212" t="s">
        <v>4213</v>
      </c>
      <c r="D1212">
        <v>0.16</v>
      </c>
      <c r="E1212" t="s">
        <v>1720</v>
      </c>
      <c r="F1212" t="s">
        <v>1721</v>
      </c>
      <c r="G1212" t="s">
        <v>4393</v>
      </c>
      <c r="H1212" t="s">
        <v>4214</v>
      </c>
    </row>
    <row r="1213" spans="1:8" x14ac:dyDescent="0.35">
      <c r="A1213" t="s">
        <v>212</v>
      </c>
      <c r="B1213" t="s">
        <v>1039</v>
      </c>
      <c r="C1213" t="s">
        <v>4213</v>
      </c>
      <c r="D1213">
        <v>0.95</v>
      </c>
      <c r="E1213" t="s">
        <v>1720</v>
      </c>
      <c r="F1213" t="s">
        <v>1724</v>
      </c>
      <c r="G1213" t="s">
        <v>4393</v>
      </c>
      <c r="H1213" t="s">
        <v>4214</v>
      </c>
    </row>
    <row r="1214" spans="1:8" x14ac:dyDescent="0.35">
      <c r="A1214" t="s">
        <v>212</v>
      </c>
      <c r="B1214" t="s">
        <v>1039</v>
      </c>
      <c r="C1214" t="s">
        <v>4332</v>
      </c>
      <c r="D1214">
        <v>0.95</v>
      </c>
      <c r="E1214" t="s">
        <v>1720</v>
      </c>
      <c r="F1214" t="s">
        <v>1724</v>
      </c>
      <c r="G1214" t="s">
        <v>4438</v>
      </c>
      <c r="H1214" t="s">
        <v>4333</v>
      </c>
    </row>
    <row r="1215" spans="1:8" x14ac:dyDescent="0.35">
      <c r="A1215" t="s">
        <v>212</v>
      </c>
      <c r="B1215" t="s">
        <v>1039</v>
      </c>
      <c r="C1215" t="s">
        <v>4332</v>
      </c>
      <c r="D1215">
        <v>0.95</v>
      </c>
      <c r="E1215" t="s">
        <v>1720</v>
      </c>
      <c r="F1215" t="s">
        <v>1724</v>
      </c>
      <c r="G1215" t="s">
        <v>4439</v>
      </c>
      <c r="H1215" t="s">
        <v>4333</v>
      </c>
    </row>
    <row r="1216" spans="1:8" x14ac:dyDescent="0.35">
      <c r="A1216" t="s">
        <v>212</v>
      </c>
      <c r="B1216" t="s">
        <v>1039</v>
      </c>
      <c r="C1216" t="s">
        <v>4332</v>
      </c>
      <c r="D1216">
        <v>0.95</v>
      </c>
      <c r="E1216" t="s">
        <v>1720</v>
      </c>
      <c r="F1216" t="s">
        <v>1724</v>
      </c>
      <c r="G1216" t="s">
        <v>4440</v>
      </c>
      <c r="H1216" t="s">
        <v>4333</v>
      </c>
    </row>
    <row r="1217" spans="1:8" x14ac:dyDescent="0.35">
      <c r="A1217" t="s">
        <v>212</v>
      </c>
      <c r="B1217" t="s">
        <v>1039</v>
      </c>
      <c r="C1217" t="s">
        <v>4332</v>
      </c>
      <c r="D1217">
        <v>0.95</v>
      </c>
      <c r="E1217" t="s">
        <v>1720</v>
      </c>
      <c r="F1217" t="s">
        <v>1724</v>
      </c>
      <c r="G1217" t="s">
        <v>4441</v>
      </c>
      <c r="H1217" t="s">
        <v>4333</v>
      </c>
    </row>
    <row r="1218" spans="1:8" x14ac:dyDescent="0.35">
      <c r="A1218" t="s">
        <v>212</v>
      </c>
      <c r="B1218" t="s">
        <v>1039</v>
      </c>
      <c r="C1218" t="s">
        <v>4332</v>
      </c>
      <c r="D1218">
        <v>0.95</v>
      </c>
      <c r="E1218" t="s">
        <v>1720</v>
      </c>
      <c r="F1218" t="s">
        <v>1724</v>
      </c>
      <c r="G1218" t="s">
        <v>4442</v>
      </c>
      <c r="H1218" t="s">
        <v>4333</v>
      </c>
    </row>
    <row r="1219" spans="1:8" x14ac:dyDescent="0.35">
      <c r="A1219" t="s">
        <v>212</v>
      </c>
      <c r="B1219" t="s">
        <v>1039</v>
      </c>
      <c r="C1219" t="s">
        <v>4217</v>
      </c>
      <c r="D1219">
        <v>0.08</v>
      </c>
      <c r="E1219" t="s">
        <v>1720</v>
      </c>
      <c r="F1219" t="s">
        <v>1721</v>
      </c>
      <c r="G1219" t="s">
        <v>4396</v>
      </c>
      <c r="H1219" t="s">
        <v>4218</v>
      </c>
    </row>
    <row r="1220" spans="1:8" x14ac:dyDescent="0.35">
      <c r="A1220" t="s">
        <v>212</v>
      </c>
      <c r="B1220" t="s">
        <v>1039</v>
      </c>
      <c r="C1220" t="s">
        <v>4217</v>
      </c>
      <c r="D1220">
        <v>1.1259999999999999</v>
      </c>
      <c r="E1220" t="s">
        <v>1720</v>
      </c>
      <c r="F1220" t="s">
        <v>1724</v>
      </c>
      <c r="G1220" t="s">
        <v>4396</v>
      </c>
      <c r="H1220" t="s">
        <v>4218</v>
      </c>
    </row>
    <row r="1221" spans="1:8" x14ac:dyDescent="0.35">
      <c r="A1221" t="s">
        <v>212</v>
      </c>
      <c r="B1221" t="s">
        <v>1039</v>
      </c>
      <c r="C1221" t="s">
        <v>4209</v>
      </c>
      <c r="D1221">
        <v>0.95</v>
      </c>
      <c r="E1221" t="s">
        <v>1720</v>
      </c>
      <c r="F1221" t="s">
        <v>1724</v>
      </c>
      <c r="G1221" t="s">
        <v>4383</v>
      </c>
      <c r="H1221" t="s">
        <v>4210</v>
      </c>
    </row>
    <row r="1222" spans="1:8" x14ac:dyDescent="0.35">
      <c r="A1222" t="s">
        <v>212</v>
      </c>
      <c r="B1222" t="s">
        <v>1039</v>
      </c>
      <c r="C1222" t="s">
        <v>4350</v>
      </c>
      <c r="D1222">
        <v>0.95</v>
      </c>
      <c r="E1222" t="s">
        <v>1720</v>
      </c>
      <c r="F1222" t="s">
        <v>1724</v>
      </c>
      <c r="G1222" t="s">
        <v>4383</v>
      </c>
      <c r="H1222" t="s">
        <v>4351</v>
      </c>
    </row>
    <row r="1223" spans="1:8" x14ac:dyDescent="0.35">
      <c r="A1223" t="s">
        <v>212</v>
      </c>
      <c r="B1223" t="s">
        <v>1039</v>
      </c>
      <c r="C1223" t="s">
        <v>4342</v>
      </c>
      <c r="D1223">
        <v>0.95</v>
      </c>
      <c r="E1223" t="s">
        <v>1720</v>
      </c>
      <c r="G1223" t="s">
        <v>4449</v>
      </c>
      <c r="H1223" t="s">
        <v>4343</v>
      </c>
    </row>
    <row r="1224" spans="1:8" x14ac:dyDescent="0.35">
      <c r="A1224" t="s">
        <v>212</v>
      </c>
      <c r="B1224" t="s">
        <v>1039</v>
      </c>
      <c r="C1224" t="s">
        <v>4211</v>
      </c>
      <c r="D1224">
        <v>0.95</v>
      </c>
      <c r="E1224" t="s">
        <v>1720</v>
      </c>
      <c r="F1224" t="s">
        <v>1724</v>
      </c>
      <c r="G1224" t="s">
        <v>4392</v>
      </c>
      <c r="H1224" t="s">
        <v>4212</v>
      </c>
    </row>
    <row r="1225" spans="1:8" x14ac:dyDescent="0.35">
      <c r="A1225" t="s">
        <v>212</v>
      </c>
      <c r="B1225" t="s">
        <v>1039</v>
      </c>
      <c r="C1225" t="s">
        <v>4330</v>
      </c>
      <c r="D1225">
        <v>0.08</v>
      </c>
      <c r="E1225" t="s">
        <v>1720</v>
      </c>
      <c r="F1225" t="s">
        <v>1721</v>
      </c>
      <c r="G1225" t="s">
        <v>4437</v>
      </c>
      <c r="H1225" t="s">
        <v>4331</v>
      </c>
    </row>
    <row r="1226" spans="1:8" x14ac:dyDescent="0.35">
      <c r="A1226" t="s">
        <v>212</v>
      </c>
      <c r="B1226" t="s">
        <v>1039</v>
      </c>
      <c r="C1226" t="s">
        <v>4330</v>
      </c>
      <c r="D1226">
        <v>1</v>
      </c>
      <c r="E1226" t="s">
        <v>1720</v>
      </c>
      <c r="F1226" t="s">
        <v>1724</v>
      </c>
      <c r="G1226" t="s">
        <v>4437</v>
      </c>
      <c r="H1226" t="s">
        <v>4331</v>
      </c>
    </row>
    <row r="1227" spans="1:8" x14ac:dyDescent="0.35">
      <c r="A1227" t="s">
        <v>212</v>
      </c>
      <c r="B1227" t="s">
        <v>1039</v>
      </c>
      <c r="C1227" t="s">
        <v>4219</v>
      </c>
      <c r="D1227">
        <v>0.08</v>
      </c>
      <c r="E1227" t="s">
        <v>1720</v>
      </c>
      <c r="F1227" t="s">
        <v>1721</v>
      </c>
      <c r="G1227" t="s">
        <v>4380</v>
      </c>
      <c r="H1227" t="s">
        <v>4220</v>
      </c>
    </row>
    <row r="1228" spans="1:8" x14ac:dyDescent="0.35">
      <c r="A1228" t="s">
        <v>212</v>
      </c>
      <c r="B1228" t="s">
        <v>1039</v>
      </c>
      <c r="C1228" t="s">
        <v>4219</v>
      </c>
      <c r="D1228">
        <v>0.95</v>
      </c>
      <c r="E1228" t="s">
        <v>1720</v>
      </c>
      <c r="F1228" t="s">
        <v>1724</v>
      </c>
      <c r="G1228" t="s">
        <v>4380</v>
      </c>
      <c r="H1228" t="s">
        <v>4220</v>
      </c>
    </row>
    <row r="1229" spans="1:8" x14ac:dyDescent="0.35">
      <c r="A1229" t="s">
        <v>212</v>
      </c>
      <c r="B1229" t="s">
        <v>1039</v>
      </c>
      <c r="C1229" t="s">
        <v>4223</v>
      </c>
      <c r="D1229">
        <v>0.08</v>
      </c>
      <c r="E1229" t="s">
        <v>1720</v>
      </c>
      <c r="F1229" t="s">
        <v>1721</v>
      </c>
      <c r="G1229" t="s">
        <v>4399</v>
      </c>
      <c r="H1229" t="s">
        <v>4224</v>
      </c>
    </row>
    <row r="1230" spans="1:8" x14ac:dyDescent="0.35">
      <c r="A1230" t="s">
        <v>212</v>
      </c>
      <c r="B1230" t="s">
        <v>1039</v>
      </c>
      <c r="C1230" t="s">
        <v>4223</v>
      </c>
      <c r="D1230">
        <v>0.95</v>
      </c>
      <c r="E1230" t="s">
        <v>1720</v>
      </c>
      <c r="F1230" t="s">
        <v>1724</v>
      </c>
      <c r="G1230" t="s">
        <v>4399</v>
      </c>
      <c r="H1230" t="s">
        <v>4224</v>
      </c>
    </row>
    <row r="1231" spans="1:8" x14ac:dyDescent="0.35">
      <c r="A1231" t="s">
        <v>212</v>
      </c>
      <c r="B1231" t="s">
        <v>1039</v>
      </c>
      <c r="C1231" t="s">
        <v>4313</v>
      </c>
      <c r="D1231">
        <v>1</v>
      </c>
      <c r="E1231" t="s">
        <v>1720</v>
      </c>
      <c r="F1231" t="s">
        <v>1724</v>
      </c>
      <c r="G1231" t="s">
        <v>4423</v>
      </c>
      <c r="H1231" t="s">
        <v>4314</v>
      </c>
    </row>
    <row r="1232" spans="1:8" x14ac:dyDescent="0.35">
      <c r="A1232" t="s">
        <v>212</v>
      </c>
      <c r="B1232" t="s">
        <v>1039</v>
      </c>
      <c r="C1232" t="s">
        <v>4313</v>
      </c>
      <c r="D1232">
        <v>1</v>
      </c>
      <c r="E1232" t="s">
        <v>1720</v>
      </c>
      <c r="F1232" t="s">
        <v>1724</v>
      </c>
      <c r="G1232" t="s">
        <v>4424</v>
      </c>
      <c r="H1232" t="s">
        <v>4314</v>
      </c>
    </row>
    <row r="1233" spans="1:8" x14ac:dyDescent="0.35">
      <c r="A1233" t="s">
        <v>212</v>
      </c>
      <c r="B1233" t="s">
        <v>1039</v>
      </c>
      <c r="C1233" t="s">
        <v>4313</v>
      </c>
      <c r="D1233">
        <v>11</v>
      </c>
      <c r="E1233" t="s">
        <v>1720</v>
      </c>
      <c r="F1233" t="s">
        <v>1724</v>
      </c>
      <c r="G1233" t="s">
        <v>4444</v>
      </c>
      <c r="H1233" t="s">
        <v>4314</v>
      </c>
    </row>
    <row r="1234" spans="1:8" x14ac:dyDescent="0.35">
      <c r="A1234" t="s">
        <v>212</v>
      </c>
      <c r="B1234" t="s">
        <v>1039</v>
      </c>
      <c r="C1234" t="s">
        <v>4313</v>
      </c>
      <c r="D1234">
        <v>1</v>
      </c>
      <c r="E1234" t="s">
        <v>1720</v>
      </c>
      <c r="F1234" t="s">
        <v>1724</v>
      </c>
      <c r="G1234" t="s">
        <v>4425</v>
      </c>
      <c r="H1234" t="s">
        <v>4314</v>
      </c>
    </row>
    <row r="1235" spans="1:8" x14ac:dyDescent="0.35">
      <c r="A1235" t="s">
        <v>212</v>
      </c>
      <c r="B1235" t="s">
        <v>1039</v>
      </c>
      <c r="C1235" t="s">
        <v>4229</v>
      </c>
      <c r="D1235">
        <v>0.95</v>
      </c>
      <c r="E1235" t="s">
        <v>1720</v>
      </c>
      <c r="F1235" t="s">
        <v>1724</v>
      </c>
      <c r="G1235" t="s">
        <v>4399</v>
      </c>
      <c r="H1235" t="s">
        <v>1711</v>
      </c>
    </row>
    <row r="1236" spans="1:8" x14ac:dyDescent="0.35">
      <c r="A1236" t="s">
        <v>212</v>
      </c>
      <c r="B1236" t="s">
        <v>1039</v>
      </c>
      <c r="C1236" t="s">
        <v>4336</v>
      </c>
      <c r="D1236">
        <v>0.21</v>
      </c>
      <c r="E1236" t="s">
        <v>1720</v>
      </c>
      <c r="F1236" t="s">
        <v>1721</v>
      </c>
      <c r="G1236" t="s">
        <v>4445</v>
      </c>
      <c r="H1236" t="s">
        <v>4337</v>
      </c>
    </row>
    <row r="1237" spans="1:8" x14ac:dyDescent="0.35">
      <c r="A1237" t="s">
        <v>212</v>
      </c>
      <c r="B1237" t="s">
        <v>1039</v>
      </c>
      <c r="C1237" t="s">
        <v>4336</v>
      </c>
      <c r="D1237">
        <v>5.3</v>
      </c>
      <c r="E1237" t="s">
        <v>1720</v>
      </c>
      <c r="F1237" t="s">
        <v>1724</v>
      </c>
      <c r="G1237" t="s">
        <v>4445</v>
      </c>
      <c r="H1237" t="s">
        <v>4337</v>
      </c>
    </row>
    <row r="1238" spans="1:8" x14ac:dyDescent="0.35">
      <c r="A1238" t="s">
        <v>212</v>
      </c>
      <c r="B1238" t="s">
        <v>1039</v>
      </c>
      <c r="C1238" t="s">
        <v>4315</v>
      </c>
      <c r="D1238">
        <v>0.95</v>
      </c>
      <c r="E1238" t="s">
        <v>1720</v>
      </c>
      <c r="F1238" t="s">
        <v>1724</v>
      </c>
      <c r="G1238" t="s">
        <v>4383</v>
      </c>
      <c r="H1238" t="s">
        <v>4316</v>
      </c>
    </row>
    <row r="1239" spans="1:8" x14ac:dyDescent="0.35">
      <c r="A1239" t="s">
        <v>212</v>
      </c>
      <c r="B1239" t="s">
        <v>1039</v>
      </c>
      <c r="C1239" t="s">
        <v>4315</v>
      </c>
      <c r="D1239">
        <v>0.08</v>
      </c>
      <c r="E1239" t="s">
        <v>1720</v>
      </c>
      <c r="F1239" t="s">
        <v>1721</v>
      </c>
      <c r="G1239" t="s">
        <v>4383</v>
      </c>
      <c r="H1239" t="s">
        <v>4316</v>
      </c>
    </row>
    <row r="1240" spans="1:8" x14ac:dyDescent="0.35">
      <c r="A1240" t="s">
        <v>212</v>
      </c>
      <c r="B1240" t="s">
        <v>1039</v>
      </c>
      <c r="C1240" t="s">
        <v>4300</v>
      </c>
      <c r="D1240">
        <v>0.08</v>
      </c>
      <c r="E1240" t="s">
        <v>1720</v>
      </c>
      <c r="F1240" t="s">
        <v>1721</v>
      </c>
      <c r="G1240" t="s">
        <v>4389</v>
      </c>
      <c r="H1240" t="s">
        <v>4301</v>
      </c>
    </row>
    <row r="1241" spans="1:8" x14ac:dyDescent="0.35">
      <c r="A1241" t="s">
        <v>212</v>
      </c>
      <c r="B1241" t="s">
        <v>1039</v>
      </c>
      <c r="C1241" t="s">
        <v>4300</v>
      </c>
      <c r="D1241">
        <v>2</v>
      </c>
      <c r="E1241" t="s">
        <v>1720</v>
      </c>
      <c r="F1241" t="s">
        <v>1724</v>
      </c>
      <c r="G1241" t="s">
        <v>4389</v>
      </c>
      <c r="H1241" t="s">
        <v>4301</v>
      </c>
    </row>
    <row r="1242" spans="1:8" x14ac:dyDescent="0.35">
      <c r="A1242" t="s">
        <v>212</v>
      </c>
      <c r="B1242" t="s">
        <v>1039</v>
      </c>
      <c r="C1242" t="s">
        <v>4317</v>
      </c>
      <c r="D1242">
        <v>0.08</v>
      </c>
      <c r="E1242" t="s">
        <v>1720</v>
      </c>
      <c r="F1242" t="s">
        <v>1721</v>
      </c>
      <c r="G1242" t="s">
        <v>4426</v>
      </c>
      <c r="H1242" t="s">
        <v>4318</v>
      </c>
    </row>
    <row r="1243" spans="1:8" x14ac:dyDescent="0.35">
      <c r="A1243" t="s">
        <v>212</v>
      </c>
      <c r="B1243" t="s">
        <v>1039</v>
      </c>
      <c r="C1243" t="s">
        <v>4317</v>
      </c>
      <c r="D1243">
        <v>2</v>
      </c>
      <c r="E1243" t="s">
        <v>1720</v>
      </c>
      <c r="F1243" t="s">
        <v>1724</v>
      </c>
      <c r="G1243" t="s">
        <v>4426</v>
      </c>
      <c r="H1243" t="s">
        <v>4318</v>
      </c>
    </row>
    <row r="1244" spans="1:8" x14ac:dyDescent="0.35">
      <c r="A1244" t="s">
        <v>212</v>
      </c>
      <c r="B1244" t="s">
        <v>1039</v>
      </c>
      <c r="C1244" t="s">
        <v>4227</v>
      </c>
      <c r="D1244">
        <v>0.08</v>
      </c>
      <c r="E1244" t="s">
        <v>1720</v>
      </c>
      <c r="F1244" t="s">
        <v>1721</v>
      </c>
      <c r="G1244" t="s">
        <v>4401</v>
      </c>
      <c r="H1244" t="s">
        <v>4228</v>
      </c>
    </row>
    <row r="1245" spans="1:8" x14ac:dyDescent="0.35">
      <c r="A1245" t="s">
        <v>212</v>
      </c>
      <c r="B1245" t="s">
        <v>1039</v>
      </c>
      <c r="C1245" t="s">
        <v>4227</v>
      </c>
      <c r="D1245">
        <v>2</v>
      </c>
      <c r="E1245" t="s">
        <v>1720</v>
      </c>
      <c r="F1245" t="s">
        <v>1724</v>
      </c>
      <c r="G1245" t="s">
        <v>4401</v>
      </c>
      <c r="H1245" t="s">
        <v>4228</v>
      </c>
    </row>
    <row r="1246" spans="1:8" x14ac:dyDescent="0.35">
      <c r="A1246" t="s">
        <v>212</v>
      </c>
      <c r="B1246" t="s">
        <v>1039</v>
      </c>
      <c r="C1246" t="s">
        <v>4232</v>
      </c>
      <c r="D1246">
        <v>0.95</v>
      </c>
      <c r="E1246" t="s">
        <v>1720</v>
      </c>
      <c r="F1246" t="s">
        <v>1724</v>
      </c>
      <c r="G1246" t="s">
        <v>4402</v>
      </c>
      <c r="H1246" t="s">
        <v>4233</v>
      </c>
    </row>
    <row r="1247" spans="1:8" x14ac:dyDescent="0.35">
      <c r="A1247" t="s">
        <v>212</v>
      </c>
      <c r="B1247" t="s">
        <v>1039</v>
      </c>
      <c r="C1247" t="s">
        <v>4234</v>
      </c>
      <c r="D1247">
        <v>0.95</v>
      </c>
      <c r="E1247" t="s">
        <v>1720</v>
      </c>
      <c r="G1247" t="s">
        <v>4383</v>
      </c>
      <c r="H1247" t="s">
        <v>4235</v>
      </c>
    </row>
    <row r="1248" spans="1:8" x14ac:dyDescent="0.35">
      <c r="A1248" t="s">
        <v>212</v>
      </c>
      <c r="B1248" t="s">
        <v>1039</v>
      </c>
      <c r="C1248" t="s">
        <v>4225</v>
      </c>
      <c r="D1248">
        <v>0.95</v>
      </c>
      <c r="E1248" t="s">
        <v>1720</v>
      </c>
      <c r="F1248" t="s">
        <v>1724</v>
      </c>
      <c r="G1248" t="s">
        <v>4400</v>
      </c>
      <c r="H1248" t="s">
        <v>4226</v>
      </c>
    </row>
    <row r="1249" spans="1:8" x14ac:dyDescent="0.35">
      <c r="A1249" t="s">
        <v>212</v>
      </c>
      <c r="B1249" t="s">
        <v>1039</v>
      </c>
      <c r="C1249" t="s">
        <v>4236</v>
      </c>
      <c r="D1249">
        <v>2</v>
      </c>
      <c r="E1249" t="s">
        <v>1720</v>
      </c>
      <c r="F1249" t="s">
        <v>1724</v>
      </c>
      <c r="G1249" t="s">
        <v>4403</v>
      </c>
      <c r="H1249" t="s">
        <v>4237</v>
      </c>
    </row>
    <row r="1250" spans="1:8" x14ac:dyDescent="0.35">
      <c r="A1250" t="s">
        <v>212</v>
      </c>
      <c r="B1250" t="s">
        <v>1039</v>
      </c>
      <c r="C1250" t="s">
        <v>4236</v>
      </c>
      <c r="D1250">
        <v>0.08</v>
      </c>
      <c r="E1250" t="s">
        <v>1720</v>
      </c>
      <c r="F1250" t="s">
        <v>1721</v>
      </c>
      <c r="G1250" t="s">
        <v>4403</v>
      </c>
      <c r="H1250" t="s">
        <v>4237</v>
      </c>
    </row>
    <row r="1251" spans="1:8" x14ac:dyDescent="0.35">
      <c r="A1251" t="s">
        <v>212</v>
      </c>
      <c r="B1251" t="s">
        <v>1039</v>
      </c>
      <c r="C1251" t="s">
        <v>4238</v>
      </c>
      <c r="D1251">
        <v>0.95</v>
      </c>
      <c r="E1251" t="s">
        <v>1720</v>
      </c>
      <c r="F1251" t="s">
        <v>1724</v>
      </c>
      <c r="G1251" t="s">
        <v>4404</v>
      </c>
      <c r="H1251" t="s">
        <v>4239</v>
      </c>
    </row>
    <row r="1252" spans="1:8" x14ac:dyDescent="0.35">
      <c r="A1252" t="s">
        <v>212</v>
      </c>
      <c r="B1252" t="s">
        <v>1039</v>
      </c>
      <c r="C1252" t="s">
        <v>4240</v>
      </c>
      <c r="D1252">
        <v>0.95</v>
      </c>
      <c r="E1252" t="s">
        <v>1720</v>
      </c>
      <c r="F1252" t="s">
        <v>1724</v>
      </c>
      <c r="G1252" t="s">
        <v>4402</v>
      </c>
      <c r="H1252" t="s">
        <v>4241</v>
      </c>
    </row>
    <row r="1253" spans="1:8" x14ac:dyDescent="0.35">
      <c r="A1253" t="s">
        <v>212</v>
      </c>
      <c r="B1253" t="s">
        <v>1039</v>
      </c>
      <c r="C1253" t="s">
        <v>4242</v>
      </c>
      <c r="D1253">
        <v>0.95</v>
      </c>
      <c r="E1253" t="s">
        <v>1720</v>
      </c>
      <c r="F1253" t="s">
        <v>1724</v>
      </c>
      <c r="G1253" t="s">
        <v>4405</v>
      </c>
      <c r="H1253" t="s">
        <v>4243</v>
      </c>
    </row>
    <row r="1254" spans="1:8" x14ac:dyDescent="0.35">
      <c r="A1254" t="s">
        <v>212</v>
      </c>
      <c r="B1254" t="s">
        <v>1039</v>
      </c>
      <c r="C1254" t="s">
        <v>4244</v>
      </c>
      <c r="D1254">
        <v>0.95</v>
      </c>
      <c r="E1254" t="s">
        <v>1720</v>
      </c>
      <c r="F1254" t="s">
        <v>1724</v>
      </c>
      <c r="G1254" t="s">
        <v>4406</v>
      </c>
      <c r="H1254" t="s">
        <v>4245</v>
      </c>
    </row>
    <row r="1255" spans="1:8" x14ac:dyDescent="0.35">
      <c r="A1255" t="s">
        <v>212</v>
      </c>
      <c r="B1255" t="s">
        <v>1039</v>
      </c>
      <c r="C1255" t="s">
        <v>4244</v>
      </c>
      <c r="D1255">
        <v>11</v>
      </c>
      <c r="E1255" t="s">
        <v>1720</v>
      </c>
      <c r="F1255" t="s">
        <v>1724</v>
      </c>
      <c r="G1255" t="s">
        <v>4407</v>
      </c>
      <c r="H1255" t="s">
        <v>4245</v>
      </c>
    </row>
    <row r="1256" spans="1:8" x14ac:dyDescent="0.35">
      <c r="A1256" t="s">
        <v>212</v>
      </c>
      <c r="B1256" t="s">
        <v>1039</v>
      </c>
      <c r="C1256" t="s">
        <v>4244</v>
      </c>
      <c r="D1256">
        <v>0.9</v>
      </c>
      <c r="E1256" t="s">
        <v>1720</v>
      </c>
      <c r="F1256" t="s">
        <v>1721</v>
      </c>
      <c r="G1256" t="s">
        <v>4407</v>
      </c>
      <c r="H1256" t="s">
        <v>4245</v>
      </c>
    </row>
    <row r="1257" spans="1:8" x14ac:dyDescent="0.35">
      <c r="A1257" t="s">
        <v>212</v>
      </c>
      <c r="B1257" t="s">
        <v>1039</v>
      </c>
      <c r="C1257" t="s">
        <v>4246</v>
      </c>
      <c r="D1257">
        <v>0.95</v>
      </c>
      <c r="E1257" t="s">
        <v>1720</v>
      </c>
      <c r="F1257" t="s">
        <v>1724</v>
      </c>
      <c r="G1257" t="s">
        <v>4402</v>
      </c>
      <c r="H1257" t="s">
        <v>4247</v>
      </c>
    </row>
    <row r="1258" spans="1:8" x14ac:dyDescent="0.35">
      <c r="A1258" t="s">
        <v>212</v>
      </c>
      <c r="B1258" t="s">
        <v>1039</v>
      </c>
      <c r="C1258" t="s">
        <v>4248</v>
      </c>
      <c r="D1258">
        <v>0.95</v>
      </c>
      <c r="E1258" t="s">
        <v>1720</v>
      </c>
      <c r="F1258" t="s">
        <v>1724</v>
      </c>
      <c r="G1258" t="s">
        <v>4402</v>
      </c>
      <c r="H1258" t="s">
        <v>4249</v>
      </c>
    </row>
    <row r="1259" spans="1:8" x14ac:dyDescent="0.35">
      <c r="A1259" t="s">
        <v>212</v>
      </c>
      <c r="B1259" t="s">
        <v>1039</v>
      </c>
      <c r="C1259" t="s">
        <v>4323</v>
      </c>
      <c r="D1259">
        <v>2</v>
      </c>
      <c r="E1259" t="s">
        <v>1720</v>
      </c>
      <c r="F1259" t="s">
        <v>1724</v>
      </c>
      <c r="G1259" t="s">
        <v>4428</v>
      </c>
      <c r="H1259" t="s">
        <v>4324</v>
      </c>
    </row>
    <row r="1260" spans="1:8" x14ac:dyDescent="0.35">
      <c r="A1260" t="s">
        <v>212</v>
      </c>
      <c r="B1260" t="s">
        <v>1039</v>
      </c>
      <c r="C1260" t="s">
        <v>4323</v>
      </c>
      <c r="D1260">
        <v>0.08</v>
      </c>
      <c r="E1260" t="s">
        <v>1720</v>
      </c>
      <c r="F1260" t="s">
        <v>1721</v>
      </c>
      <c r="G1260" t="s">
        <v>4428</v>
      </c>
      <c r="H1260" t="s">
        <v>4324</v>
      </c>
    </row>
    <row r="1261" spans="1:8" x14ac:dyDescent="0.35">
      <c r="A1261" t="s">
        <v>212</v>
      </c>
      <c r="B1261" t="s">
        <v>1039</v>
      </c>
      <c r="C1261" t="s">
        <v>4323</v>
      </c>
      <c r="D1261">
        <v>3.4</v>
      </c>
      <c r="E1261" t="s">
        <v>1720</v>
      </c>
      <c r="F1261" t="s">
        <v>1724</v>
      </c>
      <c r="G1261" t="s">
        <v>4429</v>
      </c>
      <c r="H1261" t="s">
        <v>4324</v>
      </c>
    </row>
    <row r="1262" spans="1:8" x14ac:dyDescent="0.35">
      <c r="A1262" t="s">
        <v>212</v>
      </c>
      <c r="B1262" t="s">
        <v>1039</v>
      </c>
      <c r="C1262" t="s">
        <v>4323</v>
      </c>
      <c r="D1262">
        <v>0.28000000000000003</v>
      </c>
      <c r="E1262" t="s">
        <v>1720</v>
      </c>
      <c r="F1262" t="s">
        <v>1721</v>
      </c>
      <c r="G1262" t="s">
        <v>4429</v>
      </c>
      <c r="H1262" t="s">
        <v>4324</v>
      </c>
    </row>
    <row r="1263" spans="1:8" x14ac:dyDescent="0.35">
      <c r="A1263" t="s">
        <v>212</v>
      </c>
      <c r="B1263" t="s">
        <v>1039</v>
      </c>
      <c r="C1263" t="s">
        <v>4323</v>
      </c>
      <c r="D1263">
        <v>7.6</v>
      </c>
      <c r="E1263" t="s">
        <v>1720</v>
      </c>
      <c r="F1263" t="s">
        <v>1724</v>
      </c>
      <c r="G1263" t="s">
        <v>4430</v>
      </c>
      <c r="H1263" t="s">
        <v>4324</v>
      </c>
    </row>
    <row r="1264" spans="1:8" x14ac:dyDescent="0.35">
      <c r="A1264" t="s">
        <v>212</v>
      </c>
      <c r="B1264" t="s">
        <v>1039</v>
      </c>
      <c r="C1264" t="s">
        <v>4323</v>
      </c>
      <c r="D1264">
        <v>0.61</v>
      </c>
      <c r="E1264" t="s">
        <v>1720</v>
      </c>
      <c r="F1264" t="s">
        <v>1721</v>
      </c>
      <c r="G1264" t="s">
        <v>4430</v>
      </c>
      <c r="H1264" t="s">
        <v>4324</v>
      </c>
    </row>
    <row r="1265" spans="1:8" x14ac:dyDescent="0.35">
      <c r="A1265" t="s">
        <v>212</v>
      </c>
      <c r="B1265" t="s">
        <v>1039</v>
      </c>
      <c r="C1265" t="s">
        <v>4323</v>
      </c>
      <c r="D1265">
        <v>11</v>
      </c>
      <c r="E1265" t="s">
        <v>1720</v>
      </c>
      <c r="F1265" t="s">
        <v>1724</v>
      </c>
      <c r="G1265" t="s">
        <v>4446</v>
      </c>
      <c r="H1265" t="s">
        <v>4324</v>
      </c>
    </row>
    <row r="1266" spans="1:8" x14ac:dyDescent="0.35">
      <c r="A1266" t="s">
        <v>212</v>
      </c>
      <c r="B1266" t="s">
        <v>1039</v>
      </c>
      <c r="C1266" t="s">
        <v>4323</v>
      </c>
      <c r="D1266">
        <v>0.9</v>
      </c>
      <c r="E1266" t="s">
        <v>1720</v>
      </c>
      <c r="F1266" t="s">
        <v>1721</v>
      </c>
      <c r="G1266" t="s">
        <v>4446</v>
      </c>
      <c r="H1266" t="s">
        <v>4324</v>
      </c>
    </row>
    <row r="1267" spans="1:8" x14ac:dyDescent="0.35">
      <c r="A1267" t="s">
        <v>212</v>
      </c>
      <c r="B1267" t="s">
        <v>1039</v>
      </c>
      <c r="C1267" t="s">
        <v>4252</v>
      </c>
      <c r="D1267">
        <v>0.95</v>
      </c>
      <c r="E1267" t="s">
        <v>1720</v>
      </c>
      <c r="F1267" t="s">
        <v>1724</v>
      </c>
      <c r="G1267" t="s">
        <v>4402</v>
      </c>
      <c r="H1267" t="s">
        <v>4253</v>
      </c>
    </row>
    <row r="1268" spans="1:8" x14ac:dyDescent="0.35">
      <c r="A1268" t="s">
        <v>212</v>
      </c>
      <c r="B1268" t="s">
        <v>1039</v>
      </c>
      <c r="C1268" t="s">
        <v>4252</v>
      </c>
      <c r="D1268">
        <v>0.08</v>
      </c>
      <c r="E1268" t="s">
        <v>1720</v>
      </c>
      <c r="F1268" t="s">
        <v>1721</v>
      </c>
      <c r="G1268" t="s">
        <v>4402</v>
      </c>
      <c r="H1268" t="s">
        <v>4253</v>
      </c>
    </row>
    <row r="1269" spans="1:8" x14ac:dyDescent="0.35">
      <c r="A1269" t="s">
        <v>212</v>
      </c>
      <c r="B1269" t="s">
        <v>1039</v>
      </c>
      <c r="C1269" t="s">
        <v>4250</v>
      </c>
      <c r="D1269">
        <v>0.95</v>
      </c>
      <c r="E1269" t="s">
        <v>1720</v>
      </c>
      <c r="F1269" t="s">
        <v>1724</v>
      </c>
      <c r="G1269" t="s">
        <v>4402</v>
      </c>
      <c r="H1269" t="s">
        <v>4251</v>
      </c>
    </row>
    <row r="1270" spans="1:8" x14ac:dyDescent="0.35">
      <c r="A1270" t="s">
        <v>212</v>
      </c>
      <c r="B1270" t="s">
        <v>1039</v>
      </c>
      <c r="C1270" t="s">
        <v>4254</v>
      </c>
      <c r="D1270">
        <v>0.95</v>
      </c>
      <c r="E1270" t="s">
        <v>1720</v>
      </c>
      <c r="F1270" t="s">
        <v>1724</v>
      </c>
      <c r="G1270" t="s">
        <v>4402</v>
      </c>
      <c r="H1270" t="s">
        <v>4255</v>
      </c>
    </row>
    <row r="1271" spans="1:8" x14ac:dyDescent="0.35">
      <c r="A1271" t="s">
        <v>212</v>
      </c>
      <c r="B1271" t="s">
        <v>1039</v>
      </c>
      <c r="C1271" t="s">
        <v>4358</v>
      </c>
      <c r="D1271">
        <v>0.95</v>
      </c>
      <c r="E1271" t="s">
        <v>1720</v>
      </c>
      <c r="F1271" t="s">
        <v>1724</v>
      </c>
      <c r="G1271" t="s">
        <v>4402</v>
      </c>
      <c r="H1271" t="s">
        <v>4359</v>
      </c>
    </row>
    <row r="1272" spans="1:8" x14ac:dyDescent="0.35">
      <c r="A1272" t="s">
        <v>212</v>
      </c>
      <c r="B1272" t="s">
        <v>1039</v>
      </c>
      <c r="C1272" t="s">
        <v>4352</v>
      </c>
      <c r="D1272">
        <v>0.95</v>
      </c>
      <c r="E1272" t="s">
        <v>1720</v>
      </c>
      <c r="F1272" t="s">
        <v>1724</v>
      </c>
      <c r="G1272" t="s">
        <v>4462</v>
      </c>
      <c r="H1272" t="s">
        <v>4353</v>
      </c>
    </row>
    <row r="1273" spans="1:8" x14ac:dyDescent="0.35">
      <c r="A1273" t="s">
        <v>212</v>
      </c>
      <c r="B1273" t="s">
        <v>1039</v>
      </c>
      <c r="C1273" t="s">
        <v>4319</v>
      </c>
      <c r="D1273">
        <v>0.08</v>
      </c>
      <c r="E1273" t="s">
        <v>1720</v>
      </c>
      <c r="F1273" t="s">
        <v>1721</v>
      </c>
      <c r="G1273" t="s">
        <v>4402</v>
      </c>
      <c r="H1273" t="s">
        <v>4320</v>
      </c>
    </row>
    <row r="1274" spans="1:8" x14ac:dyDescent="0.35">
      <c r="A1274" t="s">
        <v>212</v>
      </c>
      <c r="B1274" t="s">
        <v>1039</v>
      </c>
      <c r="C1274" t="s">
        <v>4319</v>
      </c>
      <c r="D1274">
        <v>0.95</v>
      </c>
      <c r="E1274" t="s">
        <v>1720</v>
      </c>
      <c r="F1274" t="s">
        <v>1724</v>
      </c>
      <c r="G1274" t="s">
        <v>4402</v>
      </c>
      <c r="H1274" t="s">
        <v>4320</v>
      </c>
    </row>
    <row r="1275" spans="1:8" x14ac:dyDescent="0.35">
      <c r="A1275" t="s">
        <v>212</v>
      </c>
      <c r="B1275" t="s">
        <v>1039</v>
      </c>
      <c r="C1275" t="s">
        <v>4260</v>
      </c>
      <c r="D1275">
        <v>0.95</v>
      </c>
      <c r="E1275" t="s">
        <v>1720</v>
      </c>
      <c r="F1275" t="s">
        <v>1724</v>
      </c>
      <c r="G1275" t="s">
        <v>4409</v>
      </c>
      <c r="H1275" t="s">
        <v>4261</v>
      </c>
    </row>
    <row r="1276" spans="1:8" x14ac:dyDescent="0.35">
      <c r="A1276" t="s">
        <v>212</v>
      </c>
      <c r="B1276" t="s">
        <v>1039</v>
      </c>
      <c r="C1276" t="s">
        <v>4268</v>
      </c>
      <c r="D1276">
        <v>0.95</v>
      </c>
      <c r="E1276" t="s">
        <v>1720</v>
      </c>
      <c r="F1276" t="s">
        <v>1724</v>
      </c>
      <c r="G1276" t="s">
        <v>4402</v>
      </c>
      <c r="H1276" t="s">
        <v>4269</v>
      </c>
    </row>
    <row r="1277" spans="1:8" x14ac:dyDescent="0.35">
      <c r="A1277" t="s">
        <v>212</v>
      </c>
      <c r="B1277" t="s">
        <v>1039</v>
      </c>
      <c r="C1277" t="s">
        <v>4264</v>
      </c>
      <c r="D1277">
        <v>0.95</v>
      </c>
      <c r="E1277" t="s">
        <v>1720</v>
      </c>
      <c r="F1277" t="s">
        <v>1724</v>
      </c>
      <c r="G1277" t="s">
        <v>4402</v>
      </c>
      <c r="H1277" t="s">
        <v>4265</v>
      </c>
    </row>
    <row r="1278" spans="1:8" x14ac:dyDescent="0.35">
      <c r="A1278" t="s">
        <v>212</v>
      </c>
      <c r="B1278" t="s">
        <v>1039</v>
      </c>
      <c r="C1278" t="s">
        <v>4266</v>
      </c>
      <c r="D1278">
        <v>0.95</v>
      </c>
      <c r="E1278" t="s">
        <v>1720</v>
      </c>
      <c r="F1278" t="s">
        <v>1724</v>
      </c>
      <c r="G1278" t="s">
        <v>4402</v>
      </c>
      <c r="H1278" t="s">
        <v>4267</v>
      </c>
    </row>
    <row r="1279" spans="1:8" x14ac:dyDescent="0.35">
      <c r="A1279" t="s">
        <v>212</v>
      </c>
      <c r="B1279" t="s">
        <v>1039</v>
      </c>
      <c r="C1279" t="s">
        <v>4272</v>
      </c>
      <c r="D1279">
        <v>0.95</v>
      </c>
      <c r="E1279" t="s">
        <v>1720</v>
      </c>
      <c r="F1279" t="s">
        <v>1724</v>
      </c>
      <c r="G1279" t="s">
        <v>4402</v>
      </c>
      <c r="H1279" t="s">
        <v>4304</v>
      </c>
    </row>
    <row r="1280" spans="1:8" x14ac:dyDescent="0.35">
      <c r="A1280" t="s">
        <v>212</v>
      </c>
      <c r="B1280" t="s">
        <v>1039</v>
      </c>
      <c r="C1280" t="s">
        <v>4270</v>
      </c>
      <c r="D1280">
        <v>0.95</v>
      </c>
      <c r="E1280" t="s">
        <v>1720</v>
      </c>
      <c r="G1280" t="s">
        <v>4411</v>
      </c>
      <c r="H1280" t="s">
        <v>4271</v>
      </c>
    </row>
    <row r="1281" spans="1:8" x14ac:dyDescent="0.35">
      <c r="A1281" t="s">
        <v>212</v>
      </c>
      <c r="B1281" t="s">
        <v>1039</v>
      </c>
      <c r="C1281" t="s">
        <v>4276</v>
      </c>
      <c r="D1281">
        <v>0.95</v>
      </c>
      <c r="E1281" t="s">
        <v>1720</v>
      </c>
      <c r="F1281" t="s">
        <v>1724</v>
      </c>
      <c r="G1281" t="s">
        <v>4413</v>
      </c>
      <c r="H1281" t="s">
        <v>4277</v>
      </c>
    </row>
    <row r="1282" spans="1:8" x14ac:dyDescent="0.35">
      <c r="A1282" t="s">
        <v>212</v>
      </c>
      <c r="B1282" t="s">
        <v>1039</v>
      </c>
      <c r="C1282" t="s">
        <v>4276</v>
      </c>
      <c r="D1282">
        <v>0.08</v>
      </c>
      <c r="E1282" t="s">
        <v>1720</v>
      </c>
      <c r="F1282" t="s">
        <v>1721</v>
      </c>
      <c r="G1282" t="s">
        <v>4413</v>
      </c>
      <c r="H1282" t="s">
        <v>4277</v>
      </c>
    </row>
    <row r="1283" spans="1:8" x14ac:dyDescent="0.35">
      <c r="A1283" t="s">
        <v>212</v>
      </c>
      <c r="B1283" t="s">
        <v>1039</v>
      </c>
      <c r="C1283" t="s">
        <v>4278</v>
      </c>
      <c r="D1283">
        <v>0.95</v>
      </c>
      <c r="E1283" t="s">
        <v>1720</v>
      </c>
      <c r="F1283" t="s">
        <v>1721</v>
      </c>
      <c r="G1283" t="s">
        <v>4414</v>
      </c>
      <c r="H1283" t="s">
        <v>4279</v>
      </c>
    </row>
    <row r="1284" spans="1:8" x14ac:dyDescent="0.35">
      <c r="A1284" t="s">
        <v>212</v>
      </c>
      <c r="B1284" t="s">
        <v>1039</v>
      </c>
      <c r="C1284" t="s">
        <v>4256</v>
      </c>
      <c r="D1284">
        <v>0.95</v>
      </c>
      <c r="E1284" t="s">
        <v>1720</v>
      </c>
      <c r="F1284" t="s">
        <v>1724</v>
      </c>
      <c r="G1284" t="s">
        <v>4402</v>
      </c>
      <c r="H1284" t="s">
        <v>4257</v>
      </c>
    </row>
    <row r="1285" spans="1:8" x14ac:dyDescent="0.35">
      <c r="A1285" t="s">
        <v>212</v>
      </c>
      <c r="B1285" t="s">
        <v>1039</v>
      </c>
      <c r="C1285" t="s">
        <v>4282</v>
      </c>
      <c r="D1285">
        <v>0.95</v>
      </c>
      <c r="E1285" t="s">
        <v>1720</v>
      </c>
      <c r="F1285" t="s">
        <v>1724</v>
      </c>
      <c r="G1285" t="s">
        <v>4402</v>
      </c>
      <c r="H1285" t="s">
        <v>4283</v>
      </c>
    </row>
    <row r="1286" spans="1:8" x14ac:dyDescent="0.35">
      <c r="A1286" t="s">
        <v>212</v>
      </c>
      <c r="B1286" t="s">
        <v>1039</v>
      </c>
      <c r="C1286" t="s">
        <v>4280</v>
      </c>
      <c r="D1286">
        <v>0.95</v>
      </c>
      <c r="E1286" t="s">
        <v>1720</v>
      </c>
      <c r="F1286" t="s">
        <v>1724</v>
      </c>
      <c r="G1286" t="s">
        <v>4415</v>
      </c>
      <c r="H1286" t="s">
        <v>4281</v>
      </c>
    </row>
    <row r="1287" spans="1:8" x14ac:dyDescent="0.35">
      <c r="A1287" t="s">
        <v>212</v>
      </c>
      <c r="B1287" t="s">
        <v>1039</v>
      </c>
      <c r="C1287" t="s">
        <v>4274</v>
      </c>
      <c r="D1287">
        <v>0.95</v>
      </c>
      <c r="E1287" t="s">
        <v>1720</v>
      </c>
      <c r="F1287" t="s">
        <v>1724</v>
      </c>
      <c r="G1287" t="s">
        <v>4412</v>
      </c>
      <c r="H1287" t="s">
        <v>4275</v>
      </c>
    </row>
    <row r="1288" spans="1:8" x14ac:dyDescent="0.35">
      <c r="A1288" t="s">
        <v>212</v>
      </c>
      <c r="B1288" t="s">
        <v>1039</v>
      </c>
      <c r="C1288" t="s">
        <v>4284</v>
      </c>
      <c r="D1288">
        <v>0.16</v>
      </c>
      <c r="E1288" t="s">
        <v>1720</v>
      </c>
      <c r="G1288" t="s">
        <v>4416</v>
      </c>
      <c r="H1288" t="s">
        <v>4285</v>
      </c>
    </row>
    <row r="1289" spans="1:8" x14ac:dyDescent="0.35">
      <c r="A1289" t="s">
        <v>212</v>
      </c>
      <c r="B1289" t="s">
        <v>1039</v>
      </c>
      <c r="C1289" t="s">
        <v>4298</v>
      </c>
      <c r="D1289">
        <v>0.95</v>
      </c>
      <c r="E1289" t="s">
        <v>1720</v>
      </c>
      <c r="F1289" t="s">
        <v>1724</v>
      </c>
      <c r="G1289" t="s">
        <v>4419</v>
      </c>
      <c r="H1289" t="s">
        <v>4299</v>
      </c>
    </row>
    <row r="1290" spans="1:8" x14ac:dyDescent="0.35">
      <c r="A1290" t="s">
        <v>212</v>
      </c>
      <c r="B1290" t="s">
        <v>1039</v>
      </c>
      <c r="C1290" t="s">
        <v>4354</v>
      </c>
      <c r="D1290">
        <v>1.0999999999999999E-2</v>
      </c>
      <c r="E1290" t="s">
        <v>1720</v>
      </c>
      <c r="F1290" t="s">
        <v>1721</v>
      </c>
      <c r="G1290" t="s">
        <v>4402</v>
      </c>
      <c r="H1290" t="s">
        <v>4355</v>
      </c>
    </row>
    <row r="1291" spans="1:8" x14ac:dyDescent="0.35">
      <c r="A1291" t="s">
        <v>212</v>
      </c>
      <c r="B1291" t="s">
        <v>1039</v>
      </c>
      <c r="C1291" t="s">
        <v>4290</v>
      </c>
      <c r="D1291">
        <v>0.95</v>
      </c>
      <c r="E1291" t="s">
        <v>1720</v>
      </c>
      <c r="F1291" t="s">
        <v>1724</v>
      </c>
      <c r="G1291" t="s">
        <v>4402</v>
      </c>
      <c r="H1291" t="s">
        <v>4291</v>
      </c>
    </row>
    <row r="1292" spans="1:8" x14ac:dyDescent="0.35">
      <c r="A1292" t="s">
        <v>212</v>
      </c>
      <c r="B1292" t="s">
        <v>1039</v>
      </c>
      <c r="C1292" t="s">
        <v>4290</v>
      </c>
      <c r="D1292">
        <v>0.08</v>
      </c>
      <c r="E1292" t="s">
        <v>1720</v>
      </c>
      <c r="F1292" t="s">
        <v>1721</v>
      </c>
      <c r="G1292" t="s">
        <v>4402</v>
      </c>
      <c r="H1292" t="s">
        <v>4291</v>
      </c>
    </row>
    <row r="1293" spans="1:8" x14ac:dyDescent="0.35">
      <c r="A1293" t="s">
        <v>212</v>
      </c>
      <c r="B1293" t="s">
        <v>1039</v>
      </c>
      <c r="C1293" t="s">
        <v>4288</v>
      </c>
      <c r="D1293">
        <v>0.95</v>
      </c>
      <c r="E1293" t="s">
        <v>1720</v>
      </c>
      <c r="F1293" t="s">
        <v>1724</v>
      </c>
      <c r="G1293" t="s">
        <v>4415</v>
      </c>
      <c r="H1293" t="s">
        <v>4289</v>
      </c>
    </row>
    <row r="1294" spans="1:8" x14ac:dyDescent="0.35">
      <c r="A1294" t="s">
        <v>212</v>
      </c>
      <c r="B1294" t="s">
        <v>1039</v>
      </c>
      <c r="C1294" t="s">
        <v>4302</v>
      </c>
      <c r="D1294">
        <v>0.95</v>
      </c>
      <c r="E1294" t="s">
        <v>1720</v>
      </c>
      <c r="F1294" t="s">
        <v>1724</v>
      </c>
      <c r="G1294" t="s">
        <v>4420</v>
      </c>
      <c r="H1294" t="s">
        <v>4303</v>
      </c>
    </row>
    <row r="1295" spans="1:8" x14ac:dyDescent="0.35">
      <c r="A1295" t="s">
        <v>212</v>
      </c>
      <c r="B1295" t="s">
        <v>1039</v>
      </c>
      <c r="C1295" t="s">
        <v>4292</v>
      </c>
      <c r="D1295">
        <v>0.95</v>
      </c>
      <c r="E1295" t="s">
        <v>1720</v>
      </c>
      <c r="F1295" t="s">
        <v>1724</v>
      </c>
      <c r="G1295" t="s">
        <v>4402</v>
      </c>
      <c r="H1295" t="s">
        <v>4293</v>
      </c>
    </row>
    <row r="1296" spans="1:8" x14ac:dyDescent="0.35">
      <c r="A1296" t="s">
        <v>212</v>
      </c>
      <c r="B1296" t="s">
        <v>1039</v>
      </c>
      <c r="C1296" t="s">
        <v>4294</v>
      </c>
      <c r="D1296">
        <v>0.95</v>
      </c>
      <c r="E1296" t="s">
        <v>1720</v>
      </c>
      <c r="F1296" t="s">
        <v>1724</v>
      </c>
      <c r="G1296" t="s">
        <v>4418</v>
      </c>
      <c r="H1296" t="s">
        <v>4295</v>
      </c>
    </row>
    <row r="1297" spans="1:8" x14ac:dyDescent="0.35">
      <c r="A1297" t="s">
        <v>212</v>
      </c>
      <c r="B1297" t="s">
        <v>1039</v>
      </c>
      <c r="C1297" t="s">
        <v>4321</v>
      </c>
      <c r="D1297">
        <v>0.95</v>
      </c>
      <c r="E1297" t="s">
        <v>1720</v>
      </c>
      <c r="F1297" t="s">
        <v>1724</v>
      </c>
      <c r="G1297" t="s">
        <v>4427</v>
      </c>
      <c r="H1297" t="s">
        <v>4322</v>
      </c>
    </row>
    <row r="1298" spans="1:8" x14ac:dyDescent="0.35">
      <c r="A1298" t="s">
        <v>212</v>
      </c>
      <c r="B1298" t="s">
        <v>1039</v>
      </c>
      <c r="C1298" t="s">
        <v>4356</v>
      </c>
      <c r="D1298">
        <v>0.95</v>
      </c>
      <c r="E1298" t="s">
        <v>1720</v>
      </c>
      <c r="G1298" t="s">
        <v>4463</v>
      </c>
      <c r="H1298" t="s">
        <v>4357</v>
      </c>
    </row>
    <row r="1299" spans="1:8" x14ac:dyDescent="0.35">
      <c r="A1299" t="s">
        <v>212</v>
      </c>
      <c r="B1299" t="s">
        <v>1039</v>
      </c>
      <c r="C1299" t="s">
        <v>4356</v>
      </c>
      <c r="D1299">
        <v>1.9</v>
      </c>
      <c r="E1299" t="s">
        <v>1720</v>
      </c>
      <c r="F1299" t="s">
        <v>1724</v>
      </c>
      <c r="G1299" t="s">
        <v>4463</v>
      </c>
      <c r="H1299" t="s">
        <v>4357</v>
      </c>
    </row>
    <row r="1300" spans="1:8" x14ac:dyDescent="0.35">
      <c r="A1300" t="s">
        <v>212</v>
      </c>
      <c r="B1300" t="s">
        <v>1039</v>
      </c>
      <c r="C1300" t="s">
        <v>4356</v>
      </c>
      <c r="D1300">
        <v>0.95</v>
      </c>
      <c r="E1300" t="s">
        <v>1720</v>
      </c>
      <c r="G1300" t="s">
        <v>4464</v>
      </c>
      <c r="H1300" t="s">
        <v>4357</v>
      </c>
    </row>
    <row r="1301" spans="1:8" x14ac:dyDescent="0.35">
      <c r="A1301" t="s">
        <v>212</v>
      </c>
      <c r="B1301" t="s">
        <v>1039</v>
      </c>
      <c r="C1301" t="s">
        <v>4356</v>
      </c>
      <c r="D1301">
        <v>1.9</v>
      </c>
      <c r="E1301" t="s">
        <v>1720</v>
      </c>
      <c r="F1301" t="s">
        <v>1724</v>
      </c>
      <c r="G1301" t="s">
        <v>4464</v>
      </c>
      <c r="H1301" t="s">
        <v>4357</v>
      </c>
    </row>
    <row r="1302" spans="1:8" x14ac:dyDescent="0.35">
      <c r="A1302" t="s">
        <v>212</v>
      </c>
      <c r="B1302" t="s">
        <v>1039</v>
      </c>
      <c r="C1302" t="s">
        <v>4286</v>
      </c>
      <c r="D1302">
        <v>0.95</v>
      </c>
      <c r="E1302" t="s">
        <v>1720</v>
      </c>
      <c r="F1302" t="s">
        <v>1724</v>
      </c>
      <c r="G1302" t="s">
        <v>4402</v>
      </c>
      <c r="H1302" t="s">
        <v>4287</v>
      </c>
    </row>
    <row r="1303" spans="1:8" x14ac:dyDescent="0.35">
      <c r="A1303" t="s">
        <v>212</v>
      </c>
      <c r="B1303" t="s">
        <v>1039</v>
      </c>
      <c r="C1303" t="s">
        <v>4296</v>
      </c>
      <c r="D1303">
        <v>0.95</v>
      </c>
      <c r="E1303" t="s">
        <v>1720</v>
      </c>
      <c r="F1303" t="s">
        <v>1724</v>
      </c>
      <c r="G1303" t="s">
        <v>4402</v>
      </c>
      <c r="H1303" t="s">
        <v>4297</v>
      </c>
    </row>
    <row r="1304" spans="1:8" x14ac:dyDescent="0.35">
      <c r="A1304" t="s">
        <v>212</v>
      </c>
      <c r="B1304" t="s">
        <v>1039</v>
      </c>
      <c r="C1304" t="s">
        <v>4356</v>
      </c>
      <c r="D1304">
        <v>0.95</v>
      </c>
      <c r="E1304" t="s">
        <v>1720</v>
      </c>
      <c r="G1304" t="s">
        <v>4465</v>
      </c>
      <c r="H1304" t="s">
        <v>4357</v>
      </c>
    </row>
    <row r="1305" spans="1:8" x14ac:dyDescent="0.35">
      <c r="A1305" t="s">
        <v>212</v>
      </c>
      <c r="B1305" t="s">
        <v>1039</v>
      </c>
      <c r="C1305" t="s">
        <v>4356</v>
      </c>
      <c r="D1305">
        <v>1.9</v>
      </c>
      <c r="E1305" t="s">
        <v>1720</v>
      </c>
      <c r="F1305" t="s">
        <v>1724</v>
      </c>
      <c r="G1305" t="s">
        <v>4465</v>
      </c>
      <c r="H1305" t="s">
        <v>4357</v>
      </c>
    </row>
    <row r="1306" spans="1:8" x14ac:dyDescent="0.35">
      <c r="A1306" t="s">
        <v>272</v>
      </c>
      <c r="B1306" t="s">
        <v>1098</v>
      </c>
      <c r="C1306" t="s">
        <v>4213</v>
      </c>
      <c r="D1306">
        <v>100</v>
      </c>
      <c r="E1306" t="s">
        <v>1720</v>
      </c>
      <c r="F1306" t="s">
        <v>1721</v>
      </c>
      <c r="G1306" t="s">
        <v>4393</v>
      </c>
      <c r="H1306" t="s">
        <v>4214</v>
      </c>
    </row>
    <row r="1307" spans="1:8" x14ac:dyDescent="0.35">
      <c r="A1307" t="s">
        <v>272</v>
      </c>
      <c r="B1307" t="s">
        <v>1098</v>
      </c>
      <c r="C1307" t="s">
        <v>4213</v>
      </c>
      <c r="D1307">
        <v>390</v>
      </c>
      <c r="E1307" t="s">
        <v>1720</v>
      </c>
      <c r="F1307" t="s">
        <v>1724</v>
      </c>
      <c r="G1307" t="s">
        <v>4393</v>
      </c>
      <c r="H1307" t="s">
        <v>4214</v>
      </c>
    </row>
    <row r="1308" spans="1:8" x14ac:dyDescent="0.35">
      <c r="A1308" t="s">
        <v>277</v>
      </c>
      <c r="B1308" t="s">
        <v>1103</v>
      </c>
      <c r="C1308" t="s">
        <v>4248</v>
      </c>
      <c r="D1308">
        <v>2.4</v>
      </c>
      <c r="E1308" t="s">
        <v>1720</v>
      </c>
      <c r="F1308" t="s">
        <v>1724</v>
      </c>
      <c r="G1308" t="s">
        <v>4402</v>
      </c>
      <c r="H1308" t="s">
        <v>4249</v>
      </c>
    </row>
    <row r="1309" spans="1:8" x14ac:dyDescent="0.35">
      <c r="A1309" t="s">
        <v>277</v>
      </c>
      <c r="B1309" t="s">
        <v>1103</v>
      </c>
      <c r="C1309" t="s">
        <v>4248</v>
      </c>
      <c r="D1309">
        <v>4.3E-3</v>
      </c>
      <c r="E1309" t="s">
        <v>1720</v>
      </c>
      <c r="F1309" t="s">
        <v>1721</v>
      </c>
      <c r="G1309" t="s">
        <v>4402</v>
      </c>
      <c r="H1309" t="s">
        <v>4249</v>
      </c>
    </row>
    <row r="1310" spans="1:8" x14ac:dyDescent="0.35">
      <c r="A1310" t="s">
        <v>287</v>
      </c>
      <c r="B1310" t="s">
        <v>1112</v>
      </c>
      <c r="C1310" t="s">
        <v>4181</v>
      </c>
      <c r="D1310">
        <v>1E-3</v>
      </c>
      <c r="E1310" t="s">
        <v>1720</v>
      </c>
      <c r="F1310" t="s">
        <v>1721</v>
      </c>
      <c r="G1310" t="s">
        <v>4466</v>
      </c>
      <c r="H1310" t="s">
        <v>4182</v>
      </c>
    </row>
    <row r="1311" spans="1:8" x14ac:dyDescent="0.35">
      <c r="A1311" t="s">
        <v>287</v>
      </c>
      <c r="B1311" t="s">
        <v>1112</v>
      </c>
      <c r="C1311" t="s">
        <v>4181</v>
      </c>
      <c r="D1311">
        <v>0.55000000000000004</v>
      </c>
      <c r="E1311" t="s">
        <v>1720</v>
      </c>
      <c r="F1311" t="s">
        <v>1724</v>
      </c>
      <c r="G1311" t="s">
        <v>4466</v>
      </c>
      <c r="H1311" t="s">
        <v>4182</v>
      </c>
    </row>
    <row r="1312" spans="1:8" x14ac:dyDescent="0.35">
      <c r="A1312" t="s">
        <v>287</v>
      </c>
      <c r="B1312" t="s">
        <v>1112</v>
      </c>
      <c r="C1312" t="s">
        <v>4183</v>
      </c>
      <c r="D1312">
        <v>1E-3</v>
      </c>
      <c r="E1312" t="s">
        <v>1720</v>
      </c>
      <c r="F1312" t="s">
        <v>1721</v>
      </c>
      <c r="G1312" t="s">
        <v>4382</v>
      </c>
      <c r="H1312" t="s">
        <v>4184</v>
      </c>
    </row>
    <row r="1313" spans="1:8" x14ac:dyDescent="0.35">
      <c r="A1313" t="s">
        <v>287</v>
      </c>
      <c r="B1313" t="s">
        <v>1112</v>
      </c>
      <c r="C1313" t="s">
        <v>4183</v>
      </c>
      <c r="D1313">
        <v>1.1000000000000001</v>
      </c>
      <c r="E1313" t="s">
        <v>1720</v>
      </c>
      <c r="F1313" t="s">
        <v>1724</v>
      </c>
      <c r="G1313" t="s">
        <v>4382</v>
      </c>
      <c r="H1313" t="s">
        <v>4184</v>
      </c>
    </row>
    <row r="1314" spans="1:8" x14ac:dyDescent="0.35">
      <c r="A1314" t="s">
        <v>287</v>
      </c>
      <c r="B1314" t="s">
        <v>1112</v>
      </c>
      <c r="C1314" t="s">
        <v>4179</v>
      </c>
      <c r="D1314">
        <v>1E-3</v>
      </c>
      <c r="E1314" t="s">
        <v>1720</v>
      </c>
      <c r="F1314" t="s">
        <v>1721</v>
      </c>
      <c r="G1314" t="s">
        <v>4380</v>
      </c>
      <c r="H1314" t="s">
        <v>4180</v>
      </c>
    </row>
    <row r="1315" spans="1:8" x14ac:dyDescent="0.35">
      <c r="A1315" t="s">
        <v>287</v>
      </c>
      <c r="B1315" t="s">
        <v>1112</v>
      </c>
      <c r="C1315" t="s">
        <v>4179</v>
      </c>
      <c r="D1315">
        <v>1.1000000000000001</v>
      </c>
      <c r="E1315" t="s">
        <v>1720</v>
      </c>
      <c r="F1315" t="s">
        <v>1724</v>
      </c>
      <c r="G1315" t="s">
        <v>4380</v>
      </c>
      <c r="H1315" t="s">
        <v>4180</v>
      </c>
    </row>
    <row r="1316" spans="1:8" x14ac:dyDescent="0.35">
      <c r="A1316" t="s">
        <v>287</v>
      </c>
      <c r="B1316" t="s">
        <v>1112</v>
      </c>
      <c r="C1316" t="s">
        <v>4187</v>
      </c>
      <c r="D1316">
        <v>1E-3</v>
      </c>
      <c r="E1316" t="s">
        <v>1720</v>
      </c>
      <c r="F1316" t="s">
        <v>1721</v>
      </c>
      <c r="G1316" t="s">
        <v>4384</v>
      </c>
      <c r="H1316" t="s">
        <v>4188</v>
      </c>
    </row>
    <row r="1317" spans="1:8" x14ac:dyDescent="0.35">
      <c r="A1317" t="s">
        <v>287</v>
      </c>
      <c r="B1317" t="s">
        <v>1112</v>
      </c>
      <c r="C1317" t="s">
        <v>4187</v>
      </c>
      <c r="D1317">
        <v>1.1000000000000001</v>
      </c>
      <c r="E1317" t="s">
        <v>1720</v>
      </c>
      <c r="F1317" t="s">
        <v>1724</v>
      </c>
      <c r="G1317" t="s">
        <v>4384</v>
      </c>
      <c r="H1317" t="s">
        <v>4188</v>
      </c>
    </row>
    <row r="1318" spans="1:8" x14ac:dyDescent="0.35">
      <c r="A1318" t="s">
        <v>287</v>
      </c>
      <c r="B1318" t="s">
        <v>1112</v>
      </c>
      <c r="C1318" t="s">
        <v>4185</v>
      </c>
      <c r="D1318">
        <v>1E-3</v>
      </c>
      <c r="E1318" t="s">
        <v>1720</v>
      </c>
      <c r="F1318" t="s">
        <v>1721</v>
      </c>
      <c r="G1318" t="s">
        <v>4383</v>
      </c>
      <c r="H1318" t="s">
        <v>4186</v>
      </c>
    </row>
    <row r="1319" spans="1:8" x14ac:dyDescent="0.35">
      <c r="A1319" t="s">
        <v>287</v>
      </c>
      <c r="B1319" t="s">
        <v>1112</v>
      </c>
      <c r="C1319" t="s">
        <v>4307</v>
      </c>
      <c r="D1319">
        <v>1E-3</v>
      </c>
      <c r="E1319" t="s">
        <v>1720</v>
      </c>
      <c r="F1319" t="s">
        <v>1721</v>
      </c>
      <c r="G1319" t="s">
        <v>4431</v>
      </c>
      <c r="H1319" t="s">
        <v>4325</v>
      </c>
    </row>
    <row r="1320" spans="1:8" x14ac:dyDescent="0.35">
      <c r="A1320" t="s">
        <v>287</v>
      </c>
      <c r="B1320" t="s">
        <v>1112</v>
      </c>
      <c r="C1320" t="s">
        <v>4185</v>
      </c>
      <c r="D1320">
        <v>1.1000000000000001</v>
      </c>
      <c r="E1320" t="s">
        <v>1720</v>
      </c>
      <c r="F1320" t="s">
        <v>1724</v>
      </c>
      <c r="G1320" t="s">
        <v>4383</v>
      </c>
      <c r="H1320" t="s">
        <v>4186</v>
      </c>
    </row>
    <row r="1321" spans="1:8" x14ac:dyDescent="0.35">
      <c r="A1321" t="s">
        <v>287</v>
      </c>
      <c r="B1321" t="s">
        <v>1112</v>
      </c>
      <c r="C1321" t="s">
        <v>4189</v>
      </c>
      <c r="D1321">
        <v>1E-3</v>
      </c>
      <c r="E1321" t="s">
        <v>1720</v>
      </c>
      <c r="F1321" t="s">
        <v>1721</v>
      </c>
      <c r="G1321" t="s">
        <v>4385</v>
      </c>
      <c r="H1321" t="s">
        <v>4190</v>
      </c>
    </row>
    <row r="1322" spans="1:8" x14ac:dyDescent="0.35">
      <c r="A1322" t="s">
        <v>287</v>
      </c>
      <c r="B1322" t="s">
        <v>1112</v>
      </c>
      <c r="C1322" t="s">
        <v>4189</v>
      </c>
      <c r="D1322">
        <v>1.1000000000000001</v>
      </c>
      <c r="E1322" t="s">
        <v>1720</v>
      </c>
      <c r="F1322" t="s">
        <v>1724</v>
      </c>
      <c r="G1322" t="s">
        <v>4385</v>
      </c>
      <c r="H1322" t="s">
        <v>4190</v>
      </c>
    </row>
    <row r="1323" spans="1:8" x14ac:dyDescent="0.35">
      <c r="A1323" t="s">
        <v>287</v>
      </c>
      <c r="B1323" t="s">
        <v>1112</v>
      </c>
      <c r="C1323" t="s">
        <v>4307</v>
      </c>
      <c r="D1323">
        <v>1.1000000000000001</v>
      </c>
      <c r="E1323" t="s">
        <v>1720</v>
      </c>
      <c r="F1323" t="s">
        <v>1724</v>
      </c>
      <c r="G1323" t="s">
        <v>4431</v>
      </c>
      <c r="H1323" t="s">
        <v>4325</v>
      </c>
    </row>
    <row r="1324" spans="1:8" x14ac:dyDescent="0.35">
      <c r="A1324" t="s">
        <v>287</v>
      </c>
      <c r="B1324" t="s">
        <v>1112</v>
      </c>
      <c r="C1324" t="s">
        <v>4307</v>
      </c>
      <c r="D1324">
        <v>1E-3</v>
      </c>
      <c r="E1324" t="s">
        <v>1720</v>
      </c>
      <c r="F1324" t="s">
        <v>1721</v>
      </c>
      <c r="G1324" t="s">
        <v>4422</v>
      </c>
      <c r="H1324" t="s">
        <v>4308</v>
      </c>
    </row>
    <row r="1325" spans="1:8" x14ac:dyDescent="0.35">
      <c r="A1325" t="s">
        <v>287</v>
      </c>
      <c r="B1325" t="s">
        <v>1112</v>
      </c>
      <c r="C1325" t="s">
        <v>4307</v>
      </c>
      <c r="D1325">
        <v>1.1000000000000001</v>
      </c>
      <c r="E1325" t="s">
        <v>1720</v>
      </c>
      <c r="F1325" t="s">
        <v>1724</v>
      </c>
      <c r="G1325" t="s">
        <v>4422</v>
      </c>
      <c r="H1325" t="s">
        <v>4308</v>
      </c>
    </row>
    <row r="1326" spans="1:8" x14ac:dyDescent="0.35">
      <c r="A1326" t="s">
        <v>287</v>
      </c>
      <c r="B1326" t="s">
        <v>1112</v>
      </c>
      <c r="C1326" t="s">
        <v>4191</v>
      </c>
      <c r="D1326">
        <v>1E-3</v>
      </c>
      <c r="E1326" t="s">
        <v>1720</v>
      </c>
      <c r="F1326" t="s">
        <v>1721</v>
      </c>
      <c r="G1326" t="s">
        <v>4383</v>
      </c>
      <c r="H1326" t="s">
        <v>4192</v>
      </c>
    </row>
    <row r="1327" spans="1:8" x14ac:dyDescent="0.35">
      <c r="A1327" t="s">
        <v>287</v>
      </c>
      <c r="B1327" t="s">
        <v>1112</v>
      </c>
      <c r="C1327" t="s">
        <v>4191</v>
      </c>
      <c r="D1327">
        <v>1.1000000000000001</v>
      </c>
      <c r="E1327" t="s">
        <v>1720</v>
      </c>
      <c r="F1327" t="s">
        <v>1724</v>
      </c>
      <c r="G1327" t="s">
        <v>4383</v>
      </c>
      <c r="H1327" t="s">
        <v>4192</v>
      </c>
    </row>
    <row r="1328" spans="1:8" x14ac:dyDescent="0.35">
      <c r="A1328" t="s">
        <v>287</v>
      </c>
      <c r="B1328" t="s">
        <v>1112</v>
      </c>
      <c r="C1328" t="s">
        <v>4327</v>
      </c>
      <c r="D1328">
        <v>1</v>
      </c>
      <c r="E1328" t="s">
        <v>1720</v>
      </c>
      <c r="F1328" t="s">
        <v>1721</v>
      </c>
      <c r="G1328" t="s">
        <v>4434</v>
      </c>
      <c r="H1328" t="s">
        <v>4328</v>
      </c>
    </row>
    <row r="1329" spans="1:8" x14ac:dyDescent="0.35">
      <c r="A1329" t="s">
        <v>287</v>
      </c>
      <c r="B1329" t="s">
        <v>1112</v>
      </c>
      <c r="C1329" t="s">
        <v>4327</v>
      </c>
      <c r="D1329">
        <v>1100</v>
      </c>
      <c r="E1329" t="s">
        <v>1720</v>
      </c>
      <c r="F1329" t="s">
        <v>1724</v>
      </c>
      <c r="G1329" t="s">
        <v>4434</v>
      </c>
      <c r="H1329" t="s">
        <v>4328</v>
      </c>
    </row>
    <row r="1330" spans="1:8" x14ac:dyDescent="0.35">
      <c r="A1330" t="s">
        <v>287</v>
      </c>
      <c r="B1330" t="s">
        <v>1112</v>
      </c>
      <c r="C1330" t="s">
        <v>4327</v>
      </c>
      <c r="D1330">
        <v>1</v>
      </c>
      <c r="E1330" t="s">
        <v>1720</v>
      </c>
      <c r="F1330" t="s">
        <v>1721</v>
      </c>
      <c r="G1330" t="s">
        <v>4435</v>
      </c>
      <c r="H1330" t="s">
        <v>4328</v>
      </c>
    </row>
    <row r="1331" spans="1:8" x14ac:dyDescent="0.35">
      <c r="A1331" t="s">
        <v>287</v>
      </c>
      <c r="B1331" t="s">
        <v>1112</v>
      </c>
      <c r="C1331" t="s">
        <v>4327</v>
      </c>
      <c r="D1331">
        <v>1100</v>
      </c>
      <c r="E1331" t="s">
        <v>1720</v>
      </c>
      <c r="F1331" t="s">
        <v>1724</v>
      </c>
      <c r="G1331" t="s">
        <v>4435</v>
      </c>
      <c r="H1331" t="s">
        <v>4328</v>
      </c>
    </row>
    <row r="1332" spans="1:8" x14ac:dyDescent="0.35">
      <c r="A1332" t="s">
        <v>287</v>
      </c>
      <c r="B1332" t="s">
        <v>1112</v>
      </c>
      <c r="C1332" t="s">
        <v>4193</v>
      </c>
      <c r="D1332">
        <v>1E-3</v>
      </c>
      <c r="E1332" t="s">
        <v>1720</v>
      </c>
      <c r="F1332" t="s">
        <v>1721</v>
      </c>
      <c r="G1332" t="s">
        <v>4386</v>
      </c>
      <c r="H1332" t="s">
        <v>4194</v>
      </c>
    </row>
    <row r="1333" spans="1:8" x14ac:dyDescent="0.35">
      <c r="A1333" t="s">
        <v>287</v>
      </c>
      <c r="B1333" t="s">
        <v>1112</v>
      </c>
      <c r="C1333" t="s">
        <v>4193</v>
      </c>
      <c r="D1333">
        <v>1.1000000000000001</v>
      </c>
      <c r="E1333" t="s">
        <v>1720</v>
      </c>
      <c r="F1333" t="s">
        <v>1724</v>
      </c>
      <c r="G1333" t="s">
        <v>4386</v>
      </c>
      <c r="H1333" t="s">
        <v>4194</v>
      </c>
    </row>
    <row r="1334" spans="1:8" x14ac:dyDescent="0.35">
      <c r="A1334" t="s">
        <v>287</v>
      </c>
      <c r="B1334" t="s">
        <v>1112</v>
      </c>
      <c r="C1334" t="s">
        <v>4309</v>
      </c>
      <c r="D1334">
        <v>1E-3</v>
      </c>
      <c r="E1334" t="s">
        <v>1720</v>
      </c>
      <c r="F1334" t="s">
        <v>1721</v>
      </c>
      <c r="G1334" t="s">
        <v>4396</v>
      </c>
      <c r="H1334" t="s">
        <v>4310</v>
      </c>
    </row>
    <row r="1335" spans="1:8" x14ac:dyDescent="0.35">
      <c r="A1335" t="s">
        <v>287</v>
      </c>
      <c r="B1335" t="s">
        <v>1112</v>
      </c>
      <c r="C1335" t="s">
        <v>4309</v>
      </c>
      <c r="D1335">
        <v>1.1000000000000001</v>
      </c>
      <c r="E1335" t="s">
        <v>1720</v>
      </c>
      <c r="F1335" t="s">
        <v>1724</v>
      </c>
      <c r="G1335" t="s">
        <v>4396</v>
      </c>
      <c r="H1335" t="s">
        <v>4310</v>
      </c>
    </row>
    <row r="1336" spans="1:8" x14ac:dyDescent="0.35">
      <c r="A1336" t="s">
        <v>287</v>
      </c>
      <c r="B1336" t="s">
        <v>1112</v>
      </c>
      <c r="C1336" t="s">
        <v>4195</v>
      </c>
      <c r="D1336">
        <v>1E-3</v>
      </c>
      <c r="E1336" t="s">
        <v>1720</v>
      </c>
      <c r="F1336" t="s">
        <v>1721</v>
      </c>
      <c r="G1336" t="s">
        <v>4387</v>
      </c>
      <c r="H1336" t="s">
        <v>4196</v>
      </c>
    </row>
    <row r="1337" spans="1:8" x14ac:dyDescent="0.35">
      <c r="A1337" t="s">
        <v>287</v>
      </c>
      <c r="B1337" t="s">
        <v>1112</v>
      </c>
      <c r="C1337" t="s">
        <v>4195</v>
      </c>
      <c r="D1337">
        <v>1.1000000000000001</v>
      </c>
      <c r="E1337" t="s">
        <v>1720</v>
      </c>
      <c r="F1337" t="s">
        <v>1724</v>
      </c>
      <c r="G1337" t="s">
        <v>4387</v>
      </c>
      <c r="H1337" t="s">
        <v>4196</v>
      </c>
    </row>
    <row r="1338" spans="1:8" x14ac:dyDescent="0.35">
      <c r="A1338" t="s">
        <v>287</v>
      </c>
      <c r="B1338" t="s">
        <v>1112</v>
      </c>
      <c r="C1338" t="s">
        <v>4309</v>
      </c>
      <c r="D1338">
        <v>1E-3</v>
      </c>
      <c r="E1338" t="s">
        <v>1720</v>
      </c>
      <c r="F1338" t="s">
        <v>1721</v>
      </c>
      <c r="G1338" t="s">
        <v>4436</v>
      </c>
      <c r="H1338" t="s">
        <v>4329</v>
      </c>
    </row>
    <row r="1339" spans="1:8" x14ac:dyDescent="0.35">
      <c r="A1339" t="s">
        <v>287</v>
      </c>
      <c r="B1339" t="s">
        <v>1112</v>
      </c>
      <c r="C1339" t="s">
        <v>4309</v>
      </c>
      <c r="D1339">
        <v>1.1000000000000001</v>
      </c>
      <c r="E1339" t="s">
        <v>1720</v>
      </c>
      <c r="F1339" t="s">
        <v>1724</v>
      </c>
      <c r="G1339" t="s">
        <v>4436</v>
      </c>
      <c r="H1339" t="s">
        <v>4329</v>
      </c>
    </row>
    <row r="1340" spans="1:8" x14ac:dyDescent="0.35">
      <c r="A1340" t="s">
        <v>287</v>
      </c>
      <c r="B1340" t="s">
        <v>1112</v>
      </c>
      <c r="C1340" t="s">
        <v>4197</v>
      </c>
      <c r="D1340">
        <v>1E-3</v>
      </c>
      <c r="E1340" t="s">
        <v>1720</v>
      </c>
      <c r="F1340" t="s">
        <v>1721</v>
      </c>
      <c r="G1340" t="s">
        <v>4433</v>
      </c>
      <c r="H1340" t="s">
        <v>4326</v>
      </c>
    </row>
    <row r="1341" spans="1:8" x14ac:dyDescent="0.35">
      <c r="A1341" t="s">
        <v>287</v>
      </c>
      <c r="B1341" t="s">
        <v>1112</v>
      </c>
      <c r="C1341" t="s">
        <v>4197</v>
      </c>
      <c r="D1341">
        <v>1.1000000000000001</v>
      </c>
      <c r="E1341" t="s">
        <v>1720</v>
      </c>
      <c r="F1341" t="s">
        <v>1724</v>
      </c>
      <c r="G1341" t="s">
        <v>4433</v>
      </c>
      <c r="H1341" t="s">
        <v>4326</v>
      </c>
    </row>
    <row r="1342" spans="1:8" x14ac:dyDescent="0.35">
      <c r="A1342" t="s">
        <v>287</v>
      </c>
      <c r="B1342" t="s">
        <v>1112</v>
      </c>
      <c r="C1342" t="s">
        <v>4197</v>
      </c>
      <c r="D1342">
        <v>1E-3</v>
      </c>
      <c r="E1342" t="s">
        <v>1720</v>
      </c>
      <c r="F1342" t="s">
        <v>1721</v>
      </c>
      <c r="G1342" t="s">
        <v>4388</v>
      </c>
      <c r="H1342" t="s">
        <v>4198</v>
      </c>
    </row>
    <row r="1343" spans="1:8" x14ac:dyDescent="0.35">
      <c r="A1343" t="s">
        <v>287</v>
      </c>
      <c r="B1343" t="s">
        <v>1112</v>
      </c>
      <c r="C1343" t="s">
        <v>4197</v>
      </c>
      <c r="D1343">
        <v>1.1000000000000001</v>
      </c>
      <c r="E1343" t="s">
        <v>1720</v>
      </c>
      <c r="F1343" t="s">
        <v>1724</v>
      </c>
      <c r="G1343" t="s">
        <v>4388</v>
      </c>
      <c r="H1343" t="s">
        <v>4198</v>
      </c>
    </row>
    <row r="1344" spans="1:8" x14ac:dyDescent="0.35">
      <c r="A1344" t="s">
        <v>287</v>
      </c>
      <c r="B1344" t="s">
        <v>1112</v>
      </c>
      <c r="C1344" t="s">
        <v>4199</v>
      </c>
      <c r="D1344">
        <v>1E-3</v>
      </c>
      <c r="E1344" t="s">
        <v>1720</v>
      </c>
      <c r="F1344" t="s">
        <v>1721</v>
      </c>
      <c r="G1344" t="s">
        <v>4388</v>
      </c>
      <c r="H1344" t="s">
        <v>4200</v>
      </c>
    </row>
    <row r="1345" spans="1:8" x14ac:dyDescent="0.35">
      <c r="A1345" t="s">
        <v>287</v>
      </c>
      <c r="B1345" t="s">
        <v>1112</v>
      </c>
      <c r="C1345" t="s">
        <v>4199</v>
      </c>
      <c r="D1345">
        <v>1.1000000000000001</v>
      </c>
      <c r="E1345" t="s">
        <v>1720</v>
      </c>
      <c r="F1345" t="s">
        <v>1724</v>
      </c>
      <c r="G1345" t="s">
        <v>4388</v>
      </c>
      <c r="H1345" t="s">
        <v>4200</v>
      </c>
    </row>
    <row r="1346" spans="1:8" x14ac:dyDescent="0.35">
      <c r="A1346" t="s">
        <v>287</v>
      </c>
      <c r="B1346" t="s">
        <v>1112</v>
      </c>
      <c r="C1346" t="s">
        <v>4201</v>
      </c>
      <c r="D1346">
        <v>1E-3</v>
      </c>
      <c r="E1346" t="s">
        <v>1720</v>
      </c>
      <c r="F1346" t="s">
        <v>1721</v>
      </c>
      <c r="G1346" t="s">
        <v>4389</v>
      </c>
      <c r="H1346" t="s">
        <v>4202</v>
      </c>
    </row>
    <row r="1347" spans="1:8" x14ac:dyDescent="0.35">
      <c r="A1347" t="s">
        <v>287</v>
      </c>
      <c r="B1347" t="s">
        <v>1112</v>
      </c>
      <c r="C1347" t="s">
        <v>4201</v>
      </c>
      <c r="D1347">
        <v>1.1000000000000001</v>
      </c>
      <c r="E1347" t="s">
        <v>1720</v>
      </c>
      <c r="F1347" t="s">
        <v>1724</v>
      </c>
      <c r="G1347" t="s">
        <v>4389</v>
      </c>
      <c r="H1347" t="s">
        <v>4202</v>
      </c>
    </row>
    <row r="1348" spans="1:8" x14ac:dyDescent="0.35">
      <c r="A1348" t="s">
        <v>287</v>
      </c>
      <c r="B1348" t="s">
        <v>1112</v>
      </c>
      <c r="C1348" t="s">
        <v>4203</v>
      </c>
      <c r="D1348">
        <v>1E-3</v>
      </c>
      <c r="E1348" t="s">
        <v>1720</v>
      </c>
      <c r="F1348" t="s">
        <v>1721</v>
      </c>
      <c r="G1348" t="s">
        <v>4390</v>
      </c>
      <c r="H1348" t="s">
        <v>4204</v>
      </c>
    </row>
    <row r="1349" spans="1:8" x14ac:dyDescent="0.35">
      <c r="A1349" t="s">
        <v>287</v>
      </c>
      <c r="B1349" t="s">
        <v>1112</v>
      </c>
      <c r="C1349" t="s">
        <v>4203</v>
      </c>
      <c r="D1349">
        <v>1.1000000000000001</v>
      </c>
      <c r="E1349" t="s">
        <v>1720</v>
      </c>
      <c r="F1349" t="s">
        <v>1724</v>
      </c>
      <c r="G1349" t="s">
        <v>4390</v>
      </c>
      <c r="H1349" t="s">
        <v>4204</v>
      </c>
    </row>
    <row r="1350" spans="1:8" x14ac:dyDescent="0.35">
      <c r="A1350" t="s">
        <v>287</v>
      </c>
      <c r="B1350" t="s">
        <v>1112</v>
      </c>
      <c r="C1350" t="s">
        <v>4207</v>
      </c>
      <c r="D1350">
        <v>1E-3</v>
      </c>
      <c r="E1350" t="s">
        <v>1720</v>
      </c>
      <c r="F1350" t="s">
        <v>1721</v>
      </c>
      <c r="G1350" t="s">
        <v>4383</v>
      </c>
      <c r="H1350" t="s">
        <v>4208</v>
      </c>
    </row>
    <row r="1351" spans="1:8" x14ac:dyDescent="0.35">
      <c r="A1351" t="s">
        <v>287</v>
      </c>
      <c r="B1351" t="s">
        <v>1112</v>
      </c>
      <c r="C1351" t="s">
        <v>4207</v>
      </c>
      <c r="D1351">
        <v>1.1000000000000001</v>
      </c>
      <c r="E1351" t="s">
        <v>1720</v>
      </c>
      <c r="F1351" t="s">
        <v>1724</v>
      </c>
      <c r="G1351" t="s">
        <v>4383</v>
      </c>
      <c r="H1351" t="s">
        <v>4208</v>
      </c>
    </row>
    <row r="1352" spans="1:8" x14ac:dyDescent="0.35">
      <c r="A1352" t="s">
        <v>287</v>
      </c>
      <c r="B1352" t="s">
        <v>1112</v>
      </c>
      <c r="C1352" t="s">
        <v>4336</v>
      </c>
      <c r="D1352">
        <v>1E-3</v>
      </c>
      <c r="E1352" t="s">
        <v>1720</v>
      </c>
      <c r="F1352" t="s">
        <v>1721</v>
      </c>
      <c r="G1352" t="s">
        <v>4445</v>
      </c>
      <c r="H1352" t="s">
        <v>4337</v>
      </c>
    </row>
    <row r="1353" spans="1:8" x14ac:dyDescent="0.35">
      <c r="A1353" t="s">
        <v>287</v>
      </c>
      <c r="B1353" t="s">
        <v>1112</v>
      </c>
      <c r="C1353" t="s">
        <v>4336</v>
      </c>
      <c r="D1353">
        <v>1.1000000000000001</v>
      </c>
      <c r="E1353" t="s">
        <v>1720</v>
      </c>
      <c r="F1353" t="s">
        <v>1724</v>
      </c>
      <c r="G1353" t="s">
        <v>4445</v>
      </c>
      <c r="H1353" t="s">
        <v>4337</v>
      </c>
    </row>
    <row r="1354" spans="1:8" x14ac:dyDescent="0.35">
      <c r="A1354" t="s">
        <v>287</v>
      </c>
      <c r="B1354" t="s">
        <v>1112</v>
      </c>
      <c r="C1354" t="s">
        <v>4209</v>
      </c>
      <c r="D1354">
        <v>1E-3</v>
      </c>
      <c r="E1354" t="s">
        <v>1720</v>
      </c>
      <c r="G1354" t="s">
        <v>4468</v>
      </c>
      <c r="H1354" t="s">
        <v>4210</v>
      </c>
    </row>
    <row r="1355" spans="1:8" x14ac:dyDescent="0.35">
      <c r="A1355" t="s">
        <v>287</v>
      </c>
      <c r="B1355" t="s">
        <v>1112</v>
      </c>
      <c r="C1355" t="s">
        <v>4209</v>
      </c>
      <c r="D1355">
        <v>1E-3</v>
      </c>
      <c r="E1355" t="s">
        <v>1720</v>
      </c>
      <c r="F1355" t="s">
        <v>1721</v>
      </c>
      <c r="G1355" t="s">
        <v>4383</v>
      </c>
      <c r="H1355" t="s">
        <v>4210</v>
      </c>
    </row>
    <row r="1356" spans="1:8" x14ac:dyDescent="0.35">
      <c r="A1356" t="s">
        <v>287</v>
      </c>
      <c r="B1356" t="s">
        <v>1112</v>
      </c>
      <c r="C1356" t="s">
        <v>4209</v>
      </c>
      <c r="D1356">
        <v>1.1000000000000001</v>
      </c>
      <c r="E1356" t="s">
        <v>1720</v>
      </c>
      <c r="F1356" t="s">
        <v>1724</v>
      </c>
      <c r="G1356" t="s">
        <v>4383</v>
      </c>
      <c r="H1356" t="s">
        <v>4210</v>
      </c>
    </row>
    <row r="1357" spans="1:8" x14ac:dyDescent="0.35">
      <c r="A1357" t="s">
        <v>287</v>
      </c>
      <c r="B1357" t="s">
        <v>1112</v>
      </c>
      <c r="C1357" t="s">
        <v>4330</v>
      </c>
      <c r="D1357">
        <v>2E-3</v>
      </c>
      <c r="E1357" t="s">
        <v>1720</v>
      </c>
      <c r="G1357" t="s">
        <v>4469</v>
      </c>
      <c r="H1357" t="s">
        <v>4331</v>
      </c>
    </row>
    <row r="1358" spans="1:8" x14ac:dyDescent="0.35">
      <c r="A1358" t="s">
        <v>287</v>
      </c>
      <c r="B1358" t="s">
        <v>1112</v>
      </c>
      <c r="C1358" t="s">
        <v>4330</v>
      </c>
      <c r="D1358">
        <v>2E-3</v>
      </c>
      <c r="E1358" t="s">
        <v>1720</v>
      </c>
      <c r="F1358" t="s">
        <v>1721</v>
      </c>
      <c r="G1358" t="s">
        <v>4470</v>
      </c>
      <c r="H1358" t="s">
        <v>4331</v>
      </c>
    </row>
    <row r="1359" spans="1:8" x14ac:dyDescent="0.35">
      <c r="A1359" t="s">
        <v>287</v>
      </c>
      <c r="B1359" t="s">
        <v>1112</v>
      </c>
      <c r="C1359" t="s">
        <v>4330</v>
      </c>
      <c r="D1359">
        <v>1E-3</v>
      </c>
      <c r="E1359" t="s">
        <v>1720</v>
      </c>
      <c r="F1359" t="s">
        <v>1721</v>
      </c>
      <c r="G1359" t="s">
        <v>4437</v>
      </c>
      <c r="H1359" t="s">
        <v>4331</v>
      </c>
    </row>
    <row r="1360" spans="1:8" x14ac:dyDescent="0.35">
      <c r="A1360" t="s">
        <v>287</v>
      </c>
      <c r="B1360" t="s">
        <v>1112</v>
      </c>
      <c r="C1360" t="s">
        <v>4330</v>
      </c>
      <c r="D1360">
        <v>0.55000000000000004</v>
      </c>
      <c r="E1360" t="s">
        <v>1720</v>
      </c>
      <c r="F1360" t="s">
        <v>1724</v>
      </c>
      <c r="G1360" t="s">
        <v>4437</v>
      </c>
      <c r="H1360" t="s">
        <v>4331</v>
      </c>
    </row>
    <row r="1361" spans="1:8" x14ac:dyDescent="0.35">
      <c r="A1361" t="s">
        <v>287</v>
      </c>
      <c r="B1361" t="s">
        <v>1112</v>
      </c>
      <c r="C1361" t="s">
        <v>4213</v>
      </c>
      <c r="D1361">
        <v>2.9999999999999997E-4</v>
      </c>
      <c r="E1361" t="s">
        <v>1720</v>
      </c>
      <c r="F1361" t="s">
        <v>1721</v>
      </c>
      <c r="G1361" t="s">
        <v>4393</v>
      </c>
      <c r="H1361" t="s">
        <v>4214</v>
      </c>
    </row>
    <row r="1362" spans="1:8" x14ac:dyDescent="0.35">
      <c r="A1362" t="s">
        <v>287</v>
      </c>
      <c r="B1362" t="s">
        <v>1112</v>
      </c>
      <c r="C1362" t="s">
        <v>4213</v>
      </c>
      <c r="D1362">
        <v>1.1000000000000001</v>
      </c>
      <c r="E1362" t="s">
        <v>1720</v>
      </c>
      <c r="F1362" t="s">
        <v>1724</v>
      </c>
      <c r="G1362" t="s">
        <v>4393</v>
      </c>
      <c r="H1362" t="s">
        <v>4214</v>
      </c>
    </row>
    <row r="1363" spans="1:8" x14ac:dyDescent="0.35">
      <c r="A1363" t="s">
        <v>287</v>
      </c>
      <c r="B1363" t="s">
        <v>1112</v>
      </c>
      <c r="C1363" t="s">
        <v>4332</v>
      </c>
      <c r="D1363">
        <v>1E-3</v>
      </c>
      <c r="E1363" t="s">
        <v>1720</v>
      </c>
      <c r="F1363" t="s">
        <v>1721</v>
      </c>
      <c r="G1363" t="s">
        <v>4438</v>
      </c>
      <c r="H1363" t="s">
        <v>4333</v>
      </c>
    </row>
    <row r="1364" spans="1:8" x14ac:dyDescent="0.35">
      <c r="A1364" t="s">
        <v>287</v>
      </c>
      <c r="B1364" t="s">
        <v>1112</v>
      </c>
      <c r="C1364" t="s">
        <v>4332</v>
      </c>
      <c r="D1364">
        <v>0.9</v>
      </c>
      <c r="E1364" t="s">
        <v>1720</v>
      </c>
      <c r="F1364" t="s">
        <v>1724</v>
      </c>
      <c r="G1364" t="s">
        <v>4438</v>
      </c>
      <c r="H1364" t="s">
        <v>4333</v>
      </c>
    </row>
    <row r="1365" spans="1:8" x14ac:dyDescent="0.35">
      <c r="A1365" t="s">
        <v>287</v>
      </c>
      <c r="B1365" t="s">
        <v>1112</v>
      </c>
      <c r="C1365" t="s">
        <v>4332</v>
      </c>
      <c r="D1365">
        <v>1E-3</v>
      </c>
      <c r="E1365" t="s">
        <v>1720</v>
      </c>
      <c r="F1365" t="s">
        <v>1721</v>
      </c>
      <c r="G1365" t="s">
        <v>4439</v>
      </c>
      <c r="H1365" t="s">
        <v>4333</v>
      </c>
    </row>
    <row r="1366" spans="1:8" x14ac:dyDescent="0.35">
      <c r="A1366" t="s">
        <v>287</v>
      </c>
      <c r="B1366" t="s">
        <v>1112</v>
      </c>
      <c r="C1366" t="s">
        <v>4332</v>
      </c>
      <c r="D1366">
        <v>0.55000000000000004</v>
      </c>
      <c r="E1366" t="s">
        <v>1720</v>
      </c>
      <c r="F1366" t="s">
        <v>1724</v>
      </c>
      <c r="G1366" t="s">
        <v>4439</v>
      </c>
      <c r="H1366" t="s">
        <v>4333</v>
      </c>
    </row>
    <row r="1367" spans="1:8" x14ac:dyDescent="0.35">
      <c r="A1367" t="s">
        <v>287</v>
      </c>
      <c r="B1367" t="s">
        <v>1112</v>
      </c>
      <c r="C1367" t="s">
        <v>4332</v>
      </c>
      <c r="D1367">
        <v>1E-3</v>
      </c>
      <c r="E1367" t="s">
        <v>1720</v>
      </c>
      <c r="F1367" t="s">
        <v>1721</v>
      </c>
      <c r="G1367" t="s">
        <v>4440</v>
      </c>
      <c r="H1367" t="s">
        <v>4333</v>
      </c>
    </row>
    <row r="1368" spans="1:8" x14ac:dyDescent="0.35">
      <c r="A1368" t="s">
        <v>287</v>
      </c>
      <c r="B1368" t="s">
        <v>1112</v>
      </c>
      <c r="C1368" t="s">
        <v>4332</v>
      </c>
      <c r="D1368">
        <v>1.1000000000000001</v>
      </c>
      <c r="E1368" t="s">
        <v>1720</v>
      </c>
      <c r="F1368" t="s">
        <v>1724</v>
      </c>
      <c r="G1368" t="s">
        <v>4440</v>
      </c>
      <c r="H1368" t="s">
        <v>4333</v>
      </c>
    </row>
    <row r="1369" spans="1:8" x14ac:dyDescent="0.35">
      <c r="A1369" t="s">
        <v>287</v>
      </c>
      <c r="B1369" t="s">
        <v>1112</v>
      </c>
      <c r="C1369" t="s">
        <v>4332</v>
      </c>
      <c r="D1369">
        <v>1E-3</v>
      </c>
      <c r="E1369" t="s">
        <v>1720</v>
      </c>
      <c r="F1369" t="s">
        <v>1721</v>
      </c>
      <c r="G1369" t="s">
        <v>4441</v>
      </c>
      <c r="H1369" t="s">
        <v>4333</v>
      </c>
    </row>
    <row r="1370" spans="1:8" x14ac:dyDescent="0.35">
      <c r="A1370" t="s">
        <v>287</v>
      </c>
      <c r="B1370" t="s">
        <v>1112</v>
      </c>
      <c r="C1370" t="s">
        <v>4332</v>
      </c>
      <c r="D1370">
        <v>1.1000000000000001</v>
      </c>
      <c r="E1370" t="s">
        <v>1720</v>
      </c>
      <c r="F1370" t="s">
        <v>1724</v>
      </c>
      <c r="G1370" t="s">
        <v>4441</v>
      </c>
      <c r="H1370" t="s">
        <v>4333</v>
      </c>
    </row>
    <row r="1371" spans="1:8" x14ac:dyDescent="0.35">
      <c r="A1371" t="s">
        <v>287</v>
      </c>
      <c r="B1371" t="s">
        <v>1112</v>
      </c>
      <c r="C1371" t="s">
        <v>4332</v>
      </c>
      <c r="D1371">
        <v>1E-3</v>
      </c>
      <c r="E1371" t="s">
        <v>1720</v>
      </c>
      <c r="F1371" t="s">
        <v>1721</v>
      </c>
      <c r="G1371" t="s">
        <v>4442</v>
      </c>
      <c r="H1371" t="s">
        <v>4333</v>
      </c>
    </row>
    <row r="1372" spans="1:8" x14ac:dyDescent="0.35">
      <c r="A1372" t="s">
        <v>287</v>
      </c>
      <c r="B1372" t="s">
        <v>1112</v>
      </c>
      <c r="C1372" t="s">
        <v>4332</v>
      </c>
      <c r="D1372">
        <v>1.1000000000000001</v>
      </c>
      <c r="E1372" t="s">
        <v>1720</v>
      </c>
      <c r="F1372" t="s">
        <v>1724</v>
      </c>
      <c r="G1372" t="s">
        <v>4442</v>
      </c>
      <c r="H1372" t="s">
        <v>4333</v>
      </c>
    </row>
    <row r="1373" spans="1:8" x14ac:dyDescent="0.35">
      <c r="A1373" t="s">
        <v>287</v>
      </c>
      <c r="B1373" t="s">
        <v>1112</v>
      </c>
      <c r="C1373" t="s">
        <v>4317</v>
      </c>
      <c r="D1373">
        <v>1E-3</v>
      </c>
      <c r="E1373" t="s">
        <v>1720</v>
      </c>
      <c r="F1373" t="s">
        <v>1721</v>
      </c>
      <c r="G1373" t="s">
        <v>4426</v>
      </c>
      <c r="H1373" t="s">
        <v>4318</v>
      </c>
    </row>
    <row r="1374" spans="1:8" x14ac:dyDescent="0.35">
      <c r="A1374" t="s">
        <v>287</v>
      </c>
      <c r="B1374" t="s">
        <v>1112</v>
      </c>
      <c r="C1374" t="s">
        <v>4317</v>
      </c>
      <c r="D1374">
        <v>1.1000000000000001</v>
      </c>
      <c r="E1374" t="s">
        <v>1720</v>
      </c>
      <c r="F1374" t="s">
        <v>1724</v>
      </c>
      <c r="G1374" t="s">
        <v>4426</v>
      </c>
      <c r="H1374" t="s">
        <v>4318</v>
      </c>
    </row>
    <row r="1375" spans="1:8" x14ac:dyDescent="0.35">
      <c r="A1375" t="s">
        <v>287</v>
      </c>
      <c r="B1375" t="s">
        <v>1112</v>
      </c>
      <c r="C1375" t="s">
        <v>4302</v>
      </c>
      <c r="D1375">
        <v>1E-3</v>
      </c>
      <c r="E1375" t="s">
        <v>1720</v>
      </c>
      <c r="F1375" t="s">
        <v>1721</v>
      </c>
      <c r="G1375" t="s">
        <v>4420</v>
      </c>
      <c r="H1375" t="s">
        <v>4303</v>
      </c>
    </row>
    <row r="1376" spans="1:8" x14ac:dyDescent="0.35">
      <c r="A1376" t="s">
        <v>287</v>
      </c>
      <c r="B1376" t="s">
        <v>1112</v>
      </c>
      <c r="C1376" t="s">
        <v>4302</v>
      </c>
      <c r="D1376">
        <v>1.1000000000000001</v>
      </c>
      <c r="E1376" t="s">
        <v>1720</v>
      </c>
      <c r="F1376" t="s">
        <v>1724</v>
      </c>
      <c r="G1376" t="s">
        <v>4420</v>
      </c>
      <c r="H1376" t="s">
        <v>4303</v>
      </c>
    </row>
    <row r="1377" spans="1:8" x14ac:dyDescent="0.35">
      <c r="A1377" t="s">
        <v>287</v>
      </c>
      <c r="B1377" t="s">
        <v>1112</v>
      </c>
      <c r="C1377" t="s">
        <v>4311</v>
      </c>
      <c r="D1377">
        <v>1E-3</v>
      </c>
      <c r="E1377" t="s">
        <v>1720</v>
      </c>
      <c r="G1377" t="s">
        <v>4387</v>
      </c>
      <c r="H1377" t="s">
        <v>4312</v>
      </c>
    </row>
    <row r="1378" spans="1:8" x14ac:dyDescent="0.35">
      <c r="A1378" t="s">
        <v>287</v>
      </c>
      <c r="B1378" t="s">
        <v>1112</v>
      </c>
      <c r="C1378" t="s">
        <v>4217</v>
      </c>
      <c r="D1378">
        <v>1E-3</v>
      </c>
      <c r="E1378" t="s">
        <v>1720</v>
      </c>
      <c r="F1378" t="s">
        <v>1721</v>
      </c>
      <c r="G1378" t="s">
        <v>4396</v>
      </c>
      <c r="H1378" t="s">
        <v>4218</v>
      </c>
    </row>
    <row r="1379" spans="1:8" x14ac:dyDescent="0.35">
      <c r="A1379" t="s">
        <v>287</v>
      </c>
      <c r="B1379" t="s">
        <v>1112</v>
      </c>
      <c r="C1379" t="s">
        <v>4217</v>
      </c>
      <c r="D1379">
        <v>0.13</v>
      </c>
      <c r="E1379" t="s">
        <v>1720</v>
      </c>
      <c r="F1379" t="s">
        <v>1724</v>
      </c>
      <c r="G1379" t="s">
        <v>4396</v>
      </c>
      <c r="H1379" t="s">
        <v>4218</v>
      </c>
    </row>
    <row r="1380" spans="1:8" x14ac:dyDescent="0.35">
      <c r="A1380" t="s">
        <v>287</v>
      </c>
      <c r="B1380" t="s">
        <v>1112</v>
      </c>
      <c r="C1380" t="s">
        <v>4217</v>
      </c>
      <c r="D1380">
        <v>1.1000000000000001</v>
      </c>
      <c r="E1380" t="s">
        <v>1720</v>
      </c>
      <c r="F1380" t="s">
        <v>1724</v>
      </c>
      <c r="G1380" t="s">
        <v>4396</v>
      </c>
      <c r="H1380" t="s">
        <v>4218</v>
      </c>
    </row>
    <row r="1381" spans="1:8" x14ac:dyDescent="0.35">
      <c r="A1381" t="s">
        <v>287</v>
      </c>
      <c r="B1381" t="s">
        <v>1112</v>
      </c>
      <c r="C1381" t="s">
        <v>4221</v>
      </c>
      <c r="D1381">
        <v>1E-3</v>
      </c>
      <c r="E1381" t="s">
        <v>1720</v>
      </c>
      <c r="F1381" t="s">
        <v>1721</v>
      </c>
      <c r="G1381" t="s">
        <v>4383</v>
      </c>
      <c r="H1381" t="s">
        <v>4222</v>
      </c>
    </row>
    <row r="1382" spans="1:8" x14ac:dyDescent="0.35">
      <c r="A1382" t="s">
        <v>287</v>
      </c>
      <c r="B1382" t="s">
        <v>1112</v>
      </c>
      <c r="C1382" t="s">
        <v>4221</v>
      </c>
      <c r="D1382">
        <v>0.55000000000000004</v>
      </c>
      <c r="E1382" t="s">
        <v>1720</v>
      </c>
      <c r="F1382" t="s">
        <v>1724</v>
      </c>
      <c r="G1382" t="s">
        <v>4383</v>
      </c>
      <c r="H1382" t="s">
        <v>4222</v>
      </c>
    </row>
    <row r="1383" spans="1:8" x14ac:dyDescent="0.35">
      <c r="A1383" t="s">
        <v>287</v>
      </c>
      <c r="B1383" t="s">
        <v>1112</v>
      </c>
      <c r="C1383" t="s">
        <v>4205</v>
      </c>
      <c r="D1383">
        <v>1E-3</v>
      </c>
      <c r="E1383" t="s">
        <v>1720</v>
      </c>
      <c r="F1383" t="s">
        <v>1721</v>
      </c>
      <c r="G1383" t="s">
        <v>4391</v>
      </c>
      <c r="H1383" t="s">
        <v>4206</v>
      </c>
    </row>
    <row r="1384" spans="1:8" x14ac:dyDescent="0.35">
      <c r="A1384" t="s">
        <v>287</v>
      </c>
      <c r="B1384" t="s">
        <v>1112</v>
      </c>
      <c r="C1384" t="s">
        <v>4205</v>
      </c>
      <c r="D1384">
        <v>1.1000000000000001</v>
      </c>
      <c r="E1384" t="s">
        <v>1720</v>
      </c>
      <c r="F1384" t="s">
        <v>1724</v>
      </c>
      <c r="G1384" t="s">
        <v>4391</v>
      </c>
      <c r="H1384" t="s">
        <v>4206</v>
      </c>
    </row>
    <row r="1385" spans="1:8" x14ac:dyDescent="0.35">
      <c r="A1385" t="s">
        <v>287</v>
      </c>
      <c r="B1385" t="s">
        <v>1112</v>
      </c>
      <c r="C1385" t="s">
        <v>4313</v>
      </c>
      <c r="D1385">
        <v>1E-3</v>
      </c>
      <c r="E1385" t="s">
        <v>1720</v>
      </c>
      <c r="F1385" t="s">
        <v>1721</v>
      </c>
      <c r="G1385" t="s">
        <v>4423</v>
      </c>
      <c r="H1385" t="s">
        <v>4314</v>
      </c>
    </row>
    <row r="1386" spans="1:8" x14ac:dyDescent="0.35">
      <c r="A1386" t="s">
        <v>287</v>
      </c>
      <c r="B1386" t="s">
        <v>1112</v>
      </c>
      <c r="C1386" t="s">
        <v>4313</v>
      </c>
      <c r="D1386">
        <v>1.1000000000000001</v>
      </c>
      <c r="E1386" t="s">
        <v>1720</v>
      </c>
      <c r="F1386" t="s">
        <v>1724</v>
      </c>
      <c r="G1386" t="s">
        <v>4423</v>
      </c>
      <c r="H1386" t="s">
        <v>4314</v>
      </c>
    </row>
    <row r="1387" spans="1:8" x14ac:dyDescent="0.35">
      <c r="A1387" t="s">
        <v>287</v>
      </c>
      <c r="B1387" t="s">
        <v>1112</v>
      </c>
      <c r="C1387" t="s">
        <v>4313</v>
      </c>
      <c r="D1387">
        <v>1E-3</v>
      </c>
      <c r="E1387" t="s">
        <v>1720</v>
      </c>
      <c r="F1387" t="s">
        <v>1721</v>
      </c>
      <c r="G1387" t="s">
        <v>4424</v>
      </c>
      <c r="H1387" t="s">
        <v>4314</v>
      </c>
    </row>
    <row r="1388" spans="1:8" x14ac:dyDescent="0.35">
      <c r="A1388" t="s">
        <v>287</v>
      </c>
      <c r="B1388" t="s">
        <v>1112</v>
      </c>
      <c r="C1388" t="s">
        <v>4313</v>
      </c>
      <c r="D1388">
        <v>1.1000000000000001</v>
      </c>
      <c r="E1388" t="s">
        <v>1720</v>
      </c>
      <c r="F1388" t="s">
        <v>1724</v>
      </c>
      <c r="G1388" t="s">
        <v>4424</v>
      </c>
      <c r="H1388" t="s">
        <v>4314</v>
      </c>
    </row>
    <row r="1389" spans="1:8" x14ac:dyDescent="0.35">
      <c r="A1389" t="s">
        <v>287</v>
      </c>
      <c r="B1389" t="s">
        <v>1112</v>
      </c>
      <c r="C1389" t="s">
        <v>4313</v>
      </c>
      <c r="D1389">
        <v>1.1000000000000001</v>
      </c>
      <c r="E1389" t="s">
        <v>1720</v>
      </c>
      <c r="F1389" t="s">
        <v>1724</v>
      </c>
      <c r="G1389" t="s">
        <v>4444</v>
      </c>
      <c r="H1389" t="s">
        <v>4314</v>
      </c>
    </row>
    <row r="1390" spans="1:8" x14ac:dyDescent="0.35">
      <c r="A1390" t="s">
        <v>287</v>
      </c>
      <c r="B1390" t="s">
        <v>1112</v>
      </c>
      <c r="C1390" t="s">
        <v>4313</v>
      </c>
      <c r="D1390">
        <v>1E-3</v>
      </c>
      <c r="E1390" t="s">
        <v>1720</v>
      </c>
      <c r="F1390" t="s">
        <v>1721</v>
      </c>
      <c r="G1390" t="s">
        <v>4425</v>
      </c>
      <c r="H1390" t="s">
        <v>4314</v>
      </c>
    </row>
    <row r="1391" spans="1:8" x14ac:dyDescent="0.35">
      <c r="A1391" t="s">
        <v>287</v>
      </c>
      <c r="B1391" t="s">
        <v>1112</v>
      </c>
      <c r="C1391" t="s">
        <v>4313</v>
      </c>
      <c r="D1391">
        <v>1.1000000000000001</v>
      </c>
      <c r="E1391" t="s">
        <v>1720</v>
      </c>
      <c r="F1391" t="s">
        <v>1724</v>
      </c>
      <c r="G1391" t="s">
        <v>4425</v>
      </c>
      <c r="H1391" t="s">
        <v>4314</v>
      </c>
    </row>
    <row r="1392" spans="1:8" x14ac:dyDescent="0.35">
      <c r="A1392" t="s">
        <v>287</v>
      </c>
      <c r="B1392" t="s">
        <v>1112</v>
      </c>
      <c r="C1392" t="s">
        <v>4234</v>
      </c>
      <c r="D1392">
        <v>1E-3</v>
      </c>
      <c r="E1392" t="s">
        <v>1720</v>
      </c>
      <c r="G1392" t="s">
        <v>4383</v>
      </c>
      <c r="H1392" t="s">
        <v>4235</v>
      </c>
    </row>
    <row r="1393" spans="1:8" x14ac:dyDescent="0.35">
      <c r="A1393" t="s">
        <v>287</v>
      </c>
      <c r="B1393" t="s">
        <v>1112</v>
      </c>
      <c r="C1393" t="s">
        <v>4234</v>
      </c>
      <c r="D1393">
        <v>1.1000000000000001</v>
      </c>
      <c r="E1393" t="s">
        <v>1720</v>
      </c>
      <c r="G1393" t="s">
        <v>4383</v>
      </c>
      <c r="H1393" t="s">
        <v>4235</v>
      </c>
    </row>
    <row r="1394" spans="1:8" x14ac:dyDescent="0.35">
      <c r="A1394" t="s">
        <v>287</v>
      </c>
      <c r="B1394" t="s">
        <v>1112</v>
      </c>
      <c r="C1394" t="s">
        <v>4211</v>
      </c>
      <c r="D1394">
        <v>1E-3</v>
      </c>
      <c r="E1394" t="s">
        <v>1720</v>
      </c>
      <c r="F1394" t="s">
        <v>1721</v>
      </c>
      <c r="G1394" t="s">
        <v>4392</v>
      </c>
      <c r="H1394" t="s">
        <v>4212</v>
      </c>
    </row>
    <row r="1395" spans="1:8" x14ac:dyDescent="0.35">
      <c r="A1395" t="s">
        <v>287</v>
      </c>
      <c r="B1395" t="s">
        <v>1112</v>
      </c>
      <c r="C1395" t="s">
        <v>4211</v>
      </c>
      <c r="D1395">
        <v>0.55000000000000004</v>
      </c>
      <c r="E1395" t="s">
        <v>1720</v>
      </c>
      <c r="F1395" t="s">
        <v>1724</v>
      </c>
      <c r="G1395" t="s">
        <v>4392</v>
      </c>
      <c r="H1395" t="s">
        <v>4212</v>
      </c>
    </row>
    <row r="1396" spans="1:8" x14ac:dyDescent="0.35">
      <c r="A1396" t="s">
        <v>287</v>
      </c>
      <c r="B1396" t="s">
        <v>1112</v>
      </c>
      <c r="C1396" t="s">
        <v>4215</v>
      </c>
      <c r="D1396">
        <v>1E-3</v>
      </c>
      <c r="E1396" t="s">
        <v>1720</v>
      </c>
      <c r="F1396" t="s">
        <v>1721</v>
      </c>
      <c r="G1396" t="s">
        <v>4394</v>
      </c>
      <c r="H1396" t="s">
        <v>4216</v>
      </c>
    </row>
    <row r="1397" spans="1:8" x14ac:dyDescent="0.35">
      <c r="A1397" t="s">
        <v>287</v>
      </c>
      <c r="B1397" t="s">
        <v>1112</v>
      </c>
      <c r="C1397" t="s">
        <v>4215</v>
      </c>
      <c r="D1397">
        <v>0.55000000000000004</v>
      </c>
      <c r="E1397" t="s">
        <v>1720</v>
      </c>
      <c r="F1397" t="s">
        <v>1724</v>
      </c>
      <c r="G1397" t="s">
        <v>4394</v>
      </c>
      <c r="H1397" t="s">
        <v>4216</v>
      </c>
    </row>
    <row r="1398" spans="1:8" x14ac:dyDescent="0.35">
      <c r="A1398" t="s">
        <v>287</v>
      </c>
      <c r="B1398" t="s">
        <v>1112</v>
      </c>
      <c r="C1398" t="s">
        <v>4215</v>
      </c>
      <c r="D1398">
        <v>1E-3</v>
      </c>
      <c r="E1398" t="s">
        <v>1720</v>
      </c>
      <c r="F1398" t="s">
        <v>1721</v>
      </c>
      <c r="G1398" t="s">
        <v>4395</v>
      </c>
      <c r="H1398" t="s">
        <v>4216</v>
      </c>
    </row>
    <row r="1399" spans="1:8" x14ac:dyDescent="0.35">
      <c r="A1399" t="s">
        <v>287</v>
      </c>
      <c r="B1399" t="s">
        <v>1112</v>
      </c>
      <c r="C1399" t="s">
        <v>4215</v>
      </c>
      <c r="D1399">
        <v>0.55000000000000004</v>
      </c>
      <c r="E1399" t="s">
        <v>1720</v>
      </c>
      <c r="F1399" t="s">
        <v>1724</v>
      </c>
      <c r="G1399" t="s">
        <v>4395</v>
      </c>
      <c r="H1399" t="s">
        <v>4216</v>
      </c>
    </row>
    <row r="1400" spans="1:8" x14ac:dyDescent="0.35">
      <c r="A1400" t="s">
        <v>287</v>
      </c>
      <c r="B1400" t="s">
        <v>1112</v>
      </c>
      <c r="C1400" t="s">
        <v>4215</v>
      </c>
      <c r="D1400">
        <v>1E-3</v>
      </c>
      <c r="E1400" t="s">
        <v>1720</v>
      </c>
      <c r="F1400" t="s">
        <v>1721</v>
      </c>
      <c r="G1400" t="s">
        <v>4397</v>
      </c>
      <c r="H1400" t="s">
        <v>4216</v>
      </c>
    </row>
    <row r="1401" spans="1:8" x14ac:dyDescent="0.35">
      <c r="A1401" t="s">
        <v>287</v>
      </c>
      <c r="B1401" t="s">
        <v>1112</v>
      </c>
      <c r="C1401" t="s">
        <v>4215</v>
      </c>
      <c r="D1401">
        <v>0.55000000000000004</v>
      </c>
      <c r="E1401" t="s">
        <v>1720</v>
      </c>
      <c r="F1401" t="s">
        <v>1724</v>
      </c>
      <c r="G1401" t="s">
        <v>4397</v>
      </c>
      <c r="H1401" t="s">
        <v>4216</v>
      </c>
    </row>
    <row r="1402" spans="1:8" x14ac:dyDescent="0.35">
      <c r="A1402" t="s">
        <v>287</v>
      </c>
      <c r="B1402" t="s">
        <v>1112</v>
      </c>
      <c r="C1402" t="s">
        <v>4215</v>
      </c>
      <c r="D1402">
        <v>1E-3</v>
      </c>
      <c r="E1402" t="s">
        <v>1720</v>
      </c>
      <c r="F1402" t="s">
        <v>1721</v>
      </c>
      <c r="G1402" t="s">
        <v>4398</v>
      </c>
      <c r="H1402" t="s">
        <v>4216</v>
      </c>
    </row>
    <row r="1403" spans="1:8" x14ac:dyDescent="0.35">
      <c r="A1403" t="s">
        <v>287</v>
      </c>
      <c r="B1403" t="s">
        <v>1112</v>
      </c>
      <c r="C1403" t="s">
        <v>4215</v>
      </c>
      <c r="D1403">
        <v>0.55000000000000004</v>
      </c>
      <c r="E1403" t="s">
        <v>1720</v>
      </c>
      <c r="F1403" t="s">
        <v>1724</v>
      </c>
      <c r="G1403" t="s">
        <v>4398</v>
      </c>
      <c r="H1403" t="s">
        <v>4216</v>
      </c>
    </row>
    <row r="1404" spans="1:8" x14ac:dyDescent="0.35">
      <c r="A1404" t="s">
        <v>287</v>
      </c>
      <c r="B1404" t="s">
        <v>1112</v>
      </c>
      <c r="C1404" t="s">
        <v>4225</v>
      </c>
      <c r="D1404">
        <v>1E-3</v>
      </c>
      <c r="E1404" t="s">
        <v>1720</v>
      </c>
      <c r="F1404" t="s">
        <v>1721</v>
      </c>
      <c r="G1404" t="s">
        <v>4400</v>
      </c>
      <c r="H1404" t="s">
        <v>4226</v>
      </c>
    </row>
    <row r="1405" spans="1:8" x14ac:dyDescent="0.35">
      <c r="A1405" t="s">
        <v>287</v>
      </c>
      <c r="B1405" t="s">
        <v>1112</v>
      </c>
      <c r="C1405" t="s">
        <v>4225</v>
      </c>
      <c r="D1405">
        <v>1.1000000000000001</v>
      </c>
      <c r="E1405" t="s">
        <v>1720</v>
      </c>
      <c r="F1405" t="s">
        <v>1724</v>
      </c>
      <c r="G1405" t="s">
        <v>4400</v>
      </c>
      <c r="H1405" t="s">
        <v>4226</v>
      </c>
    </row>
    <row r="1406" spans="1:8" x14ac:dyDescent="0.35">
      <c r="A1406" t="s">
        <v>287</v>
      </c>
      <c r="B1406" t="s">
        <v>1112</v>
      </c>
      <c r="C1406" t="s">
        <v>4227</v>
      </c>
      <c r="D1406">
        <v>1E-3</v>
      </c>
      <c r="E1406" t="s">
        <v>1720</v>
      </c>
      <c r="F1406" t="s">
        <v>1721</v>
      </c>
      <c r="G1406" t="s">
        <v>4401</v>
      </c>
      <c r="H1406" t="s">
        <v>4228</v>
      </c>
    </row>
    <row r="1407" spans="1:8" x14ac:dyDescent="0.35">
      <c r="A1407" t="s">
        <v>287</v>
      </c>
      <c r="B1407" t="s">
        <v>1112</v>
      </c>
      <c r="C1407" t="s">
        <v>4227</v>
      </c>
      <c r="D1407">
        <v>1.1000000000000001</v>
      </c>
      <c r="E1407" t="s">
        <v>1720</v>
      </c>
      <c r="F1407" t="s">
        <v>1724</v>
      </c>
      <c r="G1407" t="s">
        <v>4401</v>
      </c>
      <c r="H1407" t="s">
        <v>4228</v>
      </c>
    </row>
    <row r="1408" spans="1:8" x14ac:dyDescent="0.35">
      <c r="A1408" t="s">
        <v>287</v>
      </c>
      <c r="B1408" t="s">
        <v>1112</v>
      </c>
      <c r="C1408" t="s">
        <v>4300</v>
      </c>
      <c r="D1408">
        <v>1E-3</v>
      </c>
      <c r="E1408" t="s">
        <v>1720</v>
      </c>
      <c r="F1408" t="s">
        <v>1721</v>
      </c>
      <c r="G1408" t="s">
        <v>4389</v>
      </c>
      <c r="H1408" t="s">
        <v>4301</v>
      </c>
    </row>
    <row r="1409" spans="1:8" x14ac:dyDescent="0.35">
      <c r="A1409" t="s">
        <v>287</v>
      </c>
      <c r="B1409" t="s">
        <v>1112</v>
      </c>
      <c r="C1409" t="s">
        <v>4300</v>
      </c>
      <c r="D1409">
        <v>1.1000000000000001</v>
      </c>
      <c r="E1409" t="s">
        <v>1720</v>
      </c>
      <c r="F1409" t="s">
        <v>1724</v>
      </c>
      <c r="G1409" t="s">
        <v>4389</v>
      </c>
      <c r="H1409" t="s">
        <v>4301</v>
      </c>
    </row>
    <row r="1410" spans="1:8" x14ac:dyDescent="0.35">
      <c r="A1410" t="s">
        <v>287</v>
      </c>
      <c r="B1410" t="s">
        <v>1112</v>
      </c>
      <c r="C1410" t="s">
        <v>4315</v>
      </c>
      <c r="D1410">
        <v>1E-3</v>
      </c>
      <c r="E1410" t="s">
        <v>1720</v>
      </c>
      <c r="F1410" t="s">
        <v>1721</v>
      </c>
      <c r="G1410" t="s">
        <v>4383</v>
      </c>
      <c r="H1410" t="s">
        <v>4316</v>
      </c>
    </row>
    <row r="1411" spans="1:8" x14ac:dyDescent="0.35">
      <c r="A1411" t="s">
        <v>287</v>
      </c>
      <c r="B1411" t="s">
        <v>1112</v>
      </c>
      <c r="C1411" t="s">
        <v>4315</v>
      </c>
      <c r="D1411">
        <v>1.1000000000000001</v>
      </c>
      <c r="E1411" t="s">
        <v>1720</v>
      </c>
      <c r="F1411" t="s">
        <v>1724</v>
      </c>
      <c r="G1411" t="s">
        <v>4383</v>
      </c>
      <c r="H1411" t="s">
        <v>4316</v>
      </c>
    </row>
    <row r="1412" spans="1:8" x14ac:dyDescent="0.35">
      <c r="A1412" t="s">
        <v>287</v>
      </c>
      <c r="B1412" t="s">
        <v>1112</v>
      </c>
      <c r="C1412" t="s">
        <v>4232</v>
      </c>
      <c r="D1412">
        <v>1E-3</v>
      </c>
      <c r="E1412" t="s">
        <v>1720</v>
      </c>
      <c r="F1412" t="s">
        <v>1721</v>
      </c>
      <c r="G1412" t="s">
        <v>4402</v>
      </c>
      <c r="H1412" t="s">
        <v>4233</v>
      </c>
    </row>
    <row r="1413" spans="1:8" x14ac:dyDescent="0.35">
      <c r="A1413" t="s">
        <v>287</v>
      </c>
      <c r="B1413" t="s">
        <v>1112</v>
      </c>
      <c r="C1413" t="s">
        <v>4232</v>
      </c>
      <c r="D1413">
        <v>0.5</v>
      </c>
      <c r="E1413" t="s">
        <v>1720</v>
      </c>
      <c r="F1413" t="s">
        <v>1724</v>
      </c>
      <c r="G1413" t="s">
        <v>4402</v>
      </c>
      <c r="H1413" t="s">
        <v>4233</v>
      </c>
    </row>
    <row r="1414" spans="1:8" x14ac:dyDescent="0.35">
      <c r="A1414" t="s">
        <v>287</v>
      </c>
      <c r="B1414" t="s">
        <v>1112</v>
      </c>
      <c r="C1414" t="s">
        <v>4219</v>
      </c>
      <c r="D1414">
        <v>1E-3</v>
      </c>
      <c r="E1414" t="s">
        <v>1720</v>
      </c>
      <c r="F1414" t="s">
        <v>1721</v>
      </c>
      <c r="G1414" t="s">
        <v>4380</v>
      </c>
      <c r="H1414" t="s">
        <v>4220</v>
      </c>
    </row>
    <row r="1415" spans="1:8" x14ac:dyDescent="0.35">
      <c r="A1415" t="s">
        <v>287</v>
      </c>
      <c r="B1415" t="s">
        <v>1112</v>
      </c>
      <c r="C1415" t="s">
        <v>4219</v>
      </c>
      <c r="D1415">
        <v>0.55000000000000004</v>
      </c>
      <c r="E1415" t="s">
        <v>1720</v>
      </c>
      <c r="F1415" t="s">
        <v>1724</v>
      </c>
      <c r="G1415" t="s">
        <v>4380</v>
      </c>
      <c r="H1415" t="s">
        <v>4220</v>
      </c>
    </row>
    <row r="1416" spans="1:8" x14ac:dyDescent="0.35">
      <c r="A1416" t="s">
        <v>287</v>
      </c>
      <c r="B1416" t="s">
        <v>1112</v>
      </c>
      <c r="C1416" t="s">
        <v>4334</v>
      </c>
      <c r="D1416">
        <v>1E-3</v>
      </c>
      <c r="E1416" t="s">
        <v>1720</v>
      </c>
      <c r="F1416" t="s">
        <v>1721</v>
      </c>
      <c r="G1416" t="s">
        <v>4443</v>
      </c>
      <c r="H1416" t="s">
        <v>4335</v>
      </c>
    </row>
    <row r="1417" spans="1:8" x14ac:dyDescent="0.35">
      <c r="A1417" t="s">
        <v>287</v>
      </c>
      <c r="B1417" t="s">
        <v>1112</v>
      </c>
      <c r="C1417" t="s">
        <v>4334</v>
      </c>
      <c r="D1417">
        <v>1.1000000000000001</v>
      </c>
      <c r="E1417" t="s">
        <v>1720</v>
      </c>
      <c r="F1417" t="s">
        <v>1724</v>
      </c>
      <c r="G1417" t="s">
        <v>4443</v>
      </c>
      <c r="H1417" t="s">
        <v>4335</v>
      </c>
    </row>
    <row r="1418" spans="1:8" x14ac:dyDescent="0.35">
      <c r="A1418" t="s">
        <v>287</v>
      </c>
      <c r="B1418" t="s">
        <v>1112</v>
      </c>
      <c r="C1418" t="s">
        <v>4229</v>
      </c>
      <c r="D1418">
        <v>1.1000000000000001</v>
      </c>
      <c r="E1418" t="s">
        <v>1720</v>
      </c>
      <c r="F1418" t="s">
        <v>1724</v>
      </c>
      <c r="G1418" t="s">
        <v>4399</v>
      </c>
      <c r="H1418" t="s">
        <v>1711</v>
      </c>
    </row>
    <row r="1419" spans="1:8" x14ac:dyDescent="0.35">
      <c r="A1419" t="s">
        <v>287</v>
      </c>
      <c r="B1419" t="s">
        <v>1112</v>
      </c>
      <c r="C1419" t="s">
        <v>4229</v>
      </c>
      <c r="D1419">
        <v>1E-3</v>
      </c>
      <c r="E1419" t="s">
        <v>1720</v>
      </c>
      <c r="F1419" t="s">
        <v>1721</v>
      </c>
      <c r="G1419" t="s">
        <v>4399</v>
      </c>
      <c r="H1419" t="s">
        <v>1711</v>
      </c>
    </row>
    <row r="1420" spans="1:8" x14ac:dyDescent="0.35">
      <c r="A1420" t="s">
        <v>287</v>
      </c>
      <c r="B1420" t="s">
        <v>1112</v>
      </c>
      <c r="C1420" t="s">
        <v>4236</v>
      </c>
      <c r="D1420">
        <v>1.1000000000000001</v>
      </c>
      <c r="E1420" t="s">
        <v>1720</v>
      </c>
      <c r="F1420" t="s">
        <v>1724</v>
      </c>
      <c r="G1420" t="s">
        <v>4403</v>
      </c>
      <c r="H1420" t="s">
        <v>4237</v>
      </c>
    </row>
    <row r="1421" spans="1:8" x14ac:dyDescent="0.35">
      <c r="A1421" t="s">
        <v>287</v>
      </c>
      <c r="B1421" t="s">
        <v>1112</v>
      </c>
      <c r="C1421" t="s">
        <v>4236</v>
      </c>
      <c r="D1421">
        <v>1E-3</v>
      </c>
      <c r="E1421" t="s">
        <v>1720</v>
      </c>
      <c r="F1421" t="s">
        <v>1721</v>
      </c>
      <c r="G1421" t="s">
        <v>4403</v>
      </c>
      <c r="H1421" t="s">
        <v>4237</v>
      </c>
    </row>
    <row r="1422" spans="1:8" x14ac:dyDescent="0.35">
      <c r="A1422" t="s">
        <v>287</v>
      </c>
      <c r="B1422" t="s">
        <v>1112</v>
      </c>
      <c r="C1422" t="s">
        <v>4230</v>
      </c>
      <c r="D1422">
        <v>1.1000000000000001</v>
      </c>
      <c r="E1422" t="s">
        <v>1720</v>
      </c>
      <c r="F1422" t="s">
        <v>1724</v>
      </c>
      <c r="G1422" t="s">
        <v>4396</v>
      </c>
      <c r="H1422" t="s">
        <v>4231</v>
      </c>
    </row>
    <row r="1423" spans="1:8" x14ac:dyDescent="0.35">
      <c r="A1423" t="s">
        <v>287</v>
      </c>
      <c r="B1423" t="s">
        <v>1112</v>
      </c>
      <c r="C1423" t="s">
        <v>4230</v>
      </c>
      <c r="D1423">
        <v>1E-3</v>
      </c>
      <c r="E1423" t="s">
        <v>1720</v>
      </c>
      <c r="F1423" t="s">
        <v>1721</v>
      </c>
      <c r="G1423" t="s">
        <v>4396</v>
      </c>
      <c r="H1423" t="s">
        <v>4231</v>
      </c>
    </row>
    <row r="1424" spans="1:8" x14ac:dyDescent="0.35">
      <c r="A1424" t="s">
        <v>287</v>
      </c>
      <c r="B1424" t="s">
        <v>1112</v>
      </c>
      <c r="C1424" t="s">
        <v>4238</v>
      </c>
      <c r="D1424">
        <v>1.1000000000000001</v>
      </c>
      <c r="E1424" t="s">
        <v>1720</v>
      </c>
      <c r="F1424" t="s">
        <v>1724</v>
      </c>
      <c r="G1424" t="s">
        <v>4404</v>
      </c>
      <c r="H1424" t="s">
        <v>4239</v>
      </c>
    </row>
    <row r="1425" spans="1:8" x14ac:dyDescent="0.35">
      <c r="A1425" t="s">
        <v>287</v>
      </c>
      <c r="B1425" t="s">
        <v>1112</v>
      </c>
      <c r="C1425" t="s">
        <v>4238</v>
      </c>
      <c r="D1425">
        <v>1E-3</v>
      </c>
      <c r="E1425" t="s">
        <v>1720</v>
      </c>
      <c r="F1425" t="s">
        <v>1721</v>
      </c>
      <c r="G1425" t="s">
        <v>4404</v>
      </c>
      <c r="H1425" t="s">
        <v>4239</v>
      </c>
    </row>
    <row r="1426" spans="1:8" x14ac:dyDescent="0.35">
      <c r="A1426" t="s">
        <v>287</v>
      </c>
      <c r="B1426" t="s">
        <v>1112</v>
      </c>
      <c r="C1426" t="s">
        <v>4250</v>
      </c>
      <c r="D1426">
        <v>1.1000000000000001</v>
      </c>
      <c r="E1426" t="s">
        <v>1720</v>
      </c>
      <c r="F1426" t="s">
        <v>1724</v>
      </c>
      <c r="G1426" t="s">
        <v>4402</v>
      </c>
      <c r="H1426" t="s">
        <v>4251</v>
      </c>
    </row>
    <row r="1427" spans="1:8" x14ac:dyDescent="0.35">
      <c r="A1427" t="s">
        <v>287</v>
      </c>
      <c r="B1427" t="s">
        <v>1112</v>
      </c>
      <c r="C1427" t="s">
        <v>4250</v>
      </c>
      <c r="D1427">
        <v>1E-3</v>
      </c>
      <c r="E1427" t="s">
        <v>1720</v>
      </c>
      <c r="F1427" t="s">
        <v>1721</v>
      </c>
      <c r="G1427" t="s">
        <v>4402</v>
      </c>
      <c r="H1427" t="s">
        <v>4251</v>
      </c>
    </row>
    <row r="1428" spans="1:8" x14ac:dyDescent="0.35">
      <c r="A1428" t="s">
        <v>287</v>
      </c>
      <c r="B1428" t="s">
        <v>1112</v>
      </c>
      <c r="C1428" t="s">
        <v>4240</v>
      </c>
      <c r="D1428">
        <v>1.1000000000000001</v>
      </c>
      <c r="E1428" t="s">
        <v>1720</v>
      </c>
      <c r="F1428" t="s">
        <v>1724</v>
      </c>
      <c r="G1428" t="s">
        <v>4402</v>
      </c>
      <c r="H1428" t="s">
        <v>4241</v>
      </c>
    </row>
    <row r="1429" spans="1:8" x14ac:dyDescent="0.35">
      <c r="A1429" t="s">
        <v>287</v>
      </c>
      <c r="B1429" t="s">
        <v>1112</v>
      </c>
      <c r="C1429" t="s">
        <v>4240</v>
      </c>
      <c r="D1429">
        <v>1E-3</v>
      </c>
      <c r="E1429" t="s">
        <v>1720</v>
      </c>
      <c r="F1429" t="s">
        <v>1721</v>
      </c>
      <c r="G1429" t="s">
        <v>4402</v>
      </c>
      <c r="H1429" t="s">
        <v>4241</v>
      </c>
    </row>
    <row r="1430" spans="1:8" x14ac:dyDescent="0.35">
      <c r="A1430" t="s">
        <v>287</v>
      </c>
      <c r="B1430" t="s">
        <v>1112</v>
      </c>
      <c r="C1430" t="s">
        <v>4340</v>
      </c>
      <c r="D1430">
        <v>1.1000000000000001</v>
      </c>
      <c r="E1430" t="s">
        <v>1720</v>
      </c>
      <c r="F1430" t="s">
        <v>1724</v>
      </c>
      <c r="G1430" t="s">
        <v>4402</v>
      </c>
      <c r="H1430" t="s">
        <v>4341</v>
      </c>
    </row>
    <row r="1431" spans="1:8" x14ac:dyDescent="0.35">
      <c r="A1431" t="s">
        <v>287</v>
      </c>
      <c r="B1431" t="s">
        <v>1112</v>
      </c>
      <c r="C1431" t="s">
        <v>4340</v>
      </c>
      <c r="D1431">
        <v>1E-3</v>
      </c>
      <c r="E1431" t="s">
        <v>1720</v>
      </c>
      <c r="F1431" t="s">
        <v>1721</v>
      </c>
      <c r="G1431" t="s">
        <v>4402</v>
      </c>
      <c r="H1431" t="s">
        <v>4341</v>
      </c>
    </row>
    <row r="1432" spans="1:8" x14ac:dyDescent="0.35">
      <c r="A1432" t="s">
        <v>287</v>
      </c>
      <c r="B1432" t="s">
        <v>1112</v>
      </c>
      <c r="C1432" t="s">
        <v>4360</v>
      </c>
      <c r="D1432">
        <v>1.1000000000000001</v>
      </c>
      <c r="E1432" t="s">
        <v>1720</v>
      </c>
      <c r="F1432" t="s">
        <v>1724</v>
      </c>
      <c r="G1432" t="s">
        <v>4383</v>
      </c>
      <c r="H1432" t="s">
        <v>4361</v>
      </c>
    </row>
    <row r="1433" spans="1:8" x14ac:dyDescent="0.35">
      <c r="A1433" t="s">
        <v>287</v>
      </c>
      <c r="B1433" t="s">
        <v>1112</v>
      </c>
      <c r="C1433" t="s">
        <v>4360</v>
      </c>
      <c r="D1433">
        <v>1E-3</v>
      </c>
      <c r="E1433" t="s">
        <v>1720</v>
      </c>
      <c r="F1433" t="s">
        <v>1721</v>
      </c>
      <c r="G1433" t="s">
        <v>4383</v>
      </c>
      <c r="H1433" t="s">
        <v>4361</v>
      </c>
    </row>
    <row r="1434" spans="1:8" x14ac:dyDescent="0.35">
      <c r="A1434" t="s">
        <v>287</v>
      </c>
      <c r="B1434" t="s">
        <v>1112</v>
      </c>
      <c r="C1434" t="s">
        <v>4242</v>
      </c>
      <c r="D1434">
        <v>1.1000000000000001</v>
      </c>
      <c r="E1434" t="s">
        <v>1720</v>
      </c>
      <c r="F1434" t="s">
        <v>1724</v>
      </c>
      <c r="G1434" t="s">
        <v>4405</v>
      </c>
      <c r="H1434" t="s">
        <v>4243</v>
      </c>
    </row>
    <row r="1435" spans="1:8" x14ac:dyDescent="0.35">
      <c r="A1435" t="s">
        <v>287</v>
      </c>
      <c r="B1435" t="s">
        <v>1112</v>
      </c>
      <c r="C1435" t="s">
        <v>4242</v>
      </c>
      <c r="D1435">
        <v>1E-3</v>
      </c>
      <c r="E1435" t="s">
        <v>1720</v>
      </c>
      <c r="F1435" t="s">
        <v>1721</v>
      </c>
      <c r="G1435" t="s">
        <v>4405</v>
      </c>
      <c r="H1435" t="s">
        <v>4243</v>
      </c>
    </row>
    <row r="1436" spans="1:8" x14ac:dyDescent="0.35">
      <c r="A1436" t="s">
        <v>287</v>
      </c>
      <c r="B1436" t="s">
        <v>1112</v>
      </c>
      <c r="C1436" t="s">
        <v>4244</v>
      </c>
      <c r="D1436">
        <v>1.1000000000000001</v>
      </c>
      <c r="E1436" t="s">
        <v>1720</v>
      </c>
      <c r="F1436" t="s">
        <v>1724</v>
      </c>
      <c r="G1436" t="s">
        <v>4406</v>
      </c>
      <c r="H1436" t="s">
        <v>4245</v>
      </c>
    </row>
    <row r="1437" spans="1:8" x14ac:dyDescent="0.35">
      <c r="A1437" t="s">
        <v>287</v>
      </c>
      <c r="B1437" t="s">
        <v>1112</v>
      </c>
      <c r="C1437" t="s">
        <v>4244</v>
      </c>
      <c r="D1437">
        <v>1E-3</v>
      </c>
      <c r="E1437" t="s">
        <v>1720</v>
      </c>
      <c r="F1437" t="s">
        <v>1721</v>
      </c>
      <c r="G1437" t="s">
        <v>4406</v>
      </c>
      <c r="H1437" t="s">
        <v>4245</v>
      </c>
    </row>
    <row r="1438" spans="1:8" x14ac:dyDescent="0.35">
      <c r="A1438" t="s">
        <v>287</v>
      </c>
      <c r="B1438" t="s">
        <v>1112</v>
      </c>
      <c r="C1438" t="s">
        <v>4244</v>
      </c>
      <c r="D1438">
        <v>1.1000000000000001</v>
      </c>
      <c r="E1438" t="s">
        <v>1720</v>
      </c>
      <c r="F1438" t="s">
        <v>1724</v>
      </c>
      <c r="G1438" t="s">
        <v>4407</v>
      </c>
      <c r="H1438" t="s">
        <v>4245</v>
      </c>
    </row>
    <row r="1439" spans="1:8" x14ac:dyDescent="0.35">
      <c r="A1439" t="s">
        <v>287</v>
      </c>
      <c r="B1439" t="s">
        <v>1112</v>
      </c>
      <c r="C1439" t="s">
        <v>4244</v>
      </c>
      <c r="D1439">
        <v>1E-3</v>
      </c>
      <c r="E1439" t="s">
        <v>1720</v>
      </c>
      <c r="F1439" t="s">
        <v>1721</v>
      </c>
      <c r="G1439" t="s">
        <v>4407</v>
      </c>
      <c r="H1439" t="s">
        <v>4245</v>
      </c>
    </row>
    <row r="1440" spans="1:8" x14ac:dyDescent="0.35">
      <c r="A1440" t="s">
        <v>287</v>
      </c>
      <c r="B1440" t="s">
        <v>1112</v>
      </c>
      <c r="C1440" t="s">
        <v>4248</v>
      </c>
      <c r="D1440">
        <v>1</v>
      </c>
      <c r="E1440" t="s">
        <v>1720</v>
      </c>
      <c r="F1440" t="s">
        <v>1724</v>
      </c>
      <c r="G1440" t="s">
        <v>4402</v>
      </c>
      <c r="H1440" t="s">
        <v>4249</v>
      </c>
    </row>
    <row r="1441" spans="1:8" x14ac:dyDescent="0.35">
      <c r="A1441" t="s">
        <v>287</v>
      </c>
      <c r="B1441" t="s">
        <v>1112</v>
      </c>
      <c r="C1441" t="s">
        <v>4248</v>
      </c>
      <c r="D1441">
        <v>1E-3</v>
      </c>
      <c r="E1441" t="s">
        <v>1720</v>
      </c>
      <c r="F1441" t="s">
        <v>1721</v>
      </c>
      <c r="G1441" t="s">
        <v>4402</v>
      </c>
      <c r="H1441" t="s">
        <v>4249</v>
      </c>
    </row>
    <row r="1442" spans="1:8" x14ac:dyDescent="0.35">
      <c r="A1442" t="s">
        <v>287</v>
      </c>
      <c r="B1442" t="s">
        <v>1112</v>
      </c>
      <c r="C1442" t="s">
        <v>4323</v>
      </c>
      <c r="D1442">
        <v>1.1000000000000001</v>
      </c>
      <c r="E1442" t="s">
        <v>1720</v>
      </c>
      <c r="F1442" t="s">
        <v>1724</v>
      </c>
      <c r="G1442" t="s">
        <v>4428</v>
      </c>
      <c r="H1442" t="s">
        <v>4324</v>
      </c>
    </row>
    <row r="1443" spans="1:8" x14ac:dyDescent="0.35">
      <c r="A1443" t="s">
        <v>287</v>
      </c>
      <c r="B1443" t="s">
        <v>1112</v>
      </c>
      <c r="C1443" t="s">
        <v>4323</v>
      </c>
      <c r="D1443">
        <v>1E-3</v>
      </c>
      <c r="E1443" t="s">
        <v>1720</v>
      </c>
      <c r="F1443" t="s">
        <v>1721</v>
      </c>
      <c r="G1443" t="s">
        <v>4428</v>
      </c>
      <c r="H1443" t="s">
        <v>4324</v>
      </c>
    </row>
    <row r="1444" spans="1:8" x14ac:dyDescent="0.35">
      <c r="A1444" t="s">
        <v>287</v>
      </c>
      <c r="B1444" t="s">
        <v>1112</v>
      </c>
      <c r="C1444" t="s">
        <v>4323</v>
      </c>
      <c r="D1444">
        <v>1.1000000000000001</v>
      </c>
      <c r="E1444" t="s">
        <v>1720</v>
      </c>
      <c r="F1444" t="s">
        <v>1724</v>
      </c>
      <c r="G1444" t="s">
        <v>4429</v>
      </c>
      <c r="H1444" t="s">
        <v>4324</v>
      </c>
    </row>
    <row r="1445" spans="1:8" x14ac:dyDescent="0.35">
      <c r="A1445" t="s">
        <v>287</v>
      </c>
      <c r="B1445" t="s">
        <v>1112</v>
      </c>
      <c r="C1445" t="s">
        <v>4323</v>
      </c>
      <c r="D1445">
        <v>1E-3</v>
      </c>
      <c r="E1445" t="s">
        <v>1720</v>
      </c>
      <c r="F1445" t="s">
        <v>1721</v>
      </c>
      <c r="G1445" t="s">
        <v>4429</v>
      </c>
      <c r="H1445" t="s">
        <v>4324</v>
      </c>
    </row>
    <row r="1446" spans="1:8" x14ac:dyDescent="0.35">
      <c r="A1446" t="s">
        <v>287</v>
      </c>
      <c r="B1446" t="s">
        <v>1112</v>
      </c>
      <c r="C1446" t="s">
        <v>4323</v>
      </c>
      <c r="D1446">
        <v>1.1000000000000001</v>
      </c>
      <c r="E1446" t="s">
        <v>1720</v>
      </c>
      <c r="F1446" t="s">
        <v>1724</v>
      </c>
      <c r="G1446" t="s">
        <v>4430</v>
      </c>
      <c r="H1446" t="s">
        <v>4324</v>
      </c>
    </row>
    <row r="1447" spans="1:8" x14ac:dyDescent="0.35">
      <c r="A1447" t="s">
        <v>287</v>
      </c>
      <c r="B1447" t="s">
        <v>1112</v>
      </c>
      <c r="C1447" t="s">
        <v>4323</v>
      </c>
      <c r="D1447">
        <v>1E-3</v>
      </c>
      <c r="E1447" t="s">
        <v>1720</v>
      </c>
      <c r="F1447" t="s">
        <v>1721</v>
      </c>
      <c r="G1447" t="s">
        <v>4430</v>
      </c>
      <c r="H1447" t="s">
        <v>4324</v>
      </c>
    </row>
    <row r="1448" spans="1:8" x14ac:dyDescent="0.35">
      <c r="A1448" t="s">
        <v>287</v>
      </c>
      <c r="B1448" t="s">
        <v>1112</v>
      </c>
      <c r="C1448" t="s">
        <v>4323</v>
      </c>
      <c r="D1448">
        <v>1.1000000000000001</v>
      </c>
      <c r="E1448" t="s">
        <v>1720</v>
      </c>
      <c r="F1448" t="s">
        <v>1724</v>
      </c>
      <c r="G1448" t="s">
        <v>4446</v>
      </c>
      <c r="H1448" t="s">
        <v>4324</v>
      </c>
    </row>
    <row r="1449" spans="1:8" x14ac:dyDescent="0.35">
      <c r="A1449" t="s">
        <v>287</v>
      </c>
      <c r="B1449" t="s">
        <v>1112</v>
      </c>
      <c r="C1449" t="s">
        <v>4323</v>
      </c>
      <c r="D1449">
        <v>6.0000000000000001E-3</v>
      </c>
      <c r="E1449" t="s">
        <v>1720</v>
      </c>
      <c r="F1449" t="s">
        <v>1721</v>
      </c>
      <c r="G1449" t="s">
        <v>4446</v>
      </c>
      <c r="H1449" t="s">
        <v>4324</v>
      </c>
    </row>
    <row r="1450" spans="1:8" x14ac:dyDescent="0.35">
      <c r="A1450" t="s">
        <v>287</v>
      </c>
      <c r="B1450" t="s">
        <v>1112</v>
      </c>
      <c r="C1450" t="s">
        <v>4246</v>
      </c>
      <c r="D1450">
        <v>1E-3</v>
      </c>
      <c r="E1450" t="s">
        <v>1720</v>
      </c>
      <c r="F1450" t="s">
        <v>1721</v>
      </c>
      <c r="G1450" t="s">
        <v>4402</v>
      </c>
      <c r="H1450" t="s">
        <v>4247</v>
      </c>
    </row>
    <row r="1451" spans="1:8" x14ac:dyDescent="0.35">
      <c r="A1451" t="s">
        <v>287</v>
      </c>
      <c r="B1451" t="s">
        <v>1112</v>
      </c>
      <c r="C1451" t="s">
        <v>4246</v>
      </c>
      <c r="D1451">
        <v>1.1000000000000001</v>
      </c>
      <c r="E1451" t="s">
        <v>1720</v>
      </c>
      <c r="F1451" t="s">
        <v>1724</v>
      </c>
      <c r="G1451" t="s">
        <v>4402</v>
      </c>
      <c r="H1451" t="s">
        <v>4247</v>
      </c>
    </row>
    <row r="1452" spans="1:8" x14ac:dyDescent="0.35">
      <c r="A1452" t="s">
        <v>287</v>
      </c>
      <c r="B1452" t="s">
        <v>1112</v>
      </c>
      <c r="C1452" t="s">
        <v>4252</v>
      </c>
      <c r="D1452">
        <v>1.1000000000000001</v>
      </c>
      <c r="E1452" t="s">
        <v>1720</v>
      </c>
      <c r="F1452" t="s">
        <v>1724</v>
      </c>
      <c r="G1452" t="s">
        <v>4402</v>
      </c>
      <c r="H1452" t="s">
        <v>4253</v>
      </c>
    </row>
    <row r="1453" spans="1:8" x14ac:dyDescent="0.35">
      <c r="A1453" t="s">
        <v>287</v>
      </c>
      <c r="B1453" t="s">
        <v>1112</v>
      </c>
      <c r="C1453" t="s">
        <v>4252</v>
      </c>
      <c r="D1453">
        <v>1E-3</v>
      </c>
      <c r="E1453" t="s">
        <v>1720</v>
      </c>
      <c r="F1453" t="s">
        <v>1721</v>
      </c>
      <c r="G1453" t="s">
        <v>4402</v>
      </c>
      <c r="H1453" t="s">
        <v>4253</v>
      </c>
    </row>
    <row r="1454" spans="1:8" x14ac:dyDescent="0.35">
      <c r="A1454" t="s">
        <v>287</v>
      </c>
      <c r="B1454" t="s">
        <v>1112</v>
      </c>
      <c r="C1454" t="s">
        <v>4254</v>
      </c>
      <c r="D1454">
        <v>1.1000000000000001</v>
      </c>
      <c r="E1454" t="s">
        <v>1720</v>
      </c>
      <c r="F1454" t="s">
        <v>1724</v>
      </c>
      <c r="G1454" t="s">
        <v>4402</v>
      </c>
      <c r="H1454" t="s">
        <v>4255</v>
      </c>
    </row>
    <row r="1455" spans="1:8" x14ac:dyDescent="0.35">
      <c r="A1455" t="s">
        <v>287</v>
      </c>
      <c r="B1455" t="s">
        <v>1112</v>
      </c>
      <c r="C1455" t="s">
        <v>4254</v>
      </c>
      <c r="D1455">
        <v>1E-3</v>
      </c>
      <c r="E1455" t="s">
        <v>1720</v>
      </c>
      <c r="F1455" t="s">
        <v>1721</v>
      </c>
      <c r="G1455" t="s">
        <v>4402</v>
      </c>
      <c r="H1455" t="s">
        <v>4255</v>
      </c>
    </row>
    <row r="1456" spans="1:8" x14ac:dyDescent="0.35">
      <c r="A1456" t="s">
        <v>287</v>
      </c>
      <c r="B1456" t="s">
        <v>1112</v>
      </c>
      <c r="C1456" t="s">
        <v>4256</v>
      </c>
      <c r="D1456">
        <v>1.1000000000000001</v>
      </c>
      <c r="E1456" t="s">
        <v>1720</v>
      </c>
      <c r="F1456" t="s">
        <v>1724</v>
      </c>
      <c r="G1456" t="s">
        <v>4402</v>
      </c>
      <c r="H1456" t="s">
        <v>4257</v>
      </c>
    </row>
    <row r="1457" spans="1:8" x14ac:dyDescent="0.35">
      <c r="A1457" t="s">
        <v>287</v>
      </c>
      <c r="B1457" t="s">
        <v>1112</v>
      </c>
      <c r="C1457" t="s">
        <v>4256</v>
      </c>
      <c r="D1457">
        <v>1E-3</v>
      </c>
      <c r="E1457" t="s">
        <v>1720</v>
      </c>
      <c r="F1457" t="s">
        <v>1721</v>
      </c>
      <c r="G1457" t="s">
        <v>4402</v>
      </c>
      <c r="H1457" t="s">
        <v>4257</v>
      </c>
    </row>
    <row r="1458" spans="1:8" x14ac:dyDescent="0.35">
      <c r="A1458" t="s">
        <v>287</v>
      </c>
      <c r="B1458" t="s">
        <v>1112</v>
      </c>
      <c r="C1458" t="s">
        <v>4358</v>
      </c>
      <c r="D1458">
        <v>1E-3</v>
      </c>
      <c r="E1458" t="s">
        <v>1720</v>
      </c>
      <c r="F1458" t="s">
        <v>1721</v>
      </c>
      <c r="G1458" t="s">
        <v>4402</v>
      </c>
      <c r="H1458" t="s">
        <v>4359</v>
      </c>
    </row>
    <row r="1459" spans="1:8" x14ac:dyDescent="0.35">
      <c r="A1459" t="s">
        <v>287</v>
      </c>
      <c r="B1459" t="s">
        <v>1112</v>
      </c>
      <c r="C1459" t="s">
        <v>4358</v>
      </c>
      <c r="D1459">
        <v>1.1000000000000001</v>
      </c>
      <c r="E1459" t="s">
        <v>1720</v>
      </c>
      <c r="F1459" t="s">
        <v>1724</v>
      </c>
      <c r="G1459" t="s">
        <v>4402</v>
      </c>
      <c r="H1459" t="s">
        <v>4359</v>
      </c>
    </row>
    <row r="1460" spans="1:8" x14ac:dyDescent="0.35">
      <c r="A1460" t="s">
        <v>287</v>
      </c>
      <c r="B1460" t="s">
        <v>1112</v>
      </c>
      <c r="C1460" t="s">
        <v>4262</v>
      </c>
      <c r="D1460">
        <v>1.1000000000000001</v>
      </c>
      <c r="E1460" t="s">
        <v>1720</v>
      </c>
      <c r="F1460" t="s">
        <v>1724</v>
      </c>
      <c r="G1460" t="s">
        <v>4410</v>
      </c>
      <c r="H1460" t="s">
        <v>4263</v>
      </c>
    </row>
    <row r="1461" spans="1:8" x14ac:dyDescent="0.35">
      <c r="A1461" t="s">
        <v>287</v>
      </c>
      <c r="B1461" t="s">
        <v>1112</v>
      </c>
      <c r="C1461" t="s">
        <v>4262</v>
      </c>
      <c r="D1461">
        <v>1E-3</v>
      </c>
      <c r="E1461" t="s">
        <v>1720</v>
      </c>
      <c r="F1461" t="s">
        <v>1721</v>
      </c>
      <c r="G1461" t="s">
        <v>4410</v>
      </c>
      <c r="H1461" t="s">
        <v>4263</v>
      </c>
    </row>
    <row r="1462" spans="1:8" x14ac:dyDescent="0.35">
      <c r="A1462" t="s">
        <v>287</v>
      </c>
      <c r="B1462" t="s">
        <v>1112</v>
      </c>
      <c r="C1462" t="s">
        <v>4319</v>
      </c>
      <c r="D1462">
        <v>1E-3</v>
      </c>
      <c r="E1462" t="s">
        <v>1720</v>
      </c>
      <c r="F1462" t="s">
        <v>1721</v>
      </c>
      <c r="G1462" t="s">
        <v>4402</v>
      </c>
      <c r="H1462" t="s">
        <v>4320</v>
      </c>
    </row>
    <row r="1463" spans="1:8" x14ac:dyDescent="0.35">
      <c r="A1463" t="s">
        <v>287</v>
      </c>
      <c r="B1463" t="s">
        <v>1112</v>
      </c>
      <c r="C1463" t="s">
        <v>4319</v>
      </c>
      <c r="D1463">
        <v>1.1000000000000001</v>
      </c>
      <c r="E1463" t="s">
        <v>1720</v>
      </c>
      <c r="F1463" t="s">
        <v>1724</v>
      </c>
      <c r="G1463" t="s">
        <v>4402</v>
      </c>
      <c r="H1463" t="s">
        <v>4320</v>
      </c>
    </row>
    <row r="1464" spans="1:8" x14ac:dyDescent="0.35">
      <c r="A1464" t="s">
        <v>287</v>
      </c>
      <c r="B1464" t="s">
        <v>1112</v>
      </c>
      <c r="C1464" t="s">
        <v>4260</v>
      </c>
      <c r="D1464">
        <v>1.1000000000000001</v>
      </c>
      <c r="E1464" t="s">
        <v>1720</v>
      </c>
      <c r="F1464" t="s">
        <v>1724</v>
      </c>
      <c r="G1464" t="s">
        <v>4409</v>
      </c>
      <c r="H1464" t="s">
        <v>4261</v>
      </c>
    </row>
    <row r="1465" spans="1:8" x14ac:dyDescent="0.35">
      <c r="A1465" t="s">
        <v>287</v>
      </c>
      <c r="B1465" t="s">
        <v>1112</v>
      </c>
      <c r="C1465" t="s">
        <v>4260</v>
      </c>
      <c r="D1465">
        <v>1E-3</v>
      </c>
      <c r="E1465" t="s">
        <v>1720</v>
      </c>
      <c r="F1465" t="s">
        <v>1721</v>
      </c>
      <c r="G1465" t="s">
        <v>4409</v>
      </c>
      <c r="H1465" t="s">
        <v>4261</v>
      </c>
    </row>
    <row r="1466" spans="1:8" x14ac:dyDescent="0.35">
      <c r="A1466" t="s">
        <v>287</v>
      </c>
      <c r="B1466" t="s">
        <v>1112</v>
      </c>
      <c r="C1466" t="s">
        <v>4264</v>
      </c>
      <c r="D1466">
        <v>1.1000000000000001</v>
      </c>
      <c r="E1466" t="s">
        <v>1720</v>
      </c>
      <c r="F1466" t="s">
        <v>1724</v>
      </c>
      <c r="G1466" t="s">
        <v>4402</v>
      </c>
      <c r="H1466" t="s">
        <v>4265</v>
      </c>
    </row>
    <row r="1467" spans="1:8" x14ac:dyDescent="0.35">
      <c r="A1467" t="s">
        <v>287</v>
      </c>
      <c r="B1467" t="s">
        <v>1112</v>
      </c>
      <c r="C1467" t="s">
        <v>4264</v>
      </c>
      <c r="D1467">
        <v>1E-3</v>
      </c>
      <c r="E1467" t="s">
        <v>1720</v>
      </c>
      <c r="F1467" t="s">
        <v>1721</v>
      </c>
      <c r="G1467" t="s">
        <v>4402</v>
      </c>
      <c r="H1467" t="s">
        <v>4265</v>
      </c>
    </row>
    <row r="1468" spans="1:8" x14ac:dyDescent="0.35">
      <c r="A1468" t="s">
        <v>287</v>
      </c>
      <c r="B1468" t="s">
        <v>1112</v>
      </c>
      <c r="C1468" t="s">
        <v>4266</v>
      </c>
      <c r="D1468">
        <v>1.1000000000000001</v>
      </c>
      <c r="E1468" t="s">
        <v>1720</v>
      </c>
      <c r="F1468" t="s">
        <v>1724</v>
      </c>
      <c r="G1468" t="s">
        <v>4402</v>
      </c>
      <c r="H1468" t="s">
        <v>4267</v>
      </c>
    </row>
    <row r="1469" spans="1:8" x14ac:dyDescent="0.35">
      <c r="A1469" t="s">
        <v>287</v>
      </c>
      <c r="B1469" t="s">
        <v>1112</v>
      </c>
      <c r="C1469" t="s">
        <v>4266</v>
      </c>
      <c r="D1469">
        <v>1E-3</v>
      </c>
      <c r="E1469" t="s">
        <v>1720</v>
      </c>
      <c r="F1469" t="s">
        <v>1721</v>
      </c>
      <c r="G1469" t="s">
        <v>4402</v>
      </c>
      <c r="H1469" t="s">
        <v>4267</v>
      </c>
    </row>
    <row r="1470" spans="1:8" x14ac:dyDescent="0.35">
      <c r="A1470" t="s">
        <v>287</v>
      </c>
      <c r="B1470" t="s">
        <v>1112</v>
      </c>
      <c r="C1470" t="s">
        <v>4268</v>
      </c>
      <c r="D1470">
        <v>1.1000000000000001</v>
      </c>
      <c r="E1470" t="s">
        <v>1720</v>
      </c>
      <c r="F1470" t="s">
        <v>1724</v>
      </c>
      <c r="G1470" t="s">
        <v>4402</v>
      </c>
      <c r="H1470" t="s">
        <v>4269</v>
      </c>
    </row>
    <row r="1471" spans="1:8" x14ac:dyDescent="0.35">
      <c r="A1471" t="s">
        <v>287</v>
      </c>
      <c r="B1471" t="s">
        <v>1112</v>
      </c>
      <c r="C1471" t="s">
        <v>4268</v>
      </c>
      <c r="D1471">
        <v>1E-3</v>
      </c>
      <c r="E1471" t="s">
        <v>1720</v>
      </c>
      <c r="F1471" t="s">
        <v>1721</v>
      </c>
      <c r="G1471" t="s">
        <v>4402</v>
      </c>
      <c r="H1471" t="s">
        <v>4269</v>
      </c>
    </row>
    <row r="1472" spans="1:8" x14ac:dyDescent="0.35">
      <c r="A1472" t="s">
        <v>287</v>
      </c>
      <c r="B1472" t="s">
        <v>1112</v>
      </c>
      <c r="C1472" t="s">
        <v>4270</v>
      </c>
      <c r="D1472">
        <v>1E-3</v>
      </c>
      <c r="E1472" t="s">
        <v>1720</v>
      </c>
      <c r="F1472" t="s">
        <v>1721</v>
      </c>
      <c r="G1472" t="s">
        <v>4411</v>
      </c>
      <c r="H1472" t="s">
        <v>4271</v>
      </c>
    </row>
    <row r="1473" spans="1:8" x14ac:dyDescent="0.35">
      <c r="A1473" t="s">
        <v>287</v>
      </c>
      <c r="B1473" t="s">
        <v>1112</v>
      </c>
      <c r="C1473" t="s">
        <v>4272</v>
      </c>
      <c r="D1473">
        <v>1.1000000000000001</v>
      </c>
      <c r="E1473" t="s">
        <v>1720</v>
      </c>
      <c r="F1473" t="s">
        <v>1724</v>
      </c>
      <c r="G1473" t="s">
        <v>4402</v>
      </c>
      <c r="H1473" t="s">
        <v>4273</v>
      </c>
    </row>
    <row r="1474" spans="1:8" x14ac:dyDescent="0.35">
      <c r="A1474" t="s">
        <v>287</v>
      </c>
      <c r="B1474" t="s">
        <v>1112</v>
      </c>
      <c r="C1474" t="s">
        <v>4272</v>
      </c>
      <c r="D1474">
        <v>1E-3</v>
      </c>
      <c r="E1474" t="s">
        <v>1720</v>
      </c>
      <c r="F1474" t="s">
        <v>1721</v>
      </c>
      <c r="G1474" t="s">
        <v>4402</v>
      </c>
      <c r="H1474" t="s">
        <v>4273</v>
      </c>
    </row>
    <row r="1475" spans="1:8" x14ac:dyDescent="0.35">
      <c r="A1475" t="s">
        <v>287</v>
      </c>
      <c r="B1475" t="s">
        <v>1112</v>
      </c>
      <c r="C1475" t="s">
        <v>4276</v>
      </c>
      <c r="D1475">
        <v>1.1000000000000001</v>
      </c>
      <c r="E1475" t="s">
        <v>1720</v>
      </c>
      <c r="F1475" t="s">
        <v>1724</v>
      </c>
      <c r="G1475" t="s">
        <v>4413</v>
      </c>
      <c r="H1475" t="s">
        <v>4277</v>
      </c>
    </row>
    <row r="1476" spans="1:8" x14ac:dyDescent="0.35">
      <c r="A1476" t="s">
        <v>287</v>
      </c>
      <c r="B1476" t="s">
        <v>1112</v>
      </c>
      <c r="C1476" t="s">
        <v>4276</v>
      </c>
      <c r="D1476">
        <v>1E-3</v>
      </c>
      <c r="E1476" t="s">
        <v>1720</v>
      </c>
      <c r="F1476" t="s">
        <v>1721</v>
      </c>
      <c r="G1476" t="s">
        <v>4413</v>
      </c>
      <c r="H1476" t="s">
        <v>4277</v>
      </c>
    </row>
    <row r="1477" spans="1:8" x14ac:dyDescent="0.35">
      <c r="A1477" t="s">
        <v>287</v>
      </c>
      <c r="B1477" t="s">
        <v>1112</v>
      </c>
      <c r="C1477" t="s">
        <v>4258</v>
      </c>
      <c r="D1477">
        <v>1.1000000000000001</v>
      </c>
      <c r="E1477" t="s">
        <v>1720</v>
      </c>
      <c r="F1477" t="s">
        <v>1724</v>
      </c>
      <c r="G1477" t="s">
        <v>4408</v>
      </c>
      <c r="H1477" t="s">
        <v>4259</v>
      </c>
    </row>
    <row r="1478" spans="1:8" x14ac:dyDescent="0.35">
      <c r="A1478" t="s">
        <v>287</v>
      </c>
      <c r="B1478" t="s">
        <v>1112</v>
      </c>
      <c r="C1478" t="s">
        <v>4258</v>
      </c>
      <c r="D1478">
        <v>1E-3</v>
      </c>
      <c r="E1478" t="s">
        <v>1720</v>
      </c>
      <c r="F1478" t="s">
        <v>1721</v>
      </c>
      <c r="G1478" t="s">
        <v>4408</v>
      </c>
      <c r="H1478" t="s">
        <v>4259</v>
      </c>
    </row>
    <row r="1479" spans="1:8" x14ac:dyDescent="0.35">
      <c r="A1479" t="s">
        <v>287</v>
      </c>
      <c r="B1479" t="s">
        <v>1112</v>
      </c>
      <c r="C1479" t="s">
        <v>4278</v>
      </c>
      <c r="D1479">
        <v>1E-3</v>
      </c>
      <c r="E1479" t="s">
        <v>1720</v>
      </c>
      <c r="F1479" t="s">
        <v>1724</v>
      </c>
      <c r="G1479" t="s">
        <v>4414</v>
      </c>
      <c r="H1479" t="s">
        <v>4279</v>
      </c>
    </row>
    <row r="1480" spans="1:8" x14ac:dyDescent="0.35">
      <c r="A1480" t="s">
        <v>287</v>
      </c>
      <c r="B1480" t="s">
        <v>1112</v>
      </c>
      <c r="C1480" t="s">
        <v>4278</v>
      </c>
      <c r="D1480">
        <v>1.1000000000000001</v>
      </c>
      <c r="E1480" t="s">
        <v>1720</v>
      </c>
      <c r="F1480" t="s">
        <v>1721</v>
      </c>
      <c r="G1480" t="s">
        <v>4414</v>
      </c>
      <c r="H1480" t="s">
        <v>4279</v>
      </c>
    </row>
    <row r="1481" spans="1:8" x14ac:dyDescent="0.35">
      <c r="A1481" t="s">
        <v>287</v>
      </c>
      <c r="B1481" t="s">
        <v>1112</v>
      </c>
      <c r="C1481" t="s">
        <v>4280</v>
      </c>
      <c r="D1481">
        <v>1E-3</v>
      </c>
      <c r="E1481" t="s">
        <v>1720</v>
      </c>
      <c r="F1481" t="s">
        <v>1721</v>
      </c>
      <c r="G1481" t="s">
        <v>4468</v>
      </c>
      <c r="H1481" t="s">
        <v>4281</v>
      </c>
    </row>
    <row r="1482" spans="1:8" x14ac:dyDescent="0.35">
      <c r="A1482" t="s">
        <v>287</v>
      </c>
      <c r="B1482" t="s">
        <v>1112</v>
      </c>
      <c r="C1482" t="s">
        <v>4270</v>
      </c>
      <c r="D1482">
        <v>1.1000000000000001</v>
      </c>
      <c r="E1482" t="s">
        <v>1720</v>
      </c>
      <c r="F1482" t="s">
        <v>1724</v>
      </c>
      <c r="G1482" t="s">
        <v>4411</v>
      </c>
      <c r="H1482" t="s">
        <v>4271</v>
      </c>
    </row>
    <row r="1483" spans="1:8" x14ac:dyDescent="0.35">
      <c r="A1483" t="s">
        <v>287</v>
      </c>
      <c r="B1483" t="s">
        <v>1112</v>
      </c>
      <c r="C1483" t="s">
        <v>4280</v>
      </c>
      <c r="D1483">
        <v>1E-3</v>
      </c>
      <c r="E1483" t="s">
        <v>1720</v>
      </c>
      <c r="F1483" t="s">
        <v>1721</v>
      </c>
      <c r="G1483" t="s">
        <v>4415</v>
      </c>
      <c r="H1483" t="s">
        <v>4281</v>
      </c>
    </row>
    <row r="1484" spans="1:8" x14ac:dyDescent="0.35">
      <c r="A1484" t="s">
        <v>287</v>
      </c>
      <c r="B1484" t="s">
        <v>1112</v>
      </c>
      <c r="C1484" t="s">
        <v>4280</v>
      </c>
      <c r="D1484">
        <v>1.1000000000000001</v>
      </c>
      <c r="E1484" t="s">
        <v>1720</v>
      </c>
      <c r="F1484" t="s">
        <v>1724</v>
      </c>
      <c r="G1484" t="s">
        <v>4415</v>
      </c>
      <c r="H1484" t="s">
        <v>4281</v>
      </c>
    </row>
    <row r="1485" spans="1:8" x14ac:dyDescent="0.35">
      <c r="A1485" t="s">
        <v>287</v>
      </c>
      <c r="B1485" t="s">
        <v>1112</v>
      </c>
      <c r="C1485" t="s">
        <v>4282</v>
      </c>
      <c r="D1485">
        <v>1.1000000000000001</v>
      </c>
      <c r="E1485" t="s">
        <v>1720</v>
      </c>
      <c r="F1485" t="s">
        <v>1724</v>
      </c>
      <c r="G1485" t="s">
        <v>4402</v>
      </c>
      <c r="H1485" t="s">
        <v>4283</v>
      </c>
    </row>
    <row r="1486" spans="1:8" x14ac:dyDescent="0.35">
      <c r="A1486" t="s">
        <v>287</v>
      </c>
      <c r="B1486" t="s">
        <v>1112</v>
      </c>
      <c r="C1486" t="s">
        <v>4282</v>
      </c>
      <c r="D1486">
        <v>1E-3</v>
      </c>
      <c r="E1486" t="s">
        <v>1720</v>
      </c>
      <c r="F1486" t="s">
        <v>1721</v>
      </c>
      <c r="G1486" t="s">
        <v>4402</v>
      </c>
      <c r="H1486" t="s">
        <v>4283</v>
      </c>
    </row>
    <row r="1487" spans="1:8" x14ac:dyDescent="0.35">
      <c r="A1487" t="s">
        <v>287</v>
      </c>
      <c r="B1487" t="s">
        <v>1112</v>
      </c>
      <c r="C1487" t="s">
        <v>4274</v>
      </c>
      <c r="D1487">
        <v>1.1000000000000001</v>
      </c>
      <c r="E1487" t="s">
        <v>1720</v>
      </c>
      <c r="F1487" t="s">
        <v>1724</v>
      </c>
      <c r="G1487" t="s">
        <v>4412</v>
      </c>
      <c r="H1487" t="s">
        <v>4275</v>
      </c>
    </row>
    <row r="1488" spans="1:8" x14ac:dyDescent="0.35">
      <c r="A1488" t="s">
        <v>287</v>
      </c>
      <c r="B1488" t="s">
        <v>1112</v>
      </c>
      <c r="C1488" t="s">
        <v>4274</v>
      </c>
      <c r="D1488">
        <v>1E-3</v>
      </c>
      <c r="E1488" t="s">
        <v>1720</v>
      </c>
      <c r="F1488" t="s">
        <v>1721</v>
      </c>
      <c r="G1488" t="s">
        <v>4412</v>
      </c>
      <c r="H1488" t="s">
        <v>4275</v>
      </c>
    </row>
    <row r="1489" spans="1:8" x14ac:dyDescent="0.35">
      <c r="A1489" t="s">
        <v>287</v>
      </c>
      <c r="B1489" t="s">
        <v>1112</v>
      </c>
      <c r="C1489" t="s">
        <v>4298</v>
      </c>
      <c r="D1489">
        <v>1.1000000000000001</v>
      </c>
      <c r="E1489" t="s">
        <v>1720</v>
      </c>
      <c r="F1489" t="s">
        <v>1724</v>
      </c>
      <c r="G1489" t="s">
        <v>4419</v>
      </c>
      <c r="H1489" t="s">
        <v>4299</v>
      </c>
    </row>
    <row r="1490" spans="1:8" x14ac:dyDescent="0.35">
      <c r="A1490" t="s">
        <v>287</v>
      </c>
      <c r="B1490" t="s">
        <v>1112</v>
      </c>
      <c r="C1490" t="s">
        <v>4298</v>
      </c>
      <c r="D1490">
        <v>1E-3</v>
      </c>
      <c r="E1490" t="s">
        <v>1720</v>
      </c>
      <c r="F1490" t="s">
        <v>1721</v>
      </c>
      <c r="G1490" t="s">
        <v>4419</v>
      </c>
      <c r="H1490" t="s">
        <v>4299</v>
      </c>
    </row>
    <row r="1491" spans="1:8" x14ac:dyDescent="0.35">
      <c r="A1491" t="s">
        <v>287</v>
      </c>
      <c r="B1491" t="s">
        <v>1112</v>
      </c>
      <c r="C1491" t="s">
        <v>4354</v>
      </c>
      <c r="D1491">
        <v>1.1E-5</v>
      </c>
      <c r="E1491" t="s">
        <v>1720</v>
      </c>
      <c r="F1491" t="s">
        <v>1721</v>
      </c>
      <c r="G1491" t="s">
        <v>4402</v>
      </c>
      <c r="H1491" t="s">
        <v>4355</v>
      </c>
    </row>
    <row r="1492" spans="1:8" x14ac:dyDescent="0.35">
      <c r="A1492" t="s">
        <v>287</v>
      </c>
      <c r="B1492" t="s">
        <v>1112</v>
      </c>
      <c r="C1492" t="s">
        <v>4288</v>
      </c>
      <c r="D1492">
        <v>1.1000000000000001</v>
      </c>
      <c r="E1492" t="s">
        <v>1720</v>
      </c>
      <c r="F1492" t="s">
        <v>1724</v>
      </c>
      <c r="G1492" t="s">
        <v>4415</v>
      </c>
      <c r="H1492" t="s">
        <v>4289</v>
      </c>
    </row>
    <row r="1493" spans="1:8" x14ac:dyDescent="0.35">
      <c r="A1493" t="s">
        <v>287</v>
      </c>
      <c r="B1493" t="s">
        <v>1112</v>
      </c>
      <c r="C1493" t="s">
        <v>4288</v>
      </c>
      <c r="D1493">
        <v>1E-3</v>
      </c>
      <c r="E1493" t="s">
        <v>1720</v>
      </c>
      <c r="F1493" t="s">
        <v>1721</v>
      </c>
      <c r="G1493" t="s">
        <v>4415</v>
      </c>
      <c r="H1493" t="s">
        <v>4289</v>
      </c>
    </row>
    <row r="1494" spans="1:8" x14ac:dyDescent="0.35">
      <c r="A1494" t="s">
        <v>287</v>
      </c>
      <c r="B1494" t="s">
        <v>1112</v>
      </c>
      <c r="C1494" t="s">
        <v>4290</v>
      </c>
      <c r="D1494">
        <v>1.1000000000000001</v>
      </c>
      <c r="E1494" t="s">
        <v>1720</v>
      </c>
      <c r="F1494" t="s">
        <v>1724</v>
      </c>
      <c r="G1494" t="s">
        <v>4402</v>
      </c>
      <c r="H1494" t="s">
        <v>4291</v>
      </c>
    </row>
    <row r="1495" spans="1:8" x14ac:dyDescent="0.35">
      <c r="A1495" t="s">
        <v>287</v>
      </c>
      <c r="B1495" t="s">
        <v>1112</v>
      </c>
      <c r="C1495" t="s">
        <v>4290</v>
      </c>
      <c r="D1495">
        <v>1E-3</v>
      </c>
      <c r="E1495" t="s">
        <v>1720</v>
      </c>
      <c r="F1495" t="s">
        <v>1721</v>
      </c>
      <c r="G1495" t="s">
        <v>4402</v>
      </c>
      <c r="H1495" t="s">
        <v>4291</v>
      </c>
    </row>
    <row r="1496" spans="1:8" x14ac:dyDescent="0.35">
      <c r="A1496" t="s">
        <v>287</v>
      </c>
      <c r="B1496" t="s">
        <v>1112</v>
      </c>
      <c r="C1496" t="s">
        <v>4292</v>
      </c>
      <c r="D1496">
        <v>1.1000000000000001</v>
      </c>
      <c r="E1496" t="s">
        <v>1720</v>
      </c>
      <c r="F1496" t="s">
        <v>1724</v>
      </c>
      <c r="G1496" t="s">
        <v>4402</v>
      </c>
      <c r="H1496" t="s">
        <v>4293</v>
      </c>
    </row>
    <row r="1497" spans="1:8" x14ac:dyDescent="0.35">
      <c r="A1497" t="s">
        <v>287</v>
      </c>
      <c r="B1497" t="s">
        <v>1112</v>
      </c>
      <c r="C1497" t="s">
        <v>4292</v>
      </c>
      <c r="D1497">
        <v>1E-3</v>
      </c>
      <c r="E1497" t="s">
        <v>1720</v>
      </c>
      <c r="F1497" t="s">
        <v>1721</v>
      </c>
      <c r="G1497" t="s">
        <v>4402</v>
      </c>
      <c r="H1497" t="s">
        <v>4293</v>
      </c>
    </row>
    <row r="1498" spans="1:8" x14ac:dyDescent="0.35">
      <c r="A1498" t="s">
        <v>287</v>
      </c>
      <c r="B1498" t="s">
        <v>1112</v>
      </c>
      <c r="C1498" t="s">
        <v>4294</v>
      </c>
      <c r="D1498">
        <v>1.1000000000000001</v>
      </c>
      <c r="E1498" t="s">
        <v>1720</v>
      </c>
      <c r="F1498" t="s">
        <v>1724</v>
      </c>
      <c r="G1498" t="s">
        <v>4418</v>
      </c>
      <c r="H1498" t="s">
        <v>4295</v>
      </c>
    </row>
    <row r="1499" spans="1:8" x14ac:dyDescent="0.35">
      <c r="A1499" t="s">
        <v>287</v>
      </c>
      <c r="B1499" t="s">
        <v>1112</v>
      </c>
      <c r="C1499" t="s">
        <v>4294</v>
      </c>
      <c r="D1499">
        <v>1E-3</v>
      </c>
      <c r="E1499" t="s">
        <v>1720</v>
      </c>
      <c r="F1499" t="s">
        <v>1721</v>
      </c>
      <c r="G1499" t="s">
        <v>4418</v>
      </c>
      <c r="H1499" t="s">
        <v>4295</v>
      </c>
    </row>
    <row r="1500" spans="1:8" x14ac:dyDescent="0.35">
      <c r="A1500" t="s">
        <v>287</v>
      </c>
      <c r="B1500" t="s">
        <v>1112</v>
      </c>
      <c r="C1500" t="s">
        <v>4286</v>
      </c>
      <c r="D1500">
        <v>1.1000000000000001</v>
      </c>
      <c r="E1500" t="s">
        <v>1720</v>
      </c>
      <c r="F1500" t="s">
        <v>1724</v>
      </c>
      <c r="G1500" t="s">
        <v>4402</v>
      </c>
      <c r="H1500" t="s">
        <v>4287</v>
      </c>
    </row>
    <row r="1501" spans="1:8" x14ac:dyDescent="0.35">
      <c r="A1501" t="s">
        <v>287</v>
      </c>
      <c r="B1501" t="s">
        <v>1112</v>
      </c>
      <c r="C1501" t="s">
        <v>4286</v>
      </c>
      <c r="D1501">
        <v>1E-3</v>
      </c>
      <c r="E1501" t="s">
        <v>1720</v>
      </c>
      <c r="F1501" t="s">
        <v>1721</v>
      </c>
      <c r="G1501" t="s">
        <v>4402</v>
      </c>
      <c r="H1501" t="s">
        <v>4287</v>
      </c>
    </row>
    <row r="1502" spans="1:8" x14ac:dyDescent="0.35">
      <c r="A1502" t="s">
        <v>287</v>
      </c>
      <c r="B1502" t="s">
        <v>1112</v>
      </c>
      <c r="C1502" t="s">
        <v>4296</v>
      </c>
      <c r="D1502">
        <v>1.1000000000000001</v>
      </c>
      <c r="E1502" t="s">
        <v>1720</v>
      </c>
      <c r="F1502" t="s">
        <v>1724</v>
      </c>
      <c r="G1502" t="s">
        <v>4402</v>
      </c>
      <c r="H1502" t="s">
        <v>4297</v>
      </c>
    </row>
    <row r="1503" spans="1:8" x14ac:dyDescent="0.35">
      <c r="A1503" t="s">
        <v>287</v>
      </c>
      <c r="B1503" t="s">
        <v>1112</v>
      </c>
      <c r="C1503" t="s">
        <v>4296</v>
      </c>
      <c r="D1503">
        <v>1E-3</v>
      </c>
      <c r="E1503" t="s">
        <v>1720</v>
      </c>
      <c r="F1503" t="s">
        <v>1721</v>
      </c>
      <c r="G1503" t="s">
        <v>4402</v>
      </c>
      <c r="H1503" t="s">
        <v>4297</v>
      </c>
    </row>
    <row r="1504" spans="1:8" x14ac:dyDescent="0.35">
      <c r="A1504" t="s">
        <v>316</v>
      </c>
      <c r="B1504" t="s">
        <v>1141</v>
      </c>
      <c r="C1504" t="s">
        <v>4248</v>
      </c>
      <c r="D1504">
        <v>2.4</v>
      </c>
      <c r="E1504" t="s">
        <v>1720</v>
      </c>
      <c r="F1504" t="s">
        <v>1724</v>
      </c>
      <c r="G1504" t="s">
        <v>4402</v>
      </c>
      <c r="H1504" t="s">
        <v>4249</v>
      </c>
    </row>
    <row r="1505" spans="1:8" x14ac:dyDescent="0.35">
      <c r="A1505" t="s">
        <v>316</v>
      </c>
      <c r="B1505" t="s">
        <v>1141</v>
      </c>
      <c r="C1505" t="s">
        <v>4248</v>
      </c>
      <c r="D1505">
        <v>4.3E-3</v>
      </c>
      <c r="E1505" t="s">
        <v>1720</v>
      </c>
      <c r="F1505" t="s">
        <v>1721</v>
      </c>
      <c r="G1505" t="s">
        <v>4402</v>
      </c>
      <c r="H1505" t="s">
        <v>4249</v>
      </c>
    </row>
    <row r="1506" spans="1:8" x14ac:dyDescent="0.35">
      <c r="A1506" t="s">
        <v>349</v>
      </c>
      <c r="B1506" t="s">
        <v>1173</v>
      </c>
      <c r="C1506" t="s">
        <v>4189</v>
      </c>
      <c r="D1506">
        <v>0.17</v>
      </c>
      <c r="E1506" t="s">
        <v>1720</v>
      </c>
      <c r="F1506" t="s">
        <v>1721</v>
      </c>
      <c r="G1506" t="s">
        <v>4385</v>
      </c>
      <c r="H1506" t="s">
        <v>4190</v>
      </c>
    </row>
    <row r="1507" spans="1:8" x14ac:dyDescent="0.35">
      <c r="A1507" t="s">
        <v>349</v>
      </c>
      <c r="B1507" t="s">
        <v>1173</v>
      </c>
      <c r="C1507" t="s">
        <v>4189</v>
      </c>
      <c r="D1507">
        <v>0.17</v>
      </c>
      <c r="E1507" t="s">
        <v>1720</v>
      </c>
      <c r="F1507" t="s">
        <v>1724</v>
      </c>
      <c r="G1507" t="s">
        <v>4385</v>
      </c>
      <c r="H1507" t="s">
        <v>4190</v>
      </c>
    </row>
    <row r="1508" spans="1:8" x14ac:dyDescent="0.35">
      <c r="A1508" t="s">
        <v>349</v>
      </c>
      <c r="B1508" t="s">
        <v>1173</v>
      </c>
      <c r="C1508" t="s">
        <v>4191</v>
      </c>
      <c r="D1508">
        <v>0.17</v>
      </c>
      <c r="E1508" t="s">
        <v>1720</v>
      </c>
      <c r="F1508" t="s">
        <v>1724</v>
      </c>
      <c r="G1508" t="s">
        <v>4383</v>
      </c>
      <c r="H1508" t="s">
        <v>4192</v>
      </c>
    </row>
    <row r="1509" spans="1:8" x14ac:dyDescent="0.35">
      <c r="A1509" t="s">
        <v>349</v>
      </c>
      <c r="B1509" t="s">
        <v>1173</v>
      </c>
      <c r="C1509" t="s">
        <v>4191</v>
      </c>
      <c r="D1509">
        <v>0.17</v>
      </c>
      <c r="E1509" t="s">
        <v>1720</v>
      </c>
      <c r="F1509" t="s">
        <v>1721</v>
      </c>
      <c r="G1509" t="s">
        <v>4383</v>
      </c>
      <c r="H1509" t="s">
        <v>4192</v>
      </c>
    </row>
    <row r="1510" spans="1:8" x14ac:dyDescent="0.35">
      <c r="A1510" t="s">
        <v>349</v>
      </c>
      <c r="B1510" t="s">
        <v>1173</v>
      </c>
      <c r="C1510" t="s">
        <v>4305</v>
      </c>
      <c r="D1510">
        <v>0.08</v>
      </c>
      <c r="E1510" t="s">
        <v>1720</v>
      </c>
      <c r="G1510" t="s">
        <v>4421</v>
      </c>
      <c r="H1510" t="s">
        <v>4306</v>
      </c>
    </row>
    <row r="1511" spans="1:8" x14ac:dyDescent="0.35">
      <c r="A1511" t="s">
        <v>349</v>
      </c>
      <c r="B1511" t="s">
        <v>1173</v>
      </c>
      <c r="C1511" t="s">
        <v>4197</v>
      </c>
      <c r="D1511">
        <v>0.17</v>
      </c>
      <c r="E1511" t="s">
        <v>1720</v>
      </c>
      <c r="F1511" t="s">
        <v>1721</v>
      </c>
      <c r="G1511" t="s">
        <v>4388</v>
      </c>
      <c r="H1511" t="s">
        <v>4198</v>
      </c>
    </row>
    <row r="1512" spans="1:8" x14ac:dyDescent="0.35">
      <c r="A1512" t="s">
        <v>349</v>
      </c>
      <c r="B1512" t="s">
        <v>1173</v>
      </c>
      <c r="C1512" t="s">
        <v>4197</v>
      </c>
      <c r="D1512">
        <v>0.17</v>
      </c>
      <c r="E1512" t="s">
        <v>1720</v>
      </c>
      <c r="F1512" t="s">
        <v>1724</v>
      </c>
      <c r="G1512" t="s">
        <v>4388</v>
      </c>
      <c r="H1512" t="s">
        <v>4198</v>
      </c>
    </row>
    <row r="1513" spans="1:8" x14ac:dyDescent="0.35">
      <c r="A1513" t="s">
        <v>349</v>
      </c>
      <c r="B1513" t="s">
        <v>1173</v>
      </c>
      <c r="C1513" t="s">
        <v>4205</v>
      </c>
      <c r="D1513">
        <v>0.17</v>
      </c>
      <c r="E1513" t="s">
        <v>1720</v>
      </c>
      <c r="F1513" t="s">
        <v>1724</v>
      </c>
      <c r="G1513" t="s">
        <v>4391</v>
      </c>
      <c r="H1513" t="s">
        <v>4206</v>
      </c>
    </row>
    <row r="1514" spans="1:8" x14ac:dyDescent="0.35">
      <c r="A1514" t="s">
        <v>349</v>
      </c>
      <c r="B1514" t="s">
        <v>1173</v>
      </c>
      <c r="C1514" t="s">
        <v>4205</v>
      </c>
      <c r="D1514">
        <v>0.17</v>
      </c>
      <c r="E1514" t="s">
        <v>1720</v>
      </c>
      <c r="F1514" t="s">
        <v>1721</v>
      </c>
      <c r="G1514" t="s">
        <v>4391</v>
      </c>
      <c r="H1514" t="s">
        <v>4206</v>
      </c>
    </row>
    <row r="1515" spans="1:8" x14ac:dyDescent="0.35">
      <c r="A1515" t="s">
        <v>349</v>
      </c>
      <c r="B1515" t="s">
        <v>1173</v>
      </c>
      <c r="C1515" t="s">
        <v>4209</v>
      </c>
      <c r="D1515">
        <v>0.17</v>
      </c>
      <c r="E1515" t="s">
        <v>1720</v>
      </c>
      <c r="F1515" t="s">
        <v>1724</v>
      </c>
      <c r="G1515" t="s">
        <v>4383</v>
      </c>
      <c r="H1515" t="s">
        <v>4210</v>
      </c>
    </row>
    <row r="1516" spans="1:8" x14ac:dyDescent="0.35">
      <c r="A1516" t="s">
        <v>349</v>
      </c>
      <c r="B1516" t="s">
        <v>1173</v>
      </c>
      <c r="C1516" t="s">
        <v>4209</v>
      </c>
      <c r="D1516">
        <v>0.17</v>
      </c>
      <c r="E1516" t="s">
        <v>1720</v>
      </c>
      <c r="F1516" t="s">
        <v>1721</v>
      </c>
      <c r="G1516" t="s">
        <v>4383</v>
      </c>
      <c r="H1516" t="s">
        <v>4210</v>
      </c>
    </row>
    <row r="1517" spans="1:8" x14ac:dyDescent="0.35">
      <c r="A1517" t="s">
        <v>349</v>
      </c>
      <c r="B1517" t="s">
        <v>1173</v>
      </c>
      <c r="C1517" t="s">
        <v>4217</v>
      </c>
      <c r="D1517">
        <v>0.17</v>
      </c>
      <c r="E1517" t="s">
        <v>1720</v>
      </c>
      <c r="F1517" t="s">
        <v>1724</v>
      </c>
      <c r="G1517" t="s">
        <v>4396</v>
      </c>
      <c r="H1517" t="s">
        <v>4218</v>
      </c>
    </row>
    <row r="1518" spans="1:8" x14ac:dyDescent="0.35">
      <c r="A1518" t="s">
        <v>349</v>
      </c>
      <c r="B1518" t="s">
        <v>1173</v>
      </c>
      <c r="C1518" t="s">
        <v>4217</v>
      </c>
      <c r="D1518">
        <v>0.17</v>
      </c>
      <c r="E1518" t="s">
        <v>1720</v>
      </c>
      <c r="F1518" t="s">
        <v>1721</v>
      </c>
      <c r="G1518" t="s">
        <v>4396</v>
      </c>
      <c r="H1518" t="s">
        <v>4218</v>
      </c>
    </row>
    <row r="1519" spans="1:8" x14ac:dyDescent="0.35">
      <c r="A1519" t="s">
        <v>349</v>
      </c>
      <c r="B1519" t="s">
        <v>1173</v>
      </c>
      <c r="C1519" t="s">
        <v>4221</v>
      </c>
      <c r="D1519">
        <v>0.17</v>
      </c>
      <c r="E1519" t="s">
        <v>1720</v>
      </c>
      <c r="F1519" t="s">
        <v>1721</v>
      </c>
      <c r="G1519" t="s">
        <v>4383</v>
      </c>
      <c r="H1519" t="s">
        <v>4222</v>
      </c>
    </row>
    <row r="1520" spans="1:8" x14ac:dyDescent="0.35">
      <c r="A1520" t="s">
        <v>349</v>
      </c>
      <c r="B1520" t="s">
        <v>1173</v>
      </c>
      <c r="C1520" t="s">
        <v>4221</v>
      </c>
      <c r="D1520">
        <v>0.17</v>
      </c>
      <c r="E1520" t="s">
        <v>1720</v>
      </c>
      <c r="F1520" t="s">
        <v>1724</v>
      </c>
      <c r="G1520" t="s">
        <v>4383</v>
      </c>
      <c r="H1520" t="s">
        <v>4222</v>
      </c>
    </row>
    <row r="1521" spans="1:8" x14ac:dyDescent="0.35">
      <c r="A1521" t="s">
        <v>349</v>
      </c>
      <c r="B1521" t="s">
        <v>1173</v>
      </c>
      <c r="C1521" t="s">
        <v>4199</v>
      </c>
      <c r="D1521">
        <v>0.17</v>
      </c>
      <c r="E1521" t="s">
        <v>1720</v>
      </c>
      <c r="F1521" t="s">
        <v>1721</v>
      </c>
      <c r="G1521" t="s">
        <v>4388</v>
      </c>
      <c r="H1521" t="s">
        <v>4200</v>
      </c>
    </row>
    <row r="1522" spans="1:8" x14ac:dyDescent="0.35">
      <c r="A1522" t="s">
        <v>349</v>
      </c>
      <c r="B1522" t="s">
        <v>1173</v>
      </c>
      <c r="C1522" t="s">
        <v>4199</v>
      </c>
      <c r="D1522">
        <v>0.17</v>
      </c>
      <c r="E1522" t="s">
        <v>1720</v>
      </c>
      <c r="F1522" t="s">
        <v>1724</v>
      </c>
      <c r="G1522" t="s">
        <v>4388</v>
      </c>
      <c r="H1522" t="s">
        <v>4200</v>
      </c>
    </row>
    <row r="1523" spans="1:8" x14ac:dyDescent="0.35">
      <c r="A1523" t="s">
        <v>349</v>
      </c>
      <c r="B1523" t="s">
        <v>1173</v>
      </c>
      <c r="C1523" t="s">
        <v>4211</v>
      </c>
      <c r="D1523">
        <v>0.17</v>
      </c>
      <c r="E1523" t="s">
        <v>1720</v>
      </c>
      <c r="F1523" t="s">
        <v>1724</v>
      </c>
      <c r="G1523" t="s">
        <v>4392</v>
      </c>
      <c r="H1523" t="s">
        <v>4212</v>
      </c>
    </row>
    <row r="1524" spans="1:8" x14ac:dyDescent="0.35">
      <c r="A1524" t="s">
        <v>349</v>
      </c>
      <c r="B1524" t="s">
        <v>1173</v>
      </c>
      <c r="C1524" t="s">
        <v>4211</v>
      </c>
      <c r="D1524">
        <v>0.17</v>
      </c>
      <c r="E1524" t="s">
        <v>1720</v>
      </c>
      <c r="F1524" t="s">
        <v>1721</v>
      </c>
      <c r="G1524" t="s">
        <v>4392</v>
      </c>
      <c r="H1524" t="s">
        <v>4212</v>
      </c>
    </row>
    <row r="1525" spans="1:8" x14ac:dyDescent="0.35">
      <c r="A1525" t="s">
        <v>349</v>
      </c>
      <c r="B1525" t="s">
        <v>1173</v>
      </c>
      <c r="C1525" t="s">
        <v>4215</v>
      </c>
      <c r="D1525">
        <v>0.17</v>
      </c>
      <c r="E1525" t="s">
        <v>1720</v>
      </c>
      <c r="G1525" t="s">
        <v>4394</v>
      </c>
      <c r="H1525" t="s">
        <v>4216</v>
      </c>
    </row>
    <row r="1526" spans="1:8" x14ac:dyDescent="0.35">
      <c r="A1526" t="s">
        <v>349</v>
      </c>
      <c r="B1526" t="s">
        <v>1173</v>
      </c>
      <c r="C1526" t="s">
        <v>4215</v>
      </c>
      <c r="D1526">
        <v>0.17</v>
      </c>
      <c r="E1526" t="s">
        <v>1720</v>
      </c>
      <c r="G1526" t="s">
        <v>4395</v>
      </c>
      <c r="H1526" t="s">
        <v>4216</v>
      </c>
    </row>
    <row r="1527" spans="1:8" x14ac:dyDescent="0.35">
      <c r="A1527" t="s">
        <v>349</v>
      </c>
      <c r="B1527" t="s">
        <v>1173</v>
      </c>
      <c r="C1527" t="s">
        <v>4213</v>
      </c>
      <c r="D1527">
        <v>0.17</v>
      </c>
      <c r="E1527" t="s">
        <v>1720</v>
      </c>
      <c r="F1527" t="s">
        <v>1724</v>
      </c>
      <c r="G1527" t="s">
        <v>4393</v>
      </c>
      <c r="H1527" t="s">
        <v>4214</v>
      </c>
    </row>
    <row r="1528" spans="1:8" x14ac:dyDescent="0.35">
      <c r="A1528" t="s">
        <v>349</v>
      </c>
      <c r="B1528" t="s">
        <v>1173</v>
      </c>
      <c r="C1528" t="s">
        <v>4213</v>
      </c>
      <c r="D1528">
        <v>0.17</v>
      </c>
      <c r="E1528" t="s">
        <v>1720</v>
      </c>
      <c r="F1528" t="s">
        <v>1721</v>
      </c>
      <c r="G1528" t="s">
        <v>4393</v>
      </c>
      <c r="H1528" t="s">
        <v>4214</v>
      </c>
    </row>
    <row r="1529" spans="1:8" x14ac:dyDescent="0.35">
      <c r="A1529" t="s">
        <v>349</v>
      </c>
      <c r="B1529" t="s">
        <v>1173</v>
      </c>
      <c r="C1529" t="s">
        <v>4232</v>
      </c>
      <c r="D1529">
        <v>0.17</v>
      </c>
      <c r="E1529" t="s">
        <v>1720</v>
      </c>
      <c r="F1529" t="s">
        <v>1724</v>
      </c>
      <c r="G1529" t="s">
        <v>4402</v>
      </c>
      <c r="H1529" t="s">
        <v>4233</v>
      </c>
    </row>
    <row r="1530" spans="1:8" x14ac:dyDescent="0.35">
      <c r="A1530" t="s">
        <v>349</v>
      </c>
      <c r="B1530" t="s">
        <v>1173</v>
      </c>
      <c r="C1530" t="s">
        <v>4232</v>
      </c>
      <c r="D1530">
        <v>0.17</v>
      </c>
      <c r="E1530" t="s">
        <v>1720</v>
      </c>
      <c r="F1530" t="s">
        <v>1721</v>
      </c>
      <c r="G1530" t="s">
        <v>4402</v>
      </c>
      <c r="H1530" t="s">
        <v>4233</v>
      </c>
    </row>
    <row r="1531" spans="1:8" x14ac:dyDescent="0.35">
      <c r="A1531" t="s">
        <v>349</v>
      </c>
      <c r="B1531" t="s">
        <v>1173</v>
      </c>
      <c r="C1531" t="s">
        <v>4215</v>
      </c>
      <c r="D1531">
        <v>0.17</v>
      </c>
      <c r="E1531" t="s">
        <v>1720</v>
      </c>
      <c r="G1531" t="s">
        <v>4397</v>
      </c>
      <c r="H1531" t="s">
        <v>4216</v>
      </c>
    </row>
    <row r="1532" spans="1:8" x14ac:dyDescent="0.35">
      <c r="A1532" t="s">
        <v>349</v>
      </c>
      <c r="B1532" t="s">
        <v>1173</v>
      </c>
      <c r="C1532" t="s">
        <v>4215</v>
      </c>
      <c r="D1532">
        <v>0.17</v>
      </c>
      <c r="E1532" t="s">
        <v>1720</v>
      </c>
      <c r="G1532" t="s">
        <v>4398</v>
      </c>
      <c r="H1532" t="s">
        <v>4216</v>
      </c>
    </row>
    <row r="1533" spans="1:8" x14ac:dyDescent="0.35">
      <c r="A1533" t="s">
        <v>349</v>
      </c>
      <c r="B1533" t="s">
        <v>1173</v>
      </c>
      <c r="C1533" t="s">
        <v>4317</v>
      </c>
      <c r="D1533">
        <v>0.17</v>
      </c>
      <c r="E1533" t="s">
        <v>1720</v>
      </c>
      <c r="F1533" t="s">
        <v>1724</v>
      </c>
      <c r="G1533" t="s">
        <v>4426</v>
      </c>
      <c r="H1533" t="s">
        <v>4318</v>
      </c>
    </row>
    <row r="1534" spans="1:8" x14ac:dyDescent="0.35">
      <c r="A1534" t="s">
        <v>349</v>
      </c>
      <c r="B1534" t="s">
        <v>1173</v>
      </c>
      <c r="C1534" t="s">
        <v>4234</v>
      </c>
      <c r="D1534">
        <v>0.17</v>
      </c>
      <c r="E1534" t="s">
        <v>1720</v>
      </c>
      <c r="G1534" t="s">
        <v>4383</v>
      </c>
      <c r="H1534" t="s">
        <v>4235</v>
      </c>
    </row>
    <row r="1535" spans="1:8" x14ac:dyDescent="0.35">
      <c r="A1535" t="s">
        <v>349</v>
      </c>
      <c r="B1535" t="s">
        <v>1173</v>
      </c>
      <c r="C1535" t="s">
        <v>4229</v>
      </c>
      <c r="D1535">
        <v>0.17</v>
      </c>
      <c r="E1535" t="s">
        <v>1720</v>
      </c>
      <c r="F1535" t="s">
        <v>1724</v>
      </c>
      <c r="G1535" t="s">
        <v>4399</v>
      </c>
      <c r="H1535" t="s">
        <v>1711</v>
      </c>
    </row>
    <row r="1536" spans="1:8" x14ac:dyDescent="0.35">
      <c r="A1536" t="s">
        <v>349</v>
      </c>
      <c r="B1536" t="s">
        <v>1173</v>
      </c>
      <c r="C1536" t="s">
        <v>4229</v>
      </c>
      <c r="D1536">
        <v>0.17</v>
      </c>
      <c r="E1536" t="s">
        <v>1720</v>
      </c>
      <c r="F1536" t="s">
        <v>1721</v>
      </c>
      <c r="G1536" t="s">
        <v>4399</v>
      </c>
      <c r="H1536" t="s">
        <v>1711</v>
      </c>
    </row>
    <row r="1537" spans="1:8" x14ac:dyDescent="0.35">
      <c r="A1537" t="s">
        <v>349</v>
      </c>
      <c r="B1537" t="s">
        <v>1173</v>
      </c>
      <c r="C1537" t="s">
        <v>4223</v>
      </c>
      <c r="D1537">
        <v>0.17</v>
      </c>
      <c r="E1537" t="s">
        <v>1720</v>
      </c>
      <c r="F1537" t="s">
        <v>1721</v>
      </c>
      <c r="G1537" t="s">
        <v>4399</v>
      </c>
      <c r="H1537" t="s">
        <v>4224</v>
      </c>
    </row>
    <row r="1538" spans="1:8" x14ac:dyDescent="0.35">
      <c r="A1538" t="s">
        <v>349</v>
      </c>
      <c r="B1538" t="s">
        <v>1173</v>
      </c>
      <c r="C1538" t="s">
        <v>4240</v>
      </c>
      <c r="D1538">
        <v>0.17</v>
      </c>
      <c r="E1538" t="s">
        <v>1720</v>
      </c>
      <c r="F1538" t="s">
        <v>1724</v>
      </c>
      <c r="G1538" t="s">
        <v>4402</v>
      </c>
      <c r="H1538" t="s">
        <v>4241</v>
      </c>
    </row>
    <row r="1539" spans="1:8" x14ac:dyDescent="0.35">
      <c r="A1539" t="s">
        <v>349</v>
      </c>
      <c r="B1539" t="s">
        <v>1173</v>
      </c>
      <c r="C1539" t="s">
        <v>4240</v>
      </c>
      <c r="D1539">
        <v>0.17</v>
      </c>
      <c r="E1539" t="s">
        <v>1720</v>
      </c>
      <c r="F1539" t="s">
        <v>1721</v>
      </c>
      <c r="G1539" t="s">
        <v>4402</v>
      </c>
      <c r="H1539" t="s">
        <v>4241</v>
      </c>
    </row>
    <row r="1540" spans="1:8" x14ac:dyDescent="0.35">
      <c r="A1540" t="s">
        <v>349</v>
      </c>
      <c r="B1540" t="s">
        <v>1173</v>
      </c>
      <c r="C1540" t="s">
        <v>4244</v>
      </c>
      <c r="D1540">
        <v>0.17</v>
      </c>
      <c r="E1540" t="s">
        <v>1720</v>
      </c>
      <c r="F1540" t="s">
        <v>1724</v>
      </c>
      <c r="G1540" t="s">
        <v>4406</v>
      </c>
      <c r="H1540" t="s">
        <v>4245</v>
      </c>
    </row>
    <row r="1541" spans="1:8" x14ac:dyDescent="0.35">
      <c r="A1541" t="s">
        <v>349</v>
      </c>
      <c r="B1541" t="s">
        <v>1173</v>
      </c>
      <c r="C1541" t="s">
        <v>4244</v>
      </c>
      <c r="D1541">
        <v>0.17</v>
      </c>
      <c r="E1541" t="s">
        <v>1720</v>
      </c>
      <c r="F1541" t="s">
        <v>1721</v>
      </c>
      <c r="G1541" t="s">
        <v>4406</v>
      </c>
      <c r="H1541" t="s">
        <v>4245</v>
      </c>
    </row>
    <row r="1542" spans="1:8" x14ac:dyDescent="0.35">
      <c r="A1542" t="s">
        <v>349</v>
      </c>
      <c r="B1542" t="s">
        <v>1173</v>
      </c>
      <c r="C1542" t="s">
        <v>4360</v>
      </c>
      <c r="D1542">
        <v>0.17</v>
      </c>
      <c r="E1542" t="s">
        <v>1720</v>
      </c>
      <c r="F1542" t="s">
        <v>1724</v>
      </c>
      <c r="G1542" t="s">
        <v>4383</v>
      </c>
      <c r="H1542" t="s">
        <v>4361</v>
      </c>
    </row>
    <row r="1543" spans="1:8" x14ac:dyDescent="0.35">
      <c r="A1543" t="s">
        <v>349</v>
      </c>
      <c r="B1543" t="s">
        <v>1173</v>
      </c>
      <c r="C1543" t="s">
        <v>4360</v>
      </c>
      <c r="D1543">
        <v>0.17</v>
      </c>
      <c r="E1543" t="s">
        <v>1720</v>
      </c>
      <c r="F1543" t="s">
        <v>1721</v>
      </c>
      <c r="G1543" t="s">
        <v>4383</v>
      </c>
      <c r="H1543" t="s">
        <v>4361</v>
      </c>
    </row>
    <row r="1544" spans="1:8" x14ac:dyDescent="0.35">
      <c r="A1544" t="s">
        <v>349</v>
      </c>
      <c r="B1544" t="s">
        <v>1173</v>
      </c>
      <c r="C1544" t="s">
        <v>4242</v>
      </c>
      <c r="D1544">
        <v>0.17</v>
      </c>
      <c r="E1544" t="s">
        <v>1720</v>
      </c>
      <c r="F1544" t="s">
        <v>1724</v>
      </c>
      <c r="G1544" t="s">
        <v>4405</v>
      </c>
      <c r="H1544" t="s">
        <v>4243</v>
      </c>
    </row>
    <row r="1545" spans="1:8" x14ac:dyDescent="0.35">
      <c r="A1545" t="s">
        <v>349</v>
      </c>
      <c r="B1545" t="s">
        <v>1173</v>
      </c>
      <c r="C1545" t="s">
        <v>4242</v>
      </c>
      <c r="D1545">
        <v>0.17</v>
      </c>
      <c r="E1545" t="s">
        <v>1720</v>
      </c>
      <c r="F1545" t="s">
        <v>1721</v>
      </c>
      <c r="G1545" t="s">
        <v>4405</v>
      </c>
      <c r="H1545" t="s">
        <v>4243</v>
      </c>
    </row>
    <row r="1546" spans="1:8" x14ac:dyDescent="0.35">
      <c r="A1546" t="s">
        <v>349</v>
      </c>
      <c r="B1546" t="s">
        <v>1173</v>
      </c>
      <c r="C1546" t="s">
        <v>4248</v>
      </c>
      <c r="D1546">
        <v>0.17</v>
      </c>
      <c r="E1546" t="s">
        <v>1720</v>
      </c>
      <c r="F1546" t="s">
        <v>1724</v>
      </c>
      <c r="G1546" t="s">
        <v>4402</v>
      </c>
      <c r="H1546" t="s">
        <v>4249</v>
      </c>
    </row>
    <row r="1547" spans="1:8" x14ac:dyDescent="0.35">
      <c r="A1547" t="s">
        <v>349</v>
      </c>
      <c r="B1547" t="s">
        <v>1173</v>
      </c>
      <c r="C1547" t="s">
        <v>4248</v>
      </c>
      <c r="D1547">
        <v>0.17</v>
      </c>
      <c r="E1547" t="s">
        <v>1720</v>
      </c>
      <c r="F1547" t="s">
        <v>1721</v>
      </c>
      <c r="G1547" t="s">
        <v>4402</v>
      </c>
      <c r="H1547" t="s">
        <v>4249</v>
      </c>
    </row>
    <row r="1548" spans="1:8" x14ac:dyDescent="0.35">
      <c r="A1548" t="s">
        <v>349</v>
      </c>
      <c r="B1548" t="s">
        <v>1173</v>
      </c>
      <c r="C1548" t="s">
        <v>4246</v>
      </c>
      <c r="D1548">
        <v>0.17</v>
      </c>
      <c r="E1548" t="s">
        <v>1720</v>
      </c>
      <c r="F1548" t="s">
        <v>1721</v>
      </c>
      <c r="G1548" t="s">
        <v>4402</v>
      </c>
      <c r="H1548" t="s">
        <v>4247</v>
      </c>
    </row>
    <row r="1549" spans="1:8" x14ac:dyDescent="0.35">
      <c r="A1549" t="s">
        <v>349</v>
      </c>
      <c r="B1549" t="s">
        <v>1173</v>
      </c>
      <c r="C1549" t="s">
        <v>4246</v>
      </c>
      <c r="D1549">
        <v>0.17</v>
      </c>
      <c r="E1549" t="s">
        <v>1720</v>
      </c>
      <c r="F1549" t="s">
        <v>1724</v>
      </c>
      <c r="G1549" t="s">
        <v>4402</v>
      </c>
      <c r="H1549" t="s">
        <v>4247</v>
      </c>
    </row>
    <row r="1550" spans="1:8" x14ac:dyDescent="0.35">
      <c r="A1550" t="s">
        <v>349</v>
      </c>
      <c r="B1550" t="s">
        <v>1173</v>
      </c>
      <c r="C1550" t="s">
        <v>4319</v>
      </c>
      <c r="D1550">
        <v>0.17</v>
      </c>
      <c r="E1550" t="s">
        <v>1720</v>
      </c>
      <c r="F1550" t="s">
        <v>1721</v>
      </c>
      <c r="G1550" t="s">
        <v>4402</v>
      </c>
      <c r="H1550" t="s">
        <v>4320</v>
      </c>
    </row>
    <row r="1551" spans="1:8" x14ac:dyDescent="0.35">
      <c r="A1551" t="s">
        <v>349</v>
      </c>
      <c r="B1551" t="s">
        <v>1173</v>
      </c>
      <c r="C1551" t="s">
        <v>4319</v>
      </c>
      <c r="D1551">
        <v>0.17</v>
      </c>
      <c r="E1551" t="s">
        <v>1720</v>
      </c>
      <c r="F1551" t="s">
        <v>1724</v>
      </c>
      <c r="G1551" t="s">
        <v>4402</v>
      </c>
      <c r="H1551" t="s">
        <v>4320</v>
      </c>
    </row>
    <row r="1552" spans="1:8" x14ac:dyDescent="0.35">
      <c r="A1552" t="s">
        <v>349</v>
      </c>
      <c r="B1552" t="s">
        <v>1173</v>
      </c>
      <c r="C1552" t="s">
        <v>4256</v>
      </c>
      <c r="D1552">
        <v>0.17</v>
      </c>
      <c r="E1552" t="s">
        <v>1720</v>
      </c>
      <c r="F1552" t="s">
        <v>1724</v>
      </c>
      <c r="G1552" t="s">
        <v>4402</v>
      </c>
      <c r="H1552" t="s">
        <v>4257</v>
      </c>
    </row>
    <row r="1553" spans="1:8" x14ac:dyDescent="0.35">
      <c r="A1553" t="s">
        <v>349</v>
      </c>
      <c r="B1553" t="s">
        <v>1173</v>
      </c>
      <c r="C1553" t="s">
        <v>4256</v>
      </c>
      <c r="D1553">
        <v>0.17</v>
      </c>
      <c r="E1553" t="s">
        <v>1720</v>
      </c>
      <c r="F1553" t="s">
        <v>1721</v>
      </c>
      <c r="G1553" t="s">
        <v>4402</v>
      </c>
      <c r="H1553" t="s">
        <v>4257</v>
      </c>
    </row>
    <row r="1554" spans="1:8" x14ac:dyDescent="0.35">
      <c r="A1554" t="s">
        <v>349</v>
      </c>
      <c r="B1554" t="s">
        <v>1173</v>
      </c>
      <c r="C1554" t="s">
        <v>4276</v>
      </c>
      <c r="D1554">
        <v>0.17</v>
      </c>
      <c r="E1554" t="s">
        <v>1720</v>
      </c>
      <c r="F1554" t="s">
        <v>1724</v>
      </c>
      <c r="G1554" t="s">
        <v>4413</v>
      </c>
      <c r="H1554" t="s">
        <v>4277</v>
      </c>
    </row>
    <row r="1555" spans="1:8" x14ac:dyDescent="0.35">
      <c r="A1555" t="s">
        <v>349</v>
      </c>
      <c r="B1555" t="s">
        <v>1173</v>
      </c>
      <c r="C1555" t="s">
        <v>4276</v>
      </c>
      <c r="D1555">
        <v>0.17</v>
      </c>
      <c r="E1555" t="s">
        <v>1720</v>
      </c>
      <c r="F1555" t="s">
        <v>1721</v>
      </c>
      <c r="G1555" t="s">
        <v>4413</v>
      </c>
      <c r="H1555" t="s">
        <v>4277</v>
      </c>
    </row>
    <row r="1556" spans="1:8" x14ac:dyDescent="0.35">
      <c r="A1556" t="s">
        <v>349</v>
      </c>
      <c r="B1556" t="s">
        <v>1173</v>
      </c>
      <c r="C1556" t="s">
        <v>4280</v>
      </c>
      <c r="D1556">
        <v>0.17</v>
      </c>
      <c r="E1556" t="s">
        <v>1720</v>
      </c>
      <c r="F1556" t="s">
        <v>1721</v>
      </c>
      <c r="G1556" t="s">
        <v>4415</v>
      </c>
      <c r="H1556" t="s">
        <v>4281</v>
      </c>
    </row>
    <row r="1557" spans="1:8" x14ac:dyDescent="0.35">
      <c r="A1557" t="s">
        <v>349</v>
      </c>
      <c r="B1557" t="s">
        <v>1173</v>
      </c>
      <c r="C1557" t="s">
        <v>4280</v>
      </c>
      <c r="D1557">
        <v>0.17</v>
      </c>
      <c r="E1557" t="s">
        <v>1720</v>
      </c>
      <c r="F1557" t="s">
        <v>1724</v>
      </c>
      <c r="G1557" t="s">
        <v>4415</v>
      </c>
      <c r="H1557" t="s">
        <v>4281</v>
      </c>
    </row>
    <row r="1558" spans="1:8" x14ac:dyDescent="0.35">
      <c r="A1558" t="s">
        <v>349</v>
      </c>
      <c r="B1558" t="s">
        <v>1173</v>
      </c>
      <c r="C1558" t="s">
        <v>4284</v>
      </c>
      <c r="D1558">
        <v>0.82</v>
      </c>
      <c r="E1558" t="s">
        <v>1720</v>
      </c>
      <c r="G1558" t="s">
        <v>4416</v>
      </c>
      <c r="H1558" t="s">
        <v>4285</v>
      </c>
    </row>
    <row r="1559" spans="1:8" x14ac:dyDescent="0.35">
      <c r="A1559" t="s">
        <v>349</v>
      </c>
      <c r="B1559" t="s">
        <v>1173</v>
      </c>
      <c r="C1559" t="s">
        <v>4284</v>
      </c>
      <c r="D1559">
        <v>0.17</v>
      </c>
      <c r="E1559" t="s">
        <v>1720</v>
      </c>
      <c r="G1559" t="s">
        <v>4417</v>
      </c>
      <c r="H1559" t="s">
        <v>4285</v>
      </c>
    </row>
    <row r="1560" spans="1:8" x14ac:dyDescent="0.35">
      <c r="A1560" t="s">
        <v>349</v>
      </c>
      <c r="B1560" t="s">
        <v>1173</v>
      </c>
      <c r="C1560" t="s">
        <v>4207</v>
      </c>
      <c r="D1560">
        <v>0.17</v>
      </c>
      <c r="E1560" t="s">
        <v>1720</v>
      </c>
      <c r="F1560" t="s">
        <v>1724</v>
      </c>
      <c r="G1560" t="s">
        <v>4383</v>
      </c>
      <c r="H1560" t="s">
        <v>4208</v>
      </c>
    </row>
    <row r="1561" spans="1:8" x14ac:dyDescent="0.35">
      <c r="A1561" t="s">
        <v>349</v>
      </c>
      <c r="B1561" t="s">
        <v>1173</v>
      </c>
      <c r="C1561" t="s">
        <v>4207</v>
      </c>
      <c r="D1561">
        <v>0.17</v>
      </c>
      <c r="E1561" t="s">
        <v>1720</v>
      </c>
      <c r="F1561" t="s">
        <v>1721</v>
      </c>
      <c r="G1561" t="s">
        <v>4383</v>
      </c>
      <c r="H1561" t="s">
        <v>4208</v>
      </c>
    </row>
    <row r="1562" spans="1:8" x14ac:dyDescent="0.35">
      <c r="A1562" t="s">
        <v>349</v>
      </c>
      <c r="B1562" t="s">
        <v>1173</v>
      </c>
      <c r="C1562" t="s">
        <v>4225</v>
      </c>
      <c r="D1562">
        <v>0.17</v>
      </c>
      <c r="E1562" t="s">
        <v>1720</v>
      </c>
      <c r="F1562" t="s">
        <v>1724</v>
      </c>
      <c r="G1562" t="s">
        <v>4400</v>
      </c>
      <c r="H1562" t="s">
        <v>4226</v>
      </c>
    </row>
    <row r="1563" spans="1:8" x14ac:dyDescent="0.35">
      <c r="A1563" t="s">
        <v>349</v>
      </c>
      <c r="B1563" t="s">
        <v>1173</v>
      </c>
      <c r="C1563" t="s">
        <v>4225</v>
      </c>
      <c r="D1563">
        <v>0.17</v>
      </c>
      <c r="E1563" t="s">
        <v>1720</v>
      </c>
      <c r="F1563" t="s">
        <v>1721</v>
      </c>
      <c r="G1563" t="s">
        <v>4400</v>
      </c>
      <c r="H1563" t="s">
        <v>4226</v>
      </c>
    </row>
    <row r="1564" spans="1:8" x14ac:dyDescent="0.35">
      <c r="A1564" t="s">
        <v>349</v>
      </c>
      <c r="B1564" t="s">
        <v>1173</v>
      </c>
      <c r="C1564" t="s">
        <v>4298</v>
      </c>
      <c r="D1564">
        <v>0.17</v>
      </c>
      <c r="E1564" t="s">
        <v>1720</v>
      </c>
      <c r="F1564" t="s">
        <v>1724</v>
      </c>
      <c r="G1564" t="s">
        <v>4419</v>
      </c>
      <c r="H1564" t="s">
        <v>4299</v>
      </c>
    </row>
    <row r="1565" spans="1:8" x14ac:dyDescent="0.35">
      <c r="A1565" t="s">
        <v>349</v>
      </c>
      <c r="B1565" t="s">
        <v>1173</v>
      </c>
      <c r="C1565" t="s">
        <v>4298</v>
      </c>
      <c r="D1565">
        <v>0.17</v>
      </c>
      <c r="E1565" t="s">
        <v>1720</v>
      </c>
      <c r="F1565" t="s">
        <v>1721</v>
      </c>
      <c r="G1565" t="s">
        <v>4419</v>
      </c>
      <c r="H1565" t="s">
        <v>4299</v>
      </c>
    </row>
    <row r="1566" spans="1:8" x14ac:dyDescent="0.35">
      <c r="A1566" t="s">
        <v>349</v>
      </c>
      <c r="B1566" t="s">
        <v>1173</v>
      </c>
      <c r="C1566" t="s">
        <v>4288</v>
      </c>
      <c r="D1566">
        <v>0.17</v>
      </c>
      <c r="E1566" t="s">
        <v>1720</v>
      </c>
      <c r="F1566" t="s">
        <v>1724</v>
      </c>
      <c r="G1566" t="s">
        <v>4415</v>
      </c>
      <c r="H1566" t="s">
        <v>4289</v>
      </c>
    </row>
    <row r="1567" spans="1:8" x14ac:dyDescent="0.35">
      <c r="A1567" t="s">
        <v>349</v>
      </c>
      <c r="B1567" t="s">
        <v>1173</v>
      </c>
      <c r="C1567" t="s">
        <v>4288</v>
      </c>
      <c r="D1567">
        <v>0.17</v>
      </c>
      <c r="E1567" t="s">
        <v>1720</v>
      </c>
      <c r="F1567" t="s">
        <v>1721</v>
      </c>
      <c r="G1567" t="s">
        <v>4415</v>
      </c>
      <c r="H1567" t="s">
        <v>4289</v>
      </c>
    </row>
    <row r="1568" spans="1:8" x14ac:dyDescent="0.35">
      <c r="A1568" t="s">
        <v>349</v>
      </c>
      <c r="B1568" t="s">
        <v>1173</v>
      </c>
      <c r="C1568" t="s">
        <v>4292</v>
      </c>
      <c r="D1568">
        <v>0.17</v>
      </c>
      <c r="E1568" t="s">
        <v>1720</v>
      </c>
      <c r="F1568" t="s">
        <v>1724</v>
      </c>
      <c r="G1568" t="s">
        <v>4402</v>
      </c>
      <c r="H1568" t="s">
        <v>4293</v>
      </c>
    </row>
    <row r="1569" spans="1:8" x14ac:dyDescent="0.35">
      <c r="A1569" t="s">
        <v>349</v>
      </c>
      <c r="B1569" t="s">
        <v>1173</v>
      </c>
      <c r="C1569" t="s">
        <v>4292</v>
      </c>
      <c r="D1569">
        <v>0.17</v>
      </c>
      <c r="E1569" t="s">
        <v>1720</v>
      </c>
      <c r="F1569" t="s">
        <v>1721</v>
      </c>
      <c r="G1569" t="s">
        <v>4402</v>
      </c>
      <c r="H1569" t="s">
        <v>4293</v>
      </c>
    </row>
    <row r="1570" spans="1:8" x14ac:dyDescent="0.35">
      <c r="A1570" t="s">
        <v>349</v>
      </c>
      <c r="B1570" t="s">
        <v>1173</v>
      </c>
      <c r="C1570" t="s">
        <v>4321</v>
      </c>
      <c r="D1570">
        <v>0.08</v>
      </c>
      <c r="E1570" t="s">
        <v>1720</v>
      </c>
      <c r="F1570" t="s">
        <v>1721</v>
      </c>
      <c r="G1570" t="s">
        <v>4427</v>
      </c>
      <c r="H1570" t="s">
        <v>4322</v>
      </c>
    </row>
    <row r="1571" spans="1:8" x14ac:dyDescent="0.35">
      <c r="A1571" t="s">
        <v>349</v>
      </c>
      <c r="B1571" t="s">
        <v>1173</v>
      </c>
      <c r="C1571" t="s">
        <v>4286</v>
      </c>
      <c r="D1571">
        <v>0.17</v>
      </c>
      <c r="E1571" t="s">
        <v>1720</v>
      </c>
      <c r="F1571" t="s">
        <v>1724</v>
      </c>
      <c r="G1571" t="s">
        <v>4402</v>
      </c>
      <c r="H1571" t="s">
        <v>4287</v>
      </c>
    </row>
    <row r="1572" spans="1:8" x14ac:dyDescent="0.35">
      <c r="A1572" t="s">
        <v>349</v>
      </c>
      <c r="B1572" t="s">
        <v>1173</v>
      </c>
      <c r="C1572" t="s">
        <v>4286</v>
      </c>
      <c r="D1572">
        <v>0.17</v>
      </c>
      <c r="E1572" t="s">
        <v>1720</v>
      </c>
      <c r="F1572" t="s">
        <v>1721</v>
      </c>
      <c r="G1572" t="s">
        <v>4402</v>
      </c>
      <c r="H1572" t="s">
        <v>4287</v>
      </c>
    </row>
    <row r="1573" spans="1:8" x14ac:dyDescent="0.35">
      <c r="A1573" t="s">
        <v>350</v>
      </c>
      <c r="B1573" t="s">
        <v>1174</v>
      </c>
      <c r="C1573" t="s">
        <v>4181</v>
      </c>
      <c r="D1573">
        <v>5.6000000000000001E-2</v>
      </c>
      <c r="E1573" t="s">
        <v>1720</v>
      </c>
      <c r="F1573" t="s">
        <v>1721</v>
      </c>
      <c r="G1573" t="s">
        <v>4381</v>
      </c>
      <c r="H1573" t="s">
        <v>4182</v>
      </c>
    </row>
    <row r="1574" spans="1:8" x14ac:dyDescent="0.35">
      <c r="A1574" t="s">
        <v>350</v>
      </c>
      <c r="B1574" t="s">
        <v>1174</v>
      </c>
      <c r="C1574" t="s">
        <v>4181</v>
      </c>
      <c r="D1574">
        <v>0.11</v>
      </c>
      <c r="E1574" t="s">
        <v>1720</v>
      </c>
      <c r="F1574" t="s">
        <v>1724</v>
      </c>
      <c r="G1574" t="s">
        <v>4381</v>
      </c>
      <c r="H1574" t="s">
        <v>4182</v>
      </c>
    </row>
    <row r="1575" spans="1:8" x14ac:dyDescent="0.35">
      <c r="A1575" t="s">
        <v>350</v>
      </c>
      <c r="B1575" t="s">
        <v>1174</v>
      </c>
      <c r="C1575" t="s">
        <v>4179</v>
      </c>
      <c r="D1575">
        <v>5.6000000000000001E-2</v>
      </c>
      <c r="E1575" t="s">
        <v>1720</v>
      </c>
      <c r="F1575" t="s">
        <v>1721</v>
      </c>
      <c r="G1575" t="s">
        <v>4380</v>
      </c>
      <c r="H1575" t="s">
        <v>4180</v>
      </c>
    </row>
    <row r="1576" spans="1:8" x14ac:dyDescent="0.35">
      <c r="A1576" t="s">
        <v>350</v>
      </c>
      <c r="B1576" t="s">
        <v>1174</v>
      </c>
      <c r="C1576" t="s">
        <v>4179</v>
      </c>
      <c r="D1576">
        <v>0.22</v>
      </c>
      <c r="E1576" t="s">
        <v>1720</v>
      </c>
      <c r="F1576" t="s">
        <v>1724</v>
      </c>
      <c r="G1576" t="s">
        <v>4380</v>
      </c>
      <c r="H1576" t="s">
        <v>4180</v>
      </c>
    </row>
    <row r="1577" spans="1:8" x14ac:dyDescent="0.35">
      <c r="A1577" t="s">
        <v>350</v>
      </c>
      <c r="B1577" t="s">
        <v>1174</v>
      </c>
      <c r="C1577" t="s">
        <v>4187</v>
      </c>
      <c r="D1577">
        <v>5.6000000000000001E-2</v>
      </c>
      <c r="E1577" t="s">
        <v>1720</v>
      </c>
      <c r="F1577" t="s">
        <v>1721</v>
      </c>
      <c r="G1577" t="s">
        <v>4384</v>
      </c>
      <c r="H1577" t="s">
        <v>4188</v>
      </c>
    </row>
    <row r="1578" spans="1:8" x14ac:dyDescent="0.35">
      <c r="A1578" t="s">
        <v>350</v>
      </c>
      <c r="B1578" t="s">
        <v>1174</v>
      </c>
      <c r="C1578" t="s">
        <v>4187</v>
      </c>
      <c r="D1578">
        <v>0.22</v>
      </c>
      <c r="E1578" t="s">
        <v>1720</v>
      </c>
      <c r="F1578" t="s">
        <v>1724</v>
      </c>
      <c r="G1578" t="s">
        <v>4384</v>
      </c>
      <c r="H1578" t="s">
        <v>4188</v>
      </c>
    </row>
    <row r="1579" spans="1:8" x14ac:dyDescent="0.35">
      <c r="A1579" t="s">
        <v>350</v>
      </c>
      <c r="B1579" t="s">
        <v>1174</v>
      </c>
      <c r="C1579" t="s">
        <v>4183</v>
      </c>
      <c r="D1579">
        <v>5.6000000000000001E-2</v>
      </c>
      <c r="E1579" t="s">
        <v>1720</v>
      </c>
      <c r="F1579" t="s">
        <v>1721</v>
      </c>
      <c r="G1579" t="s">
        <v>4382</v>
      </c>
      <c r="H1579" t="s">
        <v>4184</v>
      </c>
    </row>
    <row r="1580" spans="1:8" x14ac:dyDescent="0.35">
      <c r="A1580" t="s">
        <v>350</v>
      </c>
      <c r="B1580" t="s">
        <v>1174</v>
      </c>
      <c r="C1580" t="s">
        <v>4183</v>
      </c>
      <c r="D1580">
        <v>0.22</v>
      </c>
      <c r="E1580" t="s">
        <v>1720</v>
      </c>
      <c r="F1580" t="s">
        <v>1724</v>
      </c>
      <c r="G1580" t="s">
        <v>4382</v>
      </c>
      <c r="H1580" t="s">
        <v>4184</v>
      </c>
    </row>
    <row r="1581" spans="1:8" x14ac:dyDescent="0.35">
      <c r="A1581" t="s">
        <v>350</v>
      </c>
      <c r="B1581" t="s">
        <v>1174</v>
      </c>
      <c r="C1581" t="s">
        <v>4185</v>
      </c>
      <c r="D1581">
        <v>5.6000000000000001E-2</v>
      </c>
      <c r="E1581" t="s">
        <v>1720</v>
      </c>
      <c r="F1581" t="s">
        <v>1721</v>
      </c>
      <c r="G1581" t="s">
        <v>4383</v>
      </c>
      <c r="H1581" t="s">
        <v>4186</v>
      </c>
    </row>
    <row r="1582" spans="1:8" x14ac:dyDescent="0.35">
      <c r="A1582" t="s">
        <v>350</v>
      </c>
      <c r="B1582" t="s">
        <v>1174</v>
      </c>
      <c r="C1582" t="s">
        <v>4185</v>
      </c>
      <c r="D1582">
        <v>0.22</v>
      </c>
      <c r="E1582" t="s">
        <v>1720</v>
      </c>
      <c r="F1582" t="s">
        <v>1724</v>
      </c>
      <c r="G1582" t="s">
        <v>4383</v>
      </c>
      <c r="H1582" t="s">
        <v>4186</v>
      </c>
    </row>
    <row r="1583" spans="1:8" x14ac:dyDescent="0.35">
      <c r="A1583" t="s">
        <v>350</v>
      </c>
      <c r="B1583" t="s">
        <v>1174</v>
      </c>
      <c r="C1583" t="s">
        <v>4189</v>
      </c>
      <c r="D1583">
        <v>5.6000000000000001E-2</v>
      </c>
      <c r="E1583" t="s">
        <v>1720</v>
      </c>
      <c r="F1583" t="s">
        <v>1721</v>
      </c>
      <c r="G1583" t="s">
        <v>4385</v>
      </c>
      <c r="H1583" t="s">
        <v>4190</v>
      </c>
    </row>
    <row r="1584" spans="1:8" x14ac:dyDescent="0.35">
      <c r="A1584" t="s">
        <v>350</v>
      </c>
      <c r="B1584" t="s">
        <v>1174</v>
      </c>
      <c r="C1584" t="s">
        <v>4189</v>
      </c>
      <c r="D1584">
        <v>0.22</v>
      </c>
      <c r="E1584" t="s">
        <v>1720</v>
      </c>
      <c r="F1584" t="s">
        <v>1724</v>
      </c>
      <c r="G1584" t="s">
        <v>4385</v>
      </c>
      <c r="H1584" t="s">
        <v>4190</v>
      </c>
    </row>
    <row r="1585" spans="1:8" x14ac:dyDescent="0.35">
      <c r="A1585" t="s">
        <v>350</v>
      </c>
      <c r="B1585" t="s">
        <v>1174</v>
      </c>
      <c r="C1585" t="s">
        <v>4191</v>
      </c>
      <c r="D1585">
        <v>5.6000000000000001E-2</v>
      </c>
      <c r="E1585" t="s">
        <v>1720</v>
      </c>
      <c r="F1585" t="s">
        <v>1721</v>
      </c>
      <c r="G1585" t="s">
        <v>4383</v>
      </c>
      <c r="H1585" t="s">
        <v>4192</v>
      </c>
    </row>
    <row r="1586" spans="1:8" x14ac:dyDescent="0.35">
      <c r="A1586" t="s">
        <v>350</v>
      </c>
      <c r="B1586" t="s">
        <v>1174</v>
      </c>
      <c r="C1586" t="s">
        <v>4191</v>
      </c>
      <c r="D1586">
        <v>0.22</v>
      </c>
      <c r="E1586" t="s">
        <v>1720</v>
      </c>
      <c r="F1586" t="s">
        <v>1724</v>
      </c>
      <c r="G1586" t="s">
        <v>4383</v>
      </c>
      <c r="H1586" t="s">
        <v>4192</v>
      </c>
    </row>
    <row r="1587" spans="1:8" x14ac:dyDescent="0.35">
      <c r="A1587" t="s">
        <v>350</v>
      </c>
      <c r="B1587" t="s">
        <v>1174</v>
      </c>
      <c r="C1587" t="s">
        <v>4193</v>
      </c>
      <c r="D1587">
        <v>5.6000000000000001E-2</v>
      </c>
      <c r="E1587" t="s">
        <v>1720</v>
      </c>
      <c r="F1587" t="s">
        <v>1721</v>
      </c>
      <c r="G1587" t="s">
        <v>4386</v>
      </c>
      <c r="H1587" t="s">
        <v>4194</v>
      </c>
    </row>
    <row r="1588" spans="1:8" x14ac:dyDescent="0.35">
      <c r="A1588" t="s">
        <v>350</v>
      </c>
      <c r="B1588" t="s">
        <v>1174</v>
      </c>
      <c r="C1588" t="s">
        <v>4193</v>
      </c>
      <c r="D1588">
        <v>0.22</v>
      </c>
      <c r="E1588" t="s">
        <v>1720</v>
      </c>
      <c r="F1588" t="s">
        <v>1724</v>
      </c>
      <c r="G1588" t="s">
        <v>4386</v>
      </c>
      <c r="H1588" t="s">
        <v>4194</v>
      </c>
    </row>
    <row r="1589" spans="1:8" x14ac:dyDescent="0.35">
      <c r="A1589" t="s">
        <v>350</v>
      </c>
      <c r="B1589" t="s">
        <v>1174</v>
      </c>
      <c r="C1589" t="s">
        <v>4197</v>
      </c>
      <c r="D1589">
        <v>5.6000000000000001E-2</v>
      </c>
      <c r="E1589" t="s">
        <v>1720</v>
      </c>
      <c r="F1589" t="s">
        <v>1721</v>
      </c>
      <c r="G1589" t="s">
        <v>4383</v>
      </c>
      <c r="H1589" t="s">
        <v>4198</v>
      </c>
    </row>
    <row r="1590" spans="1:8" x14ac:dyDescent="0.35">
      <c r="A1590" t="s">
        <v>350</v>
      </c>
      <c r="B1590" t="s">
        <v>1174</v>
      </c>
      <c r="C1590" t="s">
        <v>4197</v>
      </c>
      <c r="D1590">
        <v>0.22</v>
      </c>
      <c r="E1590" t="s">
        <v>1720</v>
      </c>
      <c r="F1590" t="s">
        <v>1724</v>
      </c>
      <c r="G1590" t="s">
        <v>4383</v>
      </c>
      <c r="H1590" t="s">
        <v>4198</v>
      </c>
    </row>
    <row r="1591" spans="1:8" x14ac:dyDescent="0.35">
      <c r="A1591" t="s">
        <v>350</v>
      </c>
      <c r="B1591" t="s">
        <v>1174</v>
      </c>
      <c r="C1591" t="s">
        <v>4195</v>
      </c>
      <c r="D1591">
        <v>5.6000000000000001E-2</v>
      </c>
      <c r="E1591" t="s">
        <v>1720</v>
      </c>
      <c r="F1591" t="s">
        <v>1721</v>
      </c>
      <c r="G1591" t="s">
        <v>4387</v>
      </c>
      <c r="H1591" t="s">
        <v>4196</v>
      </c>
    </row>
    <row r="1592" spans="1:8" x14ac:dyDescent="0.35">
      <c r="A1592" t="s">
        <v>350</v>
      </c>
      <c r="B1592" t="s">
        <v>1174</v>
      </c>
      <c r="C1592" t="s">
        <v>4195</v>
      </c>
      <c r="D1592">
        <v>0.22</v>
      </c>
      <c r="E1592" t="s">
        <v>1720</v>
      </c>
      <c r="F1592" t="s">
        <v>1724</v>
      </c>
      <c r="G1592" t="s">
        <v>4387</v>
      </c>
      <c r="H1592" t="s">
        <v>4196</v>
      </c>
    </row>
    <row r="1593" spans="1:8" x14ac:dyDescent="0.35">
      <c r="A1593" t="s">
        <v>350</v>
      </c>
      <c r="B1593" t="s">
        <v>1174</v>
      </c>
      <c r="C1593" t="s">
        <v>4199</v>
      </c>
      <c r="D1593">
        <v>5.6000000000000001E-2</v>
      </c>
      <c r="E1593" t="s">
        <v>1720</v>
      </c>
      <c r="F1593" t="s">
        <v>1721</v>
      </c>
      <c r="G1593" t="s">
        <v>4388</v>
      </c>
      <c r="H1593" t="s">
        <v>4200</v>
      </c>
    </row>
    <row r="1594" spans="1:8" x14ac:dyDescent="0.35">
      <c r="A1594" t="s">
        <v>350</v>
      </c>
      <c r="B1594" t="s">
        <v>1174</v>
      </c>
      <c r="C1594" t="s">
        <v>4199</v>
      </c>
      <c r="D1594">
        <v>0.22</v>
      </c>
      <c r="E1594" t="s">
        <v>1720</v>
      </c>
      <c r="F1594" t="s">
        <v>1724</v>
      </c>
      <c r="G1594" t="s">
        <v>4388</v>
      </c>
      <c r="H1594" t="s">
        <v>4200</v>
      </c>
    </row>
    <row r="1595" spans="1:8" x14ac:dyDescent="0.35">
      <c r="A1595" t="s">
        <v>350</v>
      </c>
      <c r="B1595" t="s">
        <v>1174</v>
      </c>
      <c r="C1595" t="s">
        <v>4207</v>
      </c>
      <c r="D1595">
        <v>5.6000000000000001E-2</v>
      </c>
      <c r="E1595" t="s">
        <v>1720</v>
      </c>
      <c r="F1595" t="s">
        <v>1721</v>
      </c>
      <c r="G1595" t="s">
        <v>4383</v>
      </c>
      <c r="H1595" t="s">
        <v>4208</v>
      </c>
    </row>
    <row r="1596" spans="1:8" x14ac:dyDescent="0.35">
      <c r="A1596" t="s">
        <v>350</v>
      </c>
      <c r="B1596" t="s">
        <v>1174</v>
      </c>
      <c r="C1596" t="s">
        <v>4207</v>
      </c>
      <c r="D1596">
        <v>0.22</v>
      </c>
      <c r="E1596" t="s">
        <v>1720</v>
      </c>
      <c r="F1596" t="s">
        <v>1724</v>
      </c>
      <c r="G1596" t="s">
        <v>4383</v>
      </c>
      <c r="H1596" t="s">
        <v>4208</v>
      </c>
    </row>
    <row r="1597" spans="1:8" x14ac:dyDescent="0.35">
      <c r="A1597" t="s">
        <v>350</v>
      </c>
      <c r="B1597" t="s">
        <v>1174</v>
      </c>
      <c r="C1597" t="s">
        <v>4203</v>
      </c>
      <c r="D1597">
        <v>5.6000000000000001E-2</v>
      </c>
      <c r="E1597" t="s">
        <v>1720</v>
      </c>
      <c r="F1597" t="s">
        <v>1721</v>
      </c>
      <c r="G1597" t="s">
        <v>4390</v>
      </c>
      <c r="H1597" t="s">
        <v>4204</v>
      </c>
    </row>
    <row r="1598" spans="1:8" x14ac:dyDescent="0.35">
      <c r="A1598" t="s">
        <v>350</v>
      </c>
      <c r="B1598" t="s">
        <v>1174</v>
      </c>
      <c r="C1598" t="s">
        <v>4203</v>
      </c>
      <c r="D1598">
        <v>0.22</v>
      </c>
      <c r="E1598" t="s">
        <v>1720</v>
      </c>
      <c r="F1598" t="s">
        <v>1724</v>
      </c>
      <c r="G1598" t="s">
        <v>4390</v>
      </c>
      <c r="H1598" t="s">
        <v>4204</v>
      </c>
    </row>
    <row r="1599" spans="1:8" x14ac:dyDescent="0.35">
      <c r="A1599" t="s">
        <v>350</v>
      </c>
      <c r="B1599" t="s">
        <v>1174</v>
      </c>
      <c r="C1599" t="s">
        <v>4205</v>
      </c>
      <c r="D1599">
        <v>5.6000000000000001E-2</v>
      </c>
      <c r="E1599" t="s">
        <v>1720</v>
      </c>
      <c r="F1599" t="s">
        <v>1721</v>
      </c>
      <c r="G1599" t="s">
        <v>4391</v>
      </c>
      <c r="H1599" t="s">
        <v>4206</v>
      </c>
    </row>
    <row r="1600" spans="1:8" x14ac:dyDescent="0.35">
      <c r="A1600" t="s">
        <v>350</v>
      </c>
      <c r="B1600" t="s">
        <v>1174</v>
      </c>
      <c r="C1600" t="s">
        <v>4205</v>
      </c>
      <c r="D1600">
        <v>0.22</v>
      </c>
      <c r="E1600" t="s">
        <v>1720</v>
      </c>
      <c r="F1600" t="s">
        <v>1724</v>
      </c>
      <c r="G1600" t="s">
        <v>4391</v>
      </c>
      <c r="H1600" t="s">
        <v>4206</v>
      </c>
    </row>
    <row r="1601" spans="1:8" x14ac:dyDescent="0.35">
      <c r="A1601" t="s">
        <v>350</v>
      </c>
      <c r="B1601" t="s">
        <v>1174</v>
      </c>
      <c r="C1601" t="s">
        <v>4201</v>
      </c>
      <c r="D1601">
        <v>5.6000000000000001E-2</v>
      </c>
      <c r="E1601" t="s">
        <v>1720</v>
      </c>
      <c r="F1601" t="s">
        <v>1721</v>
      </c>
      <c r="G1601" t="s">
        <v>4389</v>
      </c>
      <c r="H1601" t="s">
        <v>4202</v>
      </c>
    </row>
    <row r="1602" spans="1:8" x14ac:dyDescent="0.35">
      <c r="A1602" t="s">
        <v>350</v>
      </c>
      <c r="B1602" t="s">
        <v>1174</v>
      </c>
      <c r="C1602" t="s">
        <v>4201</v>
      </c>
      <c r="D1602">
        <v>0.22</v>
      </c>
      <c r="E1602" t="s">
        <v>1720</v>
      </c>
      <c r="F1602" t="s">
        <v>1724</v>
      </c>
      <c r="G1602" t="s">
        <v>4389</v>
      </c>
      <c r="H1602" t="s">
        <v>4202</v>
      </c>
    </row>
    <row r="1603" spans="1:8" x14ac:dyDescent="0.35">
      <c r="A1603" t="s">
        <v>350</v>
      </c>
      <c r="B1603" t="s">
        <v>1174</v>
      </c>
      <c r="C1603" t="s">
        <v>4221</v>
      </c>
      <c r="D1603">
        <v>5.6000000000000001E-2</v>
      </c>
      <c r="E1603" t="s">
        <v>1720</v>
      </c>
      <c r="F1603" t="s">
        <v>1721</v>
      </c>
      <c r="G1603" t="s">
        <v>4383</v>
      </c>
      <c r="H1603" t="s">
        <v>4222</v>
      </c>
    </row>
    <row r="1604" spans="1:8" x14ac:dyDescent="0.35">
      <c r="A1604" t="s">
        <v>350</v>
      </c>
      <c r="B1604" t="s">
        <v>1174</v>
      </c>
      <c r="C1604" t="s">
        <v>4221</v>
      </c>
      <c r="D1604">
        <v>0.11</v>
      </c>
      <c r="E1604" t="s">
        <v>1720</v>
      </c>
      <c r="F1604" t="s">
        <v>1724</v>
      </c>
      <c r="G1604" t="s">
        <v>4383</v>
      </c>
      <c r="H1604" t="s">
        <v>4222</v>
      </c>
    </row>
    <row r="1605" spans="1:8" x14ac:dyDescent="0.35">
      <c r="A1605" t="s">
        <v>350</v>
      </c>
      <c r="B1605" t="s">
        <v>1174</v>
      </c>
      <c r="C1605" t="s">
        <v>4232</v>
      </c>
      <c r="D1605">
        <v>5.6000000000000001E-2</v>
      </c>
      <c r="E1605" t="s">
        <v>1720</v>
      </c>
      <c r="F1605" t="s">
        <v>1721</v>
      </c>
      <c r="G1605" t="s">
        <v>4402</v>
      </c>
      <c r="H1605" t="s">
        <v>4233</v>
      </c>
    </row>
    <row r="1606" spans="1:8" x14ac:dyDescent="0.35">
      <c r="A1606" t="s">
        <v>350</v>
      </c>
      <c r="B1606" t="s">
        <v>1174</v>
      </c>
      <c r="C1606" t="s">
        <v>4232</v>
      </c>
      <c r="D1606">
        <v>0.11</v>
      </c>
      <c r="E1606" t="s">
        <v>1720</v>
      </c>
      <c r="F1606" t="s">
        <v>1724</v>
      </c>
      <c r="G1606" t="s">
        <v>4402</v>
      </c>
      <c r="H1606" t="s">
        <v>4233</v>
      </c>
    </row>
    <row r="1607" spans="1:8" x14ac:dyDescent="0.35">
      <c r="A1607" t="s">
        <v>350</v>
      </c>
      <c r="B1607" t="s">
        <v>1174</v>
      </c>
      <c r="C1607" t="s">
        <v>4209</v>
      </c>
      <c r="D1607">
        <v>5.6000000000000001E-2</v>
      </c>
      <c r="E1607" t="s">
        <v>1720</v>
      </c>
      <c r="F1607" t="s">
        <v>1721</v>
      </c>
      <c r="G1607" t="s">
        <v>4383</v>
      </c>
      <c r="H1607" t="s">
        <v>4210</v>
      </c>
    </row>
    <row r="1608" spans="1:8" x14ac:dyDescent="0.35">
      <c r="A1608" t="s">
        <v>350</v>
      </c>
      <c r="B1608" t="s">
        <v>1174</v>
      </c>
      <c r="C1608" t="s">
        <v>4209</v>
      </c>
      <c r="D1608">
        <v>0.22</v>
      </c>
      <c r="E1608" t="s">
        <v>1720</v>
      </c>
      <c r="F1608" t="s">
        <v>1724</v>
      </c>
      <c r="G1608" t="s">
        <v>4383</v>
      </c>
      <c r="H1608" t="s">
        <v>4210</v>
      </c>
    </row>
    <row r="1609" spans="1:8" x14ac:dyDescent="0.35">
      <c r="A1609" t="s">
        <v>350</v>
      </c>
      <c r="B1609" t="s">
        <v>1174</v>
      </c>
      <c r="C1609" t="s">
        <v>4213</v>
      </c>
      <c r="D1609">
        <v>5.6000000000000001E-2</v>
      </c>
      <c r="E1609" t="s">
        <v>1720</v>
      </c>
      <c r="F1609" t="s">
        <v>1721</v>
      </c>
      <c r="G1609" t="s">
        <v>4393</v>
      </c>
      <c r="H1609" t="s">
        <v>4214</v>
      </c>
    </row>
    <row r="1610" spans="1:8" x14ac:dyDescent="0.35">
      <c r="A1610" t="s">
        <v>350</v>
      </c>
      <c r="B1610" t="s">
        <v>1174</v>
      </c>
      <c r="C1610" t="s">
        <v>4213</v>
      </c>
      <c r="D1610">
        <v>0.22</v>
      </c>
      <c r="E1610" t="s">
        <v>1720</v>
      </c>
      <c r="F1610" t="s">
        <v>1724</v>
      </c>
      <c r="G1610" t="s">
        <v>4393</v>
      </c>
      <c r="H1610" t="s">
        <v>4214</v>
      </c>
    </row>
    <row r="1611" spans="1:8" x14ac:dyDescent="0.35">
      <c r="A1611" t="s">
        <v>350</v>
      </c>
      <c r="B1611" t="s">
        <v>1174</v>
      </c>
      <c r="C1611" t="s">
        <v>4211</v>
      </c>
      <c r="D1611">
        <v>5.6000000000000001E-2</v>
      </c>
      <c r="E1611" t="s">
        <v>1720</v>
      </c>
      <c r="F1611" t="s">
        <v>1721</v>
      </c>
      <c r="G1611" t="s">
        <v>4392</v>
      </c>
      <c r="H1611" t="s">
        <v>4212</v>
      </c>
    </row>
    <row r="1612" spans="1:8" x14ac:dyDescent="0.35">
      <c r="A1612" t="s">
        <v>350</v>
      </c>
      <c r="B1612" t="s">
        <v>1174</v>
      </c>
      <c r="C1612" t="s">
        <v>4211</v>
      </c>
      <c r="D1612">
        <v>0.11</v>
      </c>
      <c r="E1612" t="s">
        <v>1720</v>
      </c>
      <c r="F1612" t="s">
        <v>1724</v>
      </c>
      <c r="G1612" t="s">
        <v>4392</v>
      </c>
      <c r="H1612" t="s">
        <v>4212</v>
      </c>
    </row>
    <row r="1613" spans="1:8" x14ac:dyDescent="0.35">
      <c r="A1613" t="s">
        <v>350</v>
      </c>
      <c r="B1613" t="s">
        <v>1174</v>
      </c>
      <c r="C1613" t="s">
        <v>4215</v>
      </c>
      <c r="D1613">
        <v>5.6000000000000001E-2</v>
      </c>
      <c r="E1613" t="s">
        <v>1720</v>
      </c>
      <c r="F1613" t="s">
        <v>1721</v>
      </c>
      <c r="G1613" t="s">
        <v>4394</v>
      </c>
      <c r="H1613" t="s">
        <v>4216</v>
      </c>
    </row>
    <row r="1614" spans="1:8" x14ac:dyDescent="0.35">
      <c r="A1614" t="s">
        <v>350</v>
      </c>
      <c r="B1614" t="s">
        <v>1174</v>
      </c>
      <c r="C1614" t="s">
        <v>4215</v>
      </c>
      <c r="D1614">
        <v>0.11</v>
      </c>
      <c r="E1614" t="s">
        <v>1720</v>
      </c>
      <c r="F1614" t="s">
        <v>1724</v>
      </c>
      <c r="G1614" t="s">
        <v>4394</v>
      </c>
      <c r="H1614" t="s">
        <v>4216</v>
      </c>
    </row>
    <row r="1615" spans="1:8" x14ac:dyDescent="0.35">
      <c r="A1615" t="s">
        <v>350</v>
      </c>
      <c r="B1615" t="s">
        <v>1174</v>
      </c>
      <c r="C1615" t="s">
        <v>4215</v>
      </c>
      <c r="D1615">
        <v>5.6000000000000001E-2</v>
      </c>
      <c r="E1615" t="s">
        <v>1720</v>
      </c>
      <c r="F1615" t="s">
        <v>1721</v>
      </c>
      <c r="G1615" t="s">
        <v>4395</v>
      </c>
      <c r="H1615" t="s">
        <v>4216</v>
      </c>
    </row>
    <row r="1616" spans="1:8" x14ac:dyDescent="0.35">
      <c r="A1616" t="s">
        <v>350</v>
      </c>
      <c r="B1616" t="s">
        <v>1174</v>
      </c>
      <c r="C1616" t="s">
        <v>4215</v>
      </c>
      <c r="D1616">
        <v>0.11</v>
      </c>
      <c r="E1616" t="s">
        <v>1720</v>
      </c>
      <c r="F1616" t="s">
        <v>1724</v>
      </c>
      <c r="G1616" t="s">
        <v>4395</v>
      </c>
      <c r="H1616" t="s">
        <v>4216</v>
      </c>
    </row>
    <row r="1617" spans="1:8" x14ac:dyDescent="0.35">
      <c r="A1617" t="s">
        <v>350</v>
      </c>
      <c r="B1617" t="s">
        <v>1174</v>
      </c>
      <c r="C1617" t="s">
        <v>4215</v>
      </c>
      <c r="D1617">
        <v>5.6000000000000001E-2</v>
      </c>
      <c r="E1617" t="s">
        <v>1720</v>
      </c>
      <c r="F1617" t="s">
        <v>1721</v>
      </c>
      <c r="G1617" t="s">
        <v>4397</v>
      </c>
      <c r="H1617" t="s">
        <v>4216</v>
      </c>
    </row>
    <row r="1618" spans="1:8" x14ac:dyDescent="0.35">
      <c r="A1618" t="s">
        <v>350</v>
      </c>
      <c r="B1618" t="s">
        <v>1174</v>
      </c>
      <c r="C1618" t="s">
        <v>4215</v>
      </c>
      <c r="D1618">
        <v>0.11</v>
      </c>
      <c r="E1618" t="s">
        <v>1720</v>
      </c>
      <c r="F1618" t="s">
        <v>1724</v>
      </c>
      <c r="G1618" t="s">
        <v>4397</v>
      </c>
      <c r="H1618" t="s">
        <v>4216</v>
      </c>
    </row>
    <row r="1619" spans="1:8" x14ac:dyDescent="0.35">
      <c r="A1619" t="s">
        <v>350</v>
      </c>
      <c r="B1619" t="s">
        <v>1174</v>
      </c>
      <c r="C1619" t="s">
        <v>4215</v>
      </c>
      <c r="D1619">
        <v>5.6000000000000001E-2</v>
      </c>
      <c r="E1619" t="s">
        <v>1720</v>
      </c>
      <c r="F1619" t="s">
        <v>1721</v>
      </c>
      <c r="G1619" t="s">
        <v>4398</v>
      </c>
      <c r="H1619" t="s">
        <v>4216</v>
      </c>
    </row>
    <row r="1620" spans="1:8" x14ac:dyDescent="0.35">
      <c r="A1620" t="s">
        <v>350</v>
      </c>
      <c r="B1620" t="s">
        <v>1174</v>
      </c>
      <c r="C1620" t="s">
        <v>4215</v>
      </c>
      <c r="D1620">
        <v>0.11</v>
      </c>
      <c r="E1620" t="s">
        <v>1720</v>
      </c>
      <c r="F1620" t="s">
        <v>1724</v>
      </c>
      <c r="G1620" t="s">
        <v>4398</v>
      </c>
      <c r="H1620" t="s">
        <v>4216</v>
      </c>
    </row>
    <row r="1621" spans="1:8" x14ac:dyDescent="0.35">
      <c r="A1621" t="s">
        <v>350</v>
      </c>
      <c r="B1621" t="s">
        <v>1174</v>
      </c>
      <c r="C1621" t="s">
        <v>4217</v>
      </c>
      <c r="D1621">
        <v>5.6000000000000001E-2</v>
      </c>
      <c r="E1621" t="s">
        <v>1720</v>
      </c>
      <c r="F1621" t="s">
        <v>1721</v>
      </c>
      <c r="G1621" t="s">
        <v>4396</v>
      </c>
      <c r="H1621" t="s">
        <v>4218</v>
      </c>
    </row>
    <row r="1622" spans="1:8" x14ac:dyDescent="0.35">
      <c r="A1622" t="s">
        <v>350</v>
      </c>
      <c r="B1622" t="s">
        <v>1174</v>
      </c>
      <c r="C1622" t="s">
        <v>4217</v>
      </c>
      <c r="D1622">
        <v>0.22</v>
      </c>
      <c r="E1622" t="s">
        <v>1720</v>
      </c>
      <c r="F1622" t="s">
        <v>1724</v>
      </c>
      <c r="G1622" t="s">
        <v>4396</v>
      </c>
      <c r="H1622" t="s">
        <v>4218</v>
      </c>
    </row>
    <row r="1623" spans="1:8" x14ac:dyDescent="0.35">
      <c r="A1623" t="s">
        <v>350</v>
      </c>
      <c r="B1623" t="s">
        <v>1174</v>
      </c>
      <c r="C1623" t="s">
        <v>4302</v>
      </c>
      <c r="D1623">
        <v>5.6000000000000001E-2</v>
      </c>
      <c r="E1623" t="s">
        <v>1720</v>
      </c>
      <c r="F1623" t="s">
        <v>1721</v>
      </c>
      <c r="G1623" t="s">
        <v>4420</v>
      </c>
      <c r="H1623" t="s">
        <v>4303</v>
      </c>
    </row>
    <row r="1624" spans="1:8" x14ac:dyDescent="0.35">
      <c r="A1624" t="s">
        <v>350</v>
      </c>
      <c r="B1624" t="s">
        <v>1174</v>
      </c>
      <c r="C1624" t="s">
        <v>4302</v>
      </c>
      <c r="D1624">
        <v>0.22</v>
      </c>
      <c r="E1624" t="s">
        <v>1720</v>
      </c>
      <c r="F1624" t="s">
        <v>1724</v>
      </c>
      <c r="G1624" t="s">
        <v>4420</v>
      </c>
      <c r="H1624" t="s">
        <v>4303</v>
      </c>
    </row>
    <row r="1625" spans="1:8" x14ac:dyDescent="0.35">
      <c r="A1625" t="s">
        <v>350</v>
      </c>
      <c r="B1625" t="s">
        <v>1174</v>
      </c>
      <c r="C1625" t="s">
        <v>4223</v>
      </c>
      <c r="D1625">
        <v>5.6000000000000001E-2</v>
      </c>
      <c r="E1625" t="s">
        <v>1720</v>
      </c>
      <c r="F1625" t="s">
        <v>1721</v>
      </c>
      <c r="G1625" t="s">
        <v>4399</v>
      </c>
      <c r="H1625" t="s">
        <v>4224</v>
      </c>
    </row>
    <row r="1626" spans="1:8" x14ac:dyDescent="0.35">
      <c r="A1626" t="s">
        <v>350</v>
      </c>
      <c r="B1626" t="s">
        <v>1174</v>
      </c>
      <c r="C1626" t="s">
        <v>4223</v>
      </c>
      <c r="D1626">
        <v>0.22</v>
      </c>
      <c r="E1626" t="s">
        <v>1720</v>
      </c>
      <c r="F1626" t="s">
        <v>1724</v>
      </c>
      <c r="G1626" t="s">
        <v>4399</v>
      </c>
      <c r="H1626" t="s">
        <v>4224</v>
      </c>
    </row>
    <row r="1627" spans="1:8" x14ac:dyDescent="0.35">
      <c r="A1627" t="s">
        <v>350</v>
      </c>
      <c r="B1627" t="s">
        <v>1174</v>
      </c>
      <c r="C1627" t="s">
        <v>4234</v>
      </c>
      <c r="D1627">
        <v>5.6000000000000001E-2</v>
      </c>
      <c r="E1627" t="s">
        <v>1720</v>
      </c>
      <c r="G1627" t="s">
        <v>4383</v>
      </c>
      <c r="H1627" t="s">
        <v>4235</v>
      </c>
    </row>
    <row r="1628" spans="1:8" x14ac:dyDescent="0.35">
      <c r="A1628" t="s">
        <v>350</v>
      </c>
      <c r="B1628" t="s">
        <v>1174</v>
      </c>
      <c r="C1628" t="s">
        <v>4234</v>
      </c>
      <c r="D1628">
        <v>0.22</v>
      </c>
      <c r="E1628" t="s">
        <v>1720</v>
      </c>
      <c r="G1628" t="s">
        <v>4383</v>
      </c>
      <c r="H1628" t="s">
        <v>4235</v>
      </c>
    </row>
    <row r="1629" spans="1:8" x14ac:dyDescent="0.35">
      <c r="A1629" t="s">
        <v>350</v>
      </c>
      <c r="B1629" t="s">
        <v>1174</v>
      </c>
      <c r="C1629" t="s">
        <v>4229</v>
      </c>
      <c r="D1629">
        <v>0.22</v>
      </c>
      <c r="E1629" t="s">
        <v>1720</v>
      </c>
      <c r="F1629" t="s">
        <v>1724</v>
      </c>
      <c r="G1629" t="s">
        <v>4399</v>
      </c>
      <c r="H1629" t="s">
        <v>1711</v>
      </c>
    </row>
    <row r="1630" spans="1:8" x14ac:dyDescent="0.35">
      <c r="A1630" t="s">
        <v>350</v>
      </c>
      <c r="B1630" t="s">
        <v>1174</v>
      </c>
      <c r="C1630" t="s">
        <v>4229</v>
      </c>
      <c r="D1630">
        <v>5.6000000000000001E-2</v>
      </c>
      <c r="E1630" t="s">
        <v>1720</v>
      </c>
      <c r="F1630" t="s">
        <v>1721</v>
      </c>
      <c r="G1630" t="s">
        <v>4399</v>
      </c>
      <c r="H1630" t="s">
        <v>1711</v>
      </c>
    </row>
    <row r="1631" spans="1:8" x14ac:dyDescent="0.35">
      <c r="A1631" t="s">
        <v>350</v>
      </c>
      <c r="B1631" t="s">
        <v>1174</v>
      </c>
      <c r="C1631" t="s">
        <v>4238</v>
      </c>
      <c r="D1631">
        <v>5.6000000000000001E-2</v>
      </c>
      <c r="E1631" t="s">
        <v>1720</v>
      </c>
      <c r="F1631" t="s">
        <v>1721</v>
      </c>
      <c r="G1631" t="s">
        <v>4404</v>
      </c>
      <c r="H1631" t="s">
        <v>4239</v>
      </c>
    </row>
    <row r="1632" spans="1:8" x14ac:dyDescent="0.35">
      <c r="A1632" t="s">
        <v>350</v>
      </c>
      <c r="B1632" t="s">
        <v>1174</v>
      </c>
      <c r="C1632" t="s">
        <v>4227</v>
      </c>
      <c r="D1632">
        <v>5.6000000000000001E-2</v>
      </c>
      <c r="E1632" t="s">
        <v>1720</v>
      </c>
      <c r="F1632" t="s">
        <v>1721</v>
      </c>
      <c r="G1632" t="s">
        <v>4401</v>
      </c>
      <c r="H1632" t="s">
        <v>4228</v>
      </c>
    </row>
    <row r="1633" spans="1:8" x14ac:dyDescent="0.35">
      <c r="A1633" t="s">
        <v>350</v>
      </c>
      <c r="B1633" t="s">
        <v>1174</v>
      </c>
      <c r="C1633" t="s">
        <v>4227</v>
      </c>
      <c r="D1633">
        <v>0.22</v>
      </c>
      <c r="E1633" t="s">
        <v>1720</v>
      </c>
      <c r="F1633" t="s">
        <v>1724</v>
      </c>
      <c r="G1633" t="s">
        <v>4401</v>
      </c>
      <c r="H1633" t="s">
        <v>4228</v>
      </c>
    </row>
    <row r="1634" spans="1:8" x14ac:dyDescent="0.35">
      <c r="A1634" t="s">
        <v>350</v>
      </c>
      <c r="B1634" t="s">
        <v>1174</v>
      </c>
      <c r="C1634" t="s">
        <v>4225</v>
      </c>
      <c r="D1634">
        <v>5.6000000000000001E-2</v>
      </c>
      <c r="E1634" t="s">
        <v>1720</v>
      </c>
      <c r="F1634" t="s">
        <v>1721</v>
      </c>
      <c r="G1634" t="s">
        <v>4400</v>
      </c>
      <c r="H1634" t="s">
        <v>4226</v>
      </c>
    </row>
    <row r="1635" spans="1:8" x14ac:dyDescent="0.35">
      <c r="A1635" t="s">
        <v>350</v>
      </c>
      <c r="B1635" t="s">
        <v>1174</v>
      </c>
      <c r="C1635" t="s">
        <v>4219</v>
      </c>
      <c r="D1635">
        <v>5.6000000000000001E-2</v>
      </c>
      <c r="E1635" t="s">
        <v>1720</v>
      </c>
      <c r="F1635" t="s">
        <v>1721</v>
      </c>
      <c r="G1635" t="s">
        <v>4380</v>
      </c>
      <c r="H1635" t="s">
        <v>4220</v>
      </c>
    </row>
    <row r="1636" spans="1:8" x14ac:dyDescent="0.35">
      <c r="A1636" t="s">
        <v>350</v>
      </c>
      <c r="B1636" t="s">
        <v>1174</v>
      </c>
      <c r="C1636" t="s">
        <v>4219</v>
      </c>
      <c r="D1636">
        <v>0.11</v>
      </c>
      <c r="E1636" t="s">
        <v>1720</v>
      </c>
      <c r="F1636" t="s">
        <v>1724</v>
      </c>
      <c r="G1636" t="s">
        <v>4380</v>
      </c>
      <c r="H1636" t="s">
        <v>4220</v>
      </c>
    </row>
    <row r="1637" spans="1:8" x14ac:dyDescent="0.35">
      <c r="A1637" t="s">
        <v>350</v>
      </c>
      <c r="B1637" t="s">
        <v>1174</v>
      </c>
      <c r="C1637" t="s">
        <v>4225</v>
      </c>
      <c r="D1637">
        <v>0.22</v>
      </c>
      <c r="E1637" t="s">
        <v>1720</v>
      </c>
      <c r="F1637" t="s">
        <v>1724</v>
      </c>
      <c r="G1637" t="s">
        <v>4400</v>
      </c>
      <c r="H1637" t="s">
        <v>4226</v>
      </c>
    </row>
    <row r="1638" spans="1:8" x14ac:dyDescent="0.35">
      <c r="A1638" t="s">
        <v>350</v>
      </c>
      <c r="B1638" t="s">
        <v>1174</v>
      </c>
      <c r="C1638" t="s">
        <v>4236</v>
      </c>
      <c r="D1638">
        <v>0.22</v>
      </c>
      <c r="E1638" t="s">
        <v>1720</v>
      </c>
      <c r="F1638" t="s">
        <v>1724</v>
      </c>
      <c r="G1638" t="s">
        <v>4403</v>
      </c>
      <c r="H1638" t="s">
        <v>4237</v>
      </c>
    </row>
    <row r="1639" spans="1:8" x14ac:dyDescent="0.35">
      <c r="A1639" t="s">
        <v>350</v>
      </c>
      <c r="B1639" t="s">
        <v>1174</v>
      </c>
      <c r="C1639" t="s">
        <v>4236</v>
      </c>
      <c r="D1639">
        <v>5.6000000000000001E-2</v>
      </c>
      <c r="E1639" t="s">
        <v>1720</v>
      </c>
      <c r="F1639" t="s">
        <v>1721</v>
      </c>
      <c r="G1639" t="s">
        <v>4403</v>
      </c>
      <c r="H1639" t="s">
        <v>4237</v>
      </c>
    </row>
    <row r="1640" spans="1:8" x14ac:dyDescent="0.35">
      <c r="A1640" t="s">
        <v>350</v>
      </c>
      <c r="B1640" t="s">
        <v>1174</v>
      </c>
      <c r="C1640" t="s">
        <v>4230</v>
      </c>
      <c r="D1640">
        <v>0.22</v>
      </c>
      <c r="E1640" t="s">
        <v>1720</v>
      </c>
      <c r="F1640" t="s">
        <v>1724</v>
      </c>
      <c r="G1640" t="s">
        <v>4396</v>
      </c>
      <c r="H1640" t="s">
        <v>4231</v>
      </c>
    </row>
    <row r="1641" spans="1:8" x14ac:dyDescent="0.35">
      <c r="A1641" t="s">
        <v>350</v>
      </c>
      <c r="B1641" t="s">
        <v>1174</v>
      </c>
      <c r="C1641" t="s">
        <v>4230</v>
      </c>
      <c r="D1641">
        <v>5.6000000000000001E-2</v>
      </c>
      <c r="E1641" t="s">
        <v>1720</v>
      </c>
      <c r="F1641" t="s">
        <v>1721</v>
      </c>
      <c r="G1641" t="s">
        <v>4396</v>
      </c>
      <c r="H1641" t="s">
        <v>4231</v>
      </c>
    </row>
    <row r="1642" spans="1:8" x14ac:dyDescent="0.35">
      <c r="A1642" t="s">
        <v>350</v>
      </c>
      <c r="B1642" t="s">
        <v>1174</v>
      </c>
      <c r="C1642" t="s">
        <v>4238</v>
      </c>
      <c r="D1642">
        <v>0.22</v>
      </c>
      <c r="E1642" t="s">
        <v>1720</v>
      </c>
      <c r="F1642" t="s">
        <v>1724</v>
      </c>
      <c r="G1642" t="s">
        <v>4404</v>
      </c>
      <c r="H1642" t="s">
        <v>4239</v>
      </c>
    </row>
    <row r="1643" spans="1:8" x14ac:dyDescent="0.35">
      <c r="A1643" t="s">
        <v>350</v>
      </c>
      <c r="B1643" t="s">
        <v>1174</v>
      </c>
      <c r="C1643" t="s">
        <v>4240</v>
      </c>
      <c r="D1643">
        <v>0.22</v>
      </c>
      <c r="E1643" t="s">
        <v>1720</v>
      </c>
      <c r="F1643" t="s">
        <v>1724</v>
      </c>
      <c r="G1643" t="s">
        <v>4402</v>
      </c>
      <c r="H1643" t="s">
        <v>4241</v>
      </c>
    </row>
    <row r="1644" spans="1:8" x14ac:dyDescent="0.35">
      <c r="A1644" t="s">
        <v>350</v>
      </c>
      <c r="B1644" t="s">
        <v>1174</v>
      </c>
      <c r="C1644" t="s">
        <v>4240</v>
      </c>
      <c r="D1644">
        <v>5.6000000000000001E-2</v>
      </c>
      <c r="E1644" t="s">
        <v>1720</v>
      </c>
      <c r="F1644" t="s">
        <v>1721</v>
      </c>
      <c r="G1644" t="s">
        <v>4402</v>
      </c>
      <c r="H1644" t="s">
        <v>4241</v>
      </c>
    </row>
    <row r="1645" spans="1:8" x14ac:dyDescent="0.35">
      <c r="A1645" t="s">
        <v>350</v>
      </c>
      <c r="B1645" t="s">
        <v>1174</v>
      </c>
      <c r="C1645" t="s">
        <v>4242</v>
      </c>
      <c r="D1645">
        <v>0.22</v>
      </c>
      <c r="E1645" t="s">
        <v>1720</v>
      </c>
      <c r="F1645" t="s">
        <v>1724</v>
      </c>
      <c r="G1645" t="s">
        <v>4405</v>
      </c>
      <c r="H1645" t="s">
        <v>4243</v>
      </c>
    </row>
    <row r="1646" spans="1:8" x14ac:dyDescent="0.35">
      <c r="A1646" t="s">
        <v>350</v>
      </c>
      <c r="B1646" t="s">
        <v>1174</v>
      </c>
      <c r="C1646" t="s">
        <v>4242</v>
      </c>
      <c r="D1646">
        <v>5.6000000000000001E-2</v>
      </c>
      <c r="E1646" t="s">
        <v>1720</v>
      </c>
      <c r="F1646" t="s">
        <v>1721</v>
      </c>
      <c r="G1646" t="s">
        <v>4405</v>
      </c>
      <c r="H1646" t="s">
        <v>4243</v>
      </c>
    </row>
    <row r="1647" spans="1:8" x14ac:dyDescent="0.35">
      <c r="A1647" t="s">
        <v>350</v>
      </c>
      <c r="B1647" t="s">
        <v>1174</v>
      </c>
      <c r="C1647" t="s">
        <v>4244</v>
      </c>
      <c r="D1647">
        <v>0.22</v>
      </c>
      <c r="E1647" t="s">
        <v>1720</v>
      </c>
      <c r="F1647" t="s">
        <v>1724</v>
      </c>
      <c r="G1647" t="s">
        <v>4406</v>
      </c>
      <c r="H1647" t="s">
        <v>4245</v>
      </c>
    </row>
    <row r="1648" spans="1:8" x14ac:dyDescent="0.35">
      <c r="A1648" t="s">
        <v>350</v>
      </c>
      <c r="B1648" t="s">
        <v>1174</v>
      </c>
      <c r="C1648" t="s">
        <v>4244</v>
      </c>
      <c r="D1648">
        <v>5.6000000000000001E-2</v>
      </c>
      <c r="E1648" t="s">
        <v>1720</v>
      </c>
      <c r="F1648" t="s">
        <v>1721</v>
      </c>
      <c r="G1648" t="s">
        <v>4406</v>
      </c>
      <c r="H1648" t="s">
        <v>4245</v>
      </c>
    </row>
    <row r="1649" spans="1:8" x14ac:dyDescent="0.35">
      <c r="A1649" t="s">
        <v>350</v>
      </c>
      <c r="B1649" t="s">
        <v>1174</v>
      </c>
      <c r="C1649" t="s">
        <v>4244</v>
      </c>
      <c r="D1649">
        <v>3</v>
      </c>
      <c r="E1649" t="s">
        <v>1720</v>
      </c>
      <c r="F1649" t="s">
        <v>1724</v>
      </c>
      <c r="G1649" t="s">
        <v>4407</v>
      </c>
      <c r="H1649" t="s">
        <v>4245</v>
      </c>
    </row>
    <row r="1650" spans="1:8" x14ac:dyDescent="0.35">
      <c r="A1650" t="s">
        <v>350</v>
      </c>
      <c r="B1650" t="s">
        <v>1174</v>
      </c>
      <c r="C1650" t="s">
        <v>4244</v>
      </c>
      <c r="D1650">
        <v>1.5</v>
      </c>
      <c r="E1650" t="s">
        <v>1720</v>
      </c>
      <c r="F1650" t="s">
        <v>1721</v>
      </c>
      <c r="G1650" t="s">
        <v>4407</v>
      </c>
      <c r="H1650" t="s">
        <v>4245</v>
      </c>
    </row>
    <row r="1651" spans="1:8" x14ac:dyDescent="0.35">
      <c r="A1651" t="s">
        <v>350</v>
      </c>
      <c r="B1651" t="s">
        <v>1174</v>
      </c>
      <c r="C1651" t="s">
        <v>4246</v>
      </c>
      <c r="D1651">
        <v>5.6000000000000001E-2</v>
      </c>
      <c r="E1651" t="s">
        <v>1720</v>
      </c>
      <c r="F1651" t="s">
        <v>1721</v>
      </c>
      <c r="G1651" t="s">
        <v>4402</v>
      </c>
      <c r="H1651" t="s">
        <v>4247</v>
      </c>
    </row>
    <row r="1652" spans="1:8" x14ac:dyDescent="0.35">
      <c r="A1652" t="s">
        <v>350</v>
      </c>
      <c r="B1652" t="s">
        <v>1174</v>
      </c>
      <c r="C1652" t="s">
        <v>4246</v>
      </c>
      <c r="D1652">
        <v>0.22</v>
      </c>
      <c r="E1652" t="s">
        <v>1720</v>
      </c>
      <c r="F1652" t="s">
        <v>1724</v>
      </c>
      <c r="G1652" t="s">
        <v>4402</v>
      </c>
      <c r="H1652" t="s">
        <v>4247</v>
      </c>
    </row>
    <row r="1653" spans="1:8" x14ac:dyDescent="0.35">
      <c r="A1653" t="s">
        <v>350</v>
      </c>
      <c r="B1653" t="s">
        <v>1174</v>
      </c>
      <c r="C1653" t="s">
        <v>4248</v>
      </c>
      <c r="D1653">
        <v>0.11</v>
      </c>
      <c r="E1653" t="s">
        <v>1720</v>
      </c>
      <c r="F1653" t="s">
        <v>1724</v>
      </c>
      <c r="G1653" t="s">
        <v>4402</v>
      </c>
      <c r="H1653" t="s">
        <v>4249</v>
      </c>
    </row>
    <row r="1654" spans="1:8" x14ac:dyDescent="0.35">
      <c r="A1654" t="s">
        <v>350</v>
      </c>
      <c r="B1654" t="s">
        <v>1174</v>
      </c>
      <c r="C1654" t="s">
        <v>4248</v>
      </c>
      <c r="D1654">
        <v>5.6000000000000001E-2</v>
      </c>
      <c r="E1654" t="s">
        <v>1720</v>
      </c>
      <c r="F1654" t="s">
        <v>1721</v>
      </c>
      <c r="G1654" t="s">
        <v>4402</v>
      </c>
      <c r="H1654" t="s">
        <v>4249</v>
      </c>
    </row>
    <row r="1655" spans="1:8" x14ac:dyDescent="0.35">
      <c r="A1655" t="s">
        <v>350</v>
      </c>
      <c r="B1655" t="s">
        <v>1174</v>
      </c>
      <c r="C1655" t="s">
        <v>4250</v>
      </c>
      <c r="D1655">
        <v>0.22</v>
      </c>
      <c r="E1655" t="s">
        <v>1720</v>
      </c>
      <c r="F1655" t="s">
        <v>1724</v>
      </c>
      <c r="G1655" t="s">
        <v>4402</v>
      </c>
      <c r="H1655" t="s">
        <v>4251</v>
      </c>
    </row>
    <row r="1656" spans="1:8" x14ac:dyDescent="0.35">
      <c r="A1656" t="s">
        <v>350</v>
      </c>
      <c r="B1656" t="s">
        <v>1174</v>
      </c>
      <c r="C1656" t="s">
        <v>4250</v>
      </c>
      <c r="D1656">
        <v>5.6000000000000001E-2</v>
      </c>
      <c r="E1656" t="s">
        <v>1720</v>
      </c>
      <c r="F1656" t="s">
        <v>1721</v>
      </c>
      <c r="G1656" t="s">
        <v>4402</v>
      </c>
      <c r="H1656" t="s">
        <v>4251</v>
      </c>
    </row>
    <row r="1657" spans="1:8" x14ac:dyDescent="0.35">
      <c r="A1657" t="s">
        <v>350</v>
      </c>
      <c r="B1657" t="s">
        <v>1174</v>
      </c>
      <c r="C1657" t="s">
        <v>4252</v>
      </c>
      <c r="D1657">
        <v>0.22</v>
      </c>
      <c r="E1657" t="s">
        <v>1720</v>
      </c>
      <c r="F1657" t="s">
        <v>1724</v>
      </c>
      <c r="G1657" t="s">
        <v>4402</v>
      </c>
      <c r="H1657" t="s">
        <v>4253</v>
      </c>
    </row>
    <row r="1658" spans="1:8" x14ac:dyDescent="0.35">
      <c r="A1658" t="s">
        <v>350</v>
      </c>
      <c r="B1658" t="s">
        <v>1174</v>
      </c>
      <c r="C1658" t="s">
        <v>4252</v>
      </c>
      <c r="D1658">
        <v>5.6000000000000001E-2</v>
      </c>
      <c r="E1658" t="s">
        <v>1720</v>
      </c>
      <c r="F1658" t="s">
        <v>1721</v>
      </c>
      <c r="G1658" t="s">
        <v>4402</v>
      </c>
      <c r="H1658" t="s">
        <v>4253</v>
      </c>
    </row>
    <row r="1659" spans="1:8" x14ac:dyDescent="0.35">
      <c r="A1659" t="s">
        <v>350</v>
      </c>
      <c r="B1659" t="s">
        <v>1174</v>
      </c>
      <c r="C1659" t="s">
        <v>4254</v>
      </c>
      <c r="D1659">
        <v>0.22</v>
      </c>
      <c r="E1659" t="s">
        <v>1720</v>
      </c>
      <c r="F1659" t="s">
        <v>1724</v>
      </c>
      <c r="G1659" t="s">
        <v>4402</v>
      </c>
      <c r="H1659" t="s">
        <v>4255</v>
      </c>
    </row>
    <row r="1660" spans="1:8" x14ac:dyDescent="0.35">
      <c r="A1660" t="s">
        <v>350</v>
      </c>
      <c r="B1660" t="s">
        <v>1174</v>
      </c>
      <c r="C1660" t="s">
        <v>4254</v>
      </c>
      <c r="D1660">
        <v>5.6000000000000001E-2</v>
      </c>
      <c r="E1660" t="s">
        <v>1720</v>
      </c>
      <c r="F1660" t="s">
        <v>1721</v>
      </c>
      <c r="G1660" t="s">
        <v>4402</v>
      </c>
      <c r="H1660" t="s">
        <v>4255</v>
      </c>
    </row>
    <row r="1661" spans="1:8" x14ac:dyDescent="0.35">
      <c r="A1661" t="s">
        <v>350</v>
      </c>
      <c r="B1661" t="s">
        <v>1174</v>
      </c>
      <c r="C1661" t="s">
        <v>4256</v>
      </c>
      <c r="D1661">
        <v>0.22</v>
      </c>
      <c r="E1661" t="s">
        <v>1720</v>
      </c>
      <c r="F1661" t="s">
        <v>1724</v>
      </c>
      <c r="G1661" t="s">
        <v>4402</v>
      </c>
      <c r="H1661" t="s">
        <v>4257</v>
      </c>
    </row>
    <row r="1662" spans="1:8" x14ac:dyDescent="0.35">
      <c r="A1662" t="s">
        <v>350</v>
      </c>
      <c r="B1662" t="s">
        <v>1174</v>
      </c>
      <c r="C1662" t="s">
        <v>4256</v>
      </c>
      <c r="D1662">
        <v>5.6000000000000001E-2</v>
      </c>
      <c r="E1662" t="s">
        <v>1720</v>
      </c>
      <c r="F1662" t="s">
        <v>1721</v>
      </c>
      <c r="G1662" t="s">
        <v>4402</v>
      </c>
      <c r="H1662" t="s">
        <v>4257</v>
      </c>
    </row>
    <row r="1663" spans="1:8" x14ac:dyDescent="0.35">
      <c r="A1663" t="s">
        <v>350</v>
      </c>
      <c r="B1663" t="s">
        <v>1174</v>
      </c>
      <c r="C1663" t="s">
        <v>4260</v>
      </c>
      <c r="D1663">
        <v>0.22</v>
      </c>
      <c r="E1663" t="s">
        <v>1720</v>
      </c>
      <c r="F1663" t="s">
        <v>1724</v>
      </c>
      <c r="G1663" t="s">
        <v>4409</v>
      </c>
      <c r="H1663" t="s">
        <v>4261</v>
      </c>
    </row>
    <row r="1664" spans="1:8" x14ac:dyDescent="0.35">
      <c r="A1664" t="s">
        <v>350</v>
      </c>
      <c r="B1664" t="s">
        <v>1174</v>
      </c>
      <c r="C1664" t="s">
        <v>4260</v>
      </c>
      <c r="D1664">
        <v>5.6000000000000001E-2</v>
      </c>
      <c r="E1664" t="s">
        <v>1720</v>
      </c>
      <c r="F1664" t="s">
        <v>1721</v>
      </c>
      <c r="G1664" t="s">
        <v>4409</v>
      </c>
      <c r="H1664" t="s">
        <v>4261</v>
      </c>
    </row>
    <row r="1665" spans="1:8" x14ac:dyDescent="0.35">
      <c r="A1665" t="s">
        <v>350</v>
      </c>
      <c r="B1665" t="s">
        <v>1174</v>
      </c>
      <c r="C1665" t="s">
        <v>4258</v>
      </c>
      <c r="D1665">
        <v>0.22</v>
      </c>
      <c r="E1665" t="s">
        <v>1720</v>
      </c>
      <c r="F1665" t="s">
        <v>1724</v>
      </c>
      <c r="G1665" t="s">
        <v>4408</v>
      </c>
      <c r="H1665" t="s">
        <v>4259</v>
      </c>
    </row>
    <row r="1666" spans="1:8" x14ac:dyDescent="0.35">
      <c r="A1666" t="s">
        <v>350</v>
      </c>
      <c r="B1666" t="s">
        <v>1174</v>
      </c>
      <c r="C1666" t="s">
        <v>4258</v>
      </c>
      <c r="D1666">
        <v>5.6000000000000001E-2</v>
      </c>
      <c r="E1666" t="s">
        <v>1720</v>
      </c>
      <c r="F1666" t="s">
        <v>1721</v>
      </c>
      <c r="G1666" t="s">
        <v>4408</v>
      </c>
      <c r="H1666" t="s">
        <v>4259</v>
      </c>
    </row>
    <row r="1667" spans="1:8" x14ac:dyDescent="0.35">
      <c r="A1667" t="s">
        <v>350</v>
      </c>
      <c r="B1667" t="s">
        <v>1174</v>
      </c>
      <c r="C1667" t="s">
        <v>4262</v>
      </c>
      <c r="D1667">
        <v>0.22</v>
      </c>
      <c r="E1667" t="s">
        <v>1720</v>
      </c>
      <c r="F1667" t="s">
        <v>1724</v>
      </c>
      <c r="G1667" t="s">
        <v>4410</v>
      </c>
      <c r="H1667" t="s">
        <v>4263</v>
      </c>
    </row>
    <row r="1668" spans="1:8" x14ac:dyDescent="0.35">
      <c r="A1668" t="s">
        <v>350</v>
      </c>
      <c r="B1668" t="s">
        <v>1174</v>
      </c>
      <c r="C1668" t="s">
        <v>4262</v>
      </c>
      <c r="D1668">
        <v>5.6000000000000001E-2</v>
      </c>
      <c r="E1668" t="s">
        <v>1720</v>
      </c>
      <c r="F1668" t="s">
        <v>1721</v>
      </c>
      <c r="G1668" t="s">
        <v>4410</v>
      </c>
      <c r="H1668" t="s">
        <v>4263</v>
      </c>
    </row>
    <row r="1669" spans="1:8" x14ac:dyDescent="0.35">
      <c r="A1669" t="s">
        <v>350</v>
      </c>
      <c r="B1669" t="s">
        <v>1174</v>
      </c>
      <c r="C1669" t="s">
        <v>4264</v>
      </c>
      <c r="D1669">
        <v>0.22</v>
      </c>
      <c r="E1669" t="s">
        <v>1720</v>
      </c>
      <c r="F1669" t="s">
        <v>1724</v>
      </c>
      <c r="G1669" t="s">
        <v>4402</v>
      </c>
      <c r="H1669" t="s">
        <v>4265</v>
      </c>
    </row>
    <row r="1670" spans="1:8" x14ac:dyDescent="0.35">
      <c r="A1670" t="s">
        <v>350</v>
      </c>
      <c r="B1670" t="s">
        <v>1174</v>
      </c>
      <c r="C1670" t="s">
        <v>4264</v>
      </c>
      <c r="D1670">
        <v>5.6000000000000001E-2</v>
      </c>
      <c r="E1670" t="s">
        <v>1720</v>
      </c>
      <c r="F1670" t="s">
        <v>1721</v>
      </c>
      <c r="G1670" t="s">
        <v>4402</v>
      </c>
      <c r="H1670" t="s">
        <v>4265</v>
      </c>
    </row>
    <row r="1671" spans="1:8" x14ac:dyDescent="0.35">
      <c r="A1671" t="s">
        <v>350</v>
      </c>
      <c r="B1671" t="s">
        <v>1174</v>
      </c>
      <c r="C1671" t="s">
        <v>4266</v>
      </c>
      <c r="D1671">
        <v>0.22</v>
      </c>
      <c r="E1671" t="s">
        <v>1720</v>
      </c>
      <c r="F1671" t="s">
        <v>1724</v>
      </c>
      <c r="G1671" t="s">
        <v>4402</v>
      </c>
      <c r="H1671" t="s">
        <v>4267</v>
      </c>
    </row>
    <row r="1672" spans="1:8" x14ac:dyDescent="0.35">
      <c r="A1672" t="s">
        <v>350</v>
      </c>
      <c r="B1672" t="s">
        <v>1174</v>
      </c>
      <c r="C1672" t="s">
        <v>4266</v>
      </c>
      <c r="D1672">
        <v>5.6000000000000001E-2</v>
      </c>
      <c r="E1672" t="s">
        <v>1720</v>
      </c>
      <c r="F1672" t="s">
        <v>1721</v>
      </c>
      <c r="G1672" t="s">
        <v>4402</v>
      </c>
      <c r="H1672" t="s">
        <v>4267</v>
      </c>
    </row>
    <row r="1673" spans="1:8" x14ac:dyDescent="0.35">
      <c r="A1673" t="s">
        <v>350</v>
      </c>
      <c r="B1673" t="s">
        <v>1174</v>
      </c>
      <c r="C1673" t="s">
        <v>4268</v>
      </c>
      <c r="D1673">
        <v>0.22</v>
      </c>
      <c r="E1673" t="s">
        <v>1720</v>
      </c>
      <c r="F1673" t="s">
        <v>1724</v>
      </c>
      <c r="G1673" t="s">
        <v>4402</v>
      </c>
      <c r="H1673" t="s">
        <v>4269</v>
      </c>
    </row>
    <row r="1674" spans="1:8" x14ac:dyDescent="0.35">
      <c r="A1674" t="s">
        <v>350</v>
      </c>
      <c r="B1674" t="s">
        <v>1174</v>
      </c>
      <c r="C1674" t="s">
        <v>4268</v>
      </c>
      <c r="D1674">
        <v>5.6000000000000001E-2</v>
      </c>
      <c r="E1674" t="s">
        <v>1720</v>
      </c>
      <c r="F1674" t="s">
        <v>1721</v>
      </c>
      <c r="G1674" t="s">
        <v>4402</v>
      </c>
      <c r="H1674" t="s">
        <v>4269</v>
      </c>
    </row>
    <row r="1675" spans="1:8" x14ac:dyDescent="0.35">
      <c r="A1675" t="s">
        <v>350</v>
      </c>
      <c r="B1675" t="s">
        <v>1174</v>
      </c>
      <c r="C1675" t="s">
        <v>4270</v>
      </c>
      <c r="D1675">
        <v>0.22</v>
      </c>
      <c r="E1675" t="s">
        <v>1720</v>
      </c>
      <c r="F1675" t="s">
        <v>1724</v>
      </c>
      <c r="G1675" t="s">
        <v>4411</v>
      </c>
      <c r="H1675" t="s">
        <v>4271</v>
      </c>
    </row>
    <row r="1676" spans="1:8" x14ac:dyDescent="0.35">
      <c r="A1676" t="s">
        <v>350</v>
      </c>
      <c r="B1676" t="s">
        <v>1174</v>
      </c>
      <c r="C1676" t="s">
        <v>4270</v>
      </c>
      <c r="D1676">
        <v>5.6000000000000001E-2</v>
      </c>
      <c r="E1676" t="s">
        <v>1720</v>
      </c>
      <c r="F1676" t="s">
        <v>1721</v>
      </c>
      <c r="G1676" t="s">
        <v>4411</v>
      </c>
      <c r="H1676" t="s">
        <v>4271</v>
      </c>
    </row>
    <row r="1677" spans="1:8" x14ac:dyDescent="0.35">
      <c r="A1677" t="s">
        <v>350</v>
      </c>
      <c r="B1677" t="s">
        <v>1174</v>
      </c>
      <c r="C1677" t="s">
        <v>4272</v>
      </c>
      <c r="D1677">
        <v>0.22</v>
      </c>
      <c r="E1677" t="s">
        <v>1720</v>
      </c>
      <c r="F1677" t="s">
        <v>1724</v>
      </c>
      <c r="G1677" t="s">
        <v>4402</v>
      </c>
      <c r="H1677" t="s">
        <v>4273</v>
      </c>
    </row>
    <row r="1678" spans="1:8" x14ac:dyDescent="0.35">
      <c r="A1678" t="s">
        <v>350</v>
      </c>
      <c r="B1678" t="s">
        <v>1174</v>
      </c>
      <c r="C1678" t="s">
        <v>4272</v>
      </c>
      <c r="D1678">
        <v>5.6000000000000001E-2</v>
      </c>
      <c r="E1678" t="s">
        <v>1720</v>
      </c>
      <c r="F1678" t="s">
        <v>1721</v>
      </c>
      <c r="G1678" t="s">
        <v>4402</v>
      </c>
      <c r="H1678" t="s">
        <v>4273</v>
      </c>
    </row>
    <row r="1679" spans="1:8" x14ac:dyDescent="0.35">
      <c r="A1679" t="s">
        <v>350</v>
      </c>
      <c r="B1679" t="s">
        <v>1174</v>
      </c>
      <c r="C1679" t="s">
        <v>4274</v>
      </c>
      <c r="D1679">
        <v>0.22</v>
      </c>
      <c r="E1679" t="s">
        <v>1720</v>
      </c>
      <c r="F1679" t="s">
        <v>1724</v>
      </c>
      <c r="G1679" t="s">
        <v>4412</v>
      </c>
      <c r="H1679" t="s">
        <v>4275</v>
      </c>
    </row>
    <row r="1680" spans="1:8" x14ac:dyDescent="0.35">
      <c r="A1680" t="s">
        <v>350</v>
      </c>
      <c r="B1680" t="s">
        <v>1174</v>
      </c>
      <c r="C1680" t="s">
        <v>4274</v>
      </c>
      <c r="D1680">
        <v>5.6000000000000001E-2</v>
      </c>
      <c r="E1680" t="s">
        <v>1720</v>
      </c>
      <c r="F1680" t="s">
        <v>1721</v>
      </c>
      <c r="G1680" t="s">
        <v>4412</v>
      </c>
      <c r="H1680" t="s">
        <v>4275</v>
      </c>
    </row>
    <row r="1681" spans="1:8" x14ac:dyDescent="0.35">
      <c r="A1681" t="s">
        <v>350</v>
      </c>
      <c r="B1681" t="s">
        <v>1174</v>
      </c>
      <c r="C1681" t="s">
        <v>4276</v>
      </c>
      <c r="D1681">
        <v>0.22</v>
      </c>
      <c r="E1681" t="s">
        <v>1720</v>
      </c>
      <c r="F1681" t="s">
        <v>1724</v>
      </c>
      <c r="G1681" t="s">
        <v>4413</v>
      </c>
      <c r="H1681" t="s">
        <v>4277</v>
      </c>
    </row>
    <row r="1682" spans="1:8" x14ac:dyDescent="0.35">
      <c r="A1682" t="s">
        <v>350</v>
      </c>
      <c r="B1682" t="s">
        <v>1174</v>
      </c>
      <c r="C1682" t="s">
        <v>4276</v>
      </c>
      <c r="D1682">
        <v>0.56000000000000005</v>
      </c>
      <c r="E1682" t="s">
        <v>1720</v>
      </c>
      <c r="F1682" t="s">
        <v>1721</v>
      </c>
      <c r="G1682" t="s">
        <v>4413</v>
      </c>
      <c r="H1682" t="s">
        <v>4277</v>
      </c>
    </row>
    <row r="1683" spans="1:8" x14ac:dyDescent="0.35">
      <c r="A1683" t="s">
        <v>350</v>
      </c>
      <c r="B1683" t="s">
        <v>1174</v>
      </c>
      <c r="C1683" t="s">
        <v>4278</v>
      </c>
      <c r="D1683">
        <v>5.6000000000000001E-2</v>
      </c>
      <c r="E1683" t="s">
        <v>1720</v>
      </c>
      <c r="F1683" t="s">
        <v>1724</v>
      </c>
      <c r="G1683" t="s">
        <v>4414</v>
      </c>
      <c r="H1683" t="s">
        <v>4279</v>
      </c>
    </row>
    <row r="1684" spans="1:8" x14ac:dyDescent="0.35">
      <c r="A1684" t="s">
        <v>350</v>
      </c>
      <c r="B1684" t="s">
        <v>1174</v>
      </c>
      <c r="C1684" t="s">
        <v>4278</v>
      </c>
      <c r="D1684">
        <v>0.22</v>
      </c>
      <c r="E1684" t="s">
        <v>1720</v>
      </c>
      <c r="F1684" t="s">
        <v>1721</v>
      </c>
      <c r="G1684" t="s">
        <v>4414</v>
      </c>
      <c r="H1684" t="s">
        <v>4279</v>
      </c>
    </row>
    <row r="1685" spans="1:8" x14ac:dyDescent="0.35">
      <c r="A1685" t="s">
        <v>350</v>
      </c>
      <c r="B1685" t="s">
        <v>1174</v>
      </c>
      <c r="C1685" t="s">
        <v>4280</v>
      </c>
      <c r="D1685">
        <v>5.6000000000000001E-2</v>
      </c>
      <c r="E1685" t="s">
        <v>1720</v>
      </c>
      <c r="F1685" t="s">
        <v>1721</v>
      </c>
      <c r="G1685" t="s">
        <v>4415</v>
      </c>
      <c r="H1685" t="s">
        <v>4281</v>
      </c>
    </row>
    <row r="1686" spans="1:8" x14ac:dyDescent="0.35">
      <c r="A1686" t="s">
        <v>350</v>
      </c>
      <c r="B1686" t="s">
        <v>1174</v>
      </c>
      <c r="C1686" t="s">
        <v>4280</v>
      </c>
      <c r="D1686">
        <v>0.22</v>
      </c>
      <c r="E1686" t="s">
        <v>1720</v>
      </c>
      <c r="F1686" t="s">
        <v>1724</v>
      </c>
      <c r="G1686" t="s">
        <v>4415</v>
      </c>
      <c r="H1686" t="s">
        <v>4281</v>
      </c>
    </row>
    <row r="1687" spans="1:8" x14ac:dyDescent="0.35">
      <c r="A1687" t="s">
        <v>350</v>
      </c>
      <c r="B1687" t="s">
        <v>1174</v>
      </c>
      <c r="C1687" t="s">
        <v>4282</v>
      </c>
      <c r="D1687">
        <v>0.22</v>
      </c>
      <c r="E1687" t="s">
        <v>1720</v>
      </c>
      <c r="F1687" t="s">
        <v>1724</v>
      </c>
      <c r="G1687" t="s">
        <v>4402</v>
      </c>
      <c r="H1687" t="s">
        <v>4283</v>
      </c>
    </row>
    <row r="1688" spans="1:8" x14ac:dyDescent="0.35">
      <c r="A1688" t="s">
        <v>350</v>
      </c>
      <c r="B1688" t="s">
        <v>1174</v>
      </c>
      <c r="C1688" t="s">
        <v>4282</v>
      </c>
      <c r="D1688">
        <v>5.6000000000000001E-2</v>
      </c>
      <c r="E1688" t="s">
        <v>1720</v>
      </c>
      <c r="F1688" t="s">
        <v>1721</v>
      </c>
      <c r="G1688" t="s">
        <v>4402</v>
      </c>
      <c r="H1688" t="s">
        <v>4283</v>
      </c>
    </row>
    <row r="1689" spans="1:8" x14ac:dyDescent="0.35">
      <c r="A1689" t="s">
        <v>350</v>
      </c>
      <c r="B1689" t="s">
        <v>1174</v>
      </c>
      <c r="C1689" t="s">
        <v>4284</v>
      </c>
      <c r="D1689">
        <v>8.6999999999999994E-3</v>
      </c>
      <c r="E1689" t="s">
        <v>1720</v>
      </c>
      <c r="G1689" t="s">
        <v>4416</v>
      </c>
      <c r="H1689" t="s">
        <v>4285</v>
      </c>
    </row>
    <row r="1690" spans="1:8" x14ac:dyDescent="0.35">
      <c r="A1690" t="s">
        <v>350</v>
      </c>
      <c r="B1690" t="s">
        <v>1174</v>
      </c>
      <c r="C1690" t="s">
        <v>4284</v>
      </c>
      <c r="D1690">
        <v>5.6000000000000001E-2</v>
      </c>
      <c r="E1690" t="s">
        <v>1720</v>
      </c>
      <c r="G1690" t="s">
        <v>4417</v>
      </c>
      <c r="H1690" t="s">
        <v>4285</v>
      </c>
    </row>
    <row r="1691" spans="1:8" x14ac:dyDescent="0.35">
      <c r="A1691" t="s">
        <v>350</v>
      </c>
      <c r="B1691" t="s">
        <v>1174</v>
      </c>
      <c r="C1691" t="s">
        <v>4288</v>
      </c>
      <c r="D1691">
        <v>0.22</v>
      </c>
      <c r="E1691" t="s">
        <v>1720</v>
      </c>
      <c r="F1691" t="s">
        <v>1724</v>
      </c>
      <c r="G1691" t="s">
        <v>4415</v>
      </c>
      <c r="H1691" t="s">
        <v>4289</v>
      </c>
    </row>
    <row r="1692" spans="1:8" x14ac:dyDescent="0.35">
      <c r="A1692" t="s">
        <v>350</v>
      </c>
      <c r="B1692" t="s">
        <v>1174</v>
      </c>
      <c r="C1692" t="s">
        <v>4288</v>
      </c>
      <c r="D1692">
        <v>5.6000000000000001E-2</v>
      </c>
      <c r="E1692" t="s">
        <v>1720</v>
      </c>
      <c r="F1692" t="s">
        <v>1721</v>
      </c>
      <c r="G1692" t="s">
        <v>4415</v>
      </c>
      <c r="H1692" t="s">
        <v>4289</v>
      </c>
    </row>
    <row r="1693" spans="1:8" x14ac:dyDescent="0.35">
      <c r="A1693" t="s">
        <v>350</v>
      </c>
      <c r="B1693" t="s">
        <v>1174</v>
      </c>
      <c r="C1693" t="s">
        <v>4290</v>
      </c>
      <c r="D1693">
        <v>0.22</v>
      </c>
      <c r="E1693" t="s">
        <v>1720</v>
      </c>
      <c r="F1693" t="s">
        <v>1724</v>
      </c>
      <c r="G1693" t="s">
        <v>4402</v>
      </c>
      <c r="H1693" t="s">
        <v>4291</v>
      </c>
    </row>
    <row r="1694" spans="1:8" x14ac:dyDescent="0.35">
      <c r="A1694" t="s">
        <v>350</v>
      </c>
      <c r="B1694" t="s">
        <v>1174</v>
      </c>
      <c r="C1694" t="s">
        <v>4290</v>
      </c>
      <c r="D1694">
        <v>5.6000000000000001E-2</v>
      </c>
      <c r="E1694" t="s">
        <v>1720</v>
      </c>
      <c r="F1694" t="s">
        <v>1721</v>
      </c>
      <c r="G1694" t="s">
        <v>4402</v>
      </c>
      <c r="H1694" t="s">
        <v>4291</v>
      </c>
    </row>
    <row r="1695" spans="1:8" x14ac:dyDescent="0.35">
      <c r="A1695" t="s">
        <v>350</v>
      </c>
      <c r="B1695" t="s">
        <v>1174</v>
      </c>
      <c r="C1695" t="s">
        <v>4292</v>
      </c>
      <c r="D1695">
        <v>0.22</v>
      </c>
      <c r="E1695" t="s">
        <v>1720</v>
      </c>
      <c r="F1695" t="s">
        <v>1724</v>
      </c>
      <c r="G1695" t="s">
        <v>4402</v>
      </c>
      <c r="H1695" t="s">
        <v>4293</v>
      </c>
    </row>
    <row r="1696" spans="1:8" x14ac:dyDescent="0.35">
      <c r="A1696" t="s">
        <v>350</v>
      </c>
      <c r="B1696" t="s">
        <v>1174</v>
      </c>
      <c r="C1696" t="s">
        <v>4292</v>
      </c>
      <c r="D1696">
        <v>5.6000000000000001E-2</v>
      </c>
      <c r="E1696" t="s">
        <v>1720</v>
      </c>
      <c r="F1696" t="s">
        <v>1721</v>
      </c>
      <c r="G1696" t="s">
        <v>4402</v>
      </c>
      <c r="H1696" t="s">
        <v>4293</v>
      </c>
    </row>
    <row r="1697" spans="1:8" x14ac:dyDescent="0.35">
      <c r="A1697" t="s">
        <v>350</v>
      </c>
      <c r="B1697" t="s">
        <v>1174</v>
      </c>
      <c r="C1697" t="s">
        <v>4294</v>
      </c>
      <c r="D1697">
        <v>0.22</v>
      </c>
      <c r="E1697" t="s">
        <v>1720</v>
      </c>
      <c r="F1697" t="s">
        <v>1724</v>
      </c>
      <c r="G1697" t="s">
        <v>4418</v>
      </c>
      <c r="H1697" t="s">
        <v>4295</v>
      </c>
    </row>
    <row r="1698" spans="1:8" x14ac:dyDescent="0.35">
      <c r="A1698" t="s">
        <v>350</v>
      </c>
      <c r="B1698" t="s">
        <v>1174</v>
      </c>
      <c r="C1698" t="s">
        <v>4294</v>
      </c>
      <c r="D1698">
        <v>5.6000000000000001E-2</v>
      </c>
      <c r="E1698" t="s">
        <v>1720</v>
      </c>
      <c r="F1698" t="s">
        <v>1721</v>
      </c>
      <c r="G1698" t="s">
        <v>4418</v>
      </c>
      <c r="H1698" t="s">
        <v>4295</v>
      </c>
    </row>
    <row r="1699" spans="1:8" x14ac:dyDescent="0.35">
      <c r="A1699" t="s">
        <v>350</v>
      </c>
      <c r="B1699" t="s">
        <v>1174</v>
      </c>
      <c r="C1699" t="s">
        <v>4286</v>
      </c>
      <c r="D1699">
        <v>0.22</v>
      </c>
      <c r="E1699" t="s">
        <v>1720</v>
      </c>
      <c r="F1699" t="s">
        <v>1724</v>
      </c>
      <c r="G1699" t="s">
        <v>4402</v>
      </c>
      <c r="H1699" t="s">
        <v>4287</v>
      </c>
    </row>
    <row r="1700" spans="1:8" x14ac:dyDescent="0.35">
      <c r="A1700" t="s">
        <v>350</v>
      </c>
      <c r="B1700" t="s">
        <v>1174</v>
      </c>
      <c r="C1700" t="s">
        <v>4286</v>
      </c>
      <c r="D1700">
        <v>5.6000000000000001E-2</v>
      </c>
      <c r="E1700" t="s">
        <v>1720</v>
      </c>
      <c r="F1700" t="s">
        <v>1721</v>
      </c>
      <c r="G1700" t="s">
        <v>4402</v>
      </c>
      <c r="H1700" t="s">
        <v>4287</v>
      </c>
    </row>
    <row r="1701" spans="1:8" x14ac:dyDescent="0.35">
      <c r="A1701" t="s">
        <v>350</v>
      </c>
      <c r="B1701" t="s">
        <v>1174</v>
      </c>
      <c r="C1701" t="s">
        <v>4296</v>
      </c>
      <c r="D1701">
        <v>0.22</v>
      </c>
      <c r="E1701" t="s">
        <v>1720</v>
      </c>
      <c r="F1701" t="s">
        <v>1724</v>
      </c>
      <c r="G1701" t="s">
        <v>4402</v>
      </c>
      <c r="H1701" t="s">
        <v>4297</v>
      </c>
    </row>
    <row r="1702" spans="1:8" x14ac:dyDescent="0.35">
      <c r="A1702" t="s">
        <v>350</v>
      </c>
      <c r="B1702" t="s">
        <v>1174</v>
      </c>
      <c r="C1702" t="s">
        <v>4296</v>
      </c>
      <c r="D1702">
        <v>5.6000000000000001E-2</v>
      </c>
      <c r="E1702" t="s">
        <v>1720</v>
      </c>
      <c r="F1702" t="s">
        <v>1721</v>
      </c>
      <c r="G1702" t="s">
        <v>4402</v>
      </c>
      <c r="H1702" t="s">
        <v>4297</v>
      </c>
    </row>
    <row r="1703" spans="1:8" x14ac:dyDescent="0.35">
      <c r="A1703" t="s">
        <v>350</v>
      </c>
      <c r="B1703" t="s">
        <v>1174</v>
      </c>
      <c r="C1703" t="s">
        <v>4298</v>
      </c>
      <c r="D1703">
        <v>0.22</v>
      </c>
      <c r="E1703" t="s">
        <v>1720</v>
      </c>
      <c r="F1703" t="s">
        <v>1724</v>
      </c>
      <c r="G1703" t="s">
        <v>4419</v>
      </c>
      <c r="H1703" t="s">
        <v>4299</v>
      </c>
    </row>
    <row r="1704" spans="1:8" x14ac:dyDescent="0.35">
      <c r="A1704" t="s">
        <v>350</v>
      </c>
      <c r="B1704" t="s">
        <v>1174</v>
      </c>
      <c r="C1704" t="s">
        <v>4298</v>
      </c>
      <c r="D1704">
        <v>5.6000000000000001E-2</v>
      </c>
      <c r="E1704" t="s">
        <v>1720</v>
      </c>
      <c r="F1704" t="s">
        <v>1721</v>
      </c>
      <c r="G1704" t="s">
        <v>4419</v>
      </c>
      <c r="H1704" t="s">
        <v>4299</v>
      </c>
    </row>
    <row r="1705" spans="1:8" x14ac:dyDescent="0.35">
      <c r="A1705" t="s">
        <v>352</v>
      </c>
      <c r="B1705" t="s">
        <v>1176</v>
      </c>
      <c r="C1705" t="s">
        <v>4217</v>
      </c>
      <c r="D1705">
        <v>70</v>
      </c>
      <c r="E1705" t="s">
        <v>1720</v>
      </c>
      <c r="F1705" t="s">
        <v>1721</v>
      </c>
      <c r="G1705" t="s">
        <v>4396</v>
      </c>
      <c r="H1705" t="s">
        <v>4218</v>
      </c>
    </row>
    <row r="1706" spans="1:8" x14ac:dyDescent="0.35">
      <c r="A1706" t="s">
        <v>352</v>
      </c>
      <c r="B1706" t="s">
        <v>1176</v>
      </c>
      <c r="C1706" t="s">
        <v>4217</v>
      </c>
      <c r="D1706">
        <v>210</v>
      </c>
      <c r="E1706" t="s">
        <v>1720</v>
      </c>
      <c r="F1706" t="s">
        <v>1724</v>
      </c>
      <c r="G1706" t="s">
        <v>4396</v>
      </c>
      <c r="H1706" t="s">
        <v>4218</v>
      </c>
    </row>
    <row r="1707" spans="1:8" x14ac:dyDescent="0.35">
      <c r="A1707" t="s">
        <v>354</v>
      </c>
      <c r="B1707" t="s">
        <v>1178</v>
      </c>
      <c r="C1707" t="s">
        <v>4187</v>
      </c>
      <c r="D1707">
        <v>100</v>
      </c>
      <c r="E1707" t="s">
        <v>1720</v>
      </c>
      <c r="F1707" t="s">
        <v>1724</v>
      </c>
      <c r="G1707" t="s">
        <v>4384</v>
      </c>
      <c r="H1707" t="s">
        <v>4188</v>
      </c>
    </row>
    <row r="1708" spans="1:8" x14ac:dyDescent="0.35">
      <c r="A1708" t="s">
        <v>354</v>
      </c>
      <c r="B1708" t="s">
        <v>1178</v>
      </c>
      <c r="C1708" t="s">
        <v>4313</v>
      </c>
      <c r="D1708">
        <v>130</v>
      </c>
      <c r="E1708" t="s">
        <v>1720</v>
      </c>
      <c r="F1708" t="s">
        <v>1721</v>
      </c>
      <c r="G1708" t="s">
        <v>4423</v>
      </c>
      <c r="H1708" t="s">
        <v>4314</v>
      </c>
    </row>
    <row r="1709" spans="1:8" x14ac:dyDescent="0.35">
      <c r="A1709" t="s">
        <v>354</v>
      </c>
      <c r="B1709" t="s">
        <v>1178</v>
      </c>
      <c r="C1709" t="s">
        <v>4313</v>
      </c>
      <c r="D1709">
        <v>1600</v>
      </c>
      <c r="E1709" t="s">
        <v>1720</v>
      </c>
      <c r="F1709" t="s">
        <v>1724</v>
      </c>
      <c r="G1709" t="s">
        <v>4423</v>
      </c>
      <c r="H1709" t="s">
        <v>4314</v>
      </c>
    </row>
    <row r="1710" spans="1:8" x14ac:dyDescent="0.35">
      <c r="A1710" t="s">
        <v>354</v>
      </c>
      <c r="B1710" t="s">
        <v>1178</v>
      </c>
      <c r="C1710" t="s">
        <v>4313</v>
      </c>
      <c r="D1710">
        <v>130</v>
      </c>
      <c r="E1710" t="s">
        <v>1720</v>
      </c>
      <c r="F1710" t="s">
        <v>1721</v>
      </c>
      <c r="G1710" t="s">
        <v>4424</v>
      </c>
      <c r="H1710" t="s">
        <v>4314</v>
      </c>
    </row>
    <row r="1711" spans="1:8" x14ac:dyDescent="0.35">
      <c r="A1711" t="s">
        <v>354</v>
      </c>
      <c r="B1711" t="s">
        <v>1178</v>
      </c>
      <c r="C1711" t="s">
        <v>4313</v>
      </c>
      <c r="D1711">
        <v>1600</v>
      </c>
      <c r="E1711" t="s">
        <v>1720</v>
      </c>
      <c r="F1711" t="s">
        <v>1724</v>
      </c>
      <c r="G1711" t="s">
        <v>4424</v>
      </c>
      <c r="H1711" t="s">
        <v>4314</v>
      </c>
    </row>
    <row r="1712" spans="1:8" x14ac:dyDescent="0.35">
      <c r="A1712" t="s">
        <v>354</v>
      </c>
      <c r="B1712" t="s">
        <v>1178</v>
      </c>
      <c r="C1712" t="s">
        <v>4313</v>
      </c>
      <c r="D1712">
        <v>1600</v>
      </c>
      <c r="E1712" t="s">
        <v>1720</v>
      </c>
      <c r="F1712" t="s">
        <v>1724</v>
      </c>
      <c r="G1712" t="s">
        <v>4444</v>
      </c>
      <c r="H1712" t="s">
        <v>4314</v>
      </c>
    </row>
    <row r="1713" spans="1:8" x14ac:dyDescent="0.35">
      <c r="A1713" t="s">
        <v>354</v>
      </c>
      <c r="B1713" t="s">
        <v>1178</v>
      </c>
      <c r="C1713" t="s">
        <v>4313</v>
      </c>
      <c r="D1713">
        <v>130</v>
      </c>
      <c r="E1713" t="s">
        <v>1720</v>
      </c>
      <c r="F1713" t="s">
        <v>1721</v>
      </c>
      <c r="G1713" t="s">
        <v>4425</v>
      </c>
      <c r="H1713" t="s">
        <v>4314</v>
      </c>
    </row>
    <row r="1714" spans="1:8" x14ac:dyDescent="0.35">
      <c r="A1714" t="s">
        <v>354</v>
      </c>
      <c r="B1714" t="s">
        <v>1178</v>
      </c>
      <c r="C1714" t="s">
        <v>4313</v>
      </c>
      <c r="D1714">
        <v>1600</v>
      </c>
      <c r="E1714" t="s">
        <v>1720</v>
      </c>
      <c r="F1714" t="s">
        <v>1724</v>
      </c>
      <c r="G1714" t="s">
        <v>4425</v>
      </c>
      <c r="H1714" t="s">
        <v>4314</v>
      </c>
    </row>
    <row r="1715" spans="1:8" x14ac:dyDescent="0.35">
      <c r="A1715" t="s">
        <v>354</v>
      </c>
      <c r="B1715" t="s">
        <v>1178</v>
      </c>
      <c r="C1715" t="s">
        <v>4223</v>
      </c>
      <c r="D1715">
        <v>100</v>
      </c>
      <c r="E1715" t="s">
        <v>1720</v>
      </c>
      <c r="F1715" t="s">
        <v>1724</v>
      </c>
      <c r="G1715" t="s">
        <v>4399</v>
      </c>
      <c r="H1715" t="s">
        <v>4224</v>
      </c>
    </row>
    <row r="1716" spans="1:8" x14ac:dyDescent="0.35">
      <c r="A1716" t="s">
        <v>354</v>
      </c>
      <c r="B1716" t="s">
        <v>1178</v>
      </c>
      <c r="C1716" t="s">
        <v>4244</v>
      </c>
      <c r="D1716">
        <v>1600</v>
      </c>
      <c r="E1716" t="s">
        <v>1720</v>
      </c>
      <c r="F1716" t="s">
        <v>1724</v>
      </c>
      <c r="G1716" t="s">
        <v>4406</v>
      </c>
      <c r="H1716" t="s">
        <v>4245</v>
      </c>
    </row>
    <row r="1717" spans="1:8" x14ac:dyDescent="0.35">
      <c r="A1717" t="s">
        <v>354</v>
      </c>
      <c r="B1717" t="s">
        <v>1178</v>
      </c>
      <c r="C1717" t="s">
        <v>4244</v>
      </c>
      <c r="D1717">
        <v>130</v>
      </c>
      <c r="E1717" t="s">
        <v>1720</v>
      </c>
      <c r="F1717" t="s">
        <v>1721</v>
      </c>
      <c r="G1717" t="s">
        <v>4406</v>
      </c>
      <c r="H1717" t="s">
        <v>4245</v>
      </c>
    </row>
    <row r="1718" spans="1:8" x14ac:dyDescent="0.35">
      <c r="A1718" t="s">
        <v>354</v>
      </c>
      <c r="B1718" t="s">
        <v>1178</v>
      </c>
      <c r="C1718" t="s">
        <v>4244</v>
      </c>
      <c r="D1718">
        <v>1600</v>
      </c>
      <c r="E1718" t="s">
        <v>1720</v>
      </c>
      <c r="F1718" t="s">
        <v>1724</v>
      </c>
      <c r="G1718" t="s">
        <v>4407</v>
      </c>
      <c r="H1718" t="s">
        <v>4245</v>
      </c>
    </row>
    <row r="1719" spans="1:8" x14ac:dyDescent="0.35">
      <c r="A1719" t="s">
        <v>354</v>
      </c>
      <c r="B1719" t="s">
        <v>1178</v>
      </c>
      <c r="C1719" t="s">
        <v>4244</v>
      </c>
      <c r="D1719">
        <v>130</v>
      </c>
      <c r="E1719" t="s">
        <v>1720</v>
      </c>
      <c r="F1719" t="s">
        <v>1721</v>
      </c>
      <c r="G1719" t="s">
        <v>4407</v>
      </c>
      <c r="H1719" t="s">
        <v>4245</v>
      </c>
    </row>
    <row r="1720" spans="1:8" x14ac:dyDescent="0.35">
      <c r="A1720" t="s">
        <v>354</v>
      </c>
      <c r="B1720" t="s">
        <v>1178</v>
      </c>
      <c r="C1720" t="s">
        <v>4323</v>
      </c>
      <c r="D1720">
        <v>1600</v>
      </c>
      <c r="E1720" t="s">
        <v>1720</v>
      </c>
      <c r="F1720" t="s">
        <v>1724</v>
      </c>
      <c r="G1720" t="s">
        <v>4428</v>
      </c>
      <c r="H1720" t="s">
        <v>4324</v>
      </c>
    </row>
    <row r="1721" spans="1:8" x14ac:dyDescent="0.35">
      <c r="A1721" t="s">
        <v>354</v>
      </c>
      <c r="B1721" t="s">
        <v>1178</v>
      </c>
      <c r="C1721" t="s">
        <v>4323</v>
      </c>
      <c r="D1721">
        <v>130</v>
      </c>
      <c r="E1721" t="s">
        <v>1720</v>
      </c>
      <c r="F1721" t="s">
        <v>1721</v>
      </c>
      <c r="G1721" t="s">
        <v>4428</v>
      </c>
      <c r="H1721" t="s">
        <v>4324</v>
      </c>
    </row>
    <row r="1722" spans="1:8" x14ac:dyDescent="0.35">
      <c r="A1722" t="s">
        <v>354</v>
      </c>
      <c r="B1722" t="s">
        <v>1178</v>
      </c>
      <c r="C1722" t="s">
        <v>4323</v>
      </c>
      <c r="D1722">
        <v>1600</v>
      </c>
      <c r="E1722" t="s">
        <v>1720</v>
      </c>
      <c r="F1722" t="s">
        <v>1724</v>
      </c>
      <c r="G1722" t="s">
        <v>4429</v>
      </c>
      <c r="H1722" t="s">
        <v>4324</v>
      </c>
    </row>
    <row r="1723" spans="1:8" x14ac:dyDescent="0.35">
      <c r="A1723" t="s">
        <v>354</v>
      </c>
      <c r="B1723" t="s">
        <v>1178</v>
      </c>
      <c r="C1723" t="s">
        <v>4323</v>
      </c>
      <c r="D1723">
        <v>130</v>
      </c>
      <c r="E1723" t="s">
        <v>1720</v>
      </c>
      <c r="F1723" t="s">
        <v>1721</v>
      </c>
      <c r="G1723" t="s">
        <v>4429</v>
      </c>
      <c r="H1723" t="s">
        <v>4324</v>
      </c>
    </row>
    <row r="1724" spans="1:8" x14ac:dyDescent="0.35">
      <c r="A1724" t="s">
        <v>354</v>
      </c>
      <c r="B1724" t="s">
        <v>1178</v>
      </c>
      <c r="C1724" t="s">
        <v>4323</v>
      </c>
      <c r="D1724">
        <v>1600</v>
      </c>
      <c r="E1724" t="s">
        <v>1720</v>
      </c>
      <c r="F1724" t="s">
        <v>1724</v>
      </c>
      <c r="G1724" t="s">
        <v>4430</v>
      </c>
      <c r="H1724" t="s">
        <v>4324</v>
      </c>
    </row>
    <row r="1725" spans="1:8" x14ac:dyDescent="0.35">
      <c r="A1725" t="s">
        <v>354</v>
      </c>
      <c r="B1725" t="s">
        <v>1178</v>
      </c>
      <c r="C1725" t="s">
        <v>4323</v>
      </c>
      <c r="D1725">
        <v>130</v>
      </c>
      <c r="E1725" t="s">
        <v>1720</v>
      </c>
      <c r="F1725" t="s">
        <v>1721</v>
      </c>
      <c r="G1725" t="s">
        <v>4430</v>
      </c>
      <c r="H1725" t="s">
        <v>4324</v>
      </c>
    </row>
    <row r="1726" spans="1:8" x14ac:dyDescent="0.35">
      <c r="A1726" t="s">
        <v>354</v>
      </c>
      <c r="B1726" t="s">
        <v>1178</v>
      </c>
      <c r="C1726" t="s">
        <v>4323</v>
      </c>
      <c r="D1726">
        <v>1600</v>
      </c>
      <c r="E1726" t="s">
        <v>1720</v>
      </c>
      <c r="F1726" t="s">
        <v>1724</v>
      </c>
      <c r="G1726" t="s">
        <v>4446</v>
      </c>
      <c r="H1726" t="s">
        <v>4324</v>
      </c>
    </row>
    <row r="1727" spans="1:8" x14ac:dyDescent="0.35">
      <c r="A1727" t="s">
        <v>354</v>
      </c>
      <c r="B1727" t="s">
        <v>1178</v>
      </c>
      <c r="C1727" t="s">
        <v>4323</v>
      </c>
      <c r="D1727">
        <v>130</v>
      </c>
      <c r="E1727" t="s">
        <v>1720</v>
      </c>
      <c r="F1727" t="s">
        <v>1721</v>
      </c>
      <c r="G1727" t="s">
        <v>4446</v>
      </c>
      <c r="H1727" t="s">
        <v>4324</v>
      </c>
    </row>
    <row r="1728" spans="1:8" x14ac:dyDescent="0.35">
      <c r="A1728" t="s">
        <v>354</v>
      </c>
      <c r="B1728" t="s">
        <v>1178</v>
      </c>
      <c r="C1728" t="s">
        <v>4258</v>
      </c>
      <c r="D1728">
        <v>1600</v>
      </c>
      <c r="E1728" t="s">
        <v>1720</v>
      </c>
      <c r="F1728" t="s">
        <v>1724</v>
      </c>
      <c r="G1728" t="s">
        <v>4408</v>
      </c>
      <c r="H1728" t="s">
        <v>4259</v>
      </c>
    </row>
    <row r="1729" spans="1:8" x14ac:dyDescent="0.35">
      <c r="A1729" t="s">
        <v>354</v>
      </c>
      <c r="B1729" t="s">
        <v>1178</v>
      </c>
      <c r="C1729" t="s">
        <v>4258</v>
      </c>
      <c r="D1729">
        <v>130</v>
      </c>
      <c r="E1729" t="s">
        <v>1720</v>
      </c>
      <c r="F1729" t="s">
        <v>1721</v>
      </c>
      <c r="G1729" t="s">
        <v>4408</v>
      </c>
      <c r="H1729" t="s">
        <v>4259</v>
      </c>
    </row>
    <row r="1730" spans="1:8" x14ac:dyDescent="0.35">
      <c r="A1730" t="s">
        <v>355</v>
      </c>
      <c r="B1730" t="s">
        <v>1179</v>
      </c>
      <c r="C1730" t="s">
        <v>4187</v>
      </c>
      <c r="D1730">
        <v>100</v>
      </c>
      <c r="E1730" t="s">
        <v>1720</v>
      </c>
      <c r="F1730" t="s">
        <v>1724</v>
      </c>
      <c r="G1730" t="s">
        <v>4384</v>
      </c>
      <c r="H1730" t="s">
        <v>4188</v>
      </c>
    </row>
    <row r="1731" spans="1:8" x14ac:dyDescent="0.35">
      <c r="A1731" t="s">
        <v>355</v>
      </c>
      <c r="B1731" t="s">
        <v>1179</v>
      </c>
      <c r="C1731" t="s">
        <v>4213</v>
      </c>
      <c r="D1731">
        <v>0.14000000000000001</v>
      </c>
      <c r="E1731" t="s">
        <v>1720</v>
      </c>
      <c r="F1731" t="s">
        <v>1721</v>
      </c>
      <c r="G1731" t="s">
        <v>4393</v>
      </c>
      <c r="H1731" t="s">
        <v>4214</v>
      </c>
    </row>
    <row r="1732" spans="1:8" x14ac:dyDescent="0.35">
      <c r="A1732" t="s">
        <v>355</v>
      </c>
      <c r="B1732" t="s">
        <v>1179</v>
      </c>
      <c r="C1732" t="s">
        <v>4223</v>
      </c>
      <c r="D1732">
        <v>100</v>
      </c>
      <c r="E1732" t="s">
        <v>1720</v>
      </c>
      <c r="F1732" t="s">
        <v>1724</v>
      </c>
      <c r="G1732" t="s">
        <v>4399</v>
      </c>
      <c r="H1732" t="s">
        <v>4224</v>
      </c>
    </row>
    <row r="1733" spans="1:8" x14ac:dyDescent="0.35">
      <c r="A1733" t="s">
        <v>355</v>
      </c>
      <c r="B1733" t="s">
        <v>1179</v>
      </c>
      <c r="C1733" t="s">
        <v>4313</v>
      </c>
      <c r="D1733">
        <v>130</v>
      </c>
      <c r="E1733" t="s">
        <v>1720</v>
      </c>
      <c r="F1733" t="s">
        <v>1721</v>
      </c>
      <c r="G1733" t="s">
        <v>4423</v>
      </c>
      <c r="H1733" t="s">
        <v>4314</v>
      </c>
    </row>
    <row r="1734" spans="1:8" x14ac:dyDescent="0.35">
      <c r="A1734" t="s">
        <v>355</v>
      </c>
      <c r="B1734" t="s">
        <v>1179</v>
      </c>
      <c r="C1734" t="s">
        <v>4313</v>
      </c>
      <c r="D1734">
        <v>1600</v>
      </c>
      <c r="E1734" t="s">
        <v>1720</v>
      </c>
      <c r="F1734" t="s">
        <v>1724</v>
      </c>
      <c r="G1734" t="s">
        <v>4423</v>
      </c>
      <c r="H1734" t="s">
        <v>4314</v>
      </c>
    </row>
    <row r="1735" spans="1:8" x14ac:dyDescent="0.35">
      <c r="A1735" t="s">
        <v>355</v>
      </c>
      <c r="B1735" t="s">
        <v>1179</v>
      </c>
      <c r="C1735" t="s">
        <v>4313</v>
      </c>
      <c r="D1735">
        <v>130</v>
      </c>
      <c r="E1735" t="s">
        <v>1720</v>
      </c>
      <c r="F1735" t="s">
        <v>1721</v>
      </c>
      <c r="G1735" t="s">
        <v>4424</v>
      </c>
      <c r="H1735" t="s">
        <v>4314</v>
      </c>
    </row>
    <row r="1736" spans="1:8" x14ac:dyDescent="0.35">
      <c r="A1736" t="s">
        <v>355</v>
      </c>
      <c r="B1736" t="s">
        <v>1179</v>
      </c>
      <c r="C1736" t="s">
        <v>4313</v>
      </c>
      <c r="D1736">
        <v>1600</v>
      </c>
      <c r="E1736" t="s">
        <v>1720</v>
      </c>
      <c r="F1736" t="s">
        <v>1724</v>
      </c>
      <c r="G1736" t="s">
        <v>4424</v>
      </c>
      <c r="H1736" t="s">
        <v>4314</v>
      </c>
    </row>
    <row r="1737" spans="1:8" x14ac:dyDescent="0.35">
      <c r="A1737" t="s">
        <v>355</v>
      </c>
      <c r="B1737" t="s">
        <v>1179</v>
      </c>
      <c r="C1737" t="s">
        <v>4313</v>
      </c>
      <c r="D1737">
        <v>1600</v>
      </c>
      <c r="E1737" t="s">
        <v>1720</v>
      </c>
      <c r="F1737" t="s">
        <v>1724</v>
      </c>
      <c r="G1737" t="s">
        <v>4444</v>
      </c>
      <c r="H1737" t="s">
        <v>4314</v>
      </c>
    </row>
    <row r="1738" spans="1:8" x14ac:dyDescent="0.35">
      <c r="A1738" t="s">
        <v>355</v>
      </c>
      <c r="B1738" t="s">
        <v>1179</v>
      </c>
      <c r="C1738" t="s">
        <v>4313</v>
      </c>
      <c r="D1738">
        <v>130</v>
      </c>
      <c r="E1738" t="s">
        <v>1720</v>
      </c>
      <c r="F1738" t="s">
        <v>1721</v>
      </c>
      <c r="G1738" t="s">
        <v>4425</v>
      </c>
      <c r="H1738" t="s">
        <v>4314</v>
      </c>
    </row>
    <row r="1739" spans="1:8" x14ac:dyDescent="0.35">
      <c r="A1739" t="s">
        <v>355</v>
      </c>
      <c r="B1739" t="s">
        <v>1179</v>
      </c>
      <c r="C1739" t="s">
        <v>4313</v>
      </c>
      <c r="D1739">
        <v>1600</v>
      </c>
      <c r="E1739" t="s">
        <v>1720</v>
      </c>
      <c r="F1739" t="s">
        <v>1724</v>
      </c>
      <c r="G1739" t="s">
        <v>4425</v>
      </c>
      <c r="H1739" t="s">
        <v>4314</v>
      </c>
    </row>
    <row r="1740" spans="1:8" x14ac:dyDescent="0.35">
      <c r="A1740" t="s">
        <v>355</v>
      </c>
      <c r="B1740" t="s">
        <v>1179</v>
      </c>
      <c r="C1740" t="s">
        <v>4244</v>
      </c>
      <c r="D1740">
        <v>1600</v>
      </c>
      <c r="E1740" t="s">
        <v>1720</v>
      </c>
      <c r="F1740" t="s">
        <v>1724</v>
      </c>
      <c r="G1740" t="s">
        <v>4406</v>
      </c>
      <c r="H1740" t="s">
        <v>4245</v>
      </c>
    </row>
    <row r="1741" spans="1:8" x14ac:dyDescent="0.35">
      <c r="A1741" t="s">
        <v>355</v>
      </c>
      <c r="B1741" t="s">
        <v>1179</v>
      </c>
      <c r="C1741" t="s">
        <v>4244</v>
      </c>
      <c r="D1741">
        <v>130</v>
      </c>
      <c r="E1741" t="s">
        <v>1720</v>
      </c>
      <c r="F1741" t="s">
        <v>1721</v>
      </c>
      <c r="G1741" t="s">
        <v>4406</v>
      </c>
      <c r="H1741" t="s">
        <v>4245</v>
      </c>
    </row>
    <row r="1742" spans="1:8" x14ac:dyDescent="0.35">
      <c r="A1742" t="s">
        <v>355</v>
      </c>
      <c r="B1742" t="s">
        <v>1179</v>
      </c>
      <c r="C1742" t="s">
        <v>4244</v>
      </c>
      <c r="D1742">
        <v>1600</v>
      </c>
      <c r="E1742" t="s">
        <v>1720</v>
      </c>
      <c r="F1742" t="s">
        <v>1724</v>
      </c>
      <c r="G1742" t="s">
        <v>4407</v>
      </c>
      <c r="H1742" t="s">
        <v>4245</v>
      </c>
    </row>
    <row r="1743" spans="1:8" x14ac:dyDescent="0.35">
      <c r="A1743" t="s">
        <v>355</v>
      </c>
      <c r="B1743" t="s">
        <v>1179</v>
      </c>
      <c r="C1743" t="s">
        <v>4244</v>
      </c>
      <c r="D1743">
        <v>130</v>
      </c>
      <c r="E1743" t="s">
        <v>1720</v>
      </c>
      <c r="F1743" t="s">
        <v>1721</v>
      </c>
      <c r="G1743" t="s">
        <v>4407</v>
      </c>
      <c r="H1743" t="s">
        <v>4245</v>
      </c>
    </row>
    <row r="1744" spans="1:8" x14ac:dyDescent="0.35">
      <c r="A1744" t="s">
        <v>355</v>
      </c>
      <c r="B1744" t="s">
        <v>1179</v>
      </c>
      <c r="C1744" t="s">
        <v>4323</v>
      </c>
      <c r="D1744">
        <v>1600</v>
      </c>
      <c r="E1744" t="s">
        <v>1720</v>
      </c>
      <c r="F1744" t="s">
        <v>1724</v>
      </c>
      <c r="G1744" t="s">
        <v>4428</v>
      </c>
      <c r="H1744" t="s">
        <v>4324</v>
      </c>
    </row>
    <row r="1745" spans="1:8" x14ac:dyDescent="0.35">
      <c r="A1745" t="s">
        <v>355</v>
      </c>
      <c r="B1745" t="s">
        <v>1179</v>
      </c>
      <c r="C1745" t="s">
        <v>4323</v>
      </c>
      <c r="D1745">
        <v>130</v>
      </c>
      <c r="E1745" t="s">
        <v>1720</v>
      </c>
      <c r="F1745" t="s">
        <v>1721</v>
      </c>
      <c r="G1745" t="s">
        <v>4428</v>
      </c>
      <c r="H1745" t="s">
        <v>4324</v>
      </c>
    </row>
    <row r="1746" spans="1:8" x14ac:dyDescent="0.35">
      <c r="A1746" t="s">
        <v>355</v>
      </c>
      <c r="B1746" t="s">
        <v>1179</v>
      </c>
      <c r="C1746" t="s">
        <v>4323</v>
      </c>
      <c r="D1746">
        <v>1600</v>
      </c>
      <c r="E1746" t="s">
        <v>1720</v>
      </c>
      <c r="F1746" t="s">
        <v>1724</v>
      </c>
      <c r="G1746" t="s">
        <v>4429</v>
      </c>
      <c r="H1746" t="s">
        <v>4324</v>
      </c>
    </row>
    <row r="1747" spans="1:8" x14ac:dyDescent="0.35">
      <c r="A1747" t="s">
        <v>355</v>
      </c>
      <c r="B1747" t="s">
        <v>1179</v>
      </c>
      <c r="C1747" t="s">
        <v>4323</v>
      </c>
      <c r="D1747">
        <v>130</v>
      </c>
      <c r="E1747" t="s">
        <v>1720</v>
      </c>
      <c r="F1747" t="s">
        <v>1721</v>
      </c>
      <c r="G1747" t="s">
        <v>4429</v>
      </c>
      <c r="H1747" t="s">
        <v>4324</v>
      </c>
    </row>
    <row r="1748" spans="1:8" x14ac:dyDescent="0.35">
      <c r="A1748" t="s">
        <v>355</v>
      </c>
      <c r="B1748" t="s">
        <v>1179</v>
      </c>
      <c r="C1748" t="s">
        <v>4323</v>
      </c>
      <c r="D1748">
        <v>1600</v>
      </c>
      <c r="E1748" t="s">
        <v>1720</v>
      </c>
      <c r="F1748" t="s">
        <v>1724</v>
      </c>
      <c r="G1748" t="s">
        <v>4430</v>
      </c>
      <c r="H1748" t="s">
        <v>4324</v>
      </c>
    </row>
    <row r="1749" spans="1:8" x14ac:dyDescent="0.35">
      <c r="A1749" t="s">
        <v>355</v>
      </c>
      <c r="B1749" t="s">
        <v>1179</v>
      </c>
      <c r="C1749" t="s">
        <v>4323</v>
      </c>
      <c r="D1749">
        <v>130</v>
      </c>
      <c r="E1749" t="s">
        <v>1720</v>
      </c>
      <c r="F1749" t="s">
        <v>1721</v>
      </c>
      <c r="G1749" t="s">
        <v>4430</v>
      </c>
      <c r="H1749" t="s">
        <v>4324</v>
      </c>
    </row>
    <row r="1750" spans="1:8" x14ac:dyDescent="0.35">
      <c r="A1750" t="s">
        <v>355</v>
      </c>
      <c r="B1750" t="s">
        <v>1179</v>
      </c>
      <c r="C1750" t="s">
        <v>4323</v>
      </c>
      <c r="D1750">
        <v>1600</v>
      </c>
      <c r="E1750" t="s">
        <v>1720</v>
      </c>
      <c r="F1750" t="s">
        <v>1724</v>
      </c>
      <c r="G1750" t="s">
        <v>4446</v>
      </c>
      <c r="H1750" t="s">
        <v>4324</v>
      </c>
    </row>
    <row r="1751" spans="1:8" x14ac:dyDescent="0.35">
      <c r="A1751" t="s">
        <v>355</v>
      </c>
      <c r="B1751" t="s">
        <v>1179</v>
      </c>
      <c r="C1751" t="s">
        <v>4323</v>
      </c>
      <c r="D1751">
        <v>130</v>
      </c>
      <c r="E1751" t="s">
        <v>1720</v>
      </c>
      <c r="F1751" t="s">
        <v>1721</v>
      </c>
      <c r="G1751" t="s">
        <v>4446</v>
      </c>
      <c r="H1751" t="s">
        <v>4324</v>
      </c>
    </row>
    <row r="1752" spans="1:8" x14ac:dyDescent="0.35">
      <c r="A1752" t="s">
        <v>355</v>
      </c>
      <c r="B1752" t="s">
        <v>1179</v>
      </c>
      <c r="C1752" t="s">
        <v>4258</v>
      </c>
      <c r="D1752">
        <v>1600</v>
      </c>
      <c r="E1752" t="s">
        <v>1720</v>
      </c>
      <c r="F1752" t="s">
        <v>1724</v>
      </c>
      <c r="G1752" t="s">
        <v>4408</v>
      </c>
      <c r="H1752" t="s">
        <v>4259</v>
      </c>
    </row>
    <row r="1753" spans="1:8" x14ac:dyDescent="0.35">
      <c r="A1753" t="s">
        <v>355</v>
      </c>
      <c r="B1753" t="s">
        <v>1179</v>
      </c>
      <c r="C1753" t="s">
        <v>4258</v>
      </c>
      <c r="D1753">
        <v>130</v>
      </c>
      <c r="E1753" t="s">
        <v>1720</v>
      </c>
      <c r="F1753" t="s">
        <v>1721</v>
      </c>
      <c r="G1753" t="s">
        <v>4408</v>
      </c>
      <c r="H1753" t="s">
        <v>4259</v>
      </c>
    </row>
    <row r="1754" spans="1:8" x14ac:dyDescent="0.35">
      <c r="A1754" t="s">
        <v>356</v>
      </c>
      <c r="B1754" t="s">
        <v>1180</v>
      </c>
      <c r="C1754" t="s">
        <v>4187</v>
      </c>
      <c r="D1754">
        <v>100</v>
      </c>
      <c r="E1754" t="s">
        <v>1720</v>
      </c>
      <c r="F1754" t="s">
        <v>1724</v>
      </c>
      <c r="G1754" t="s">
        <v>4384</v>
      </c>
      <c r="H1754" t="s">
        <v>4188</v>
      </c>
    </row>
    <row r="1755" spans="1:8" x14ac:dyDescent="0.35">
      <c r="A1755" t="s">
        <v>356</v>
      </c>
      <c r="B1755" t="s">
        <v>1180</v>
      </c>
      <c r="C1755" t="s">
        <v>4213</v>
      </c>
      <c r="D1755">
        <v>3.8999999999999998E-3</v>
      </c>
      <c r="E1755" t="s">
        <v>1720</v>
      </c>
      <c r="F1755" t="s">
        <v>1721</v>
      </c>
      <c r="G1755" t="s">
        <v>4393</v>
      </c>
      <c r="H1755" t="s">
        <v>4214</v>
      </c>
    </row>
    <row r="1756" spans="1:8" x14ac:dyDescent="0.35">
      <c r="A1756" t="s">
        <v>356</v>
      </c>
      <c r="B1756" t="s">
        <v>1180</v>
      </c>
      <c r="C1756" t="s">
        <v>4223</v>
      </c>
      <c r="D1756">
        <v>100</v>
      </c>
      <c r="E1756" t="s">
        <v>1720</v>
      </c>
      <c r="F1756" t="s">
        <v>1724</v>
      </c>
      <c r="G1756" t="s">
        <v>4399</v>
      </c>
      <c r="H1756" t="s">
        <v>4224</v>
      </c>
    </row>
    <row r="1757" spans="1:8" x14ac:dyDescent="0.35">
      <c r="A1757" t="s">
        <v>356</v>
      </c>
      <c r="B1757" t="s">
        <v>1180</v>
      </c>
      <c r="C1757" t="s">
        <v>4313</v>
      </c>
      <c r="D1757">
        <v>130</v>
      </c>
      <c r="E1757" t="s">
        <v>1720</v>
      </c>
      <c r="F1757" t="s">
        <v>1721</v>
      </c>
      <c r="G1757" t="s">
        <v>4423</v>
      </c>
      <c r="H1757" t="s">
        <v>4314</v>
      </c>
    </row>
    <row r="1758" spans="1:8" x14ac:dyDescent="0.35">
      <c r="A1758" t="s">
        <v>356</v>
      </c>
      <c r="B1758" t="s">
        <v>1180</v>
      </c>
      <c r="C1758" t="s">
        <v>4313</v>
      </c>
      <c r="D1758">
        <v>1600</v>
      </c>
      <c r="E1758" t="s">
        <v>1720</v>
      </c>
      <c r="F1758" t="s">
        <v>1724</v>
      </c>
      <c r="G1758" t="s">
        <v>4423</v>
      </c>
      <c r="H1758" t="s">
        <v>4314</v>
      </c>
    </row>
    <row r="1759" spans="1:8" x14ac:dyDescent="0.35">
      <c r="A1759" t="s">
        <v>356</v>
      </c>
      <c r="B1759" t="s">
        <v>1180</v>
      </c>
      <c r="C1759" t="s">
        <v>4313</v>
      </c>
      <c r="D1759">
        <v>130</v>
      </c>
      <c r="E1759" t="s">
        <v>1720</v>
      </c>
      <c r="F1759" t="s">
        <v>1721</v>
      </c>
      <c r="G1759" t="s">
        <v>4424</v>
      </c>
      <c r="H1759" t="s">
        <v>4314</v>
      </c>
    </row>
    <row r="1760" spans="1:8" x14ac:dyDescent="0.35">
      <c r="A1760" t="s">
        <v>356</v>
      </c>
      <c r="B1760" t="s">
        <v>1180</v>
      </c>
      <c r="C1760" t="s">
        <v>4313</v>
      </c>
      <c r="D1760">
        <v>1600</v>
      </c>
      <c r="E1760" t="s">
        <v>1720</v>
      </c>
      <c r="F1760" t="s">
        <v>1724</v>
      </c>
      <c r="G1760" t="s">
        <v>4424</v>
      </c>
      <c r="H1760" t="s">
        <v>4314</v>
      </c>
    </row>
    <row r="1761" spans="1:8" x14ac:dyDescent="0.35">
      <c r="A1761" t="s">
        <v>356</v>
      </c>
      <c r="B1761" t="s">
        <v>1180</v>
      </c>
      <c r="C1761" t="s">
        <v>4313</v>
      </c>
      <c r="D1761">
        <v>1600</v>
      </c>
      <c r="E1761" t="s">
        <v>1720</v>
      </c>
      <c r="F1761" t="s">
        <v>1724</v>
      </c>
      <c r="G1761" t="s">
        <v>4444</v>
      </c>
      <c r="H1761" t="s">
        <v>4314</v>
      </c>
    </row>
    <row r="1762" spans="1:8" x14ac:dyDescent="0.35">
      <c r="A1762" t="s">
        <v>356</v>
      </c>
      <c r="B1762" t="s">
        <v>1180</v>
      </c>
      <c r="C1762" t="s">
        <v>4313</v>
      </c>
      <c r="D1762">
        <v>130</v>
      </c>
      <c r="E1762" t="s">
        <v>1720</v>
      </c>
      <c r="F1762" t="s">
        <v>1721</v>
      </c>
      <c r="G1762" t="s">
        <v>4425</v>
      </c>
      <c r="H1762" t="s">
        <v>4314</v>
      </c>
    </row>
    <row r="1763" spans="1:8" x14ac:dyDescent="0.35">
      <c r="A1763" t="s">
        <v>356</v>
      </c>
      <c r="B1763" t="s">
        <v>1180</v>
      </c>
      <c r="C1763" t="s">
        <v>4313</v>
      </c>
      <c r="D1763">
        <v>1600</v>
      </c>
      <c r="E1763" t="s">
        <v>1720</v>
      </c>
      <c r="F1763" t="s">
        <v>1724</v>
      </c>
      <c r="G1763" t="s">
        <v>4425</v>
      </c>
      <c r="H1763" t="s">
        <v>4314</v>
      </c>
    </row>
    <row r="1764" spans="1:8" x14ac:dyDescent="0.35">
      <c r="A1764" t="s">
        <v>356</v>
      </c>
      <c r="B1764" t="s">
        <v>1180</v>
      </c>
      <c r="C1764" t="s">
        <v>4244</v>
      </c>
      <c r="D1764">
        <v>1600</v>
      </c>
      <c r="E1764" t="s">
        <v>1720</v>
      </c>
      <c r="F1764" t="s">
        <v>1724</v>
      </c>
      <c r="G1764" t="s">
        <v>4406</v>
      </c>
      <c r="H1764" t="s">
        <v>4245</v>
      </c>
    </row>
    <row r="1765" spans="1:8" x14ac:dyDescent="0.35">
      <c r="A1765" t="s">
        <v>356</v>
      </c>
      <c r="B1765" t="s">
        <v>1180</v>
      </c>
      <c r="C1765" t="s">
        <v>4244</v>
      </c>
      <c r="D1765">
        <v>130</v>
      </c>
      <c r="E1765" t="s">
        <v>1720</v>
      </c>
      <c r="F1765" t="s">
        <v>1721</v>
      </c>
      <c r="G1765" t="s">
        <v>4406</v>
      </c>
      <c r="H1765" t="s">
        <v>4245</v>
      </c>
    </row>
    <row r="1766" spans="1:8" x14ac:dyDescent="0.35">
      <c r="A1766" t="s">
        <v>356</v>
      </c>
      <c r="B1766" t="s">
        <v>1180</v>
      </c>
      <c r="C1766" t="s">
        <v>4244</v>
      </c>
      <c r="D1766">
        <v>1600</v>
      </c>
      <c r="E1766" t="s">
        <v>1720</v>
      </c>
      <c r="F1766" t="s">
        <v>1724</v>
      </c>
      <c r="G1766" t="s">
        <v>4407</v>
      </c>
      <c r="H1766" t="s">
        <v>4245</v>
      </c>
    </row>
    <row r="1767" spans="1:8" x14ac:dyDescent="0.35">
      <c r="A1767" t="s">
        <v>356</v>
      </c>
      <c r="B1767" t="s">
        <v>1180</v>
      </c>
      <c r="C1767" t="s">
        <v>4244</v>
      </c>
      <c r="D1767">
        <v>130</v>
      </c>
      <c r="E1767" t="s">
        <v>1720</v>
      </c>
      <c r="F1767" t="s">
        <v>1721</v>
      </c>
      <c r="G1767" t="s">
        <v>4407</v>
      </c>
      <c r="H1767" t="s">
        <v>4245</v>
      </c>
    </row>
    <row r="1768" spans="1:8" x14ac:dyDescent="0.35">
      <c r="A1768" t="s">
        <v>356</v>
      </c>
      <c r="B1768" t="s">
        <v>1180</v>
      </c>
      <c r="C1768" t="s">
        <v>4323</v>
      </c>
      <c r="D1768">
        <v>1600</v>
      </c>
      <c r="E1768" t="s">
        <v>1720</v>
      </c>
      <c r="F1768" t="s">
        <v>1724</v>
      </c>
      <c r="G1768" t="s">
        <v>4428</v>
      </c>
      <c r="H1768" t="s">
        <v>4324</v>
      </c>
    </row>
    <row r="1769" spans="1:8" x14ac:dyDescent="0.35">
      <c r="A1769" t="s">
        <v>356</v>
      </c>
      <c r="B1769" t="s">
        <v>1180</v>
      </c>
      <c r="C1769" t="s">
        <v>4323</v>
      </c>
      <c r="D1769">
        <v>130</v>
      </c>
      <c r="E1769" t="s">
        <v>1720</v>
      </c>
      <c r="F1769" t="s">
        <v>1721</v>
      </c>
      <c r="G1769" t="s">
        <v>4428</v>
      </c>
      <c r="H1769" t="s">
        <v>4324</v>
      </c>
    </row>
    <row r="1770" spans="1:8" x14ac:dyDescent="0.35">
      <c r="A1770" t="s">
        <v>356</v>
      </c>
      <c r="B1770" t="s">
        <v>1180</v>
      </c>
      <c r="C1770" t="s">
        <v>4323</v>
      </c>
      <c r="D1770">
        <v>1600</v>
      </c>
      <c r="E1770" t="s">
        <v>1720</v>
      </c>
      <c r="F1770" t="s">
        <v>1724</v>
      </c>
      <c r="G1770" t="s">
        <v>4429</v>
      </c>
      <c r="H1770" t="s">
        <v>4324</v>
      </c>
    </row>
    <row r="1771" spans="1:8" x14ac:dyDescent="0.35">
      <c r="A1771" t="s">
        <v>356</v>
      </c>
      <c r="B1771" t="s">
        <v>1180</v>
      </c>
      <c r="C1771" t="s">
        <v>4323</v>
      </c>
      <c r="D1771">
        <v>130</v>
      </c>
      <c r="E1771" t="s">
        <v>1720</v>
      </c>
      <c r="F1771" t="s">
        <v>1721</v>
      </c>
      <c r="G1771" t="s">
        <v>4429</v>
      </c>
      <c r="H1771" t="s">
        <v>4324</v>
      </c>
    </row>
    <row r="1772" spans="1:8" x14ac:dyDescent="0.35">
      <c r="A1772" t="s">
        <v>356</v>
      </c>
      <c r="B1772" t="s">
        <v>1180</v>
      </c>
      <c r="C1772" t="s">
        <v>4323</v>
      </c>
      <c r="D1772">
        <v>1600</v>
      </c>
      <c r="E1772" t="s">
        <v>1720</v>
      </c>
      <c r="F1772" t="s">
        <v>1724</v>
      </c>
      <c r="G1772" t="s">
        <v>4430</v>
      </c>
      <c r="H1772" t="s">
        <v>4324</v>
      </c>
    </row>
    <row r="1773" spans="1:8" x14ac:dyDescent="0.35">
      <c r="A1773" t="s">
        <v>356</v>
      </c>
      <c r="B1773" t="s">
        <v>1180</v>
      </c>
      <c r="C1773" t="s">
        <v>4323</v>
      </c>
      <c r="D1773">
        <v>130</v>
      </c>
      <c r="E1773" t="s">
        <v>1720</v>
      </c>
      <c r="F1773" t="s">
        <v>1721</v>
      </c>
      <c r="G1773" t="s">
        <v>4430</v>
      </c>
      <c r="H1773" t="s">
        <v>4324</v>
      </c>
    </row>
    <row r="1774" spans="1:8" x14ac:dyDescent="0.35">
      <c r="A1774" t="s">
        <v>356</v>
      </c>
      <c r="B1774" t="s">
        <v>1180</v>
      </c>
      <c r="C1774" t="s">
        <v>4323</v>
      </c>
      <c r="D1774">
        <v>1600</v>
      </c>
      <c r="E1774" t="s">
        <v>1720</v>
      </c>
      <c r="F1774" t="s">
        <v>1724</v>
      </c>
      <c r="G1774" t="s">
        <v>4446</v>
      </c>
      <c r="H1774" t="s">
        <v>4324</v>
      </c>
    </row>
    <row r="1775" spans="1:8" x14ac:dyDescent="0.35">
      <c r="A1775" t="s">
        <v>356</v>
      </c>
      <c r="B1775" t="s">
        <v>1180</v>
      </c>
      <c r="C1775" t="s">
        <v>4323</v>
      </c>
      <c r="D1775">
        <v>130</v>
      </c>
      <c r="E1775" t="s">
        <v>1720</v>
      </c>
      <c r="F1775" t="s">
        <v>1721</v>
      </c>
      <c r="G1775" t="s">
        <v>4446</v>
      </c>
      <c r="H1775" t="s">
        <v>4324</v>
      </c>
    </row>
    <row r="1776" spans="1:8" x14ac:dyDescent="0.35">
      <c r="A1776" t="s">
        <v>356</v>
      </c>
      <c r="B1776" t="s">
        <v>1180</v>
      </c>
      <c r="C1776" t="s">
        <v>4258</v>
      </c>
      <c r="D1776">
        <v>1600</v>
      </c>
      <c r="E1776" t="s">
        <v>1720</v>
      </c>
      <c r="F1776" t="s">
        <v>1724</v>
      </c>
      <c r="G1776" t="s">
        <v>4408</v>
      </c>
      <c r="H1776" t="s">
        <v>4259</v>
      </c>
    </row>
    <row r="1777" spans="1:8" x14ac:dyDescent="0.35">
      <c r="A1777" t="s">
        <v>356</v>
      </c>
      <c r="B1777" t="s">
        <v>1180</v>
      </c>
      <c r="C1777" t="s">
        <v>4258</v>
      </c>
      <c r="D1777">
        <v>130</v>
      </c>
      <c r="E1777" t="s">
        <v>1720</v>
      </c>
      <c r="F1777" t="s">
        <v>1721</v>
      </c>
      <c r="G1777" t="s">
        <v>4408</v>
      </c>
      <c r="H1777" t="s">
        <v>4259</v>
      </c>
    </row>
    <row r="1778" spans="1:8" x14ac:dyDescent="0.35">
      <c r="A1778" t="s">
        <v>379</v>
      </c>
      <c r="B1778" t="s">
        <v>1203</v>
      </c>
      <c r="C1778" t="s">
        <v>4183</v>
      </c>
      <c r="D1778">
        <v>4.1000000000000002E-2</v>
      </c>
      <c r="E1778" t="s">
        <v>1720</v>
      </c>
      <c r="F1778" t="s">
        <v>1721</v>
      </c>
      <c r="G1778" t="s">
        <v>4382</v>
      </c>
      <c r="H1778" t="s">
        <v>4184</v>
      </c>
    </row>
    <row r="1779" spans="1:8" x14ac:dyDescent="0.35">
      <c r="A1779" t="s">
        <v>379</v>
      </c>
      <c r="B1779" t="s">
        <v>1203</v>
      </c>
      <c r="C1779" t="s">
        <v>4183</v>
      </c>
      <c r="D1779">
        <v>8.3000000000000004E-2</v>
      </c>
      <c r="E1779" t="s">
        <v>1720</v>
      </c>
      <c r="F1779" t="s">
        <v>1724</v>
      </c>
      <c r="G1779" t="s">
        <v>4382</v>
      </c>
      <c r="H1779" t="s">
        <v>4184</v>
      </c>
    </row>
    <row r="1780" spans="1:8" x14ac:dyDescent="0.35">
      <c r="A1780" t="s">
        <v>379</v>
      </c>
      <c r="B1780" t="s">
        <v>1203</v>
      </c>
      <c r="C1780" t="s">
        <v>4187</v>
      </c>
      <c r="D1780">
        <v>4.1000000000000002E-2</v>
      </c>
      <c r="E1780" t="s">
        <v>1720</v>
      </c>
      <c r="F1780" t="s">
        <v>1721</v>
      </c>
      <c r="G1780" t="s">
        <v>4384</v>
      </c>
      <c r="H1780" t="s">
        <v>4188</v>
      </c>
    </row>
    <row r="1781" spans="1:8" x14ac:dyDescent="0.35">
      <c r="A1781" t="s">
        <v>379</v>
      </c>
      <c r="B1781" t="s">
        <v>1203</v>
      </c>
      <c r="C1781" t="s">
        <v>4187</v>
      </c>
      <c r="D1781">
        <v>8.3000000000000004E-2</v>
      </c>
      <c r="E1781" t="s">
        <v>1720</v>
      </c>
      <c r="F1781" t="s">
        <v>1724</v>
      </c>
      <c r="G1781" t="s">
        <v>4384</v>
      </c>
      <c r="H1781" t="s">
        <v>4188</v>
      </c>
    </row>
    <row r="1782" spans="1:8" x14ac:dyDescent="0.35">
      <c r="A1782" t="s">
        <v>379</v>
      </c>
      <c r="B1782" t="s">
        <v>1203</v>
      </c>
      <c r="C1782" t="s">
        <v>4179</v>
      </c>
      <c r="D1782">
        <v>4.1000000000000002E-2</v>
      </c>
      <c r="E1782" t="s">
        <v>1720</v>
      </c>
      <c r="F1782" t="s">
        <v>1721</v>
      </c>
      <c r="G1782" t="s">
        <v>4380</v>
      </c>
      <c r="H1782" t="s">
        <v>4180</v>
      </c>
    </row>
    <row r="1783" spans="1:8" x14ac:dyDescent="0.35">
      <c r="A1783" t="s">
        <v>379</v>
      </c>
      <c r="B1783" t="s">
        <v>1203</v>
      </c>
      <c r="C1783" t="s">
        <v>4179</v>
      </c>
      <c r="D1783">
        <v>8.3000000000000004E-2</v>
      </c>
      <c r="E1783" t="s">
        <v>1720</v>
      </c>
      <c r="F1783" t="s">
        <v>1724</v>
      </c>
      <c r="G1783" t="s">
        <v>4380</v>
      </c>
      <c r="H1783" t="s">
        <v>4180</v>
      </c>
    </row>
    <row r="1784" spans="1:8" x14ac:dyDescent="0.35">
      <c r="A1784" t="s">
        <v>379</v>
      </c>
      <c r="B1784" t="s">
        <v>1203</v>
      </c>
      <c r="C1784" t="s">
        <v>4307</v>
      </c>
      <c r="D1784">
        <v>4.1000000000000002E-2</v>
      </c>
      <c r="E1784" t="s">
        <v>1720</v>
      </c>
      <c r="F1784" t="s">
        <v>1721</v>
      </c>
      <c r="G1784" t="s">
        <v>4431</v>
      </c>
      <c r="H1784" t="s">
        <v>4325</v>
      </c>
    </row>
    <row r="1785" spans="1:8" x14ac:dyDescent="0.35">
      <c r="A1785" t="s">
        <v>379</v>
      </c>
      <c r="B1785" t="s">
        <v>1203</v>
      </c>
      <c r="C1785" t="s">
        <v>4307</v>
      </c>
      <c r="D1785">
        <v>8.3000000000000004E-2</v>
      </c>
      <c r="E1785" t="s">
        <v>1720</v>
      </c>
      <c r="F1785" t="s">
        <v>1724</v>
      </c>
      <c r="G1785" t="s">
        <v>4431</v>
      </c>
      <c r="H1785" t="s">
        <v>4325</v>
      </c>
    </row>
    <row r="1786" spans="1:8" x14ac:dyDescent="0.35">
      <c r="A1786" t="s">
        <v>379</v>
      </c>
      <c r="B1786" t="s">
        <v>1203</v>
      </c>
      <c r="C1786" t="s">
        <v>4307</v>
      </c>
      <c r="D1786">
        <v>4.1000000000000002E-2</v>
      </c>
      <c r="E1786" t="s">
        <v>1720</v>
      </c>
      <c r="F1786" t="s">
        <v>1721</v>
      </c>
      <c r="G1786" t="s">
        <v>4422</v>
      </c>
      <c r="H1786" t="s">
        <v>4308</v>
      </c>
    </row>
    <row r="1787" spans="1:8" x14ac:dyDescent="0.35">
      <c r="A1787" t="s">
        <v>379</v>
      </c>
      <c r="B1787" t="s">
        <v>1203</v>
      </c>
      <c r="C1787" t="s">
        <v>4307</v>
      </c>
      <c r="D1787">
        <v>8.3000000000000004E-2</v>
      </c>
      <c r="E1787" t="s">
        <v>1720</v>
      </c>
      <c r="F1787" t="s">
        <v>1724</v>
      </c>
      <c r="G1787" t="s">
        <v>4422</v>
      </c>
      <c r="H1787" t="s">
        <v>4308</v>
      </c>
    </row>
    <row r="1788" spans="1:8" x14ac:dyDescent="0.35">
      <c r="A1788" t="s">
        <v>379</v>
      </c>
      <c r="B1788" t="s">
        <v>1203</v>
      </c>
      <c r="C1788" t="s">
        <v>4189</v>
      </c>
      <c r="D1788">
        <v>4.1000000000000002E-2</v>
      </c>
      <c r="E1788" t="s">
        <v>1720</v>
      </c>
      <c r="F1788" t="s">
        <v>1721</v>
      </c>
      <c r="G1788" t="s">
        <v>4385</v>
      </c>
      <c r="H1788" t="s">
        <v>4190</v>
      </c>
    </row>
    <row r="1789" spans="1:8" x14ac:dyDescent="0.35">
      <c r="A1789" t="s">
        <v>379</v>
      </c>
      <c r="B1789" t="s">
        <v>1203</v>
      </c>
      <c r="C1789" t="s">
        <v>4189</v>
      </c>
      <c r="D1789">
        <v>8.3000000000000004E-2</v>
      </c>
      <c r="E1789" t="s">
        <v>1720</v>
      </c>
      <c r="F1789" t="s">
        <v>1724</v>
      </c>
      <c r="G1789" t="s">
        <v>4385</v>
      </c>
      <c r="H1789" t="s">
        <v>4190</v>
      </c>
    </row>
    <row r="1790" spans="1:8" x14ac:dyDescent="0.35">
      <c r="A1790" t="s">
        <v>379</v>
      </c>
      <c r="B1790" t="s">
        <v>1203</v>
      </c>
      <c r="C1790" t="s">
        <v>4191</v>
      </c>
      <c r="D1790">
        <v>4.1000000000000002E-2</v>
      </c>
      <c r="E1790" t="s">
        <v>1720</v>
      </c>
      <c r="F1790" t="s">
        <v>1721</v>
      </c>
      <c r="G1790" t="s">
        <v>4383</v>
      </c>
      <c r="H1790" t="s">
        <v>4192</v>
      </c>
    </row>
    <row r="1791" spans="1:8" x14ac:dyDescent="0.35">
      <c r="A1791" t="s">
        <v>379</v>
      </c>
      <c r="B1791" t="s">
        <v>1203</v>
      </c>
      <c r="C1791" t="s">
        <v>4191</v>
      </c>
      <c r="D1791">
        <v>8.3000000000000004E-2</v>
      </c>
      <c r="E1791" t="s">
        <v>1720</v>
      </c>
      <c r="F1791" t="s">
        <v>1724</v>
      </c>
      <c r="G1791" t="s">
        <v>4383</v>
      </c>
      <c r="H1791" t="s">
        <v>4192</v>
      </c>
    </row>
    <row r="1792" spans="1:8" x14ac:dyDescent="0.35">
      <c r="A1792" t="s">
        <v>379</v>
      </c>
      <c r="B1792" t="s">
        <v>1203</v>
      </c>
      <c r="C1792" t="s">
        <v>4193</v>
      </c>
      <c r="D1792">
        <v>4.1000000000000002E-2</v>
      </c>
      <c r="E1792" t="s">
        <v>1720</v>
      </c>
      <c r="F1792" t="s">
        <v>1721</v>
      </c>
      <c r="G1792" t="s">
        <v>4386</v>
      </c>
      <c r="H1792" t="s">
        <v>4194</v>
      </c>
    </row>
    <row r="1793" spans="1:8" x14ac:dyDescent="0.35">
      <c r="A1793" t="s">
        <v>379</v>
      </c>
      <c r="B1793" t="s">
        <v>1203</v>
      </c>
      <c r="C1793" t="s">
        <v>4193</v>
      </c>
      <c r="D1793">
        <v>8.3000000000000004E-2</v>
      </c>
      <c r="E1793" t="s">
        <v>1720</v>
      </c>
      <c r="F1793" t="s">
        <v>1724</v>
      </c>
      <c r="G1793" t="s">
        <v>4386</v>
      </c>
      <c r="H1793" t="s">
        <v>4194</v>
      </c>
    </row>
    <row r="1794" spans="1:8" x14ac:dyDescent="0.35">
      <c r="A1794" t="s">
        <v>379</v>
      </c>
      <c r="B1794" t="s">
        <v>1203</v>
      </c>
      <c r="C1794" t="s">
        <v>4309</v>
      </c>
      <c r="D1794">
        <v>4.1000000000000002E-2</v>
      </c>
      <c r="E1794" t="s">
        <v>1720</v>
      </c>
      <c r="F1794" t="s">
        <v>1721</v>
      </c>
      <c r="G1794" t="s">
        <v>4396</v>
      </c>
      <c r="H1794" t="s">
        <v>4310</v>
      </c>
    </row>
    <row r="1795" spans="1:8" x14ac:dyDescent="0.35">
      <c r="A1795" t="s">
        <v>379</v>
      </c>
      <c r="B1795" t="s">
        <v>1203</v>
      </c>
      <c r="C1795" t="s">
        <v>4309</v>
      </c>
      <c r="D1795">
        <v>8.3000000000000004E-2</v>
      </c>
      <c r="E1795" t="s">
        <v>1720</v>
      </c>
      <c r="F1795" t="s">
        <v>1724</v>
      </c>
      <c r="G1795" t="s">
        <v>4396</v>
      </c>
      <c r="H1795" t="s">
        <v>4310</v>
      </c>
    </row>
    <row r="1796" spans="1:8" x14ac:dyDescent="0.35">
      <c r="A1796" t="s">
        <v>379</v>
      </c>
      <c r="B1796" t="s">
        <v>1203</v>
      </c>
      <c r="C1796" t="s">
        <v>4197</v>
      </c>
      <c r="D1796">
        <v>4.1000000000000002E-2</v>
      </c>
      <c r="E1796" t="s">
        <v>1720</v>
      </c>
      <c r="F1796" t="s">
        <v>1721</v>
      </c>
      <c r="G1796" t="s">
        <v>4433</v>
      </c>
      <c r="H1796" t="s">
        <v>4326</v>
      </c>
    </row>
    <row r="1797" spans="1:8" x14ac:dyDescent="0.35">
      <c r="A1797" t="s">
        <v>379</v>
      </c>
      <c r="B1797" t="s">
        <v>1203</v>
      </c>
      <c r="C1797" t="s">
        <v>4197</v>
      </c>
      <c r="D1797">
        <v>8.3000000000000004E-2</v>
      </c>
      <c r="E1797" t="s">
        <v>1720</v>
      </c>
      <c r="F1797" t="s">
        <v>1724</v>
      </c>
      <c r="G1797" t="s">
        <v>4433</v>
      </c>
      <c r="H1797" t="s">
        <v>4326</v>
      </c>
    </row>
    <row r="1798" spans="1:8" x14ac:dyDescent="0.35">
      <c r="A1798" t="s">
        <v>379</v>
      </c>
      <c r="B1798" t="s">
        <v>1203</v>
      </c>
      <c r="C1798" t="s">
        <v>4207</v>
      </c>
      <c r="D1798">
        <v>4.1000000000000002E-2</v>
      </c>
      <c r="E1798" t="s">
        <v>1720</v>
      </c>
      <c r="F1798" t="s">
        <v>1721</v>
      </c>
      <c r="G1798" t="s">
        <v>4383</v>
      </c>
      <c r="H1798" t="s">
        <v>4208</v>
      </c>
    </row>
    <row r="1799" spans="1:8" x14ac:dyDescent="0.35">
      <c r="A1799" t="s">
        <v>379</v>
      </c>
      <c r="B1799" t="s">
        <v>1203</v>
      </c>
      <c r="C1799" t="s">
        <v>4207</v>
      </c>
      <c r="D1799">
        <v>8.3000000000000004E-2</v>
      </c>
      <c r="E1799" t="s">
        <v>1720</v>
      </c>
      <c r="F1799" t="s">
        <v>1724</v>
      </c>
      <c r="G1799" t="s">
        <v>4383</v>
      </c>
      <c r="H1799" t="s">
        <v>4208</v>
      </c>
    </row>
    <row r="1800" spans="1:8" x14ac:dyDescent="0.35">
      <c r="A1800" t="s">
        <v>379</v>
      </c>
      <c r="B1800" t="s">
        <v>1203</v>
      </c>
      <c r="C1800" t="s">
        <v>4309</v>
      </c>
      <c r="D1800">
        <v>4.1000000000000002E-2</v>
      </c>
      <c r="E1800" t="s">
        <v>1720</v>
      </c>
      <c r="F1800" t="s">
        <v>1721</v>
      </c>
      <c r="G1800" t="s">
        <v>4436</v>
      </c>
      <c r="H1800" t="s">
        <v>4329</v>
      </c>
    </row>
    <row r="1801" spans="1:8" x14ac:dyDescent="0.35">
      <c r="A1801" t="s">
        <v>379</v>
      </c>
      <c r="B1801" t="s">
        <v>1203</v>
      </c>
      <c r="C1801" t="s">
        <v>4309</v>
      </c>
      <c r="D1801">
        <v>8.3000000000000004E-2</v>
      </c>
      <c r="E1801" t="s">
        <v>1720</v>
      </c>
      <c r="F1801" t="s">
        <v>1724</v>
      </c>
      <c r="G1801" t="s">
        <v>4436</v>
      </c>
      <c r="H1801" t="s">
        <v>4329</v>
      </c>
    </row>
    <row r="1802" spans="1:8" x14ac:dyDescent="0.35">
      <c r="A1802" t="s">
        <v>379</v>
      </c>
      <c r="B1802" t="s">
        <v>1203</v>
      </c>
      <c r="C1802" t="s">
        <v>4205</v>
      </c>
      <c r="D1802">
        <v>4.1000000000000002E-2</v>
      </c>
      <c r="E1802" t="s">
        <v>1720</v>
      </c>
      <c r="F1802" t="s">
        <v>1721</v>
      </c>
      <c r="G1802" t="s">
        <v>4391</v>
      </c>
      <c r="H1802" t="s">
        <v>4206</v>
      </c>
    </row>
    <row r="1803" spans="1:8" x14ac:dyDescent="0.35">
      <c r="A1803" t="s">
        <v>379</v>
      </c>
      <c r="B1803" t="s">
        <v>1203</v>
      </c>
      <c r="C1803" t="s">
        <v>4205</v>
      </c>
      <c r="D1803">
        <v>8.3000000000000004E-2</v>
      </c>
      <c r="E1803" t="s">
        <v>1720</v>
      </c>
      <c r="F1803" t="s">
        <v>1724</v>
      </c>
      <c r="G1803" t="s">
        <v>4391</v>
      </c>
      <c r="H1803" t="s">
        <v>4206</v>
      </c>
    </row>
    <row r="1804" spans="1:8" x14ac:dyDescent="0.35">
      <c r="A1804" t="s">
        <v>379</v>
      </c>
      <c r="B1804" t="s">
        <v>1203</v>
      </c>
      <c r="C1804" t="s">
        <v>4217</v>
      </c>
      <c r="D1804">
        <v>4.1000000000000002E-2</v>
      </c>
      <c r="E1804" t="s">
        <v>1720</v>
      </c>
      <c r="F1804" t="s">
        <v>1721</v>
      </c>
      <c r="G1804" t="s">
        <v>4396</v>
      </c>
      <c r="H1804" t="s">
        <v>4218</v>
      </c>
    </row>
    <row r="1805" spans="1:8" x14ac:dyDescent="0.35">
      <c r="A1805" t="s">
        <v>379</v>
      </c>
      <c r="B1805" t="s">
        <v>1203</v>
      </c>
      <c r="C1805" t="s">
        <v>4217</v>
      </c>
      <c r="D1805">
        <v>8.3000000000000004E-2</v>
      </c>
      <c r="E1805" t="s">
        <v>1720</v>
      </c>
      <c r="F1805" t="s">
        <v>1724</v>
      </c>
      <c r="G1805" t="s">
        <v>4396</v>
      </c>
      <c r="H1805" t="s">
        <v>4218</v>
      </c>
    </row>
    <row r="1806" spans="1:8" x14ac:dyDescent="0.35">
      <c r="A1806" t="s">
        <v>379</v>
      </c>
      <c r="B1806" t="s">
        <v>1203</v>
      </c>
      <c r="C1806" t="s">
        <v>4346</v>
      </c>
      <c r="D1806">
        <v>4.1000000000000002E-2</v>
      </c>
      <c r="E1806" t="s">
        <v>1720</v>
      </c>
      <c r="F1806" t="s">
        <v>1724</v>
      </c>
      <c r="G1806" t="s">
        <v>4453</v>
      </c>
      <c r="H1806" t="s">
        <v>4347</v>
      </c>
    </row>
    <row r="1807" spans="1:8" x14ac:dyDescent="0.35">
      <c r="A1807" t="s">
        <v>379</v>
      </c>
      <c r="B1807" t="s">
        <v>1203</v>
      </c>
      <c r="C1807" t="s">
        <v>4346</v>
      </c>
      <c r="D1807">
        <v>4.1000000000000002E-2</v>
      </c>
      <c r="E1807" t="s">
        <v>1720</v>
      </c>
      <c r="F1807" t="s">
        <v>1724</v>
      </c>
      <c r="G1807" t="s">
        <v>4454</v>
      </c>
      <c r="H1807" t="s">
        <v>4347</v>
      </c>
    </row>
    <row r="1808" spans="1:8" x14ac:dyDescent="0.35">
      <c r="A1808" t="s">
        <v>379</v>
      </c>
      <c r="B1808" t="s">
        <v>1203</v>
      </c>
      <c r="C1808" t="s">
        <v>4346</v>
      </c>
      <c r="D1808">
        <v>4.1000000000000002E-2</v>
      </c>
      <c r="E1808" t="s">
        <v>1720</v>
      </c>
      <c r="F1808" t="s">
        <v>1724</v>
      </c>
      <c r="G1808" t="s">
        <v>4457</v>
      </c>
      <c r="H1808" t="s">
        <v>4347</v>
      </c>
    </row>
    <row r="1809" spans="1:8" x14ac:dyDescent="0.35">
      <c r="A1809" t="s">
        <v>379</v>
      </c>
      <c r="B1809" t="s">
        <v>1203</v>
      </c>
      <c r="C1809" t="s">
        <v>4221</v>
      </c>
      <c r="D1809">
        <v>4.1000000000000002E-2</v>
      </c>
      <c r="E1809" t="s">
        <v>1720</v>
      </c>
      <c r="F1809" t="s">
        <v>1721</v>
      </c>
      <c r="G1809" t="s">
        <v>4383</v>
      </c>
      <c r="H1809" t="s">
        <v>4222</v>
      </c>
    </row>
    <row r="1810" spans="1:8" x14ac:dyDescent="0.35">
      <c r="A1810" t="s">
        <v>379</v>
      </c>
      <c r="B1810" t="s">
        <v>1203</v>
      </c>
      <c r="C1810" t="s">
        <v>4221</v>
      </c>
      <c r="D1810">
        <v>8.3000000000000004E-2</v>
      </c>
      <c r="E1810" t="s">
        <v>1720</v>
      </c>
      <c r="F1810" t="s">
        <v>1724</v>
      </c>
      <c r="G1810" t="s">
        <v>4383</v>
      </c>
      <c r="H1810" t="s">
        <v>4222</v>
      </c>
    </row>
    <row r="1811" spans="1:8" x14ac:dyDescent="0.35">
      <c r="A1811" t="s">
        <v>379</v>
      </c>
      <c r="B1811" t="s">
        <v>1203</v>
      </c>
      <c r="C1811" t="s">
        <v>4213</v>
      </c>
      <c r="D1811">
        <v>4.1000000000000002E-2</v>
      </c>
      <c r="E1811" t="s">
        <v>1720</v>
      </c>
      <c r="F1811" t="s">
        <v>1721</v>
      </c>
      <c r="G1811" t="s">
        <v>4393</v>
      </c>
      <c r="H1811" t="s">
        <v>4214</v>
      </c>
    </row>
    <row r="1812" spans="1:8" x14ac:dyDescent="0.35">
      <c r="A1812" t="s">
        <v>379</v>
      </c>
      <c r="B1812" t="s">
        <v>1203</v>
      </c>
      <c r="C1812" t="s">
        <v>4213</v>
      </c>
      <c r="D1812">
        <v>8.3000000000000004E-2</v>
      </c>
      <c r="E1812" t="s">
        <v>1720</v>
      </c>
      <c r="F1812" t="s">
        <v>1724</v>
      </c>
      <c r="G1812" t="s">
        <v>4393</v>
      </c>
      <c r="H1812" t="s">
        <v>4214</v>
      </c>
    </row>
    <row r="1813" spans="1:8" x14ac:dyDescent="0.35">
      <c r="A1813" t="s">
        <v>379</v>
      </c>
      <c r="B1813" t="s">
        <v>1203</v>
      </c>
      <c r="C1813" t="s">
        <v>4332</v>
      </c>
      <c r="D1813">
        <v>4.1000000000000002E-2</v>
      </c>
      <c r="E1813" t="s">
        <v>1720</v>
      </c>
      <c r="F1813" t="s">
        <v>1721</v>
      </c>
      <c r="G1813" t="s">
        <v>4438</v>
      </c>
      <c r="H1813" t="s">
        <v>4333</v>
      </c>
    </row>
    <row r="1814" spans="1:8" x14ac:dyDescent="0.35">
      <c r="A1814" t="s">
        <v>379</v>
      </c>
      <c r="B1814" t="s">
        <v>1203</v>
      </c>
      <c r="C1814" t="s">
        <v>4332</v>
      </c>
      <c r="D1814">
        <v>8.3000000000000004E-2</v>
      </c>
      <c r="E1814" t="s">
        <v>1720</v>
      </c>
      <c r="F1814" t="s">
        <v>1724</v>
      </c>
      <c r="G1814" t="s">
        <v>4438</v>
      </c>
      <c r="H1814" t="s">
        <v>4333</v>
      </c>
    </row>
    <row r="1815" spans="1:8" x14ac:dyDescent="0.35">
      <c r="A1815" t="s">
        <v>379</v>
      </c>
      <c r="B1815" t="s">
        <v>1203</v>
      </c>
      <c r="C1815" t="s">
        <v>4332</v>
      </c>
      <c r="D1815">
        <v>4.1000000000000002E-2</v>
      </c>
      <c r="E1815" t="s">
        <v>1720</v>
      </c>
      <c r="F1815" t="s">
        <v>1721</v>
      </c>
      <c r="G1815" t="s">
        <v>4439</v>
      </c>
      <c r="H1815" t="s">
        <v>4333</v>
      </c>
    </row>
    <row r="1816" spans="1:8" x14ac:dyDescent="0.35">
      <c r="A1816" t="s">
        <v>379</v>
      </c>
      <c r="B1816" t="s">
        <v>1203</v>
      </c>
      <c r="C1816" t="s">
        <v>4332</v>
      </c>
      <c r="D1816">
        <v>8.3000000000000004E-2</v>
      </c>
      <c r="E1816" t="s">
        <v>1720</v>
      </c>
      <c r="F1816" t="s">
        <v>1724</v>
      </c>
      <c r="G1816" t="s">
        <v>4439</v>
      </c>
      <c r="H1816" t="s">
        <v>4333</v>
      </c>
    </row>
    <row r="1817" spans="1:8" x14ac:dyDescent="0.35">
      <c r="A1817" t="s">
        <v>379</v>
      </c>
      <c r="B1817" t="s">
        <v>1203</v>
      </c>
      <c r="C1817" t="s">
        <v>4332</v>
      </c>
      <c r="D1817">
        <v>4.1000000000000002E-2</v>
      </c>
      <c r="E1817" t="s">
        <v>1720</v>
      </c>
      <c r="F1817" t="s">
        <v>1721</v>
      </c>
      <c r="G1817" t="s">
        <v>4440</v>
      </c>
      <c r="H1817" t="s">
        <v>4333</v>
      </c>
    </row>
    <row r="1818" spans="1:8" x14ac:dyDescent="0.35">
      <c r="A1818" t="s">
        <v>379</v>
      </c>
      <c r="B1818" t="s">
        <v>1203</v>
      </c>
      <c r="C1818" t="s">
        <v>4219</v>
      </c>
      <c r="D1818">
        <v>4.1000000000000002E-2</v>
      </c>
      <c r="E1818" t="s">
        <v>1720</v>
      </c>
      <c r="F1818" t="s">
        <v>1721</v>
      </c>
      <c r="G1818" t="s">
        <v>4380</v>
      </c>
      <c r="H1818" t="s">
        <v>4220</v>
      </c>
    </row>
    <row r="1819" spans="1:8" x14ac:dyDescent="0.35">
      <c r="A1819" t="s">
        <v>379</v>
      </c>
      <c r="B1819" t="s">
        <v>1203</v>
      </c>
      <c r="C1819" t="s">
        <v>4219</v>
      </c>
      <c r="D1819">
        <v>8.3000000000000004E-2</v>
      </c>
      <c r="E1819" t="s">
        <v>1720</v>
      </c>
      <c r="F1819" t="s">
        <v>1724</v>
      </c>
      <c r="G1819" t="s">
        <v>4380</v>
      </c>
      <c r="H1819" t="s">
        <v>4220</v>
      </c>
    </row>
    <row r="1820" spans="1:8" x14ac:dyDescent="0.35">
      <c r="A1820" t="s">
        <v>379</v>
      </c>
      <c r="B1820" t="s">
        <v>1203</v>
      </c>
      <c r="C1820" t="s">
        <v>4330</v>
      </c>
      <c r="D1820">
        <v>4.1000000000000002E-2</v>
      </c>
      <c r="E1820" t="s">
        <v>1720</v>
      </c>
      <c r="F1820" t="s">
        <v>1721</v>
      </c>
      <c r="G1820" t="s">
        <v>4437</v>
      </c>
      <c r="H1820" t="s">
        <v>4331</v>
      </c>
    </row>
    <row r="1821" spans="1:8" x14ac:dyDescent="0.35">
      <c r="A1821" t="s">
        <v>379</v>
      </c>
      <c r="B1821" t="s">
        <v>1203</v>
      </c>
      <c r="C1821" t="s">
        <v>4330</v>
      </c>
      <c r="D1821">
        <v>8.3000000000000004E-2</v>
      </c>
      <c r="E1821" t="s">
        <v>1720</v>
      </c>
      <c r="F1821" t="s">
        <v>1724</v>
      </c>
      <c r="G1821" t="s">
        <v>4437</v>
      </c>
      <c r="H1821" t="s">
        <v>4331</v>
      </c>
    </row>
    <row r="1822" spans="1:8" x14ac:dyDescent="0.35">
      <c r="A1822" t="s">
        <v>379</v>
      </c>
      <c r="B1822" t="s">
        <v>1203</v>
      </c>
      <c r="C1822" t="s">
        <v>4332</v>
      </c>
      <c r="D1822">
        <v>8.3000000000000004E-2</v>
      </c>
      <c r="E1822" t="s">
        <v>1720</v>
      </c>
      <c r="F1822" t="s">
        <v>1724</v>
      </c>
      <c r="G1822" t="s">
        <v>4440</v>
      </c>
      <c r="H1822" t="s">
        <v>4333</v>
      </c>
    </row>
    <row r="1823" spans="1:8" x14ac:dyDescent="0.35">
      <c r="A1823" t="s">
        <v>379</v>
      </c>
      <c r="B1823" t="s">
        <v>1203</v>
      </c>
      <c r="C1823" t="s">
        <v>4332</v>
      </c>
      <c r="D1823">
        <v>4.1000000000000002E-2</v>
      </c>
      <c r="E1823" t="s">
        <v>1720</v>
      </c>
      <c r="F1823" t="s">
        <v>1721</v>
      </c>
      <c r="G1823" t="s">
        <v>4441</v>
      </c>
      <c r="H1823" t="s">
        <v>4333</v>
      </c>
    </row>
    <row r="1824" spans="1:8" x14ac:dyDescent="0.35">
      <c r="A1824" t="s">
        <v>379</v>
      </c>
      <c r="B1824" t="s">
        <v>1203</v>
      </c>
      <c r="C1824" t="s">
        <v>4332</v>
      </c>
      <c r="D1824">
        <v>8.3000000000000004E-2</v>
      </c>
      <c r="E1824" t="s">
        <v>1720</v>
      </c>
      <c r="F1824" t="s">
        <v>1724</v>
      </c>
      <c r="G1824" t="s">
        <v>4441</v>
      </c>
      <c r="H1824" t="s">
        <v>4333</v>
      </c>
    </row>
    <row r="1825" spans="1:8" x14ac:dyDescent="0.35">
      <c r="A1825" t="s">
        <v>379</v>
      </c>
      <c r="B1825" t="s">
        <v>1203</v>
      </c>
      <c r="C1825" t="s">
        <v>4332</v>
      </c>
      <c r="D1825">
        <v>4.1000000000000002E-2</v>
      </c>
      <c r="E1825" t="s">
        <v>1720</v>
      </c>
      <c r="F1825" t="s">
        <v>1721</v>
      </c>
      <c r="G1825" t="s">
        <v>4442</v>
      </c>
      <c r="H1825" t="s">
        <v>4333</v>
      </c>
    </row>
    <row r="1826" spans="1:8" x14ac:dyDescent="0.35">
      <c r="A1826" t="s">
        <v>379</v>
      </c>
      <c r="B1826" t="s">
        <v>1203</v>
      </c>
      <c r="C1826" t="s">
        <v>4332</v>
      </c>
      <c r="D1826">
        <v>8.3000000000000004E-2</v>
      </c>
      <c r="E1826" t="s">
        <v>1720</v>
      </c>
      <c r="F1826" t="s">
        <v>1724</v>
      </c>
      <c r="G1826" t="s">
        <v>4442</v>
      </c>
      <c r="H1826" t="s">
        <v>4333</v>
      </c>
    </row>
    <row r="1827" spans="1:8" x14ac:dyDescent="0.35">
      <c r="A1827" t="s">
        <v>379</v>
      </c>
      <c r="B1827" t="s">
        <v>1203</v>
      </c>
      <c r="C1827" t="s">
        <v>4215</v>
      </c>
      <c r="D1827">
        <v>4.1000000000000002E-2</v>
      </c>
      <c r="E1827" t="s">
        <v>1720</v>
      </c>
      <c r="G1827" t="s">
        <v>4394</v>
      </c>
      <c r="H1827" t="s">
        <v>4216</v>
      </c>
    </row>
    <row r="1828" spans="1:8" x14ac:dyDescent="0.35">
      <c r="A1828" t="s">
        <v>379</v>
      </c>
      <c r="B1828" t="s">
        <v>1203</v>
      </c>
      <c r="C1828" t="s">
        <v>4215</v>
      </c>
      <c r="D1828">
        <v>8.3000000000000004E-2</v>
      </c>
      <c r="E1828" t="s">
        <v>1720</v>
      </c>
      <c r="G1828" t="s">
        <v>4394</v>
      </c>
      <c r="H1828" t="s">
        <v>4216</v>
      </c>
    </row>
    <row r="1829" spans="1:8" x14ac:dyDescent="0.35">
      <c r="A1829" t="s">
        <v>379</v>
      </c>
      <c r="B1829" t="s">
        <v>1203</v>
      </c>
      <c r="C1829" t="s">
        <v>4215</v>
      </c>
      <c r="D1829">
        <v>4.1000000000000002E-2</v>
      </c>
      <c r="E1829" t="s">
        <v>1720</v>
      </c>
      <c r="G1829" t="s">
        <v>4395</v>
      </c>
      <c r="H1829" t="s">
        <v>4216</v>
      </c>
    </row>
    <row r="1830" spans="1:8" x14ac:dyDescent="0.35">
      <c r="A1830" t="s">
        <v>379</v>
      </c>
      <c r="B1830" t="s">
        <v>1203</v>
      </c>
      <c r="C1830" t="s">
        <v>4215</v>
      </c>
      <c r="D1830">
        <v>8.3000000000000004E-2</v>
      </c>
      <c r="E1830" t="s">
        <v>1720</v>
      </c>
      <c r="G1830" t="s">
        <v>4395</v>
      </c>
      <c r="H1830" t="s">
        <v>4216</v>
      </c>
    </row>
    <row r="1831" spans="1:8" x14ac:dyDescent="0.35">
      <c r="A1831" t="s">
        <v>379</v>
      </c>
      <c r="B1831" t="s">
        <v>1203</v>
      </c>
      <c r="C1831" t="s">
        <v>4215</v>
      </c>
      <c r="D1831">
        <v>4.1000000000000002E-2</v>
      </c>
      <c r="E1831" t="s">
        <v>1720</v>
      </c>
      <c r="G1831" t="s">
        <v>4397</v>
      </c>
      <c r="H1831" t="s">
        <v>4216</v>
      </c>
    </row>
    <row r="1832" spans="1:8" x14ac:dyDescent="0.35">
      <c r="A1832" t="s">
        <v>379</v>
      </c>
      <c r="B1832" t="s">
        <v>1203</v>
      </c>
      <c r="C1832" t="s">
        <v>4215</v>
      </c>
      <c r="D1832">
        <v>8.3000000000000004E-2</v>
      </c>
      <c r="E1832" t="s">
        <v>1720</v>
      </c>
      <c r="G1832" t="s">
        <v>4397</v>
      </c>
      <c r="H1832" t="s">
        <v>4216</v>
      </c>
    </row>
    <row r="1833" spans="1:8" x14ac:dyDescent="0.35">
      <c r="A1833" t="s">
        <v>379</v>
      </c>
      <c r="B1833" t="s">
        <v>1203</v>
      </c>
      <c r="C1833" t="s">
        <v>4215</v>
      </c>
      <c r="D1833">
        <v>4.1000000000000002E-2</v>
      </c>
      <c r="E1833" t="s">
        <v>1720</v>
      </c>
      <c r="G1833" t="s">
        <v>4398</v>
      </c>
      <c r="H1833" t="s">
        <v>4216</v>
      </c>
    </row>
    <row r="1834" spans="1:8" x14ac:dyDescent="0.35">
      <c r="A1834" t="s">
        <v>379</v>
      </c>
      <c r="B1834" t="s">
        <v>1203</v>
      </c>
      <c r="C1834" t="s">
        <v>4215</v>
      </c>
      <c r="D1834">
        <v>8.3000000000000004E-2</v>
      </c>
      <c r="E1834" t="s">
        <v>1720</v>
      </c>
      <c r="G1834" t="s">
        <v>4398</v>
      </c>
      <c r="H1834" t="s">
        <v>4216</v>
      </c>
    </row>
    <row r="1835" spans="1:8" x14ac:dyDescent="0.35">
      <c r="A1835" t="s">
        <v>379</v>
      </c>
      <c r="B1835" t="s">
        <v>1203</v>
      </c>
      <c r="C1835" t="s">
        <v>4211</v>
      </c>
      <c r="D1835">
        <v>4.1000000000000002E-2</v>
      </c>
      <c r="E1835" t="s">
        <v>1720</v>
      </c>
      <c r="F1835" t="s">
        <v>1721</v>
      </c>
      <c r="G1835" t="s">
        <v>4392</v>
      </c>
      <c r="H1835" t="s">
        <v>4212</v>
      </c>
    </row>
    <row r="1836" spans="1:8" x14ac:dyDescent="0.35">
      <c r="A1836" t="s">
        <v>379</v>
      </c>
      <c r="B1836" t="s">
        <v>1203</v>
      </c>
      <c r="C1836" t="s">
        <v>4211</v>
      </c>
      <c r="D1836">
        <v>8.3000000000000004E-2</v>
      </c>
      <c r="E1836" t="s">
        <v>1720</v>
      </c>
      <c r="F1836" t="s">
        <v>1724</v>
      </c>
      <c r="G1836" t="s">
        <v>4392</v>
      </c>
      <c r="H1836" t="s">
        <v>4212</v>
      </c>
    </row>
    <row r="1837" spans="1:8" x14ac:dyDescent="0.35">
      <c r="A1837" t="s">
        <v>379</v>
      </c>
      <c r="B1837" t="s">
        <v>1203</v>
      </c>
      <c r="C1837" t="s">
        <v>4317</v>
      </c>
      <c r="D1837">
        <v>4.1000000000000002E-2</v>
      </c>
      <c r="E1837" t="s">
        <v>1720</v>
      </c>
      <c r="F1837" t="s">
        <v>1721</v>
      </c>
      <c r="G1837" t="s">
        <v>4426</v>
      </c>
      <c r="H1837" t="s">
        <v>4318</v>
      </c>
    </row>
    <row r="1838" spans="1:8" x14ac:dyDescent="0.35">
      <c r="A1838" t="s">
        <v>379</v>
      </c>
      <c r="B1838" t="s">
        <v>1203</v>
      </c>
      <c r="C1838" t="s">
        <v>4317</v>
      </c>
      <c r="D1838">
        <v>8.3000000000000004E-2</v>
      </c>
      <c r="E1838" t="s">
        <v>1720</v>
      </c>
      <c r="F1838" t="s">
        <v>1724</v>
      </c>
      <c r="G1838" t="s">
        <v>4426</v>
      </c>
      <c r="H1838" t="s">
        <v>4318</v>
      </c>
    </row>
    <row r="1839" spans="1:8" x14ac:dyDescent="0.35">
      <c r="A1839" t="s">
        <v>379</v>
      </c>
      <c r="B1839" t="s">
        <v>1203</v>
      </c>
      <c r="C1839" t="s">
        <v>4313</v>
      </c>
      <c r="D1839">
        <v>0.04</v>
      </c>
      <c r="E1839" t="s">
        <v>1720</v>
      </c>
      <c r="F1839" t="s">
        <v>1721</v>
      </c>
      <c r="G1839" t="s">
        <v>4423</v>
      </c>
      <c r="H1839" t="s">
        <v>4314</v>
      </c>
    </row>
    <row r="1840" spans="1:8" x14ac:dyDescent="0.35">
      <c r="A1840" t="s">
        <v>379</v>
      </c>
      <c r="B1840" t="s">
        <v>1203</v>
      </c>
      <c r="C1840" t="s">
        <v>4313</v>
      </c>
      <c r="D1840">
        <v>0.08</v>
      </c>
      <c r="E1840" t="s">
        <v>1720</v>
      </c>
      <c r="F1840" t="s">
        <v>1724</v>
      </c>
      <c r="G1840" t="s">
        <v>4423</v>
      </c>
      <c r="H1840" t="s">
        <v>4314</v>
      </c>
    </row>
    <row r="1841" spans="1:8" x14ac:dyDescent="0.35">
      <c r="A1841" t="s">
        <v>379</v>
      </c>
      <c r="B1841" t="s">
        <v>1203</v>
      </c>
      <c r="C1841" t="s">
        <v>4313</v>
      </c>
      <c r="D1841">
        <v>0.04</v>
      </c>
      <c r="E1841" t="s">
        <v>1720</v>
      </c>
      <c r="F1841" t="s">
        <v>1721</v>
      </c>
      <c r="G1841" t="s">
        <v>4424</v>
      </c>
      <c r="H1841" t="s">
        <v>4314</v>
      </c>
    </row>
    <row r="1842" spans="1:8" x14ac:dyDescent="0.35">
      <c r="A1842" t="s">
        <v>379</v>
      </c>
      <c r="B1842" t="s">
        <v>1203</v>
      </c>
      <c r="C1842" t="s">
        <v>4313</v>
      </c>
      <c r="D1842">
        <v>0.08</v>
      </c>
      <c r="E1842" t="s">
        <v>1720</v>
      </c>
      <c r="F1842" t="s">
        <v>1724</v>
      </c>
      <c r="G1842" t="s">
        <v>4424</v>
      </c>
      <c r="H1842" t="s">
        <v>4314</v>
      </c>
    </row>
    <row r="1843" spans="1:8" x14ac:dyDescent="0.35">
      <c r="A1843" t="s">
        <v>379</v>
      </c>
      <c r="B1843" t="s">
        <v>1203</v>
      </c>
      <c r="C1843" t="s">
        <v>4313</v>
      </c>
      <c r="D1843">
        <v>0.04</v>
      </c>
      <c r="E1843" t="s">
        <v>1720</v>
      </c>
      <c r="F1843" t="s">
        <v>1721</v>
      </c>
      <c r="G1843" t="s">
        <v>4425</v>
      </c>
      <c r="H1843" t="s">
        <v>4314</v>
      </c>
    </row>
    <row r="1844" spans="1:8" x14ac:dyDescent="0.35">
      <c r="A1844" t="s">
        <v>379</v>
      </c>
      <c r="B1844" t="s">
        <v>1203</v>
      </c>
      <c r="C1844" t="s">
        <v>4313</v>
      </c>
      <c r="D1844">
        <v>0.08</v>
      </c>
      <c r="E1844" t="s">
        <v>1720</v>
      </c>
      <c r="F1844" t="s">
        <v>1724</v>
      </c>
      <c r="G1844" t="s">
        <v>4425</v>
      </c>
      <c r="H1844" t="s">
        <v>4314</v>
      </c>
    </row>
    <row r="1845" spans="1:8" x14ac:dyDescent="0.35">
      <c r="A1845" t="s">
        <v>379</v>
      </c>
      <c r="B1845" t="s">
        <v>1203</v>
      </c>
      <c r="C1845" t="s">
        <v>4230</v>
      </c>
      <c r="D1845">
        <v>4.1000000000000002E-2</v>
      </c>
      <c r="E1845" t="s">
        <v>1720</v>
      </c>
      <c r="F1845" t="s">
        <v>1721</v>
      </c>
      <c r="G1845" t="s">
        <v>4396</v>
      </c>
      <c r="H1845" t="s">
        <v>4231</v>
      </c>
    </row>
    <row r="1846" spans="1:8" x14ac:dyDescent="0.35">
      <c r="A1846" t="s">
        <v>379</v>
      </c>
      <c r="B1846" t="s">
        <v>1203</v>
      </c>
      <c r="C1846" t="s">
        <v>4334</v>
      </c>
      <c r="D1846">
        <v>4.1000000000000002E-2</v>
      </c>
      <c r="E1846" t="s">
        <v>1720</v>
      </c>
      <c r="F1846" t="s">
        <v>1721</v>
      </c>
      <c r="G1846" t="s">
        <v>4443</v>
      </c>
      <c r="H1846" t="s">
        <v>4335</v>
      </c>
    </row>
    <row r="1847" spans="1:8" x14ac:dyDescent="0.35">
      <c r="A1847" t="s">
        <v>379</v>
      </c>
      <c r="B1847" t="s">
        <v>1203</v>
      </c>
      <c r="C1847" t="s">
        <v>4334</v>
      </c>
      <c r="D1847">
        <v>8.3000000000000004E-2</v>
      </c>
      <c r="E1847" t="s">
        <v>1720</v>
      </c>
      <c r="F1847" t="s">
        <v>1724</v>
      </c>
      <c r="G1847" t="s">
        <v>4443</v>
      </c>
      <c r="H1847" t="s">
        <v>4335</v>
      </c>
    </row>
    <row r="1848" spans="1:8" x14ac:dyDescent="0.35">
      <c r="A1848" t="s">
        <v>379</v>
      </c>
      <c r="B1848" t="s">
        <v>1203</v>
      </c>
      <c r="C1848" t="s">
        <v>4234</v>
      </c>
      <c r="D1848">
        <v>8.3000000000000004E-2</v>
      </c>
      <c r="E1848" t="s">
        <v>1720</v>
      </c>
      <c r="G1848" t="s">
        <v>4383</v>
      </c>
      <c r="H1848" t="s">
        <v>4235</v>
      </c>
    </row>
    <row r="1849" spans="1:8" x14ac:dyDescent="0.35">
      <c r="A1849" t="s">
        <v>379</v>
      </c>
      <c r="B1849" t="s">
        <v>1203</v>
      </c>
      <c r="C1849" t="s">
        <v>4234</v>
      </c>
      <c r="D1849">
        <v>4.1000000000000002E-2</v>
      </c>
      <c r="E1849" t="s">
        <v>1720</v>
      </c>
      <c r="G1849" t="s">
        <v>4383</v>
      </c>
      <c r="H1849" t="s">
        <v>4235</v>
      </c>
    </row>
    <row r="1850" spans="1:8" x14ac:dyDescent="0.35">
      <c r="A1850" t="s">
        <v>379</v>
      </c>
      <c r="B1850" t="s">
        <v>1203</v>
      </c>
      <c r="C1850" t="s">
        <v>4315</v>
      </c>
      <c r="D1850">
        <v>4.1000000000000002E-2</v>
      </c>
      <c r="E1850" t="s">
        <v>1720</v>
      </c>
      <c r="F1850" t="s">
        <v>1721</v>
      </c>
      <c r="G1850" t="s">
        <v>4383</v>
      </c>
      <c r="H1850" t="s">
        <v>4316</v>
      </c>
    </row>
    <row r="1851" spans="1:8" x14ac:dyDescent="0.35">
      <c r="A1851" t="s">
        <v>379</v>
      </c>
      <c r="B1851" t="s">
        <v>1203</v>
      </c>
      <c r="C1851" t="s">
        <v>4315</v>
      </c>
      <c r="D1851">
        <v>8.3000000000000004E-2</v>
      </c>
      <c r="E1851" t="s">
        <v>1720</v>
      </c>
      <c r="F1851" t="s">
        <v>1724</v>
      </c>
      <c r="G1851" t="s">
        <v>4383</v>
      </c>
      <c r="H1851" t="s">
        <v>4316</v>
      </c>
    </row>
    <row r="1852" spans="1:8" x14ac:dyDescent="0.35">
      <c r="A1852" t="s">
        <v>379</v>
      </c>
      <c r="B1852" t="s">
        <v>1203</v>
      </c>
      <c r="C1852" t="s">
        <v>4300</v>
      </c>
      <c r="D1852">
        <v>4.1000000000000002E-2</v>
      </c>
      <c r="E1852" t="s">
        <v>1720</v>
      </c>
      <c r="F1852" t="s">
        <v>1721</v>
      </c>
      <c r="G1852" t="s">
        <v>4389</v>
      </c>
      <c r="H1852" t="s">
        <v>4301</v>
      </c>
    </row>
    <row r="1853" spans="1:8" x14ac:dyDescent="0.35">
      <c r="A1853" t="s">
        <v>379</v>
      </c>
      <c r="B1853" t="s">
        <v>1203</v>
      </c>
      <c r="C1853" t="s">
        <v>4300</v>
      </c>
      <c r="D1853">
        <v>8.3000000000000004E-2</v>
      </c>
      <c r="E1853" t="s">
        <v>1720</v>
      </c>
      <c r="F1853" t="s">
        <v>1724</v>
      </c>
      <c r="G1853" t="s">
        <v>4389</v>
      </c>
      <c r="H1853" t="s">
        <v>4301</v>
      </c>
    </row>
    <row r="1854" spans="1:8" x14ac:dyDescent="0.35">
      <c r="A1854" t="s">
        <v>379</v>
      </c>
      <c r="B1854" t="s">
        <v>1203</v>
      </c>
      <c r="C1854" t="s">
        <v>4232</v>
      </c>
      <c r="D1854">
        <v>4.1000000000000002E-2</v>
      </c>
      <c r="E1854" t="s">
        <v>1720</v>
      </c>
      <c r="F1854" t="s">
        <v>1721</v>
      </c>
      <c r="G1854" t="s">
        <v>4402</v>
      </c>
      <c r="H1854" t="s">
        <v>4233</v>
      </c>
    </row>
    <row r="1855" spans="1:8" x14ac:dyDescent="0.35">
      <c r="A1855" t="s">
        <v>379</v>
      </c>
      <c r="B1855" t="s">
        <v>1203</v>
      </c>
      <c r="C1855" t="s">
        <v>4232</v>
      </c>
      <c r="D1855">
        <v>8.3000000000000004E-2</v>
      </c>
      <c r="E1855" t="s">
        <v>1720</v>
      </c>
      <c r="F1855" t="s">
        <v>1724</v>
      </c>
      <c r="G1855" t="s">
        <v>4402</v>
      </c>
      <c r="H1855" t="s">
        <v>4233</v>
      </c>
    </row>
    <row r="1856" spans="1:8" x14ac:dyDescent="0.35">
      <c r="A1856" t="s">
        <v>379</v>
      </c>
      <c r="B1856" t="s">
        <v>1203</v>
      </c>
      <c r="C1856" t="s">
        <v>4199</v>
      </c>
      <c r="D1856">
        <v>8.3000000000000004E-2</v>
      </c>
      <c r="E1856" t="s">
        <v>1720</v>
      </c>
      <c r="F1856" t="s">
        <v>1724</v>
      </c>
      <c r="G1856" t="s">
        <v>4388</v>
      </c>
      <c r="H1856" t="s">
        <v>4200</v>
      </c>
    </row>
    <row r="1857" spans="1:8" x14ac:dyDescent="0.35">
      <c r="A1857" t="s">
        <v>379</v>
      </c>
      <c r="B1857" t="s">
        <v>1203</v>
      </c>
      <c r="C1857" t="s">
        <v>4199</v>
      </c>
      <c r="D1857">
        <v>4.1000000000000002E-2</v>
      </c>
      <c r="E1857" t="s">
        <v>1720</v>
      </c>
      <c r="F1857" t="s">
        <v>1721</v>
      </c>
      <c r="G1857" t="s">
        <v>4388</v>
      </c>
      <c r="H1857" t="s">
        <v>4200</v>
      </c>
    </row>
    <row r="1858" spans="1:8" x14ac:dyDescent="0.35">
      <c r="A1858" t="s">
        <v>379</v>
      </c>
      <c r="B1858" t="s">
        <v>1203</v>
      </c>
      <c r="C1858" t="s">
        <v>4338</v>
      </c>
      <c r="D1858">
        <v>8.3000000000000004E-2</v>
      </c>
      <c r="E1858" t="s">
        <v>1720</v>
      </c>
      <c r="F1858" t="s">
        <v>1724</v>
      </c>
      <c r="G1858" t="s">
        <v>4383</v>
      </c>
      <c r="H1858" t="s">
        <v>4339</v>
      </c>
    </row>
    <row r="1859" spans="1:8" x14ac:dyDescent="0.35">
      <c r="A1859" t="s">
        <v>379</v>
      </c>
      <c r="B1859" t="s">
        <v>1203</v>
      </c>
      <c r="C1859" t="s">
        <v>4338</v>
      </c>
      <c r="D1859">
        <v>4.1000000000000002E-2</v>
      </c>
      <c r="E1859" t="s">
        <v>1720</v>
      </c>
      <c r="F1859" t="s">
        <v>1721</v>
      </c>
      <c r="G1859" t="s">
        <v>4383</v>
      </c>
      <c r="H1859" t="s">
        <v>4339</v>
      </c>
    </row>
    <row r="1860" spans="1:8" x14ac:dyDescent="0.35">
      <c r="A1860" t="s">
        <v>379</v>
      </c>
      <c r="B1860" t="s">
        <v>1203</v>
      </c>
      <c r="C1860" t="s">
        <v>4225</v>
      </c>
      <c r="D1860">
        <v>4.1000000000000002E-2</v>
      </c>
      <c r="E1860" t="s">
        <v>1720</v>
      </c>
      <c r="F1860" t="s">
        <v>1721</v>
      </c>
      <c r="G1860" t="s">
        <v>4400</v>
      </c>
      <c r="H1860" t="s">
        <v>4226</v>
      </c>
    </row>
    <row r="1861" spans="1:8" x14ac:dyDescent="0.35">
      <c r="A1861" t="s">
        <v>379</v>
      </c>
      <c r="B1861" t="s">
        <v>1203</v>
      </c>
      <c r="C1861" t="s">
        <v>4225</v>
      </c>
      <c r="D1861">
        <v>8.3000000000000004E-2</v>
      </c>
      <c r="E1861" t="s">
        <v>1720</v>
      </c>
      <c r="F1861" t="s">
        <v>1724</v>
      </c>
      <c r="G1861" t="s">
        <v>4400</v>
      </c>
      <c r="H1861" t="s">
        <v>4226</v>
      </c>
    </row>
    <row r="1862" spans="1:8" x14ac:dyDescent="0.35">
      <c r="A1862" t="s">
        <v>379</v>
      </c>
      <c r="B1862" t="s">
        <v>1203</v>
      </c>
      <c r="C1862" t="s">
        <v>4223</v>
      </c>
      <c r="D1862">
        <v>4.1000000000000002E-2</v>
      </c>
      <c r="E1862" t="s">
        <v>1720</v>
      </c>
      <c r="F1862" t="s">
        <v>1721</v>
      </c>
      <c r="G1862" t="s">
        <v>4399</v>
      </c>
      <c r="H1862" t="s">
        <v>4224</v>
      </c>
    </row>
    <row r="1863" spans="1:8" x14ac:dyDescent="0.35">
      <c r="A1863" t="s">
        <v>379</v>
      </c>
      <c r="B1863" t="s">
        <v>1203</v>
      </c>
      <c r="C1863" t="s">
        <v>4223</v>
      </c>
      <c r="D1863">
        <v>8.3000000000000004E-2</v>
      </c>
      <c r="E1863" t="s">
        <v>1720</v>
      </c>
      <c r="F1863" t="s">
        <v>1724</v>
      </c>
      <c r="G1863" t="s">
        <v>4399</v>
      </c>
      <c r="H1863" t="s">
        <v>4224</v>
      </c>
    </row>
    <row r="1864" spans="1:8" x14ac:dyDescent="0.35">
      <c r="A1864" t="s">
        <v>379</v>
      </c>
      <c r="B1864" t="s">
        <v>1203</v>
      </c>
      <c r="C1864" t="s">
        <v>4229</v>
      </c>
      <c r="D1864">
        <v>8.3000000000000004E-2</v>
      </c>
      <c r="E1864" t="s">
        <v>1720</v>
      </c>
      <c r="F1864" t="s">
        <v>1724</v>
      </c>
      <c r="G1864" t="s">
        <v>4399</v>
      </c>
      <c r="H1864" t="s">
        <v>1711</v>
      </c>
    </row>
    <row r="1865" spans="1:8" x14ac:dyDescent="0.35">
      <c r="A1865" t="s">
        <v>379</v>
      </c>
      <c r="B1865" t="s">
        <v>1203</v>
      </c>
      <c r="C1865" t="s">
        <v>4229</v>
      </c>
      <c r="D1865">
        <v>4.1000000000000002E-2</v>
      </c>
      <c r="E1865" t="s">
        <v>1720</v>
      </c>
      <c r="F1865" t="s">
        <v>1721</v>
      </c>
      <c r="G1865" t="s">
        <v>4399</v>
      </c>
      <c r="H1865" t="s">
        <v>1711</v>
      </c>
    </row>
    <row r="1866" spans="1:8" x14ac:dyDescent="0.35">
      <c r="A1866" t="s">
        <v>379</v>
      </c>
      <c r="B1866" t="s">
        <v>1203</v>
      </c>
      <c r="C1866" t="s">
        <v>4230</v>
      </c>
      <c r="D1866">
        <v>8.3000000000000004E-2</v>
      </c>
      <c r="E1866" t="s">
        <v>1720</v>
      </c>
      <c r="F1866" t="s">
        <v>1724</v>
      </c>
      <c r="G1866" t="s">
        <v>4396</v>
      </c>
      <c r="H1866" t="s">
        <v>4231</v>
      </c>
    </row>
    <row r="1867" spans="1:8" x14ac:dyDescent="0.35">
      <c r="A1867" t="s">
        <v>379</v>
      </c>
      <c r="B1867" t="s">
        <v>1203</v>
      </c>
      <c r="C1867" t="s">
        <v>4240</v>
      </c>
      <c r="D1867">
        <v>8.3000000000000004E-2</v>
      </c>
      <c r="E1867" t="s">
        <v>1720</v>
      </c>
      <c r="F1867" t="s">
        <v>1724</v>
      </c>
      <c r="G1867" t="s">
        <v>4402</v>
      </c>
      <c r="H1867" t="s">
        <v>4241</v>
      </c>
    </row>
    <row r="1868" spans="1:8" x14ac:dyDescent="0.35">
      <c r="A1868" t="s">
        <v>379</v>
      </c>
      <c r="B1868" t="s">
        <v>1203</v>
      </c>
      <c r="C1868" t="s">
        <v>4240</v>
      </c>
      <c r="D1868">
        <v>4.1000000000000002E-2</v>
      </c>
      <c r="E1868" t="s">
        <v>1720</v>
      </c>
      <c r="F1868" t="s">
        <v>1721</v>
      </c>
      <c r="G1868" t="s">
        <v>4402</v>
      </c>
      <c r="H1868" t="s">
        <v>4241</v>
      </c>
    </row>
    <row r="1869" spans="1:8" x14ac:dyDescent="0.35">
      <c r="A1869" t="s">
        <v>379</v>
      </c>
      <c r="B1869" t="s">
        <v>1203</v>
      </c>
      <c r="C1869" t="s">
        <v>4340</v>
      </c>
      <c r="D1869">
        <v>8.3000000000000004E-2</v>
      </c>
      <c r="E1869" t="s">
        <v>1720</v>
      </c>
      <c r="F1869" t="s">
        <v>1724</v>
      </c>
      <c r="G1869" t="s">
        <v>4402</v>
      </c>
      <c r="H1869" t="s">
        <v>4341</v>
      </c>
    </row>
    <row r="1870" spans="1:8" x14ac:dyDescent="0.35">
      <c r="A1870" t="s">
        <v>379</v>
      </c>
      <c r="B1870" t="s">
        <v>1203</v>
      </c>
      <c r="C1870" t="s">
        <v>4340</v>
      </c>
      <c r="D1870">
        <v>4.1000000000000002E-2</v>
      </c>
      <c r="E1870" t="s">
        <v>1720</v>
      </c>
      <c r="F1870" t="s">
        <v>1721</v>
      </c>
      <c r="G1870" t="s">
        <v>4402</v>
      </c>
      <c r="H1870" t="s">
        <v>4341</v>
      </c>
    </row>
    <row r="1871" spans="1:8" x14ac:dyDescent="0.35">
      <c r="A1871" t="s">
        <v>379</v>
      </c>
      <c r="B1871" t="s">
        <v>1203</v>
      </c>
      <c r="C1871" t="s">
        <v>4244</v>
      </c>
      <c r="D1871">
        <v>8.3000000000000004E-2</v>
      </c>
      <c r="E1871" t="s">
        <v>1720</v>
      </c>
      <c r="F1871" t="s">
        <v>1724</v>
      </c>
      <c r="G1871" t="s">
        <v>4406</v>
      </c>
      <c r="H1871" t="s">
        <v>4245</v>
      </c>
    </row>
    <row r="1872" spans="1:8" x14ac:dyDescent="0.35">
      <c r="A1872" t="s">
        <v>379</v>
      </c>
      <c r="B1872" t="s">
        <v>1203</v>
      </c>
      <c r="C1872" t="s">
        <v>4244</v>
      </c>
      <c r="D1872">
        <v>4.1000000000000002E-2</v>
      </c>
      <c r="E1872" t="s">
        <v>1720</v>
      </c>
      <c r="F1872" t="s">
        <v>1721</v>
      </c>
      <c r="G1872" t="s">
        <v>4406</v>
      </c>
      <c r="H1872" t="s">
        <v>4245</v>
      </c>
    </row>
    <row r="1873" spans="1:8" x14ac:dyDescent="0.35">
      <c r="A1873" t="s">
        <v>379</v>
      </c>
      <c r="B1873" t="s">
        <v>1203</v>
      </c>
      <c r="C1873" t="s">
        <v>4242</v>
      </c>
      <c r="D1873">
        <v>8.3000000000000004E-2</v>
      </c>
      <c r="E1873" t="s">
        <v>1720</v>
      </c>
      <c r="F1873" t="s">
        <v>1724</v>
      </c>
      <c r="G1873" t="s">
        <v>4405</v>
      </c>
      <c r="H1873" t="s">
        <v>4243</v>
      </c>
    </row>
    <row r="1874" spans="1:8" x14ac:dyDescent="0.35">
      <c r="A1874" t="s">
        <v>379</v>
      </c>
      <c r="B1874" t="s">
        <v>1203</v>
      </c>
      <c r="C1874" t="s">
        <v>4242</v>
      </c>
      <c r="D1874">
        <v>4.1000000000000002E-2</v>
      </c>
      <c r="E1874" t="s">
        <v>1720</v>
      </c>
      <c r="F1874" t="s">
        <v>1721</v>
      </c>
      <c r="G1874" t="s">
        <v>4405</v>
      </c>
      <c r="H1874" t="s">
        <v>4243</v>
      </c>
    </row>
    <row r="1875" spans="1:8" x14ac:dyDescent="0.35">
      <c r="A1875" t="s">
        <v>379</v>
      </c>
      <c r="B1875" t="s">
        <v>1203</v>
      </c>
      <c r="C1875" t="s">
        <v>4248</v>
      </c>
      <c r="D1875">
        <v>8.3000000000000004E-2</v>
      </c>
      <c r="E1875" t="s">
        <v>1720</v>
      </c>
      <c r="F1875" t="s">
        <v>1724</v>
      </c>
      <c r="G1875" t="s">
        <v>4402</v>
      </c>
      <c r="H1875" t="s">
        <v>4249</v>
      </c>
    </row>
    <row r="1876" spans="1:8" x14ac:dyDescent="0.35">
      <c r="A1876" t="s">
        <v>379</v>
      </c>
      <c r="B1876" t="s">
        <v>1203</v>
      </c>
      <c r="C1876" t="s">
        <v>4248</v>
      </c>
      <c r="D1876">
        <v>4.1000000000000002E-2</v>
      </c>
      <c r="E1876" t="s">
        <v>1720</v>
      </c>
      <c r="F1876" t="s">
        <v>1721</v>
      </c>
      <c r="G1876" t="s">
        <v>4402</v>
      </c>
      <c r="H1876" t="s">
        <v>4249</v>
      </c>
    </row>
    <row r="1877" spans="1:8" x14ac:dyDescent="0.35">
      <c r="A1877" t="s">
        <v>379</v>
      </c>
      <c r="B1877" t="s">
        <v>1203</v>
      </c>
      <c r="C1877" t="s">
        <v>4246</v>
      </c>
      <c r="D1877">
        <v>4.1000000000000002E-2</v>
      </c>
      <c r="E1877" t="s">
        <v>1720</v>
      </c>
      <c r="F1877" t="s">
        <v>1721</v>
      </c>
      <c r="G1877" t="s">
        <v>4402</v>
      </c>
      <c r="H1877" t="s">
        <v>4247</v>
      </c>
    </row>
    <row r="1878" spans="1:8" x14ac:dyDescent="0.35">
      <c r="A1878" t="s">
        <v>379</v>
      </c>
      <c r="B1878" t="s">
        <v>1203</v>
      </c>
      <c r="C1878" t="s">
        <v>4246</v>
      </c>
      <c r="D1878">
        <v>8.3000000000000004E-2</v>
      </c>
      <c r="E1878" t="s">
        <v>1720</v>
      </c>
      <c r="F1878" t="s">
        <v>1724</v>
      </c>
      <c r="G1878" t="s">
        <v>4402</v>
      </c>
      <c r="H1878" t="s">
        <v>4247</v>
      </c>
    </row>
    <row r="1879" spans="1:8" x14ac:dyDescent="0.35">
      <c r="A1879" t="s">
        <v>379</v>
      </c>
      <c r="B1879" t="s">
        <v>1203</v>
      </c>
      <c r="C1879" t="s">
        <v>4250</v>
      </c>
      <c r="D1879">
        <v>8.3000000000000004E-2</v>
      </c>
      <c r="E1879" t="s">
        <v>1720</v>
      </c>
      <c r="F1879" t="s">
        <v>1724</v>
      </c>
      <c r="G1879" t="s">
        <v>4402</v>
      </c>
      <c r="H1879" t="s">
        <v>4251</v>
      </c>
    </row>
    <row r="1880" spans="1:8" x14ac:dyDescent="0.35">
      <c r="A1880" t="s">
        <v>379</v>
      </c>
      <c r="B1880" t="s">
        <v>1203</v>
      </c>
      <c r="C1880" t="s">
        <v>4250</v>
      </c>
      <c r="D1880">
        <v>4.1000000000000002E-2</v>
      </c>
      <c r="E1880" t="s">
        <v>1720</v>
      </c>
      <c r="F1880" t="s">
        <v>1721</v>
      </c>
      <c r="G1880" t="s">
        <v>4402</v>
      </c>
      <c r="H1880" t="s">
        <v>4251</v>
      </c>
    </row>
    <row r="1881" spans="1:8" x14ac:dyDescent="0.35">
      <c r="A1881" t="s">
        <v>379</v>
      </c>
      <c r="B1881" t="s">
        <v>1203</v>
      </c>
      <c r="C1881" t="s">
        <v>4252</v>
      </c>
      <c r="D1881">
        <v>8.3000000000000004E-2</v>
      </c>
      <c r="E1881" t="s">
        <v>1720</v>
      </c>
      <c r="F1881" t="s">
        <v>1724</v>
      </c>
      <c r="G1881" t="s">
        <v>4402</v>
      </c>
      <c r="H1881" t="s">
        <v>4253</v>
      </c>
    </row>
    <row r="1882" spans="1:8" x14ac:dyDescent="0.35">
      <c r="A1882" t="s">
        <v>379</v>
      </c>
      <c r="B1882" t="s">
        <v>1203</v>
      </c>
      <c r="C1882" t="s">
        <v>4252</v>
      </c>
      <c r="D1882">
        <v>4.1000000000000002E-2</v>
      </c>
      <c r="E1882" t="s">
        <v>1720</v>
      </c>
      <c r="F1882" t="s">
        <v>1721</v>
      </c>
      <c r="G1882" t="s">
        <v>4402</v>
      </c>
      <c r="H1882" t="s">
        <v>4253</v>
      </c>
    </row>
    <row r="1883" spans="1:8" x14ac:dyDescent="0.35">
      <c r="A1883" t="s">
        <v>379</v>
      </c>
      <c r="B1883" t="s">
        <v>1203</v>
      </c>
      <c r="C1883" t="s">
        <v>4254</v>
      </c>
      <c r="D1883">
        <v>8.3000000000000004E-2</v>
      </c>
      <c r="E1883" t="s">
        <v>1720</v>
      </c>
      <c r="F1883" t="s">
        <v>1724</v>
      </c>
      <c r="G1883" t="s">
        <v>4402</v>
      </c>
      <c r="H1883" t="s">
        <v>4255</v>
      </c>
    </row>
    <row r="1884" spans="1:8" x14ac:dyDescent="0.35">
      <c r="A1884" t="s">
        <v>379</v>
      </c>
      <c r="B1884" t="s">
        <v>1203</v>
      </c>
      <c r="C1884" t="s">
        <v>4254</v>
      </c>
      <c r="D1884">
        <v>4.1000000000000002E-2</v>
      </c>
      <c r="E1884" t="s">
        <v>1720</v>
      </c>
      <c r="F1884" t="s">
        <v>1721</v>
      </c>
      <c r="G1884" t="s">
        <v>4402</v>
      </c>
      <c r="H1884" t="s">
        <v>4255</v>
      </c>
    </row>
    <row r="1885" spans="1:8" x14ac:dyDescent="0.35">
      <c r="A1885" t="s">
        <v>379</v>
      </c>
      <c r="B1885" t="s">
        <v>1203</v>
      </c>
      <c r="C1885" t="s">
        <v>4358</v>
      </c>
      <c r="D1885">
        <v>4.1000000000000002E-2</v>
      </c>
      <c r="E1885" t="s">
        <v>1720</v>
      </c>
      <c r="F1885" t="s">
        <v>1721</v>
      </c>
      <c r="G1885" t="s">
        <v>4402</v>
      </c>
      <c r="H1885" t="s">
        <v>4359</v>
      </c>
    </row>
    <row r="1886" spans="1:8" x14ac:dyDescent="0.35">
      <c r="A1886" t="s">
        <v>379</v>
      </c>
      <c r="B1886" t="s">
        <v>1203</v>
      </c>
      <c r="C1886" t="s">
        <v>4358</v>
      </c>
      <c r="D1886">
        <v>8.3000000000000004E-2</v>
      </c>
      <c r="E1886" t="s">
        <v>1720</v>
      </c>
      <c r="F1886" t="s">
        <v>1724</v>
      </c>
      <c r="G1886" t="s">
        <v>4402</v>
      </c>
      <c r="H1886" t="s">
        <v>4359</v>
      </c>
    </row>
    <row r="1887" spans="1:8" x14ac:dyDescent="0.35">
      <c r="A1887" t="s">
        <v>379</v>
      </c>
      <c r="B1887" t="s">
        <v>1203</v>
      </c>
      <c r="C1887" t="s">
        <v>4319</v>
      </c>
      <c r="D1887">
        <v>4.1000000000000002E-2</v>
      </c>
      <c r="E1887" t="s">
        <v>1720</v>
      </c>
      <c r="F1887" t="s">
        <v>1721</v>
      </c>
      <c r="G1887" t="s">
        <v>4402</v>
      </c>
      <c r="H1887" t="s">
        <v>4320</v>
      </c>
    </row>
    <row r="1888" spans="1:8" x14ac:dyDescent="0.35">
      <c r="A1888" t="s">
        <v>379</v>
      </c>
      <c r="B1888" t="s">
        <v>1203</v>
      </c>
      <c r="C1888" t="s">
        <v>4319</v>
      </c>
      <c r="D1888">
        <v>8.3000000000000004E-2</v>
      </c>
      <c r="E1888" t="s">
        <v>1720</v>
      </c>
      <c r="F1888" t="s">
        <v>1724</v>
      </c>
      <c r="G1888" t="s">
        <v>4402</v>
      </c>
      <c r="H1888" t="s">
        <v>4320</v>
      </c>
    </row>
    <row r="1889" spans="1:8" x14ac:dyDescent="0.35">
      <c r="A1889" t="s">
        <v>379</v>
      </c>
      <c r="B1889" t="s">
        <v>1203</v>
      </c>
      <c r="C1889" t="s">
        <v>4264</v>
      </c>
      <c r="D1889">
        <v>8.3000000000000004E-2</v>
      </c>
      <c r="E1889" t="s">
        <v>1720</v>
      </c>
      <c r="F1889" t="s">
        <v>1724</v>
      </c>
      <c r="G1889" t="s">
        <v>4402</v>
      </c>
      <c r="H1889" t="s">
        <v>4265</v>
      </c>
    </row>
    <row r="1890" spans="1:8" x14ac:dyDescent="0.35">
      <c r="A1890" t="s">
        <v>379</v>
      </c>
      <c r="B1890" t="s">
        <v>1203</v>
      </c>
      <c r="C1890" t="s">
        <v>4264</v>
      </c>
      <c r="D1890">
        <v>4.1000000000000002E-2</v>
      </c>
      <c r="E1890" t="s">
        <v>1720</v>
      </c>
      <c r="F1890" t="s">
        <v>1721</v>
      </c>
      <c r="G1890" t="s">
        <v>4402</v>
      </c>
      <c r="H1890" t="s">
        <v>4265</v>
      </c>
    </row>
    <row r="1891" spans="1:8" x14ac:dyDescent="0.35">
      <c r="A1891" t="s">
        <v>379</v>
      </c>
      <c r="B1891" t="s">
        <v>1203</v>
      </c>
      <c r="C1891" t="s">
        <v>4268</v>
      </c>
      <c r="D1891">
        <v>8.3000000000000004E-2</v>
      </c>
      <c r="E1891" t="s">
        <v>1720</v>
      </c>
      <c r="F1891" t="s">
        <v>1724</v>
      </c>
      <c r="G1891" t="s">
        <v>4402</v>
      </c>
      <c r="H1891" t="s">
        <v>4269</v>
      </c>
    </row>
    <row r="1892" spans="1:8" x14ac:dyDescent="0.35">
      <c r="A1892" t="s">
        <v>379</v>
      </c>
      <c r="B1892" t="s">
        <v>1203</v>
      </c>
      <c r="C1892" t="s">
        <v>4268</v>
      </c>
      <c r="D1892">
        <v>4.1000000000000002E-2</v>
      </c>
      <c r="E1892" t="s">
        <v>1720</v>
      </c>
      <c r="F1892" t="s">
        <v>1721</v>
      </c>
      <c r="G1892" t="s">
        <v>4402</v>
      </c>
      <c r="H1892" t="s">
        <v>4269</v>
      </c>
    </row>
    <row r="1893" spans="1:8" x14ac:dyDescent="0.35">
      <c r="A1893" t="s">
        <v>379</v>
      </c>
      <c r="B1893" t="s">
        <v>1203</v>
      </c>
      <c r="C1893" t="s">
        <v>4256</v>
      </c>
      <c r="D1893">
        <v>8.3000000000000004E-2</v>
      </c>
      <c r="E1893" t="s">
        <v>1720</v>
      </c>
      <c r="F1893" t="s">
        <v>1724</v>
      </c>
      <c r="G1893" t="s">
        <v>4402</v>
      </c>
      <c r="H1893" t="s">
        <v>4257</v>
      </c>
    </row>
    <row r="1894" spans="1:8" x14ac:dyDescent="0.35">
      <c r="A1894" t="s">
        <v>379</v>
      </c>
      <c r="B1894" t="s">
        <v>1203</v>
      </c>
      <c r="C1894" t="s">
        <v>4256</v>
      </c>
      <c r="D1894">
        <v>4.1000000000000002E-2</v>
      </c>
      <c r="E1894" t="s">
        <v>1720</v>
      </c>
      <c r="F1894" t="s">
        <v>1721</v>
      </c>
      <c r="G1894" t="s">
        <v>4402</v>
      </c>
      <c r="H1894" t="s">
        <v>4257</v>
      </c>
    </row>
    <row r="1895" spans="1:8" x14ac:dyDescent="0.35">
      <c r="A1895" t="s">
        <v>379</v>
      </c>
      <c r="B1895" t="s">
        <v>1203</v>
      </c>
      <c r="C1895" t="s">
        <v>4276</v>
      </c>
      <c r="D1895">
        <v>8.3000000000000004E-2</v>
      </c>
      <c r="E1895" t="s">
        <v>1720</v>
      </c>
      <c r="F1895" t="s">
        <v>1724</v>
      </c>
      <c r="G1895" t="s">
        <v>4413</v>
      </c>
      <c r="H1895" t="s">
        <v>4277</v>
      </c>
    </row>
    <row r="1896" spans="1:8" x14ac:dyDescent="0.35">
      <c r="A1896" t="s">
        <v>379</v>
      </c>
      <c r="B1896" t="s">
        <v>1203</v>
      </c>
      <c r="C1896" t="s">
        <v>4276</v>
      </c>
      <c r="D1896">
        <v>4.1000000000000002E-2</v>
      </c>
      <c r="E1896" t="s">
        <v>1720</v>
      </c>
      <c r="F1896" t="s">
        <v>1721</v>
      </c>
      <c r="G1896" t="s">
        <v>4413</v>
      </c>
      <c r="H1896" t="s">
        <v>4277</v>
      </c>
    </row>
    <row r="1897" spans="1:8" x14ac:dyDescent="0.35">
      <c r="A1897" t="s">
        <v>379</v>
      </c>
      <c r="B1897" t="s">
        <v>1203</v>
      </c>
      <c r="C1897" t="s">
        <v>4282</v>
      </c>
      <c r="D1897">
        <v>8.3000000000000004E-2</v>
      </c>
      <c r="E1897" t="s">
        <v>1720</v>
      </c>
      <c r="F1897" t="s">
        <v>1724</v>
      </c>
      <c r="G1897" t="s">
        <v>4402</v>
      </c>
      <c r="H1897" t="s">
        <v>4283</v>
      </c>
    </row>
    <row r="1898" spans="1:8" x14ac:dyDescent="0.35">
      <c r="A1898" t="s">
        <v>379</v>
      </c>
      <c r="B1898" t="s">
        <v>1203</v>
      </c>
      <c r="C1898" t="s">
        <v>4282</v>
      </c>
      <c r="D1898">
        <v>4.1000000000000002E-2</v>
      </c>
      <c r="E1898" t="s">
        <v>1720</v>
      </c>
      <c r="F1898" t="s">
        <v>1721</v>
      </c>
      <c r="G1898" t="s">
        <v>4402</v>
      </c>
      <c r="H1898" t="s">
        <v>4283</v>
      </c>
    </row>
    <row r="1899" spans="1:8" x14ac:dyDescent="0.35">
      <c r="A1899" t="s">
        <v>379</v>
      </c>
      <c r="B1899" t="s">
        <v>1203</v>
      </c>
      <c r="C1899" t="s">
        <v>4280</v>
      </c>
      <c r="D1899">
        <v>4.1000000000000002E-2</v>
      </c>
      <c r="E1899" t="s">
        <v>1720</v>
      </c>
      <c r="F1899" t="s">
        <v>1721</v>
      </c>
      <c r="G1899" t="s">
        <v>4415</v>
      </c>
      <c r="H1899" t="s">
        <v>4281</v>
      </c>
    </row>
    <row r="1900" spans="1:8" x14ac:dyDescent="0.35">
      <c r="A1900" t="s">
        <v>379</v>
      </c>
      <c r="B1900" t="s">
        <v>1203</v>
      </c>
      <c r="C1900" t="s">
        <v>4280</v>
      </c>
      <c r="D1900">
        <v>8.3000000000000004E-2</v>
      </c>
      <c r="E1900" t="s">
        <v>1720</v>
      </c>
      <c r="F1900" t="s">
        <v>1724</v>
      </c>
      <c r="G1900" t="s">
        <v>4415</v>
      </c>
      <c r="H1900" t="s">
        <v>4281</v>
      </c>
    </row>
    <row r="1901" spans="1:8" x14ac:dyDescent="0.35">
      <c r="A1901" t="s">
        <v>379</v>
      </c>
      <c r="B1901" t="s">
        <v>1203</v>
      </c>
      <c r="C1901" t="s">
        <v>4284</v>
      </c>
      <c r="D1901">
        <v>5.5999999999999999E-3</v>
      </c>
      <c r="E1901" t="s">
        <v>1720</v>
      </c>
      <c r="G1901" t="s">
        <v>4416</v>
      </c>
      <c r="H1901" t="s">
        <v>4285</v>
      </c>
    </row>
    <row r="1902" spans="1:8" x14ac:dyDescent="0.35">
      <c r="A1902" t="s">
        <v>379</v>
      </c>
      <c r="B1902" t="s">
        <v>1203</v>
      </c>
      <c r="C1902" t="s">
        <v>4284</v>
      </c>
      <c r="D1902">
        <v>4.1000000000000002E-2</v>
      </c>
      <c r="E1902" t="s">
        <v>1720</v>
      </c>
      <c r="G1902" t="s">
        <v>4417</v>
      </c>
      <c r="H1902" t="s">
        <v>4285</v>
      </c>
    </row>
    <row r="1903" spans="1:8" x14ac:dyDescent="0.35">
      <c r="A1903" t="s">
        <v>379</v>
      </c>
      <c r="B1903" t="s">
        <v>1203</v>
      </c>
      <c r="C1903" t="s">
        <v>4298</v>
      </c>
      <c r="D1903">
        <v>8.3000000000000004E-2</v>
      </c>
      <c r="E1903" t="s">
        <v>1720</v>
      </c>
      <c r="F1903" t="s">
        <v>1724</v>
      </c>
      <c r="G1903" t="s">
        <v>4419</v>
      </c>
      <c r="H1903" t="s">
        <v>4299</v>
      </c>
    </row>
    <row r="1904" spans="1:8" x14ac:dyDescent="0.35">
      <c r="A1904" t="s">
        <v>379</v>
      </c>
      <c r="B1904" t="s">
        <v>1203</v>
      </c>
      <c r="C1904" t="s">
        <v>4298</v>
      </c>
      <c r="D1904">
        <v>4.1000000000000002E-2</v>
      </c>
      <c r="E1904" t="s">
        <v>1720</v>
      </c>
      <c r="F1904" t="s">
        <v>1721</v>
      </c>
      <c r="G1904" t="s">
        <v>4419</v>
      </c>
      <c r="H1904" t="s">
        <v>4299</v>
      </c>
    </row>
    <row r="1905" spans="1:8" x14ac:dyDescent="0.35">
      <c r="A1905" t="s">
        <v>379</v>
      </c>
      <c r="B1905" t="s">
        <v>1203</v>
      </c>
      <c r="C1905" t="s">
        <v>4290</v>
      </c>
      <c r="D1905">
        <v>8.3000000000000004E-2</v>
      </c>
      <c r="E1905" t="s">
        <v>1720</v>
      </c>
      <c r="F1905" t="s">
        <v>1724</v>
      </c>
      <c r="G1905" t="s">
        <v>4402</v>
      </c>
      <c r="H1905" t="s">
        <v>4291</v>
      </c>
    </row>
    <row r="1906" spans="1:8" x14ac:dyDescent="0.35">
      <c r="A1906" t="s">
        <v>379</v>
      </c>
      <c r="B1906" t="s">
        <v>1203</v>
      </c>
      <c r="C1906" t="s">
        <v>4290</v>
      </c>
      <c r="D1906">
        <v>4.1000000000000002E-2</v>
      </c>
      <c r="E1906" t="s">
        <v>1720</v>
      </c>
      <c r="F1906" t="s">
        <v>1721</v>
      </c>
      <c r="G1906" t="s">
        <v>4402</v>
      </c>
      <c r="H1906" t="s">
        <v>4291</v>
      </c>
    </row>
    <row r="1907" spans="1:8" x14ac:dyDescent="0.35">
      <c r="A1907" t="s">
        <v>379</v>
      </c>
      <c r="B1907" t="s">
        <v>1203</v>
      </c>
      <c r="C1907" t="s">
        <v>4288</v>
      </c>
      <c r="D1907">
        <v>8.3000000000000004E-2</v>
      </c>
      <c r="E1907" t="s">
        <v>1720</v>
      </c>
      <c r="F1907" t="s">
        <v>1724</v>
      </c>
      <c r="G1907" t="s">
        <v>4415</v>
      </c>
      <c r="H1907" t="s">
        <v>4289</v>
      </c>
    </row>
    <row r="1908" spans="1:8" x14ac:dyDescent="0.35">
      <c r="A1908" t="s">
        <v>379</v>
      </c>
      <c r="B1908" t="s">
        <v>1203</v>
      </c>
      <c r="C1908" t="s">
        <v>4288</v>
      </c>
      <c r="D1908">
        <v>4.1000000000000002E-2</v>
      </c>
      <c r="E1908" t="s">
        <v>1720</v>
      </c>
      <c r="F1908" t="s">
        <v>1721</v>
      </c>
      <c r="G1908" t="s">
        <v>4415</v>
      </c>
      <c r="H1908" t="s">
        <v>4289</v>
      </c>
    </row>
    <row r="1909" spans="1:8" x14ac:dyDescent="0.35">
      <c r="A1909" t="s">
        <v>379</v>
      </c>
      <c r="B1909" t="s">
        <v>1203</v>
      </c>
      <c r="C1909" t="s">
        <v>4292</v>
      </c>
      <c r="D1909">
        <v>8.3000000000000004E-2</v>
      </c>
      <c r="E1909" t="s">
        <v>1720</v>
      </c>
      <c r="F1909" t="s">
        <v>1724</v>
      </c>
      <c r="G1909" t="s">
        <v>4402</v>
      </c>
      <c r="H1909" t="s">
        <v>4293</v>
      </c>
    </row>
    <row r="1910" spans="1:8" x14ac:dyDescent="0.35">
      <c r="A1910" t="s">
        <v>379</v>
      </c>
      <c r="B1910" t="s">
        <v>1203</v>
      </c>
      <c r="C1910" t="s">
        <v>4292</v>
      </c>
      <c r="D1910">
        <v>4.1000000000000002E-2</v>
      </c>
      <c r="E1910" t="s">
        <v>1720</v>
      </c>
      <c r="F1910" t="s">
        <v>1721</v>
      </c>
      <c r="G1910" t="s">
        <v>4402</v>
      </c>
      <c r="H1910" t="s">
        <v>4293</v>
      </c>
    </row>
    <row r="1911" spans="1:8" x14ac:dyDescent="0.35">
      <c r="A1911" t="s">
        <v>379</v>
      </c>
      <c r="B1911" t="s">
        <v>1203</v>
      </c>
      <c r="C1911" t="s">
        <v>4286</v>
      </c>
      <c r="D1911">
        <v>8.3000000000000004E-2</v>
      </c>
      <c r="E1911" t="s">
        <v>1720</v>
      </c>
      <c r="F1911" t="s">
        <v>1724</v>
      </c>
      <c r="G1911" t="s">
        <v>4402</v>
      </c>
      <c r="H1911" t="s">
        <v>4287</v>
      </c>
    </row>
    <row r="1912" spans="1:8" x14ac:dyDescent="0.35">
      <c r="A1912" t="s">
        <v>379</v>
      </c>
      <c r="B1912" t="s">
        <v>1203</v>
      </c>
      <c r="C1912" t="s">
        <v>4286</v>
      </c>
      <c r="D1912">
        <v>4.1000000000000002E-2</v>
      </c>
      <c r="E1912" t="s">
        <v>1720</v>
      </c>
      <c r="F1912" t="s">
        <v>1721</v>
      </c>
      <c r="G1912" t="s">
        <v>4402</v>
      </c>
      <c r="H1912" t="s">
        <v>4287</v>
      </c>
    </row>
    <row r="1913" spans="1:8" x14ac:dyDescent="0.35">
      <c r="A1913" t="s">
        <v>379</v>
      </c>
      <c r="B1913" t="s">
        <v>1203</v>
      </c>
      <c r="C1913" t="s">
        <v>4296</v>
      </c>
      <c r="D1913">
        <v>8.3000000000000004E-2</v>
      </c>
      <c r="E1913" t="s">
        <v>1720</v>
      </c>
      <c r="F1913" t="s">
        <v>1724</v>
      </c>
      <c r="G1913" t="s">
        <v>4402</v>
      </c>
      <c r="H1913" t="s">
        <v>4297</v>
      </c>
    </row>
    <row r="1914" spans="1:8" x14ac:dyDescent="0.35">
      <c r="A1914" t="s">
        <v>379</v>
      </c>
      <c r="B1914" t="s">
        <v>1203</v>
      </c>
      <c r="C1914" t="s">
        <v>4296</v>
      </c>
      <c r="D1914">
        <v>4.1000000000000002E-2</v>
      </c>
      <c r="E1914" t="s">
        <v>1720</v>
      </c>
      <c r="F1914" t="s">
        <v>1721</v>
      </c>
      <c r="G1914" t="s">
        <v>4402</v>
      </c>
      <c r="H1914" t="s">
        <v>4297</v>
      </c>
    </row>
    <row r="1915" spans="1:8" x14ac:dyDescent="0.35">
      <c r="A1915" t="s">
        <v>75</v>
      </c>
      <c r="B1915" t="s">
        <v>904</v>
      </c>
      <c r="C1915" t="s">
        <v>4187</v>
      </c>
      <c r="D1915">
        <v>520</v>
      </c>
      <c r="E1915" t="s">
        <v>1720</v>
      </c>
      <c r="F1915" t="s">
        <v>1721</v>
      </c>
      <c r="G1915" t="s">
        <v>4384</v>
      </c>
      <c r="H1915" t="s">
        <v>4188</v>
      </c>
    </row>
    <row r="1916" spans="1:8" x14ac:dyDescent="0.35">
      <c r="A1916" t="s">
        <v>75</v>
      </c>
      <c r="B1916" t="s">
        <v>904</v>
      </c>
      <c r="C1916" t="s">
        <v>4187</v>
      </c>
      <c r="D1916">
        <v>1700</v>
      </c>
      <c r="E1916" t="s">
        <v>1720</v>
      </c>
      <c r="F1916" t="s">
        <v>1724</v>
      </c>
      <c r="G1916" t="s">
        <v>4384</v>
      </c>
      <c r="H1916" t="s">
        <v>4188</v>
      </c>
    </row>
    <row r="1917" spans="1:8" x14ac:dyDescent="0.35">
      <c r="A1917" t="s">
        <v>75</v>
      </c>
      <c r="B1917" t="s">
        <v>904</v>
      </c>
      <c r="C1917" t="s">
        <v>4185</v>
      </c>
      <c r="D1917">
        <v>1.9</v>
      </c>
      <c r="E1917" t="s">
        <v>1720</v>
      </c>
      <c r="F1917" t="s">
        <v>1721</v>
      </c>
      <c r="G1917" t="s">
        <v>4383</v>
      </c>
      <c r="H1917" t="s">
        <v>4186</v>
      </c>
    </row>
    <row r="1918" spans="1:8" x14ac:dyDescent="0.35">
      <c r="A1918" t="s">
        <v>75</v>
      </c>
      <c r="B1918" t="s">
        <v>904</v>
      </c>
      <c r="C1918" t="s">
        <v>4185</v>
      </c>
      <c r="D1918">
        <v>85</v>
      </c>
      <c r="E1918" t="s">
        <v>1720</v>
      </c>
      <c r="F1918" t="s">
        <v>1724</v>
      </c>
      <c r="G1918" t="s">
        <v>4383</v>
      </c>
      <c r="H1918" t="s">
        <v>4186</v>
      </c>
    </row>
    <row r="1919" spans="1:8" x14ac:dyDescent="0.35">
      <c r="A1919" t="s">
        <v>75</v>
      </c>
      <c r="B1919" t="s">
        <v>904</v>
      </c>
      <c r="C1919" t="s">
        <v>4195</v>
      </c>
      <c r="D1919">
        <v>50</v>
      </c>
      <c r="E1919" t="s">
        <v>1720</v>
      </c>
      <c r="F1919" t="s">
        <v>1721</v>
      </c>
      <c r="G1919" t="s">
        <v>4387</v>
      </c>
      <c r="H1919" t="s">
        <v>4196</v>
      </c>
    </row>
    <row r="1920" spans="1:8" x14ac:dyDescent="0.35">
      <c r="A1920" t="s">
        <v>75</v>
      </c>
      <c r="B1920" t="s">
        <v>904</v>
      </c>
      <c r="C1920" t="s">
        <v>4197</v>
      </c>
      <c r="D1920">
        <v>17</v>
      </c>
      <c r="E1920" t="s">
        <v>1720</v>
      </c>
      <c r="F1920" t="s">
        <v>1721</v>
      </c>
      <c r="G1920" t="s">
        <v>4388</v>
      </c>
      <c r="H1920" t="s">
        <v>4198</v>
      </c>
    </row>
    <row r="1921" spans="1:8" x14ac:dyDescent="0.35">
      <c r="A1921" t="s">
        <v>75</v>
      </c>
      <c r="B1921" t="s">
        <v>904</v>
      </c>
      <c r="C1921" t="s">
        <v>4197</v>
      </c>
      <c r="D1921">
        <v>83</v>
      </c>
      <c r="E1921" t="s">
        <v>1720</v>
      </c>
      <c r="F1921" t="s">
        <v>1724</v>
      </c>
      <c r="G1921" t="s">
        <v>4388</v>
      </c>
      <c r="H1921" t="s">
        <v>4198</v>
      </c>
    </row>
    <row r="1922" spans="1:8" x14ac:dyDescent="0.35">
      <c r="A1922" t="s">
        <v>75</v>
      </c>
      <c r="B1922" t="s">
        <v>904</v>
      </c>
      <c r="C1922" t="s">
        <v>4213</v>
      </c>
      <c r="D1922">
        <v>90</v>
      </c>
      <c r="E1922" t="s">
        <v>1720</v>
      </c>
      <c r="F1922" t="s">
        <v>1721</v>
      </c>
      <c r="G1922" t="s">
        <v>4393</v>
      </c>
      <c r="H1922" t="s">
        <v>4214</v>
      </c>
    </row>
    <row r="1923" spans="1:8" x14ac:dyDescent="0.35">
      <c r="A1923" t="s">
        <v>75</v>
      </c>
      <c r="B1923" t="s">
        <v>904</v>
      </c>
      <c r="C1923" t="s">
        <v>4213</v>
      </c>
      <c r="D1923">
        <v>1700</v>
      </c>
      <c r="E1923" t="s">
        <v>1720</v>
      </c>
      <c r="F1923" t="s">
        <v>1724</v>
      </c>
      <c r="G1923" t="s">
        <v>4393</v>
      </c>
      <c r="H1923" t="s">
        <v>4214</v>
      </c>
    </row>
    <row r="1924" spans="1:8" x14ac:dyDescent="0.35">
      <c r="A1924" t="s">
        <v>75</v>
      </c>
      <c r="B1924" t="s">
        <v>904</v>
      </c>
      <c r="C1924" t="s">
        <v>4313</v>
      </c>
      <c r="D1924">
        <v>550</v>
      </c>
      <c r="E1924" t="s">
        <v>1720</v>
      </c>
      <c r="F1924" t="s">
        <v>1721</v>
      </c>
      <c r="G1924" t="s">
        <v>4423</v>
      </c>
      <c r="H1924" t="s">
        <v>4314</v>
      </c>
    </row>
    <row r="1925" spans="1:8" x14ac:dyDescent="0.35">
      <c r="A1925" t="s">
        <v>75</v>
      </c>
      <c r="B1925" t="s">
        <v>904</v>
      </c>
      <c r="C1925" t="s">
        <v>4313</v>
      </c>
      <c r="D1925">
        <v>850</v>
      </c>
      <c r="E1925" t="s">
        <v>1720</v>
      </c>
      <c r="F1925" t="s">
        <v>1724</v>
      </c>
      <c r="G1925" t="s">
        <v>4423</v>
      </c>
      <c r="H1925" t="s">
        <v>4314</v>
      </c>
    </row>
    <row r="1926" spans="1:8" x14ac:dyDescent="0.35">
      <c r="A1926" t="s">
        <v>75</v>
      </c>
      <c r="B1926" t="s">
        <v>904</v>
      </c>
      <c r="C1926" t="s">
        <v>4313</v>
      </c>
      <c r="D1926">
        <v>550</v>
      </c>
      <c r="E1926" t="s">
        <v>1720</v>
      </c>
      <c r="F1926" t="s">
        <v>1721</v>
      </c>
      <c r="G1926" t="s">
        <v>4424</v>
      </c>
      <c r="H1926" t="s">
        <v>4314</v>
      </c>
    </row>
    <row r="1927" spans="1:8" x14ac:dyDescent="0.35">
      <c r="A1927" t="s">
        <v>75</v>
      </c>
      <c r="B1927" t="s">
        <v>904</v>
      </c>
      <c r="C1927" t="s">
        <v>4313</v>
      </c>
      <c r="D1927">
        <v>850</v>
      </c>
      <c r="E1927" t="s">
        <v>1720</v>
      </c>
      <c r="F1927" t="s">
        <v>1724</v>
      </c>
      <c r="G1927" t="s">
        <v>4424</v>
      </c>
      <c r="H1927" t="s">
        <v>4314</v>
      </c>
    </row>
    <row r="1928" spans="1:8" x14ac:dyDescent="0.35">
      <c r="A1928" t="s">
        <v>75</v>
      </c>
      <c r="B1928" t="s">
        <v>904</v>
      </c>
      <c r="C1928" t="s">
        <v>4313</v>
      </c>
      <c r="D1928">
        <v>550</v>
      </c>
      <c r="E1928" t="s">
        <v>1720</v>
      </c>
      <c r="F1928" t="s">
        <v>1721</v>
      </c>
      <c r="G1928" t="s">
        <v>4425</v>
      </c>
      <c r="H1928" t="s">
        <v>4314</v>
      </c>
    </row>
    <row r="1929" spans="1:8" x14ac:dyDescent="0.35">
      <c r="A1929" t="s">
        <v>75</v>
      </c>
      <c r="B1929" t="s">
        <v>904</v>
      </c>
      <c r="C1929" t="s">
        <v>4313</v>
      </c>
      <c r="D1929">
        <v>850</v>
      </c>
      <c r="E1929" t="s">
        <v>1720</v>
      </c>
      <c r="F1929" t="s">
        <v>1724</v>
      </c>
      <c r="G1929" t="s">
        <v>4425</v>
      </c>
      <c r="H1929" t="s">
        <v>4314</v>
      </c>
    </row>
    <row r="1930" spans="1:8" x14ac:dyDescent="0.35">
      <c r="A1930" t="s">
        <v>75</v>
      </c>
      <c r="B1930" t="s">
        <v>904</v>
      </c>
      <c r="C1930" t="s">
        <v>4223</v>
      </c>
      <c r="D1930">
        <v>520</v>
      </c>
      <c r="E1930" t="s">
        <v>1720</v>
      </c>
      <c r="F1930" t="s">
        <v>1721</v>
      </c>
      <c r="G1930" t="s">
        <v>4399</v>
      </c>
      <c r="H1930" t="s">
        <v>4224</v>
      </c>
    </row>
    <row r="1931" spans="1:8" x14ac:dyDescent="0.35">
      <c r="A1931" t="s">
        <v>75</v>
      </c>
      <c r="B1931" t="s">
        <v>904</v>
      </c>
      <c r="C1931" t="s">
        <v>4223</v>
      </c>
      <c r="D1931">
        <v>1700</v>
      </c>
      <c r="E1931" t="s">
        <v>1720</v>
      </c>
      <c r="F1931" t="s">
        <v>1724</v>
      </c>
      <c r="G1931" t="s">
        <v>4399</v>
      </c>
      <c r="H1931" t="s">
        <v>4224</v>
      </c>
    </row>
    <row r="1932" spans="1:8" x14ac:dyDescent="0.35">
      <c r="A1932" t="s">
        <v>75</v>
      </c>
      <c r="B1932" t="s">
        <v>904</v>
      </c>
      <c r="C1932" t="s">
        <v>4219</v>
      </c>
      <c r="D1932">
        <v>520</v>
      </c>
      <c r="E1932" t="s">
        <v>1720</v>
      </c>
      <c r="F1932" t="s">
        <v>1721</v>
      </c>
      <c r="G1932" t="s">
        <v>4380</v>
      </c>
      <c r="H1932" t="s">
        <v>4220</v>
      </c>
    </row>
    <row r="1933" spans="1:8" x14ac:dyDescent="0.35">
      <c r="A1933" t="s">
        <v>75</v>
      </c>
      <c r="B1933" t="s">
        <v>904</v>
      </c>
      <c r="C1933" t="s">
        <v>4219</v>
      </c>
      <c r="D1933">
        <v>1700</v>
      </c>
      <c r="E1933" t="s">
        <v>1720</v>
      </c>
      <c r="F1933" t="s">
        <v>1724</v>
      </c>
      <c r="G1933" t="s">
        <v>4380</v>
      </c>
      <c r="H1933" t="s">
        <v>4220</v>
      </c>
    </row>
    <row r="1934" spans="1:8" x14ac:dyDescent="0.35">
      <c r="A1934" t="s">
        <v>75</v>
      </c>
      <c r="B1934" t="s">
        <v>904</v>
      </c>
      <c r="C1934" t="s">
        <v>4300</v>
      </c>
      <c r="D1934">
        <v>570</v>
      </c>
      <c r="E1934" t="s">
        <v>1720</v>
      </c>
      <c r="F1934" t="s">
        <v>1724</v>
      </c>
      <c r="G1934" t="s">
        <v>4389</v>
      </c>
      <c r="H1934" t="s">
        <v>4301</v>
      </c>
    </row>
    <row r="1935" spans="1:8" x14ac:dyDescent="0.35">
      <c r="A1935" t="s">
        <v>75</v>
      </c>
      <c r="B1935" t="s">
        <v>904</v>
      </c>
      <c r="C1935" t="s">
        <v>4244</v>
      </c>
      <c r="D1935">
        <v>850</v>
      </c>
      <c r="E1935" t="s">
        <v>1720</v>
      </c>
      <c r="F1935" t="s">
        <v>1724</v>
      </c>
      <c r="G1935" t="s">
        <v>4406</v>
      </c>
      <c r="H1935" t="s">
        <v>4245</v>
      </c>
    </row>
    <row r="1936" spans="1:8" x14ac:dyDescent="0.35">
      <c r="A1936" t="s">
        <v>75</v>
      </c>
      <c r="B1936" t="s">
        <v>904</v>
      </c>
      <c r="C1936" t="s">
        <v>4244</v>
      </c>
      <c r="D1936">
        <v>550</v>
      </c>
      <c r="E1936" t="s">
        <v>1720</v>
      </c>
      <c r="F1936" t="s">
        <v>1721</v>
      </c>
      <c r="G1936" t="s">
        <v>4406</v>
      </c>
      <c r="H1936" t="s">
        <v>4245</v>
      </c>
    </row>
    <row r="1937" spans="1:8" x14ac:dyDescent="0.35">
      <c r="A1937" t="s">
        <v>75</v>
      </c>
      <c r="B1937" t="s">
        <v>904</v>
      </c>
      <c r="C1937" t="s">
        <v>4323</v>
      </c>
      <c r="D1937">
        <v>850</v>
      </c>
      <c r="E1937" t="s">
        <v>1720</v>
      </c>
      <c r="F1937" t="s">
        <v>1724</v>
      </c>
      <c r="G1937" t="s">
        <v>4428</v>
      </c>
      <c r="H1937" t="s">
        <v>4324</v>
      </c>
    </row>
    <row r="1938" spans="1:8" x14ac:dyDescent="0.35">
      <c r="A1938" t="s">
        <v>75</v>
      </c>
      <c r="B1938" t="s">
        <v>904</v>
      </c>
      <c r="C1938" t="s">
        <v>4323</v>
      </c>
      <c r="D1938">
        <v>550</v>
      </c>
      <c r="E1938" t="s">
        <v>1720</v>
      </c>
      <c r="F1938" t="s">
        <v>1721</v>
      </c>
      <c r="G1938" t="s">
        <v>4428</v>
      </c>
      <c r="H1938" t="s">
        <v>4324</v>
      </c>
    </row>
    <row r="1939" spans="1:8" x14ac:dyDescent="0.35">
      <c r="A1939" t="s">
        <v>75</v>
      </c>
      <c r="B1939" t="s">
        <v>904</v>
      </c>
      <c r="C1939" t="s">
        <v>4323</v>
      </c>
      <c r="D1939">
        <v>850</v>
      </c>
      <c r="E1939" t="s">
        <v>1720</v>
      </c>
      <c r="F1939" t="s">
        <v>1724</v>
      </c>
      <c r="G1939" t="s">
        <v>4429</v>
      </c>
      <c r="H1939" t="s">
        <v>4324</v>
      </c>
    </row>
    <row r="1940" spans="1:8" x14ac:dyDescent="0.35">
      <c r="A1940" t="s">
        <v>75</v>
      </c>
      <c r="B1940" t="s">
        <v>904</v>
      </c>
      <c r="C1940" t="s">
        <v>4323</v>
      </c>
      <c r="D1940">
        <v>550</v>
      </c>
      <c r="E1940" t="s">
        <v>1720</v>
      </c>
      <c r="F1940" t="s">
        <v>1721</v>
      </c>
      <c r="G1940" t="s">
        <v>4429</v>
      </c>
      <c r="H1940" t="s">
        <v>4324</v>
      </c>
    </row>
    <row r="1941" spans="1:8" x14ac:dyDescent="0.35">
      <c r="A1941" t="s">
        <v>75</v>
      </c>
      <c r="B1941" t="s">
        <v>904</v>
      </c>
      <c r="C1941" t="s">
        <v>4323</v>
      </c>
      <c r="D1941">
        <v>850</v>
      </c>
      <c r="E1941" t="s">
        <v>1720</v>
      </c>
      <c r="F1941" t="s">
        <v>1724</v>
      </c>
      <c r="G1941" t="s">
        <v>4430</v>
      </c>
      <c r="H1941" t="s">
        <v>4324</v>
      </c>
    </row>
    <row r="1942" spans="1:8" x14ac:dyDescent="0.35">
      <c r="A1942" t="s">
        <v>75</v>
      </c>
      <c r="B1942" t="s">
        <v>904</v>
      </c>
      <c r="C1942" t="s">
        <v>4323</v>
      </c>
      <c r="D1942">
        <v>550</v>
      </c>
      <c r="E1942" t="s">
        <v>1720</v>
      </c>
      <c r="F1942" t="s">
        <v>1721</v>
      </c>
      <c r="G1942" t="s">
        <v>4430</v>
      </c>
      <c r="H1942" t="s">
        <v>4324</v>
      </c>
    </row>
    <row r="1943" spans="1:8" x14ac:dyDescent="0.35">
      <c r="A1943" t="s">
        <v>75</v>
      </c>
      <c r="B1943" t="s">
        <v>904</v>
      </c>
      <c r="C1943" t="s">
        <v>4258</v>
      </c>
      <c r="D1943">
        <v>850</v>
      </c>
      <c r="E1943" t="s">
        <v>1720</v>
      </c>
      <c r="F1943" t="s">
        <v>1724</v>
      </c>
      <c r="G1943" t="s">
        <v>4408</v>
      </c>
      <c r="H1943" t="s">
        <v>4259</v>
      </c>
    </row>
    <row r="1944" spans="1:8" x14ac:dyDescent="0.35">
      <c r="A1944" t="s">
        <v>75</v>
      </c>
      <c r="B1944" t="s">
        <v>904</v>
      </c>
      <c r="C1944" t="s">
        <v>4258</v>
      </c>
      <c r="D1944">
        <v>550</v>
      </c>
      <c r="E1944" t="s">
        <v>1720</v>
      </c>
      <c r="F1944" t="s">
        <v>1721</v>
      </c>
      <c r="G1944" t="s">
        <v>4408</v>
      </c>
      <c r="H1944" t="s">
        <v>4259</v>
      </c>
    </row>
    <row r="1945" spans="1:8" x14ac:dyDescent="0.35">
      <c r="A1945" t="s">
        <v>75</v>
      </c>
      <c r="B1945" t="s">
        <v>904</v>
      </c>
      <c r="C1945" t="s">
        <v>4266</v>
      </c>
      <c r="D1945">
        <v>1700</v>
      </c>
      <c r="E1945" t="s">
        <v>1720</v>
      </c>
      <c r="F1945" t="s">
        <v>1724</v>
      </c>
      <c r="G1945" t="s">
        <v>4402</v>
      </c>
      <c r="H1945" t="s">
        <v>4267</v>
      </c>
    </row>
    <row r="1946" spans="1:8" x14ac:dyDescent="0.35">
      <c r="A1946" t="s">
        <v>75</v>
      </c>
      <c r="B1946" t="s">
        <v>904</v>
      </c>
      <c r="C1946" t="s">
        <v>4266</v>
      </c>
      <c r="D1946">
        <v>520</v>
      </c>
      <c r="E1946" t="s">
        <v>1720</v>
      </c>
      <c r="F1946" t="s">
        <v>1721</v>
      </c>
      <c r="G1946" t="s">
        <v>4402</v>
      </c>
      <c r="H1946" t="s">
        <v>4267</v>
      </c>
    </row>
    <row r="1947" spans="1:8" x14ac:dyDescent="0.35">
      <c r="A1947" t="s">
        <v>415</v>
      </c>
      <c r="B1947" t="s">
        <v>1239</v>
      </c>
      <c r="C1947" t="s">
        <v>4179</v>
      </c>
      <c r="D1947">
        <v>1E-3</v>
      </c>
      <c r="E1947" t="s">
        <v>1720</v>
      </c>
      <c r="F1947" t="s">
        <v>1721</v>
      </c>
      <c r="G1947" t="s">
        <v>4380</v>
      </c>
      <c r="H1947" t="s">
        <v>4180</v>
      </c>
    </row>
    <row r="1948" spans="1:8" x14ac:dyDescent="0.35">
      <c r="A1948" t="s">
        <v>415</v>
      </c>
      <c r="B1948" t="s">
        <v>1239</v>
      </c>
      <c r="C1948" t="s">
        <v>4183</v>
      </c>
      <c r="D1948">
        <v>1E-3</v>
      </c>
      <c r="E1948" t="s">
        <v>1720</v>
      </c>
      <c r="F1948" t="s">
        <v>1721</v>
      </c>
      <c r="G1948" t="s">
        <v>4382</v>
      </c>
      <c r="H1948" t="s">
        <v>4184</v>
      </c>
    </row>
    <row r="1949" spans="1:8" x14ac:dyDescent="0.35">
      <c r="A1949" t="s">
        <v>415</v>
      </c>
      <c r="B1949" t="s">
        <v>1239</v>
      </c>
      <c r="C1949" t="s">
        <v>4187</v>
      </c>
      <c r="D1949">
        <v>1E-3</v>
      </c>
      <c r="E1949" t="s">
        <v>1720</v>
      </c>
      <c r="F1949" t="s">
        <v>1721</v>
      </c>
      <c r="G1949" t="s">
        <v>4384</v>
      </c>
      <c r="H1949" t="s">
        <v>4188</v>
      </c>
    </row>
    <row r="1950" spans="1:8" x14ac:dyDescent="0.35">
      <c r="A1950" t="s">
        <v>415</v>
      </c>
      <c r="B1950" t="s">
        <v>1239</v>
      </c>
      <c r="C1950" t="s">
        <v>4307</v>
      </c>
      <c r="D1950">
        <v>1E-3</v>
      </c>
      <c r="E1950" t="s">
        <v>1720</v>
      </c>
      <c r="F1950" t="s">
        <v>1721</v>
      </c>
      <c r="G1950" t="s">
        <v>4422</v>
      </c>
      <c r="H1950" t="s">
        <v>4308</v>
      </c>
    </row>
    <row r="1951" spans="1:8" x14ac:dyDescent="0.35">
      <c r="A1951" t="s">
        <v>415</v>
      </c>
      <c r="B1951" t="s">
        <v>1239</v>
      </c>
      <c r="C1951" t="s">
        <v>4305</v>
      </c>
      <c r="D1951">
        <v>1E-3</v>
      </c>
      <c r="E1951" t="s">
        <v>1720</v>
      </c>
      <c r="F1951" t="s">
        <v>1721</v>
      </c>
      <c r="G1951" t="s">
        <v>4421</v>
      </c>
      <c r="H1951" t="s">
        <v>4306</v>
      </c>
    </row>
    <row r="1952" spans="1:8" x14ac:dyDescent="0.35">
      <c r="A1952" t="s">
        <v>415</v>
      </c>
      <c r="B1952" t="s">
        <v>1239</v>
      </c>
      <c r="C1952" t="s">
        <v>4305</v>
      </c>
      <c r="D1952">
        <v>1E-3</v>
      </c>
      <c r="E1952" t="s">
        <v>1720</v>
      </c>
      <c r="F1952" t="s">
        <v>1724</v>
      </c>
      <c r="G1952" t="s">
        <v>4471</v>
      </c>
      <c r="H1952" t="s">
        <v>4306</v>
      </c>
    </row>
    <row r="1953" spans="1:8" x14ac:dyDescent="0.35">
      <c r="A1953" t="s">
        <v>415</v>
      </c>
      <c r="B1953" t="s">
        <v>1239</v>
      </c>
      <c r="C1953" t="s">
        <v>4195</v>
      </c>
      <c r="D1953">
        <v>1E-3</v>
      </c>
      <c r="E1953" t="s">
        <v>1720</v>
      </c>
      <c r="F1953" t="s">
        <v>1721</v>
      </c>
      <c r="G1953" t="s">
        <v>4387</v>
      </c>
      <c r="H1953" t="s">
        <v>4196</v>
      </c>
    </row>
    <row r="1954" spans="1:8" x14ac:dyDescent="0.35">
      <c r="A1954" t="s">
        <v>415</v>
      </c>
      <c r="B1954" t="s">
        <v>1239</v>
      </c>
      <c r="C1954" t="s">
        <v>4309</v>
      </c>
      <c r="D1954">
        <v>1E-3</v>
      </c>
      <c r="E1954" t="s">
        <v>1720</v>
      </c>
      <c r="F1954" t="s">
        <v>1721</v>
      </c>
      <c r="G1954" t="s">
        <v>4396</v>
      </c>
      <c r="H1954" t="s">
        <v>4310</v>
      </c>
    </row>
    <row r="1955" spans="1:8" x14ac:dyDescent="0.35">
      <c r="A1955" t="s">
        <v>415</v>
      </c>
      <c r="B1955" t="s">
        <v>1239</v>
      </c>
      <c r="C1955" t="s">
        <v>4205</v>
      </c>
      <c r="D1955">
        <v>1E-3</v>
      </c>
      <c r="E1955" t="s">
        <v>1720</v>
      </c>
      <c r="F1955" t="s">
        <v>1721</v>
      </c>
      <c r="G1955" t="s">
        <v>4391</v>
      </c>
      <c r="H1955" t="s">
        <v>4206</v>
      </c>
    </row>
    <row r="1956" spans="1:8" x14ac:dyDescent="0.35">
      <c r="A1956" t="s">
        <v>415</v>
      </c>
      <c r="B1956" t="s">
        <v>1239</v>
      </c>
      <c r="C1956" t="s">
        <v>4207</v>
      </c>
      <c r="D1956">
        <v>1E-3</v>
      </c>
      <c r="E1956" t="s">
        <v>1720</v>
      </c>
      <c r="F1956" t="s">
        <v>1721</v>
      </c>
      <c r="G1956" t="s">
        <v>4383</v>
      </c>
      <c r="H1956" t="s">
        <v>4208</v>
      </c>
    </row>
    <row r="1957" spans="1:8" x14ac:dyDescent="0.35">
      <c r="A1957" t="s">
        <v>415</v>
      </c>
      <c r="B1957" t="s">
        <v>1239</v>
      </c>
      <c r="C1957" t="s">
        <v>4217</v>
      </c>
      <c r="D1957">
        <v>1E-3</v>
      </c>
      <c r="E1957" t="s">
        <v>1720</v>
      </c>
      <c r="F1957" t="s">
        <v>1721</v>
      </c>
      <c r="G1957" t="s">
        <v>4396</v>
      </c>
      <c r="H1957" t="s">
        <v>4218</v>
      </c>
    </row>
    <row r="1958" spans="1:8" x14ac:dyDescent="0.35">
      <c r="A1958" t="s">
        <v>415</v>
      </c>
      <c r="B1958" t="s">
        <v>1239</v>
      </c>
      <c r="C1958" t="s">
        <v>4232</v>
      </c>
      <c r="D1958">
        <v>1E-3</v>
      </c>
      <c r="E1958" t="s">
        <v>1720</v>
      </c>
      <c r="F1958" t="s">
        <v>1721</v>
      </c>
      <c r="G1958" t="s">
        <v>4402</v>
      </c>
      <c r="H1958" t="s">
        <v>4233</v>
      </c>
    </row>
    <row r="1959" spans="1:8" x14ac:dyDescent="0.35">
      <c r="A1959" t="s">
        <v>415</v>
      </c>
      <c r="B1959" t="s">
        <v>1239</v>
      </c>
      <c r="C1959" t="s">
        <v>4317</v>
      </c>
      <c r="D1959">
        <v>1E-3</v>
      </c>
      <c r="E1959" t="s">
        <v>1720</v>
      </c>
      <c r="F1959" t="s">
        <v>1721</v>
      </c>
      <c r="G1959" t="s">
        <v>4426</v>
      </c>
      <c r="H1959" t="s">
        <v>4318</v>
      </c>
    </row>
    <row r="1960" spans="1:8" x14ac:dyDescent="0.35">
      <c r="A1960" t="s">
        <v>415</v>
      </c>
      <c r="B1960" t="s">
        <v>1239</v>
      </c>
      <c r="C1960" t="s">
        <v>4213</v>
      </c>
      <c r="D1960">
        <v>1E-3</v>
      </c>
      <c r="E1960" t="s">
        <v>1720</v>
      </c>
      <c r="F1960" t="s">
        <v>1721</v>
      </c>
      <c r="G1960" t="s">
        <v>4393</v>
      </c>
      <c r="H1960" t="s">
        <v>4214</v>
      </c>
    </row>
    <row r="1961" spans="1:8" x14ac:dyDescent="0.35">
      <c r="A1961" t="s">
        <v>415</v>
      </c>
      <c r="B1961" t="s">
        <v>1239</v>
      </c>
      <c r="C1961" t="s">
        <v>4215</v>
      </c>
      <c r="D1961">
        <v>1E-3</v>
      </c>
      <c r="E1961" t="s">
        <v>1720</v>
      </c>
      <c r="G1961" t="s">
        <v>4394</v>
      </c>
      <c r="H1961" t="s">
        <v>4216</v>
      </c>
    </row>
    <row r="1962" spans="1:8" x14ac:dyDescent="0.35">
      <c r="A1962" t="s">
        <v>415</v>
      </c>
      <c r="B1962" t="s">
        <v>1239</v>
      </c>
      <c r="C1962" t="s">
        <v>4215</v>
      </c>
      <c r="D1962">
        <v>1E-3</v>
      </c>
      <c r="E1962" t="s">
        <v>1720</v>
      </c>
      <c r="G1962" t="s">
        <v>4395</v>
      </c>
      <c r="H1962" t="s">
        <v>4216</v>
      </c>
    </row>
    <row r="1963" spans="1:8" x14ac:dyDescent="0.35">
      <c r="A1963" t="s">
        <v>415</v>
      </c>
      <c r="B1963" t="s">
        <v>1239</v>
      </c>
      <c r="C1963" t="s">
        <v>4215</v>
      </c>
      <c r="D1963">
        <v>1E-3</v>
      </c>
      <c r="E1963" t="s">
        <v>1720</v>
      </c>
      <c r="G1963" t="s">
        <v>4397</v>
      </c>
      <c r="H1963" t="s">
        <v>4216</v>
      </c>
    </row>
    <row r="1964" spans="1:8" x14ac:dyDescent="0.35">
      <c r="A1964" t="s">
        <v>415</v>
      </c>
      <c r="B1964" t="s">
        <v>1239</v>
      </c>
      <c r="C1964" t="s">
        <v>4215</v>
      </c>
      <c r="D1964">
        <v>1E-3</v>
      </c>
      <c r="E1964" t="s">
        <v>1720</v>
      </c>
      <c r="G1964" t="s">
        <v>4398</v>
      </c>
      <c r="H1964" t="s">
        <v>4216</v>
      </c>
    </row>
    <row r="1965" spans="1:8" x14ac:dyDescent="0.35">
      <c r="A1965" t="s">
        <v>415</v>
      </c>
      <c r="B1965" t="s">
        <v>1239</v>
      </c>
      <c r="C1965" t="s">
        <v>4199</v>
      </c>
      <c r="D1965">
        <v>1E-3</v>
      </c>
      <c r="E1965" t="s">
        <v>1720</v>
      </c>
      <c r="F1965" t="s">
        <v>1721</v>
      </c>
      <c r="G1965" t="s">
        <v>4388</v>
      </c>
      <c r="H1965" t="s">
        <v>4200</v>
      </c>
    </row>
    <row r="1966" spans="1:8" x14ac:dyDescent="0.35">
      <c r="A1966" t="s">
        <v>415</v>
      </c>
      <c r="B1966" t="s">
        <v>1239</v>
      </c>
      <c r="C1966" t="s">
        <v>4221</v>
      </c>
      <c r="D1966">
        <v>1E-3</v>
      </c>
      <c r="E1966" t="s">
        <v>1720</v>
      </c>
      <c r="F1966" t="s">
        <v>1721</v>
      </c>
      <c r="G1966" t="s">
        <v>4383</v>
      </c>
      <c r="H1966" t="s">
        <v>4222</v>
      </c>
    </row>
    <row r="1967" spans="1:8" x14ac:dyDescent="0.35">
      <c r="A1967" t="s">
        <v>415</v>
      </c>
      <c r="B1967" t="s">
        <v>1239</v>
      </c>
      <c r="C1967" t="s">
        <v>4230</v>
      </c>
      <c r="D1967">
        <v>1E-3</v>
      </c>
      <c r="E1967" t="s">
        <v>1720</v>
      </c>
      <c r="G1967" t="s">
        <v>4396</v>
      </c>
      <c r="H1967" t="s">
        <v>4231</v>
      </c>
    </row>
    <row r="1968" spans="1:8" x14ac:dyDescent="0.35">
      <c r="A1968" t="s">
        <v>415</v>
      </c>
      <c r="B1968" t="s">
        <v>1239</v>
      </c>
      <c r="C1968" t="s">
        <v>4311</v>
      </c>
      <c r="D1968">
        <v>1E-3</v>
      </c>
      <c r="E1968" t="s">
        <v>1720</v>
      </c>
      <c r="G1968" t="s">
        <v>4387</v>
      </c>
      <c r="H1968" t="s">
        <v>4312</v>
      </c>
    </row>
    <row r="1969" spans="1:8" x14ac:dyDescent="0.35">
      <c r="A1969" t="s">
        <v>415</v>
      </c>
      <c r="B1969" t="s">
        <v>1239</v>
      </c>
      <c r="C1969" t="s">
        <v>4315</v>
      </c>
      <c r="D1969">
        <v>1E-3</v>
      </c>
      <c r="E1969" t="s">
        <v>1720</v>
      </c>
      <c r="F1969" t="s">
        <v>1721</v>
      </c>
      <c r="G1969" t="s">
        <v>4383</v>
      </c>
      <c r="H1969" t="s">
        <v>4316</v>
      </c>
    </row>
    <row r="1970" spans="1:8" x14ac:dyDescent="0.35">
      <c r="A1970" t="s">
        <v>415</v>
      </c>
      <c r="B1970" t="s">
        <v>1239</v>
      </c>
      <c r="C1970" t="s">
        <v>4225</v>
      </c>
      <c r="D1970">
        <v>1E-3</v>
      </c>
      <c r="E1970" t="s">
        <v>1720</v>
      </c>
      <c r="F1970" t="s">
        <v>1721</v>
      </c>
      <c r="G1970" t="s">
        <v>4400</v>
      </c>
      <c r="H1970" t="s">
        <v>4226</v>
      </c>
    </row>
    <row r="1971" spans="1:8" x14ac:dyDescent="0.35">
      <c r="A1971" t="s">
        <v>415</v>
      </c>
      <c r="B1971" t="s">
        <v>1239</v>
      </c>
      <c r="C1971" t="s">
        <v>4300</v>
      </c>
      <c r="D1971">
        <v>1E-3</v>
      </c>
      <c r="E1971" t="s">
        <v>1720</v>
      </c>
      <c r="F1971" t="s">
        <v>1721</v>
      </c>
      <c r="G1971" t="s">
        <v>4389</v>
      </c>
      <c r="H1971" t="s">
        <v>4301</v>
      </c>
    </row>
    <row r="1972" spans="1:8" x14ac:dyDescent="0.35">
      <c r="A1972" t="s">
        <v>415</v>
      </c>
      <c r="B1972" t="s">
        <v>1239</v>
      </c>
      <c r="C1972" t="s">
        <v>4219</v>
      </c>
      <c r="D1972">
        <v>1E-3</v>
      </c>
      <c r="E1972" t="s">
        <v>1720</v>
      </c>
      <c r="F1972" t="s">
        <v>1721</v>
      </c>
      <c r="G1972" t="s">
        <v>4380</v>
      </c>
      <c r="H1972" t="s">
        <v>4220</v>
      </c>
    </row>
    <row r="1973" spans="1:8" x14ac:dyDescent="0.35">
      <c r="A1973" t="s">
        <v>415</v>
      </c>
      <c r="B1973" t="s">
        <v>1239</v>
      </c>
      <c r="C1973" t="s">
        <v>4313</v>
      </c>
      <c r="D1973">
        <v>1E-3</v>
      </c>
      <c r="E1973" t="s">
        <v>1720</v>
      </c>
      <c r="F1973" t="s">
        <v>1721</v>
      </c>
      <c r="G1973" t="s">
        <v>4423</v>
      </c>
      <c r="H1973" t="s">
        <v>4314</v>
      </c>
    </row>
    <row r="1974" spans="1:8" x14ac:dyDescent="0.35">
      <c r="A1974" t="s">
        <v>415</v>
      </c>
      <c r="B1974" t="s">
        <v>1239</v>
      </c>
      <c r="C1974" t="s">
        <v>4313</v>
      </c>
      <c r="D1974">
        <v>1E-3</v>
      </c>
      <c r="E1974" t="s">
        <v>1720</v>
      </c>
      <c r="F1974" t="s">
        <v>1721</v>
      </c>
      <c r="G1974" t="s">
        <v>4424</v>
      </c>
      <c r="H1974" t="s">
        <v>4314</v>
      </c>
    </row>
    <row r="1975" spans="1:8" x14ac:dyDescent="0.35">
      <c r="A1975" t="s">
        <v>415</v>
      </c>
      <c r="B1975" t="s">
        <v>1239</v>
      </c>
      <c r="C1975" t="s">
        <v>4313</v>
      </c>
      <c r="D1975">
        <v>1E-3</v>
      </c>
      <c r="E1975" t="s">
        <v>1720</v>
      </c>
      <c r="F1975" t="s">
        <v>1721</v>
      </c>
      <c r="G1975" t="s">
        <v>4425</v>
      </c>
      <c r="H1975" t="s">
        <v>4314</v>
      </c>
    </row>
    <row r="1976" spans="1:8" x14ac:dyDescent="0.35">
      <c r="A1976" t="s">
        <v>415</v>
      </c>
      <c r="B1976" t="s">
        <v>1239</v>
      </c>
      <c r="C1976" t="s">
        <v>4223</v>
      </c>
      <c r="D1976">
        <v>1E-3</v>
      </c>
      <c r="E1976" t="s">
        <v>1720</v>
      </c>
      <c r="F1976" t="s">
        <v>1721</v>
      </c>
      <c r="G1976" t="s">
        <v>4399</v>
      </c>
      <c r="H1976" t="s">
        <v>4224</v>
      </c>
    </row>
    <row r="1977" spans="1:8" x14ac:dyDescent="0.35">
      <c r="A1977" t="s">
        <v>415</v>
      </c>
      <c r="B1977" t="s">
        <v>1239</v>
      </c>
      <c r="C1977" t="s">
        <v>4234</v>
      </c>
      <c r="D1977">
        <v>1E-3</v>
      </c>
      <c r="E1977" t="s">
        <v>1720</v>
      </c>
      <c r="G1977" t="s">
        <v>4383</v>
      </c>
      <c r="H1977" t="s">
        <v>4235</v>
      </c>
    </row>
    <row r="1978" spans="1:8" x14ac:dyDescent="0.35">
      <c r="A1978" t="s">
        <v>415</v>
      </c>
      <c r="B1978" t="s">
        <v>1239</v>
      </c>
      <c r="C1978" t="s">
        <v>4229</v>
      </c>
      <c r="D1978">
        <v>1E-3</v>
      </c>
      <c r="E1978" t="s">
        <v>1720</v>
      </c>
      <c r="F1978" t="s">
        <v>1721</v>
      </c>
      <c r="G1978" t="s">
        <v>4399</v>
      </c>
      <c r="H1978" t="s">
        <v>1711</v>
      </c>
    </row>
    <row r="1979" spans="1:8" x14ac:dyDescent="0.35">
      <c r="A1979" t="s">
        <v>415</v>
      </c>
      <c r="B1979" t="s">
        <v>1239</v>
      </c>
      <c r="C1979" t="s">
        <v>4254</v>
      </c>
      <c r="D1979">
        <v>1E-3</v>
      </c>
      <c r="E1979" t="s">
        <v>1720</v>
      </c>
      <c r="F1979" t="s">
        <v>1721</v>
      </c>
      <c r="G1979" t="s">
        <v>4402</v>
      </c>
      <c r="H1979" t="s">
        <v>4255</v>
      </c>
    </row>
    <row r="1980" spans="1:8" x14ac:dyDescent="0.35">
      <c r="A1980" t="s">
        <v>415</v>
      </c>
      <c r="B1980" t="s">
        <v>1239</v>
      </c>
      <c r="C1980" t="s">
        <v>4240</v>
      </c>
      <c r="D1980">
        <v>1E-3</v>
      </c>
      <c r="E1980" t="s">
        <v>1720</v>
      </c>
      <c r="F1980" t="s">
        <v>1721</v>
      </c>
      <c r="G1980" t="s">
        <v>4402</v>
      </c>
      <c r="H1980" t="s">
        <v>4241</v>
      </c>
    </row>
    <row r="1981" spans="1:8" x14ac:dyDescent="0.35">
      <c r="A1981" t="s">
        <v>415</v>
      </c>
      <c r="B1981" t="s">
        <v>1239</v>
      </c>
      <c r="C1981" t="s">
        <v>4242</v>
      </c>
      <c r="D1981">
        <v>1E-3</v>
      </c>
      <c r="E1981" t="s">
        <v>1720</v>
      </c>
      <c r="F1981" t="s">
        <v>1721</v>
      </c>
      <c r="G1981" t="s">
        <v>4405</v>
      </c>
      <c r="H1981" t="s">
        <v>4243</v>
      </c>
    </row>
    <row r="1982" spans="1:8" x14ac:dyDescent="0.35">
      <c r="A1982" t="s">
        <v>415</v>
      </c>
      <c r="B1982" t="s">
        <v>1239</v>
      </c>
      <c r="C1982" t="s">
        <v>4244</v>
      </c>
      <c r="D1982">
        <v>1E-3</v>
      </c>
      <c r="E1982" t="s">
        <v>1720</v>
      </c>
      <c r="F1982" t="s">
        <v>1721</v>
      </c>
      <c r="G1982" t="s">
        <v>4406</v>
      </c>
      <c r="H1982" t="s">
        <v>4245</v>
      </c>
    </row>
    <row r="1983" spans="1:8" x14ac:dyDescent="0.35">
      <c r="A1983" t="s">
        <v>415</v>
      </c>
      <c r="B1983" t="s">
        <v>1239</v>
      </c>
      <c r="C1983" t="s">
        <v>4246</v>
      </c>
      <c r="D1983">
        <v>1E-3</v>
      </c>
      <c r="E1983" t="s">
        <v>1720</v>
      </c>
      <c r="F1983" t="s">
        <v>1721</v>
      </c>
      <c r="G1983" t="s">
        <v>4402</v>
      </c>
      <c r="H1983" t="s">
        <v>4247</v>
      </c>
    </row>
    <row r="1984" spans="1:8" x14ac:dyDescent="0.35">
      <c r="A1984" t="s">
        <v>415</v>
      </c>
      <c r="B1984" t="s">
        <v>1239</v>
      </c>
      <c r="C1984" t="s">
        <v>4248</v>
      </c>
      <c r="D1984">
        <v>1E-3</v>
      </c>
      <c r="E1984" t="s">
        <v>1720</v>
      </c>
      <c r="F1984" t="s">
        <v>1721</v>
      </c>
      <c r="G1984" t="s">
        <v>4402</v>
      </c>
      <c r="H1984" t="s">
        <v>4249</v>
      </c>
    </row>
    <row r="1985" spans="1:8" x14ac:dyDescent="0.35">
      <c r="A1985" t="s">
        <v>415</v>
      </c>
      <c r="B1985" t="s">
        <v>1239</v>
      </c>
      <c r="C1985" t="s">
        <v>4250</v>
      </c>
      <c r="D1985">
        <v>1E-3</v>
      </c>
      <c r="E1985" t="s">
        <v>1720</v>
      </c>
      <c r="F1985" t="s">
        <v>1721</v>
      </c>
      <c r="G1985" t="s">
        <v>4402</v>
      </c>
      <c r="H1985" t="s">
        <v>4251</v>
      </c>
    </row>
    <row r="1986" spans="1:8" x14ac:dyDescent="0.35">
      <c r="A1986" t="s">
        <v>415</v>
      </c>
      <c r="B1986" t="s">
        <v>1239</v>
      </c>
      <c r="C1986" t="s">
        <v>4252</v>
      </c>
      <c r="D1986">
        <v>1E-3</v>
      </c>
      <c r="E1986" t="s">
        <v>1720</v>
      </c>
      <c r="F1986" t="s">
        <v>1721</v>
      </c>
      <c r="G1986" t="s">
        <v>4402</v>
      </c>
      <c r="H1986" t="s">
        <v>4253</v>
      </c>
    </row>
    <row r="1987" spans="1:8" x14ac:dyDescent="0.35">
      <c r="A1987" t="s">
        <v>415</v>
      </c>
      <c r="B1987" t="s">
        <v>1239</v>
      </c>
      <c r="C1987" t="s">
        <v>4319</v>
      </c>
      <c r="D1987">
        <v>1E-3</v>
      </c>
      <c r="E1987" t="s">
        <v>1720</v>
      </c>
      <c r="F1987" t="s">
        <v>1721</v>
      </c>
      <c r="G1987" t="s">
        <v>4402</v>
      </c>
      <c r="H1987" t="s">
        <v>4320</v>
      </c>
    </row>
    <row r="1988" spans="1:8" x14ac:dyDescent="0.35">
      <c r="A1988" t="s">
        <v>415</v>
      </c>
      <c r="B1988" t="s">
        <v>1239</v>
      </c>
      <c r="C1988" t="s">
        <v>4264</v>
      </c>
      <c r="D1988">
        <v>1E-3</v>
      </c>
      <c r="E1988" t="s">
        <v>1720</v>
      </c>
      <c r="F1988" t="s">
        <v>1721</v>
      </c>
      <c r="G1988" t="s">
        <v>4402</v>
      </c>
      <c r="H1988" t="s">
        <v>4265</v>
      </c>
    </row>
    <row r="1989" spans="1:8" x14ac:dyDescent="0.35">
      <c r="A1989" t="s">
        <v>415</v>
      </c>
      <c r="B1989" t="s">
        <v>1239</v>
      </c>
      <c r="C1989" t="s">
        <v>4268</v>
      </c>
      <c r="D1989">
        <v>1E-3</v>
      </c>
      <c r="E1989" t="s">
        <v>1720</v>
      </c>
      <c r="F1989" t="s">
        <v>1721</v>
      </c>
      <c r="G1989" t="s">
        <v>4402</v>
      </c>
      <c r="H1989" t="s">
        <v>4269</v>
      </c>
    </row>
    <row r="1990" spans="1:8" x14ac:dyDescent="0.35">
      <c r="A1990" t="s">
        <v>415</v>
      </c>
      <c r="B1990" t="s">
        <v>1239</v>
      </c>
      <c r="C1990" t="s">
        <v>4256</v>
      </c>
      <c r="D1990">
        <v>1E-3</v>
      </c>
      <c r="E1990" t="s">
        <v>1720</v>
      </c>
      <c r="F1990" t="s">
        <v>1721</v>
      </c>
      <c r="G1990" t="s">
        <v>4402</v>
      </c>
      <c r="H1990" t="s">
        <v>4257</v>
      </c>
    </row>
    <row r="1991" spans="1:8" x14ac:dyDescent="0.35">
      <c r="A1991" t="s">
        <v>415</v>
      </c>
      <c r="B1991" t="s">
        <v>1239</v>
      </c>
      <c r="C1991" t="s">
        <v>4272</v>
      </c>
      <c r="D1991">
        <v>1E-3</v>
      </c>
      <c r="E1991" t="s">
        <v>1720</v>
      </c>
      <c r="F1991" t="s">
        <v>1721</v>
      </c>
      <c r="G1991" t="s">
        <v>4402</v>
      </c>
      <c r="H1991" t="s">
        <v>4273</v>
      </c>
    </row>
    <row r="1992" spans="1:8" x14ac:dyDescent="0.35">
      <c r="A1992" t="s">
        <v>415</v>
      </c>
      <c r="B1992" t="s">
        <v>1239</v>
      </c>
      <c r="C1992" t="s">
        <v>4270</v>
      </c>
      <c r="D1992">
        <v>1E-3</v>
      </c>
      <c r="E1992" t="s">
        <v>1720</v>
      </c>
      <c r="G1992" t="s">
        <v>4411</v>
      </c>
      <c r="H1992" t="s">
        <v>4271</v>
      </c>
    </row>
    <row r="1993" spans="1:8" x14ac:dyDescent="0.35">
      <c r="A1993" t="s">
        <v>415</v>
      </c>
      <c r="B1993" t="s">
        <v>1239</v>
      </c>
      <c r="C1993" t="s">
        <v>4276</v>
      </c>
      <c r="D1993">
        <v>1E-3</v>
      </c>
      <c r="E1993" t="s">
        <v>1720</v>
      </c>
      <c r="F1993" t="s">
        <v>1721</v>
      </c>
      <c r="G1993" t="s">
        <v>4413</v>
      </c>
      <c r="H1993" t="s">
        <v>4277</v>
      </c>
    </row>
    <row r="1994" spans="1:8" x14ac:dyDescent="0.35">
      <c r="A1994" t="s">
        <v>415</v>
      </c>
      <c r="B1994" t="s">
        <v>1239</v>
      </c>
      <c r="C1994" t="s">
        <v>4282</v>
      </c>
      <c r="D1994">
        <v>1E-3</v>
      </c>
      <c r="E1994" t="s">
        <v>1720</v>
      </c>
      <c r="F1994" t="s">
        <v>1721</v>
      </c>
      <c r="G1994" t="s">
        <v>4402</v>
      </c>
      <c r="H1994" t="s">
        <v>4283</v>
      </c>
    </row>
    <row r="1995" spans="1:8" x14ac:dyDescent="0.35">
      <c r="A1995" t="s">
        <v>415</v>
      </c>
      <c r="B1995" t="s">
        <v>1239</v>
      </c>
      <c r="C1995" t="s">
        <v>4280</v>
      </c>
      <c r="D1995">
        <v>1E-3</v>
      </c>
      <c r="E1995" t="s">
        <v>1720</v>
      </c>
      <c r="F1995" t="s">
        <v>1721</v>
      </c>
      <c r="G1995" t="s">
        <v>4415</v>
      </c>
      <c r="H1995" t="s">
        <v>4281</v>
      </c>
    </row>
    <row r="1996" spans="1:8" x14ac:dyDescent="0.35">
      <c r="A1996" t="s">
        <v>415</v>
      </c>
      <c r="B1996" t="s">
        <v>1239</v>
      </c>
      <c r="C1996" t="s">
        <v>4284</v>
      </c>
      <c r="D1996">
        <v>1E-3</v>
      </c>
      <c r="E1996" t="s">
        <v>1720</v>
      </c>
      <c r="G1996" t="s">
        <v>4416</v>
      </c>
      <c r="H1996" t="s">
        <v>4285</v>
      </c>
    </row>
    <row r="1997" spans="1:8" x14ac:dyDescent="0.35">
      <c r="A1997" t="s">
        <v>415</v>
      </c>
      <c r="B1997" t="s">
        <v>1239</v>
      </c>
      <c r="C1997" t="s">
        <v>4284</v>
      </c>
      <c r="D1997">
        <v>1E-3</v>
      </c>
      <c r="E1997" t="s">
        <v>1720</v>
      </c>
      <c r="G1997" t="s">
        <v>4417</v>
      </c>
      <c r="H1997" t="s">
        <v>4285</v>
      </c>
    </row>
    <row r="1998" spans="1:8" x14ac:dyDescent="0.35">
      <c r="A1998" t="s">
        <v>415</v>
      </c>
      <c r="B1998" t="s">
        <v>1239</v>
      </c>
      <c r="C1998" t="s">
        <v>4298</v>
      </c>
      <c r="D1998">
        <v>1E-3</v>
      </c>
      <c r="E1998" t="s">
        <v>1720</v>
      </c>
      <c r="F1998" t="s">
        <v>1721</v>
      </c>
      <c r="G1998" t="s">
        <v>4419</v>
      </c>
      <c r="H1998" t="s">
        <v>4299</v>
      </c>
    </row>
    <row r="1999" spans="1:8" x14ac:dyDescent="0.35">
      <c r="A1999" t="s">
        <v>415</v>
      </c>
      <c r="B1999" t="s">
        <v>1239</v>
      </c>
      <c r="C1999" t="s">
        <v>4290</v>
      </c>
      <c r="D1999">
        <v>1E-3</v>
      </c>
      <c r="E1999" t="s">
        <v>1720</v>
      </c>
      <c r="F1999" t="s">
        <v>1721</v>
      </c>
      <c r="G1999" t="s">
        <v>4402</v>
      </c>
      <c r="H1999" t="s">
        <v>4291</v>
      </c>
    </row>
    <row r="2000" spans="1:8" x14ac:dyDescent="0.35">
      <c r="A2000" t="s">
        <v>415</v>
      </c>
      <c r="B2000" t="s">
        <v>1239</v>
      </c>
      <c r="C2000" t="s">
        <v>4288</v>
      </c>
      <c r="D2000">
        <v>1E-3</v>
      </c>
      <c r="E2000" t="s">
        <v>1720</v>
      </c>
      <c r="F2000" t="s">
        <v>1721</v>
      </c>
      <c r="G2000" t="s">
        <v>4415</v>
      </c>
      <c r="H2000" t="s">
        <v>4289</v>
      </c>
    </row>
    <row r="2001" spans="1:8" x14ac:dyDescent="0.35">
      <c r="A2001" t="s">
        <v>415</v>
      </c>
      <c r="B2001" t="s">
        <v>1239</v>
      </c>
      <c r="C2001" t="s">
        <v>4292</v>
      </c>
      <c r="D2001">
        <v>1E-3</v>
      </c>
      <c r="E2001" t="s">
        <v>1720</v>
      </c>
      <c r="F2001" t="s">
        <v>1721</v>
      </c>
      <c r="G2001" t="s">
        <v>4402</v>
      </c>
      <c r="H2001" t="s">
        <v>4293</v>
      </c>
    </row>
    <row r="2002" spans="1:8" x14ac:dyDescent="0.35">
      <c r="A2002" t="s">
        <v>415</v>
      </c>
      <c r="B2002" t="s">
        <v>1239</v>
      </c>
      <c r="C2002" t="s">
        <v>4321</v>
      </c>
      <c r="D2002">
        <v>1E-3</v>
      </c>
      <c r="E2002" t="s">
        <v>1720</v>
      </c>
      <c r="F2002" t="s">
        <v>1721</v>
      </c>
      <c r="G2002" t="s">
        <v>4427</v>
      </c>
      <c r="H2002" t="s">
        <v>4322</v>
      </c>
    </row>
    <row r="2003" spans="1:8" x14ac:dyDescent="0.35">
      <c r="A2003" t="s">
        <v>415</v>
      </c>
      <c r="B2003" t="s">
        <v>1239</v>
      </c>
      <c r="C2003" t="s">
        <v>4321</v>
      </c>
      <c r="D2003">
        <v>1E-3</v>
      </c>
      <c r="E2003" t="s">
        <v>1720</v>
      </c>
      <c r="F2003" t="s">
        <v>1724</v>
      </c>
      <c r="G2003" t="s">
        <v>4427</v>
      </c>
      <c r="H2003" t="s">
        <v>4322</v>
      </c>
    </row>
    <row r="2004" spans="1:8" x14ac:dyDescent="0.35">
      <c r="A2004" t="s">
        <v>415</v>
      </c>
      <c r="B2004" t="s">
        <v>1239</v>
      </c>
      <c r="C2004" t="s">
        <v>4286</v>
      </c>
      <c r="D2004">
        <v>1E-3</v>
      </c>
      <c r="E2004" t="s">
        <v>1720</v>
      </c>
      <c r="F2004" t="s">
        <v>1721</v>
      </c>
      <c r="G2004" t="s">
        <v>4402</v>
      </c>
      <c r="H2004" t="s">
        <v>4287</v>
      </c>
    </row>
    <row r="2005" spans="1:8" x14ac:dyDescent="0.35">
      <c r="A2005" t="s">
        <v>415</v>
      </c>
      <c r="B2005" t="s">
        <v>1239</v>
      </c>
      <c r="C2005" t="s">
        <v>4296</v>
      </c>
      <c r="D2005">
        <v>1E-3</v>
      </c>
      <c r="E2005" t="s">
        <v>1720</v>
      </c>
      <c r="F2005" t="s">
        <v>1721</v>
      </c>
      <c r="G2005" t="s">
        <v>4402</v>
      </c>
      <c r="H2005" t="s">
        <v>4297</v>
      </c>
    </row>
    <row r="2006" spans="1:8" x14ac:dyDescent="0.35">
      <c r="A2006" t="s">
        <v>422</v>
      </c>
      <c r="B2006" t="s">
        <v>1246</v>
      </c>
      <c r="C2006" t="s">
        <v>4223</v>
      </c>
      <c r="D2006">
        <v>1E-3</v>
      </c>
      <c r="E2006" t="s">
        <v>1720</v>
      </c>
      <c r="F2006" t="s">
        <v>1721</v>
      </c>
      <c r="G2006" t="s">
        <v>4399</v>
      </c>
      <c r="H2006" t="s">
        <v>4224</v>
      </c>
    </row>
    <row r="2007" spans="1:8" x14ac:dyDescent="0.35">
      <c r="A2007" t="s">
        <v>444</v>
      </c>
      <c r="B2007" t="s">
        <v>1268</v>
      </c>
      <c r="C2007" t="s">
        <v>4213</v>
      </c>
      <c r="D2007">
        <v>100</v>
      </c>
      <c r="E2007" t="s">
        <v>1720</v>
      </c>
      <c r="F2007" t="s">
        <v>1721</v>
      </c>
      <c r="G2007" t="s">
        <v>4393</v>
      </c>
      <c r="H2007" t="s">
        <v>4214</v>
      </c>
    </row>
    <row r="2008" spans="1:8" x14ac:dyDescent="0.35">
      <c r="A2008" t="s">
        <v>444</v>
      </c>
      <c r="B2008" t="s">
        <v>1268</v>
      </c>
      <c r="C2008" t="s">
        <v>4223</v>
      </c>
      <c r="D2008">
        <v>100</v>
      </c>
      <c r="E2008" t="s">
        <v>1720</v>
      </c>
      <c r="F2008" t="s">
        <v>1721</v>
      </c>
      <c r="G2008" t="s">
        <v>4399</v>
      </c>
      <c r="H2008" t="s">
        <v>4224</v>
      </c>
    </row>
    <row r="2009" spans="1:8" x14ac:dyDescent="0.35">
      <c r="A2009" t="s">
        <v>598</v>
      </c>
      <c r="B2009" t="s">
        <v>1422</v>
      </c>
      <c r="C2009" t="s">
        <v>4213</v>
      </c>
      <c r="D2009">
        <v>400</v>
      </c>
      <c r="E2009" t="s">
        <v>1720</v>
      </c>
      <c r="F2009" t="s">
        <v>1721</v>
      </c>
      <c r="G2009" t="s">
        <v>4393</v>
      </c>
      <c r="H2009" t="s">
        <v>4214</v>
      </c>
    </row>
    <row r="2010" spans="1:8" x14ac:dyDescent="0.35">
      <c r="A2010" t="s">
        <v>598</v>
      </c>
      <c r="B2010" t="s">
        <v>1422</v>
      </c>
      <c r="C2010" t="s">
        <v>4332</v>
      </c>
      <c r="D2010">
        <v>0.03</v>
      </c>
      <c r="E2010" t="s">
        <v>1720</v>
      </c>
      <c r="F2010" t="s">
        <v>1721</v>
      </c>
      <c r="G2010" t="s">
        <v>4440</v>
      </c>
      <c r="H2010" t="s">
        <v>4333</v>
      </c>
    </row>
    <row r="2011" spans="1:8" x14ac:dyDescent="0.35">
      <c r="A2011" t="s">
        <v>598</v>
      </c>
      <c r="B2011" t="s">
        <v>1422</v>
      </c>
      <c r="C2011" t="s">
        <v>4332</v>
      </c>
      <c r="D2011">
        <v>30</v>
      </c>
      <c r="E2011" t="s">
        <v>1720</v>
      </c>
      <c r="F2011" t="s">
        <v>1724</v>
      </c>
      <c r="G2011" t="s">
        <v>4440</v>
      </c>
      <c r="H2011" t="s">
        <v>4333</v>
      </c>
    </row>
    <row r="2012" spans="1:8" x14ac:dyDescent="0.35">
      <c r="A2012" t="s">
        <v>598</v>
      </c>
      <c r="B2012" t="s">
        <v>1422</v>
      </c>
      <c r="C2012" t="s">
        <v>4332</v>
      </c>
      <c r="D2012">
        <v>3</v>
      </c>
      <c r="E2012" t="s">
        <v>1720</v>
      </c>
      <c r="F2012" t="s">
        <v>1721</v>
      </c>
      <c r="G2012" t="s">
        <v>4441</v>
      </c>
      <c r="H2012" t="s">
        <v>4333</v>
      </c>
    </row>
    <row r="2013" spans="1:8" x14ac:dyDescent="0.35">
      <c r="A2013" t="s">
        <v>598</v>
      </c>
      <c r="B2013" t="s">
        <v>1422</v>
      </c>
      <c r="C2013" t="s">
        <v>4332</v>
      </c>
      <c r="D2013">
        <v>30</v>
      </c>
      <c r="E2013" t="s">
        <v>1720</v>
      </c>
      <c r="F2013" t="s">
        <v>1724</v>
      </c>
      <c r="G2013" t="s">
        <v>4441</v>
      </c>
      <c r="H2013" t="s">
        <v>4333</v>
      </c>
    </row>
    <row r="2014" spans="1:8" x14ac:dyDescent="0.35">
      <c r="A2014" t="s">
        <v>598</v>
      </c>
      <c r="B2014" t="s">
        <v>1422</v>
      </c>
      <c r="C2014" t="s">
        <v>4332</v>
      </c>
      <c r="D2014">
        <v>3</v>
      </c>
      <c r="E2014" t="s">
        <v>1720</v>
      </c>
      <c r="F2014" t="s">
        <v>1721</v>
      </c>
      <c r="G2014" t="s">
        <v>4442</v>
      </c>
      <c r="H2014" t="s">
        <v>4333</v>
      </c>
    </row>
    <row r="2015" spans="1:8" x14ac:dyDescent="0.35">
      <c r="A2015" t="s">
        <v>598</v>
      </c>
      <c r="B2015" t="s">
        <v>1422</v>
      </c>
      <c r="C2015" t="s">
        <v>4332</v>
      </c>
      <c r="D2015">
        <v>30</v>
      </c>
      <c r="E2015" t="s">
        <v>1720</v>
      </c>
      <c r="F2015" t="s">
        <v>1724</v>
      </c>
      <c r="G2015" t="s">
        <v>4442</v>
      </c>
      <c r="H2015" t="s">
        <v>4333</v>
      </c>
    </row>
    <row r="2016" spans="1:8" x14ac:dyDescent="0.35">
      <c r="A2016" t="s">
        <v>598</v>
      </c>
      <c r="B2016" t="s">
        <v>1422</v>
      </c>
      <c r="C2016" t="s">
        <v>4332</v>
      </c>
      <c r="D2016">
        <v>0.03</v>
      </c>
      <c r="E2016" t="s">
        <v>1720</v>
      </c>
      <c r="F2016" t="s">
        <v>1721</v>
      </c>
      <c r="G2016" t="s">
        <v>4438</v>
      </c>
      <c r="H2016" t="s">
        <v>4333</v>
      </c>
    </row>
    <row r="2017" spans="1:8" x14ac:dyDescent="0.35">
      <c r="A2017" t="s">
        <v>598</v>
      </c>
      <c r="B2017" t="s">
        <v>1422</v>
      </c>
      <c r="C2017" t="s">
        <v>4332</v>
      </c>
      <c r="D2017">
        <v>30</v>
      </c>
      <c r="E2017" t="s">
        <v>1720</v>
      </c>
      <c r="F2017" t="s">
        <v>1724</v>
      </c>
      <c r="G2017" t="s">
        <v>4438</v>
      </c>
      <c r="H2017" t="s">
        <v>4333</v>
      </c>
    </row>
    <row r="2018" spans="1:8" x14ac:dyDescent="0.35">
      <c r="A2018" t="s">
        <v>598</v>
      </c>
      <c r="B2018" t="s">
        <v>1422</v>
      </c>
      <c r="C2018" t="s">
        <v>4332</v>
      </c>
      <c r="D2018">
        <v>0.03</v>
      </c>
      <c r="E2018" t="s">
        <v>1720</v>
      </c>
      <c r="F2018" t="s">
        <v>1721</v>
      </c>
      <c r="G2018" t="s">
        <v>4439</v>
      </c>
      <c r="H2018" t="s">
        <v>4333</v>
      </c>
    </row>
    <row r="2019" spans="1:8" x14ac:dyDescent="0.35">
      <c r="A2019" t="s">
        <v>598</v>
      </c>
      <c r="B2019" t="s">
        <v>1422</v>
      </c>
      <c r="C2019" t="s">
        <v>4332</v>
      </c>
      <c r="D2019">
        <v>30</v>
      </c>
      <c r="E2019" t="s">
        <v>1720</v>
      </c>
      <c r="F2019" t="s">
        <v>1724</v>
      </c>
      <c r="G2019" t="s">
        <v>4439</v>
      </c>
      <c r="H2019" t="s">
        <v>4333</v>
      </c>
    </row>
    <row r="2020" spans="1:8" x14ac:dyDescent="0.35">
      <c r="A2020" t="s">
        <v>233</v>
      </c>
      <c r="B2020" t="s">
        <v>1060</v>
      </c>
      <c r="C2020" t="s">
        <v>4197</v>
      </c>
      <c r="D2020">
        <v>0.1</v>
      </c>
      <c r="E2020" t="s">
        <v>1720</v>
      </c>
      <c r="F2020" t="s">
        <v>1721</v>
      </c>
      <c r="G2020" t="s">
        <v>4388</v>
      </c>
      <c r="H2020" t="s">
        <v>4198</v>
      </c>
    </row>
    <row r="2021" spans="1:8" x14ac:dyDescent="0.35">
      <c r="A2021" t="s">
        <v>233</v>
      </c>
      <c r="B2021" t="s">
        <v>1060</v>
      </c>
      <c r="C2021" t="s">
        <v>4197</v>
      </c>
      <c r="D2021">
        <v>0.5</v>
      </c>
      <c r="E2021" t="s">
        <v>1720</v>
      </c>
      <c r="F2021" t="s">
        <v>1724</v>
      </c>
      <c r="G2021" t="s">
        <v>4388</v>
      </c>
      <c r="H2021" t="s">
        <v>4198</v>
      </c>
    </row>
    <row r="2022" spans="1:8" x14ac:dyDescent="0.35">
      <c r="A2022" t="s">
        <v>233</v>
      </c>
      <c r="B2022" t="s">
        <v>1060</v>
      </c>
      <c r="C2022" t="s">
        <v>4213</v>
      </c>
      <c r="D2022">
        <v>1.2999999999999999E-2</v>
      </c>
      <c r="E2022" t="s">
        <v>1720</v>
      </c>
      <c r="F2022" t="s">
        <v>1721</v>
      </c>
      <c r="G2022" t="s">
        <v>4393</v>
      </c>
      <c r="H2022" t="s">
        <v>4214</v>
      </c>
    </row>
    <row r="2023" spans="1:8" x14ac:dyDescent="0.35">
      <c r="A2023" t="s">
        <v>233</v>
      </c>
      <c r="B2023" t="s">
        <v>1060</v>
      </c>
      <c r="C2023" t="s">
        <v>4332</v>
      </c>
      <c r="D2023">
        <v>0.03</v>
      </c>
      <c r="E2023" t="s">
        <v>1720</v>
      </c>
      <c r="F2023" t="s">
        <v>1721</v>
      </c>
      <c r="G2023" t="s">
        <v>4439</v>
      </c>
      <c r="H2023" t="s">
        <v>4333</v>
      </c>
    </row>
    <row r="2024" spans="1:8" x14ac:dyDescent="0.35">
      <c r="A2024" t="s">
        <v>233</v>
      </c>
      <c r="B2024" t="s">
        <v>1060</v>
      </c>
      <c r="C2024" t="s">
        <v>4332</v>
      </c>
      <c r="D2024">
        <v>30</v>
      </c>
      <c r="E2024" t="s">
        <v>1720</v>
      </c>
      <c r="F2024" t="s">
        <v>1724</v>
      </c>
      <c r="G2024" t="s">
        <v>4439</v>
      </c>
      <c r="H2024" t="s">
        <v>4333</v>
      </c>
    </row>
    <row r="2025" spans="1:8" x14ac:dyDescent="0.35">
      <c r="A2025" t="s">
        <v>233</v>
      </c>
      <c r="B2025" t="s">
        <v>1060</v>
      </c>
      <c r="C2025" t="s">
        <v>4332</v>
      </c>
      <c r="D2025">
        <v>0.03</v>
      </c>
      <c r="E2025" t="s">
        <v>1720</v>
      </c>
      <c r="F2025" t="s">
        <v>1721</v>
      </c>
      <c r="G2025" t="s">
        <v>4440</v>
      </c>
      <c r="H2025" t="s">
        <v>4333</v>
      </c>
    </row>
    <row r="2026" spans="1:8" x14ac:dyDescent="0.35">
      <c r="A2026" t="s">
        <v>233</v>
      </c>
      <c r="B2026" t="s">
        <v>1060</v>
      </c>
      <c r="C2026" t="s">
        <v>4332</v>
      </c>
      <c r="D2026">
        <v>30</v>
      </c>
      <c r="E2026" t="s">
        <v>1720</v>
      </c>
      <c r="F2026" t="s">
        <v>1724</v>
      </c>
      <c r="G2026" t="s">
        <v>4440</v>
      </c>
      <c r="H2026" t="s">
        <v>4333</v>
      </c>
    </row>
    <row r="2027" spans="1:8" x14ac:dyDescent="0.35">
      <c r="A2027" t="s">
        <v>233</v>
      </c>
      <c r="B2027" t="s">
        <v>1060</v>
      </c>
      <c r="C2027" t="s">
        <v>4332</v>
      </c>
      <c r="D2027">
        <v>3</v>
      </c>
      <c r="E2027" t="s">
        <v>1720</v>
      </c>
      <c r="F2027" t="s">
        <v>1721</v>
      </c>
      <c r="G2027" t="s">
        <v>4441</v>
      </c>
      <c r="H2027" t="s">
        <v>4333</v>
      </c>
    </row>
    <row r="2028" spans="1:8" x14ac:dyDescent="0.35">
      <c r="A2028" t="s">
        <v>233</v>
      </c>
      <c r="B2028" t="s">
        <v>1060</v>
      </c>
      <c r="C2028" t="s">
        <v>4332</v>
      </c>
      <c r="D2028">
        <v>30</v>
      </c>
      <c r="E2028" t="s">
        <v>1720</v>
      </c>
      <c r="F2028" t="s">
        <v>1724</v>
      </c>
      <c r="G2028" t="s">
        <v>4441</v>
      </c>
      <c r="H2028" t="s">
        <v>4333</v>
      </c>
    </row>
    <row r="2029" spans="1:8" x14ac:dyDescent="0.35">
      <c r="A2029" t="s">
        <v>233</v>
      </c>
      <c r="B2029" t="s">
        <v>1060</v>
      </c>
      <c r="C2029" t="s">
        <v>4332</v>
      </c>
      <c r="D2029">
        <v>3</v>
      </c>
      <c r="E2029" t="s">
        <v>1720</v>
      </c>
      <c r="F2029" t="s">
        <v>1721</v>
      </c>
      <c r="G2029" t="s">
        <v>4442</v>
      </c>
      <c r="H2029" t="s">
        <v>4333</v>
      </c>
    </row>
    <row r="2030" spans="1:8" x14ac:dyDescent="0.35">
      <c r="A2030" t="s">
        <v>233</v>
      </c>
      <c r="B2030" t="s">
        <v>1060</v>
      </c>
      <c r="C2030" t="s">
        <v>4332</v>
      </c>
      <c r="D2030">
        <v>30</v>
      </c>
      <c r="E2030" t="s">
        <v>1720</v>
      </c>
      <c r="F2030" t="s">
        <v>1724</v>
      </c>
      <c r="G2030" t="s">
        <v>4442</v>
      </c>
      <c r="H2030" t="s">
        <v>4333</v>
      </c>
    </row>
    <row r="2031" spans="1:8" x14ac:dyDescent="0.35">
      <c r="A2031" t="s">
        <v>233</v>
      </c>
      <c r="B2031" t="s">
        <v>1060</v>
      </c>
      <c r="C2031" t="s">
        <v>4332</v>
      </c>
      <c r="D2031">
        <v>0.03</v>
      </c>
      <c r="E2031" t="s">
        <v>1720</v>
      </c>
      <c r="F2031" t="s">
        <v>1721</v>
      </c>
      <c r="G2031" t="s">
        <v>4438</v>
      </c>
      <c r="H2031" t="s">
        <v>4333</v>
      </c>
    </row>
    <row r="2032" spans="1:8" x14ac:dyDescent="0.35">
      <c r="A2032" t="s">
        <v>233</v>
      </c>
      <c r="B2032" t="s">
        <v>1060</v>
      </c>
      <c r="C2032" t="s">
        <v>4332</v>
      </c>
      <c r="D2032">
        <v>30</v>
      </c>
      <c r="E2032" t="s">
        <v>1720</v>
      </c>
      <c r="F2032" t="s">
        <v>1724</v>
      </c>
      <c r="G2032" t="s">
        <v>4438</v>
      </c>
      <c r="H2032" t="s">
        <v>4333</v>
      </c>
    </row>
    <row r="2033" spans="1:8" x14ac:dyDescent="0.35">
      <c r="A2033" t="s">
        <v>286</v>
      </c>
      <c r="B2033" t="s">
        <v>1111</v>
      </c>
      <c r="C2033" t="s">
        <v>4213</v>
      </c>
      <c r="D2033">
        <v>1.2999999999999999E-3</v>
      </c>
      <c r="E2033" t="s">
        <v>1720</v>
      </c>
      <c r="F2033" t="s">
        <v>1721</v>
      </c>
      <c r="G2033" t="s">
        <v>4393</v>
      </c>
      <c r="H2033" t="s">
        <v>4214</v>
      </c>
    </row>
    <row r="2034" spans="1:8" x14ac:dyDescent="0.35">
      <c r="A2034" t="s">
        <v>451</v>
      </c>
      <c r="B2034" t="s">
        <v>1275</v>
      </c>
      <c r="C2034" t="s">
        <v>4213</v>
      </c>
      <c r="D2034">
        <v>1.2999999999999999E-3</v>
      </c>
      <c r="E2034" t="s">
        <v>1720</v>
      </c>
      <c r="F2034" t="s">
        <v>1721</v>
      </c>
      <c r="G2034" t="s">
        <v>4393</v>
      </c>
      <c r="H2034" t="s">
        <v>4214</v>
      </c>
    </row>
    <row r="2035" spans="1:8" x14ac:dyDescent="0.35">
      <c r="A2035" t="s">
        <v>451</v>
      </c>
      <c r="B2035" t="s">
        <v>1275</v>
      </c>
      <c r="C2035" t="s">
        <v>4332</v>
      </c>
      <c r="D2035">
        <v>0.03</v>
      </c>
      <c r="E2035" t="s">
        <v>1720</v>
      </c>
      <c r="F2035" t="s">
        <v>1721</v>
      </c>
      <c r="G2035" t="s">
        <v>4438</v>
      </c>
      <c r="H2035" t="s">
        <v>4333</v>
      </c>
    </row>
    <row r="2036" spans="1:8" x14ac:dyDescent="0.35">
      <c r="A2036" t="s">
        <v>451</v>
      </c>
      <c r="B2036" t="s">
        <v>1275</v>
      </c>
      <c r="C2036" t="s">
        <v>4332</v>
      </c>
      <c r="D2036">
        <v>30</v>
      </c>
      <c r="E2036" t="s">
        <v>1720</v>
      </c>
      <c r="F2036" t="s">
        <v>1724</v>
      </c>
      <c r="G2036" t="s">
        <v>4438</v>
      </c>
      <c r="H2036" t="s">
        <v>4333</v>
      </c>
    </row>
    <row r="2037" spans="1:8" x14ac:dyDescent="0.35">
      <c r="A2037" t="s">
        <v>451</v>
      </c>
      <c r="B2037" t="s">
        <v>1275</v>
      </c>
      <c r="C2037" t="s">
        <v>4332</v>
      </c>
      <c r="D2037">
        <v>0.03</v>
      </c>
      <c r="E2037" t="s">
        <v>1720</v>
      </c>
      <c r="F2037" t="s">
        <v>1721</v>
      </c>
      <c r="G2037" t="s">
        <v>4439</v>
      </c>
      <c r="H2037" t="s">
        <v>4333</v>
      </c>
    </row>
    <row r="2038" spans="1:8" x14ac:dyDescent="0.35">
      <c r="A2038" t="s">
        <v>451</v>
      </c>
      <c r="B2038" t="s">
        <v>1275</v>
      </c>
      <c r="C2038" t="s">
        <v>4332</v>
      </c>
      <c r="D2038">
        <v>30</v>
      </c>
      <c r="E2038" t="s">
        <v>1720</v>
      </c>
      <c r="F2038" t="s">
        <v>1724</v>
      </c>
      <c r="G2038" t="s">
        <v>4439</v>
      </c>
      <c r="H2038" t="s">
        <v>4333</v>
      </c>
    </row>
    <row r="2039" spans="1:8" x14ac:dyDescent="0.35">
      <c r="A2039" t="s">
        <v>451</v>
      </c>
      <c r="B2039" t="s">
        <v>1275</v>
      </c>
      <c r="C2039" t="s">
        <v>4332</v>
      </c>
      <c r="D2039">
        <v>0.03</v>
      </c>
      <c r="E2039" t="s">
        <v>1720</v>
      </c>
      <c r="F2039" t="s">
        <v>1721</v>
      </c>
      <c r="G2039" t="s">
        <v>4440</v>
      </c>
      <c r="H2039" t="s">
        <v>4333</v>
      </c>
    </row>
    <row r="2040" spans="1:8" x14ac:dyDescent="0.35">
      <c r="A2040" t="s">
        <v>451</v>
      </c>
      <c r="B2040" t="s">
        <v>1275</v>
      </c>
      <c r="C2040" t="s">
        <v>4332</v>
      </c>
      <c r="D2040">
        <v>30</v>
      </c>
      <c r="E2040" t="s">
        <v>1720</v>
      </c>
      <c r="F2040" t="s">
        <v>1724</v>
      </c>
      <c r="G2040" t="s">
        <v>4440</v>
      </c>
      <c r="H2040" t="s">
        <v>4333</v>
      </c>
    </row>
    <row r="2041" spans="1:8" x14ac:dyDescent="0.35">
      <c r="A2041" t="s">
        <v>451</v>
      </c>
      <c r="B2041" t="s">
        <v>1275</v>
      </c>
      <c r="C2041" t="s">
        <v>4332</v>
      </c>
      <c r="D2041">
        <v>3</v>
      </c>
      <c r="E2041" t="s">
        <v>1720</v>
      </c>
      <c r="F2041" t="s">
        <v>1721</v>
      </c>
      <c r="G2041" t="s">
        <v>4441</v>
      </c>
      <c r="H2041" t="s">
        <v>4333</v>
      </c>
    </row>
    <row r="2042" spans="1:8" x14ac:dyDescent="0.35">
      <c r="A2042" t="s">
        <v>451</v>
      </c>
      <c r="B2042" t="s">
        <v>1275</v>
      </c>
      <c r="C2042" t="s">
        <v>4332</v>
      </c>
      <c r="D2042">
        <v>30</v>
      </c>
      <c r="E2042" t="s">
        <v>1720</v>
      </c>
      <c r="F2042" t="s">
        <v>1724</v>
      </c>
      <c r="G2042" t="s">
        <v>4441</v>
      </c>
      <c r="H2042" t="s">
        <v>4333</v>
      </c>
    </row>
    <row r="2043" spans="1:8" x14ac:dyDescent="0.35">
      <c r="A2043" t="s">
        <v>451</v>
      </c>
      <c r="B2043" t="s">
        <v>1275</v>
      </c>
      <c r="C2043" t="s">
        <v>4332</v>
      </c>
      <c r="D2043">
        <v>3</v>
      </c>
      <c r="E2043" t="s">
        <v>1720</v>
      </c>
      <c r="F2043" t="s">
        <v>1721</v>
      </c>
      <c r="G2043" t="s">
        <v>4442</v>
      </c>
      <c r="H2043" t="s">
        <v>4333</v>
      </c>
    </row>
    <row r="2044" spans="1:8" x14ac:dyDescent="0.35">
      <c r="A2044" t="s">
        <v>451</v>
      </c>
      <c r="B2044" t="s">
        <v>1275</v>
      </c>
      <c r="C2044" t="s">
        <v>4332</v>
      </c>
      <c r="D2044">
        <v>30</v>
      </c>
      <c r="E2044" t="s">
        <v>1720</v>
      </c>
      <c r="F2044" t="s">
        <v>1724</v>
      </c>
      <c r="G2044" t="s">
        <v>4442</v>
      </c>
      <c r="H2044" t="s">
        <v>4333</v>
      </c>
    </row>
    <row r="2045" spans="1:8" x14ac:dyDescent="0.35">
      <c r="A2045" t="s">
        <v>449</v>
      </c>
      <c r="B2045" t="s">
        <v>1273</v>
      </c>
      <c r="C2045" t="s">
        <v>4213</v>
      </c>
      <c r="D2045">
        <v>1.2999999999999999E-2</v>
      </c>
      <c r="E2045" t="s">
        <v>1720</v>
      </c>
      <c r="F2045" t="s">
        <v>1721</v>
      </c>
      <c r="G2045" t="s">
        <v>4393</v>
      </c>
      <c r="H2045" t="s">
        <v>4214</v>
      </c>
    </row>
    <row r="2046" spans="1:8" x14ac:dyDescent="0.35">
      <c r="A2046" t="s">
        <v>449</v>
      </c>
      <c r="B2046" t="s">
        <v>1273</v>
      </c>
      <c r="C2046" t="s">
        <v>4332</v>
      </c>
      <c r="D2046">
        <v>0.03</v>
      </c>
      <c r="E2046" t="s">
        <v>1720</v>
      </c>
      <c r="F2046" t="s">
        <v>1721</v>
      </c>
      <c r="G2046" t="s">
        <v>4438</v>
      </c>
      <c r="H2046" t="s">
        <v>4333</v>
      </c>
    </row>
    <row r="2047" spans="1:8" x14ac:dyDescent="0.35">
      <c r="A2047" t="s">
        <v>449</v>
      </c>
      <c r="B2047" t="s">
        <v>1273</v>
      </c>
      <c r="C2047" t="s">
        <v>4332</v>
      </c>
      <c r="D2047">
        <v>30</v>
      </c>
      <c r="E2047" t="s">
        <v>1720</v>
      </c>
      <c r="F2047" t="s">
        <v>1724</v>
      </c>
      <c r="G2047" t="s">
        <v>4438</v>
      </c>
      <c r="H2047" t="s">
        <v>4333</v>
      </c>
    </row>
    <row r="2048" spans="1:8" x14ac:dyDescent="0.35">
      <c r="A2048" t="s">
        <v>449</v>
      </c>
      <c r="B2048" t="s">
        <v>1273</v>
      </c>
      <c r="C2048" t="s">
        <v>4332</v>
      </c>
      <c r="D2048">
        <v>0.03</v>
      </c>
      <c r="E2048" t="s">
        <v>1720</v>
      </c>
      <c r="F2048" t="s">
        <v>1721</v>
      </c>
      <c r="G2048" t="s">
        <v>4439</v>
      </c>
      <c r="H2048" t="s">
        <v>4333</v>
      </c>
    </row>
    <row r="2049" spans="1:8" x14ac:dyDescent="0.35">
      <c r="A2049" t="s">
        <v>449</v>
      </c>
      <c r="B2049" t="s">
        <v>1273</v>
      </c>
      <c r="C2049" t="s">
        <v>4332</v>
      </c>
      <c r="D2049">
        <v>30</v>
      </c>
      <c r="E2049" t="s">
        <v>1720</v>
      </c>
      <c r="F2049" t="s">
        <v>1724</v>
      </c>
      <c r="G2049" t="s">
        <v>4439</v>
      </c>
      <c r="H2049" t="s">
        <v>4333</v>
      </c>
    </row>
    <row r="2050" spans="1:8" x14ac:dyDescent="0.35">
      <c r="A2050" t="s">
        <v>449</v>
      </c>
      <c r="B2050" t="s">
        <v>1273</v>
      </c>
      <c r="C2050" t="s">
        <v>4332</v>
      </c>
      <c r="D2050">
        <v>0.03</v>
      </c>
      <c r="E2050" t="s">
        <v>1720</v>
      </c>
      <c r="F2050" t="s">
        <v>1721</v>
      </c>
      <c r="G2050" t="s">
        <v>4440</v>
      </c>
      <c r="H2050" t="s">
        <v>4333</v>
      </c>
    </row>
    <row r="2051" spans="1:8" x14ac:dyDescent="0.35">
      <c r="A2051" t="s">
        <v>449</v>
      </c>
      <c r="B2051" t="s">
        <v>1273</v>
      </c>
      <c r="C2051" t="s">
        <v>4332</v>
      </c>
      <c r="D2051">
        <v>30</v>
      </c>
      <c r="E2051" t="s">
        <v>1720</v>
      </c>
      <c r="F2051" t="s">
        <v>1724</v>
      </c>
      <c r="G2051" t="s">
        <v>4440</v>
      </c>
      <c r="H2051" t="s">
        <v>4333</v>
      </c>
    </row>
    <row r="2052" spans="1:8" x14ac:dyDescent="0.35">
      <c r="A2052" t="s">
        <v>449</v>
      </c>
      <c r="B2052" t="s">
        <v>1273</v>
      </c>
      <c r="C2052" t="s">
        <v>4332</v>
      </c>
      <c r="D2052">
        <v>3</v>
      </c>
      <c r="E2052" t="s">
        <v>1720</v>
      </c>
      <c r="F2052" t="s">
        <v>1721</v>
      </c>
      <c r="G2052" t="s">
        <v>4441</v>
      </c>
      <c r="H2052" t="s">
        <v>4333</v>
      </c>
    </row>
    <row r="2053" spans="1:8" x14ac:dyDescent="0.35">
      <c r="A2053" t="s">
        <v>449</v>
      </c>
      <c r="B2053" t="s">
        <v>1273</v>
      </c>
      <c r="C2053" t="s">
        <v>4332</v>
      </c>
      <c r="D2053">
        <v>30</v>
      </c>
      <c r="E2053" t="s">
        <v>1720</v>
      </c>
      <c r="F2053" t="s">
        <v>1724</v>
      </c>
      <c r="G2053" t="s">
        <v>4441</v>
      </c>
      <c r="H2053" t="s">
        <v>4333</v>
      </c>
    </row>
    <row r="2054" spans="1:8" x14ac:dyDescent="0.35">
      <c r="A2054" t="s">
        <v>449</v>
      </c>
      <c r="B2054" t="s">
        <v>1273</v>
      </c>
      <c r="C2054" t="s">
        <v>4332</v>
      </c>
      <c r="D2054">
        <v>3</v>
      </c>
      <c r="E2054" t="s">
        <v>1720</v>
      </c>
      <c r="F2054" t="s">
        <v>1721</v>
      </c>
      <c r="G2054" t="s">
        <v>4442</v>
      </c>
      <c r="H2054" t="s">
        <v>4333</v>
      </c>
    </row>
    <row r="2055" spans="1:8" x14ac:dyDescent="0.35">
      <c r="A2055" t="s">
        <v>449</v>
      </c>
      <c r="B2055" t="s">
        <v>1273</v>
      </c>
      <c r="C2055" t="s">
        <v>4332</v>
      </c>
      <c r="D2055">
        <v>30</v>
      </c>
      <c r="E2055" t="s">
        <v>1720</v>
      </c>
      <c r="F2055" t="s">
        <v>1724</v>
      </c>
      <c r="G2055" t="s">
        <v>4442</v>
      </c>
      <c r="H2055" t="s">
        <v>4333</v>
      </c>
    </row>
    <row r="2056" spans="1:8" x14ac:dyDescent="0.35">
      <c r="A2056" t="s">
        <v>435</v>
      </c>
      <c r="B2056" t="s">
        <v>1259</v>
      </c>
      <c r="C2056" t="s">
        <v>4213</v>
      </c>
      <c r="D2056">
        <v>1.3</v>
      </c>
      <c r="E2056" t="s">
        <v>1720</v>
      </c>
      <c r="F2056" t="s">
        <v>1721</v>
      </c>
      <c r="G2056" t="s">
        <v>4393</v>
      </c>
      <c r="H2056" t="s">
        <v>4214</v>
      </c>
    </row>
    <row r="2057" spans="1:8" x14ac:dyDescent="0.35">
      <c r="A2057" t="s">
        <v>435</v>
      </c>
      <c r="B2057" t="s">
        <v>1259</v>
      </c>
      <c r="C2057" t="s">
        <v>4332</v>
      </c>
      <c r="D2057">
        <v>0.03</v>
      </c>
      <c r="E2057" t="s">
        <v>1720</v>
      </c>
      <c r="F2057" t="s">
        <v>1721</v>
      </c>
      <c r="G2057" t="s">
        <v>4438</v>
      </c>
      <c r="H2057" t="s">
        <v>4333</v>
      </c>
    </row>
    <row r="2058" spans="1:8" x14ac:dyDescent="0.35">
      <c r="A2058" t="s">
        <v>435</v>
      </c>
      <c r="B2058" t="s">
        <v>1259</v>
      </c>
      <c r="C2058" t="s">
        <v>4332</v>
      </c>
      <c r="D2058">
        <v>30</v>
      </c>
      <c r="E2058" t="s">
        <v>1720</v>
      </c>
      <c r="F2058" t="s">
        <v>1724</v>
      </c>
      <c r="G2058" t="s">
        <v>4438</v>
      </c>
      <c r="H2058" t="s">
        <v>4333</v>
      </c>
    </row>
    <row r="2059" spans="1:8" x14ac:dyDescent="0.35">
      <c r="A2059" t="s">
        <v>435</v>
      </c>
      <c r="B2059" t="s">
        <v>1259</v>
      </c>
      <c r="C2059" t="s">
        <v>4332</v>
      </c>
      <c r="D2059">
        <v>0.03</v>
      </c>
      <c r="E2059" t="s">
        <v>1720</v>
      </c>
      <c r="F2059" t="s">
        <v>1721</v>
      </c>
      <c r="G2059" t="s">
        <v>4439</v>
      </c>
      <c r="H2059" t="s">
        <v>4333</v>
      </c>
    </row>
    <row r="2060" spans="1:8" x14ac:dyDescent="0.35">
      <c r="A2060" t="s">
        <v>435</v>
      </c>
      <c r="B2060" t="s">
        <v>1259</v>
      </c>
      <c r="C2060" t="s">
        <v>4332</v>
      </c>
      <c r="D2060">
        <v>30</v>
      </c>
      <c r="E2060" t="s">
        <v>1720</v>
      </c>
      <c r="F2060" t="s">
        <v>1724</v>
      </c>
      <c r="G2060" t="s">
        <v>4439</v>
      </c>
      <c r="H2060" t="s">
        <v>4333</v>
      </c>
    </row>
    <row r="2061" spans="1:8" x14ac:dyDescent="0.35">
      <c r="A2061" t="s">
        <v>435</v>
      </c>
      <c r="B2061" t="s">
        <v>1259</v>
      </c>
      <c r="C2061" t="s">
        <v>4332</v>
      </c>
      <c r="D2061">
        <v>0.03</v>
      </c>
      <c r="E2061" t="s">
        <v>1720</v>
      </c>
      <c r="F2061" t="s">
        <v>1721</v>
      </c>
      <c r="G2061" t="s">
        <v>4440</v>
      </c>
      <c r="H2061" t="s">
        <v>4333</v>
      </c>
    </row>
    <row r="2062" spans="1:8" x14ac:dyDescent="0.35">
      <c r="A2062" t="s">
        <v>435</v>
      </c>
      <c r="B2062" t="s">
        <v>1259</v>
      </c>
      <c r="C2062" t="s">
        <v>4332</v>
      </c>
      <c r="D2062">
        <v>30</v>
      </c>
      <c r="E2062" t="s">
        <v>1720</v>
      </c>
      <c r="F2062" t="s">
        <v>1724</v>
      </c>
      <c r="G2062" t="s">
        <v>4440</v>
      </c>
      <c r="H2062" t="s">
        <v>4333</v>
      </c>
    </row>
    <row r="2063" spans="1:8" x14ac:dyDescent="0.35">
      <c r="A2063" t="s">
        <v>435</v>
      </c>
      <c r="B2063" t="s">
        <v>1259</v>
      </c>
      <c r="C2063" t="s">
        <v>4332</v>
      </c>
      <c r="D2063">
        <v>3</v>
      </c>
      <c r="E2063" t="s">
        <v>1720</v>
      </c>
      <c r="F2063" t="s">
        <v>1721</v>
      </c>
      <c r="G2063" t="s">
        <v>4441</v>
      </c>
      <c r="H2063" t="s">
        <v>4333</v>
      </c>
    </row>
    <row r="2064" spans="1:8" x14ac:dyDescent="0.35">
      <c r="A2064" t="s">
        <v>435</v>
      </c>
      <c r="B2064" t="s">
        <v>1259</v>
      </c>
      <c r="C2064" t="s">
        <v>4332</v>
      </c>
      <c r="D2064">
        <v>30</v>
      </c>
      <c r="E2064" t="s">
        <v>1720</v>
      </c>
      <c r="F2064" t="s">
        <v>1724</v>
      </c>
      <c r="G2064" t="s">
        <v>4441</v>
      </c>
      <c r="H2064" t="s">
        <v>4333</v>
      </c>
    </row>
    <row r="2065" spans="1:8" x14ac:dyDescent="0.35">
      <c r="A2065" t="s">
        <v>435</v>
      </c>
      <c r="B2065" t="s">
        <v>1259</v>
      </c>
      <c r="C2065" t="s">
        <v>4332</v>
      </c>
      <c r="D2065">
        <v>3</v>
      </c>
      <c r="E2065" t="s">
        <v>1720</v>
      </c>
      <c r="F2065" t="s">
        <v>1721</v>
      </c>
      <c r="G2065" t="s">
        <v>4442</v>
      </c>
      <c r="H2065" t="s">
        <v>4333</v>
      </c>
    </row>
    <row r="2066" spans="1:8" x14ac:dyDescent="0.35">
      <c r="A2066" t="s">
        <v>435</v>
      </c>
      <c r="B2066" t="s">
        <v>1259</v>
      </c>
      <c r="C2066" t="s">
        <v>4332</v>
      </c>
      <c r="D2066">
        <v>30</v>
      </c>
      <c r="E2066" t="s">
        <v>1720</v>
      </c>
      <c r="F2066" t="s">
        <v>1724</v>
      </c>
      <c r="G2066" t="s">
        <v>4442</v>
      </c>
      <c r="H2066" t="s">
        <v>4333</v>
      </c>
    </row>
    <row r="2067" spans="1:8" x14ac:dyDescent="0.35">
      <c r="A2067" t="s">
        <v>470</v>
      </c>
      <c r="B2067" t="s">
        <v>1294</v>
      </c>
      <c r="C2067" t="s">
        <v>4213</v>
      </c>
      <c r="D2067">
        <v>12</v>
      </c>
      <c r="E2067" t="s">
        <v>1720</v>
      </c>
      <c r="F2067" t="s">
        <v>1721</v>
      </c>
      <c r="G2067" t="s">
        <v>4393</v>
      </c>
      <c r="H2067" t="s">
        <v>4214</v>
      </c>
    </row>
    <row r="2068" spans="1:8" x14ac:dyDescent="0.35">
      <c r="A2068" t="s">
        <v>470</v>
      </c>
      <c r="B2068" t="s">
        <v>1294</v>
      </c>
      <c r="C2068" t="s">
        <v>4213</v>
      </c>
      <c r="D2068">
        <v>330</v>
      </c>
      <c r="E2068" t="s">
        <v>1720</v>
      </c>
      <c r="F2068" t="s">
        <v>1724</v>
      </c>
      <c r="G2068" t="s">
        <v>4393</v>
      </c>
      <c r="H2068" t="s">
        <v>4214</v>
      </c>
    </row>
    <row r="2069" spans="1:8" x14ac:dyDescent="0.35">
      <c r="A2069" t="s">
        <v>470</v>
      </c>
      <c r="B2069" t="s">
        <v>1294</v>
      </c>
      <c r="C2069" t="s">
        <v>4223</v>
      </c>
      <c r="D2069">
        <v>3</v>
      </c>
      <c r="E2069" t="s">
        <v>1720</v>
      </c>
      <c r="F2069" t="s">
        <v>1721</v>
      </c>
      <c r="G2069" t="s">
        <v>4399</v>
      </c>
      <c r="H2069" t="s">
        <v>4224</v>
      </c>
    </row>
    <row r="2070" spans="1:8" x14ac:dyDescent="0.35">
      <c r="A2070" t="s">
        <v>470</v>
      </c>
      <c r="B2070" t="s">
        <v>1294</v>
      </c>
      <c r="C2070" t="s">
        <v>4223</v>
      </c>
      <c r="D2070">
        <v>170</v>
      </c>
      <c r="E2070" t="s">
        <v>1720</v>
      </c>
      <c r="F2070" t="s">
        <v>1724</v>
      </c>
      <c r="G2070" t="s">
        <v>4399</v>
      </c>
      <c r="H2070" t="s">
        <v>4224</v>
      </c>
    </row>
    <row r="2071" spans="1:8" x14ac:dyDescent="0.35">
      <c r="A2071" t="s">
        <v>477</v>
      </c>
      <c r="B2071" t="s">
        <v>1301</v>
      </c>
      <c r="C2071" t="s">
        <v>4213</v>
      </c>
      <c r="D2071">
        <v>14300</v>
      </c>
      <c r="E2071" t="s">
        <v>1720</v>
      </c>
      <c r="F2071" t="s">
        <v>1721</v>
      </c>
      <c r="G2071" t="s">
        <v>4393</v>
      </c>
      <c r="H2071" t="s">
        <v>4214</v>
      </c>
    </row>
    <row r="2072" spans="1:8" x14ac:dyDescent="0.35">
      <c r="A2072" t="s">
        <v>477</v>
      </c>
      <c r="B2072" t="s">
        <v>1301</v>
      </c>
      <c r="C2072" t="s">
        <v>4223</v>
      </c>
      <c r="D2072">
        <v>14300</v>
      </c>
      <c r="E2072" t="s">
        <v>1720</v>
      </c>
      <c r="F2072" t="s">
        <v>1721</v>
      </c>
      <c r="G2072" t="s">
        <v>4399</v>
      </c>
      <c r="H2072" t="s">
        <v>4224</v>
      </c>
    </row>
    <row r="2073" spans="1:8" x14ac:dyDescent="0.35">
      <c r="A2073" t="s">
        <v>255</v>
      </c>
      <c r="B2073" t="s">
        <v>1081</v>
      </c>
      <c r="C2073" t="s">
        <v>4213</v>
      </c>
      <c r="D2073">
        <v>1.2999999999999999E-3</v>
      </c>
      <c r="E2073" t="s">
        <v>1720</v>
      </c>
      <c r="F2073" t="s">
        <v>1721</v>
      </c>
      <c r="G2073" t="s">
        <v>4393</v>
      </c>
      <c r="H2073" t="s">
        <v>4214</v>
      </c>
    </row>
    <row r="2074" spans="1:8" x14ac:dyDescent="0.35">
      <c r="A2074" t="s">
        <v>255</v>
      </c>
      <c r="B2074" t="s">
        <v>1081</v>
      </c>
      <c r="C2074" t="s">
        <v>4332</v>
      </c>
      <c r="D2074">
        <v>0.03</v>
      </c>
      <c r="E2074" t="s">
        <v>1720</v>
      </c>
      <c r="F2074" t="s">
        <v>1721</v>
      </c>
      <c r="G2074" t="s">
        <v>4438</v>
      </c>
      <c r="H2074" t="s">
        <v>4333</v>
      </c>
    </row>
    <row r="2075" spans="1:8" x14ac:dyDescent="0.35">
      <c r="A2075" t="s">
        <v>255</v>
      </c>
      <c r="B2075" t="s">
        <v>1081</v>
      </c>
      <c r="C2075" t="s">
        <v>4332</v>
      </c>
      <c r="D2075">
        <v>30</v>
      </c>
      <c r="E2075" t="s">
        <v>1720</v>
      </c>
      <c r="F2075" t="s">
        <v>1724</v>
      </c>
      <c r="G2075" t="s">
        <v>4438</v>
      </c>
      <c r="H2075" t="s">
        <v>4333</v>
      </c>
    </row>
    <row r="2076" spans="1:8" x14ac:dyDescent="0.35">
      <c r="A2076" t="s">
        <v>255</v>
      </c>
      <c r="B2076" t="s">
        <v>1081</v>
      </c>
      <c r="C2076" t="s">
        <v>4332</v>
      </c>
      <c r="D2076">
        <v>0.03</v>
      </c>
      <c r="E2076" t="s">
        <v>1720</v>
      </c>
      <c r="F2076" t="s">
        <v>1721</v>
      </c>
      <c r="G2076" t="s">
        <v>4439</v>
      </c>
      <c r="H2076" t="s">
        <v>4333</v>
      </c>
    </row>
    <row r="2077" spans="1:8" x14ac:dyDescent="0.35">
      <c r="A2077" t="s">
        <v>255</v>
      </c>
      <c r="B2077" t="s">
        <v>1081</v>
      </c>
      <c r="C2077" t="s">
        <v>4332</v>
      </c>
      <c r="D2077">
        <v>30</v>
      </c>
      <c r="E2077" t="s">
        <v>1720</v>
      </c>
      <c r="F2077" t="s">
        <v>1724</v>
      </c>
      <c r="G2077" t="s">
        <v>4439</v>
      </c>
      <c r="H2077" t="s">
        <v>4333</v>
      </c>
    </row>
    <row r="2078" spans="1:8" x14ac:dyDescent="0.35">
      <c r="A2078" t="s">
        <v>255</v>
      </c>
      <c r="B2078" t="s">
        <v>1081</v>
      </c>
      <c r="C2078" t="s">
        <v>4332</v>
      </c>
      <c r="D2078">
        <v>0.03</v>
      </c>
      <c r="E2078" t="s">
        <v>1720</v>
      </c>
      <c r="F2078" t="s">
        <v>1721</v>
      </c>
      <c r="G2078" t="s">
        <v>4440</v>
      </c>
      <c r="H2078" t="s">
        <v>4333</v>
      </c>
    </row>
    <row r="2079" spans="1:8" x14ac:dyDescent="0.35">
      <c r="A2079" t="s">
        <v>255</v>
      </c>
      <c r="B2079" t="s">
        <v>1081</v>
      </c>
      <c r="C2079" t="s">
        <v>4332</v>
      </c>
      <c r="D2079">
        <v>30</v>
      </c>
      <c r="E2079" t="s">
        <v>1720</v>
      </c>
      <c r="F2079" t="s">
        <v>1724</v>
      </c>
      <c r="G2079" t="s">
        <v>4440</v>
      </c>
      <c r="H2079" t="s">
        <v>4333</v>
      </c>
    </row>
    <row r="2080" spans="1:8" x14ac:dyDescent="0.35">
      <c r="A2080" t="s">
        <v>255</v>
      </c>
      <c r="B2080" t="s">
        <v>1081</v>
      </c>
      <c r="C2080" t="s">
        <v>4332</v>
      </c>
      <c r="D2080">
        <v>3</v>
      </c>
      <c r="E2080" t="s">
        <v>1720</v>
      </c>
      <c r="F2080" t="s">
        <v>1721</v>
      </c>
      <c r="G2080" t="s">
        <v>4441</v>
      </c>
      <c r="H2080" t="s">
        <v>4333</v>
      </c>
    </row>
    <row r="2081" spans="1:8" x14ac:dyDescent="0.35">
      <c r="A2081" t="s">
        <v>255</v>
      </c>
      <c r="B2081" t="s">
        <v>1081</v>
      </c>
      <c r="C2081" t="s">
        <v>4332</v>
      </c>
      <c r="D2081">
        <v>30</v>
      </c>
      <c r="E2081" t="s">
        <v>1720</v>
      </c>
      <c r="F2081" t="s">
        <v>1724</v>
      </c>
      <c r="G2081" t="s">
        <v>4441</v>
      </c>
      <c r="H2081" t="s">
        <v>4333</v>
      </c>
    </row>
    <row r="2082" spans="1:8" x14ac:dyDescent="0.35">
      <c r="A2082" t="s">
        <v>255</v>
      </c>
      <c r="B2082" t="s">
        <v>1081</v>
      </c>
      <c r="C2082" t="s">
        <v>4332</v>
      </c>
      <c r="D2082">
        <v>3</v>
      </c>
      <c r="E2082" t="s">
        <v>1720</v>
      </c>
      <c r="F2082" t="s">
        <v>1721</v>
      </c>
      <c r="G2082" t="s">
        <v>4442</v>
      </c>
      <c r="H2082" t="s">
        <v>4333</v>
      </c>
    </row>
    <row r="2083" spans="1:8" x14ac:dyDescent="0.35">
      <c r="A2083" t="s">
        <v>255</v>
      </c>
      <c r="B2083" t="s">
        <v>1081</v>
      </c>
      <c r="C2083" t="s">
        <v>4332</v>
      </c>
      <c r="D2083">
        <v>30</v>
      </c>
      <c r="E2083" t="s">
        <v>1720</v>
      </c>
      <c r="F2083" t="s">
        <v>1724</v>
      </c>
      <c r="G2083" t="s">
        <v>4442</v>
      </c>
      <c r="H2083" t="s">
        <v>4333</v>
      </c>
    </row>
    <row r="2084" spans="1:8" x14ac:dyDescent="0.35">
      <c r="A2084" t="s">
        <v>505</v>
      </c>
      <c r="B2084" t="s">
        <v>1329</v>
      </c>
      <c r="C2084" t="s">
        <v>4213</v>
      </c>
      <c r="D2084">
        <v>76</v>
      </c>
      <c r="E2084" t="s">
        <v>1720</v>
      </c>
      <c r="F2084" t="s">
        <v>1721</v>
      </c>
      <c r="G2084" t="s">
        <v>4393</v>
      </c>
      <c r="H2084" t="s">
        <v>4214</v>
      </c>
    </row>
    <row r="2085" spans="1:8" x14ac:dyDescent="0.35">
      <c r="A2085" t="s">
        <v>505</v>
      </c>
      <c r="B2085" t="s">
        <v>1329</v>
      </c>
      <c r="C2085" t="s">
        <v>4213</v>
      </c>
      <c r="D2085">
        <v>760</v>
      </c>
      <c r="E2085" t="s">
        <v>1720</v>
      </c>
      <c r="F2085" t="s">
        <v>1724</v>
      </c>
      <c r="G2085" t="s">
        <v>4393</v>
      </c>
      <c r="H2085" t="s">
        <v>4214</v>
      </c>
    </row>
    <row r="2086" spans="1:8" x14ac:dyDescent="0.35">
      <c r="A2086" t="s">
        <v>505</v>
      </c>
      <c r="B2086" t="s">
        <v>1329</v>
      </c>
      <c r="C2086" t="s">
        <v>4313</v>
      </c>
      <c r="D2086">
        <v>170</v>
      </c>
      <c r="E2086" t="s">
        <v>1720</v>
      </c>
      <c r="F2086" t="s">
        <v>1721</v>
      </c>
      <c r="G2086" t="s">
        <v>4423</v>
      </c>
      <c r="H2086" t="s">
        <v>4314</v>
      </c>
    </row>
    <row r="2087" spans="1:8" x14ac:dyDescent="0.35">
      <c r="A2087" t="s">
        <v>505</v>
      </c>
      <c r="B2087" t="s">
        <v>1329</v>
      </c>
      <c r="C2087" t="s">
        <v>4313</v>
      </c>
      <c r="D2087">
        <v>2500</v>
      </c>
      <c r="E2087" t="s">
        <v>1720</v>
      </c>
      <c r="F2087" t="s">
        <v>1724</v>
      </c>
      <c r="G2087" t="s">
        <v>4423</v>
      </c>
      <c r="H2087" t="s">
        <v>4314</v>
      </c>
    </row>
    <row r="2088" spans="1:8" x14ac:dyDescent="0.35">
      <c r="A2088" t="s">
        <v>505</v>
      </c>
      <c r="B2088" t="s">
        <v>1329</v>
      </c>
      <c r="C2088" t="s">
        <v>4313</v>
      </c>
      <c r="D2088">
        <v>170</v>
      </c>
      <c r="E2088" t="s">
        <v>1720</v>
      </c>
      <c r="F2088" t="s">
        <v>1721</v>
      </c>
      <c r="G2088" t="s">
        <v>4424</v>
      </c>
      <c r="H2088" t="s">
        <v>4314</v>
      </c>
    </row>
    <row r="2089" spans="1:8" x14ac:dyDescent="0.35">
      <c r="A2089" t="s">
        <v>505</v>
      </c>
      <c r="B2089" t="s">
        <v>1329</v>
      </c>
      <c r="C2089" t="s">
        <v>4313</v>
      </c>
      <c r="D2089">
        <v>2500</v>
      </c>
      <c r="E2089" t="s">
        <v>1720</v>
      </c>
      <c r="F2089" t="s">
        <v>1724</v>
      </c>
      <c r="G2089" t="s">
        <v>4424</v>
      </c>
      <c r="H2089" t="s">
        <v>4314</v>
      </c>
    </row>
    <row r="2090" spans="1:8" x14ac:dyDescent="0.35">
      <c r="A2090" t="s">
        <v>505</v>
      </c>
      <c r="B2090" t="s">
        <v>1329</v>
      </c>
      <c r="C2090" t="s">
        <v>4313</v>
      </c>
      <c r="D2090">
        <v>170</v>
      </c>
      <c r="E2090" t="s">
        <v>1720</v>
      </c>
      <c r="F2090" t="s">
        <v>1721</v>
      </c>
      <c r="G2090" t="s">
        <v>4425</v>
      </c>
      <c r="H2090" t="s">
        <v>4314</v>
      </c>
    </row>
    <row r="2091" spans="1:8" x14ac:dyDescent="0.35">
      <c r="A2091" t="s">
        <v>505</v>
      </c>
      <c r="B2091" t="s">
        <v>1329</v>
      </c>
      <c r="C2091" t="s">
        <v>4313</v>
      </c>
      <c r="D2091">
        <v>2500</v>
      </c>
      <c r="E2091" t="s">
        <v>1720</v>
      </c>
      <c r="F2091" t="s">
        <v>1724</v>
      </c>
      <c r="G2091" t="s">
        <v>4425</v>
      </c>
      <c r="H2091" t="s">
        <v>4314</v>
      </c>
    </row>
    <row r="2092" spans="1:8" x14ac:dyDescent="0.35">
      <c r="A2092" t="s">
        <v>505</v>
      </c>
      <c r="B2092" t="s">
        <v>1329</v>
      </c>
      <c r="C2092" t="s">
        <v>4223</v>
      </c>
      <c r="D2092">
        <v>76</v>
      </c>
      <c r="E2092" t="s">
        <v>1720</v>
      </c>
      <c r="F2092" t="s">
        <v>1721</v>
      </c>
      <c r="G2092" t="s">
        <v>4399</v>
      </c>
      <c r="H2092" t="s">
        <v>4224</v>
      </c>
    </row>
    <row r="2093" spans="1:8" x14ac:dyDescent="0.35">
      <c r="A2093" t="s">
        <v>505</v>
      </c>
      <c r="B2093" t="s">
        <v>1329</v>
      </c>
      <c r="C2093" t="s">
        <v>4223</v>
      </c>
      <c r="D2093">
        <v>760</v>
      </c>
      <c r="E2093" t="s">
        <v>1720</v>
      </c>
      <c r="F2093" t="s">
        <v>1724</v>
      </c>
      <c r="G2093" t="s">
        <v>4399</v>
      </c>
      <c r="H2093" t="s">
        <v>4224</v>
      </c>
    </row>
    <row r="2094" spans="1:8" x14ac:dyDescent="0.35">
      <c r="A2094" t="s">
        <v>505</v>
      </c>
      <c r="B2094" t="s">
        <v>1329</v>
      </c>
      <c r="C2094" t="s">
        <v>4244</v>
      </c>
      <c r="D2094">
        <v>2500</v>
      </c>
      <c r="E2094" t="s">
        <v>1720</v>
      </c>
      <c r="F2094" t="s">
        <v>1724</v>
      </c>
      <c r="G2094" t="s">
        <v>4406</v>
      </c>
      <c r="H2094" t="s">
        <v>4245</v>
      </c>
    </row>
    <row r="2095" spans="1:8" x14ac:dyDescent="0.35">
      <c r="A2095" t="s">
        <v>505</v>
      </c>
      <c r="B2095" t="s">
        <v>1329</v>
      </c>
      <c r="C2095" t="s">
        <v>4244</v>
      </c>
      <c r="D2095">
        <v>170</v>
      </c>
      <c r="E2095" t="s">
        <v>1720</v>
      </c>
      <c r="F2095" t="s">
        <v>1721</v>
      </c>
      <c r="G2095" t="s">
        <v>4406</v>
      </c>
      <c r="H2095" t="s">
        <v>4245</v>
      </c>
    </row>
    <row r="2096" spans="1:8" x14ac:dyDescent="0.35">
      <c r="A2096" t="s">
        <v>505</v>
      </c>
      <c r="B2096" t="s">
        <v>1329</v>
      </c>
      <c r="C2096" t="s">
        <v>4258</v>
      </c>
      <c r="D2096">
        <v>2500</v>
      </c>
      <c r="E2096" t="s">
        <v>1720</v>
      </c>
      <c r="F2096" t="s">
        <v>1724</v>
      </c>
      <c r="G2096" t="s">
        <v>4408</v>
      </c>
      <c r="H2096" t="s">
        <v>4259</v>
      </c>
    </row>
    <row r="2097" spans="1:8" x14ac:dyDescent="0.35">
      <c r="A2097" t="s">
        <v>505</v>
      </c>
      <c r="B2097" t="s">
        <v>1329</v>
      </c>
      <c r="C2097" t="s">
        <v>4258</v>
      </c>
      <c r="D2097">
        <v>170</v>
      </c>
      <c r="E2097" t="s">
        <v>1720</v>
      </c>
      <c r="F2097" t="s">
        <v>1721</v>
      </c>
      <c r="G2097" t="s">
        <v>4408</v>
      </c>
      <c r="H2097" t="s">
        <v>4259</v>
      </c>
    </row>
    <row r="2098" spans="1:8" x14ac:dyDescent="0.35">
      <c r="A2098" t="s">
        <v>450</v>
      </c>
      <c r="B2098" t="s">
        <v>1274</v>
      </c>
      <c r="C2098" t="s">
        <v>4185</v>
      </c>
      <c r="D2098">
        <v>4.4000000000000004</v>
      </c>
      <c r="E2098" t="s">
        <v>1720</v>
      </c>
      <c r="F2098" t="s">
        <v>1721</v>
      </c>
      <c r="G2098" t="s">
        <v>4383</v>
      </c>
      <c r="H2098" t="s">
        <v>4186</v>
      </c>
    </row>
    <row r="2099" spans="1:8" x14ac:dyDescent="0.35">
      <c r="A2099" t="s">
        <v>450</v>
      </c>
      <c r="B2099" t="s">
        <v>1274</v>
      </c>
      <c r="C2099" t="s">
        <v>4185</v>
      </c>
      <c r="D2099">
        <v>199</v>
      </c>
      <c r="E2099" t="s">
        <v>1720</v>
      </c>
      <c r="F2099" t="s">
        <v>1724</v>
      </c>
      <c r="G2099" t="s">
        <v>4383</v>
      </c>
      <c r="H2099" t="s">
        <v>4186</v>
      </c>
    </row>
    <row r="2100" spans="1:8" x14ac:dyDescent="0.35">
      <c r="A2100" t="s">
        <v>450</v>
      </c>
      <c r="B2100" t="s">
        <v>1274</v>
      </c>
      <c r="C2100" t="s">
        <v>4197</v>
      </c>
      <c r="D2100">
        <v>40</v>
      </c>
      <c r="E2100" t="s">
        <v>1720</v>
      </c>
      <c r="F2100" t="s">
        <v>1721</v>
      </c>
      <c r="G2100" t="s">
        <v>4383</v>
      </c>
      <c r="H2100" t="s">
        <v>4198</v>
      </c>
    </row>
    <row r="2101" spans="1:8" x14ac:dyDescent="0.35">
      <c r="A2101" t="s">
        <v>450</v>
      </c>
      <c r="B2101" t="s">
        <v>1274</v>
      </c>
      <c r="C2101" t="s">
        <v>4197</v>
      </c>
      <c r="D2101">
        <v>200</v>
      </c>
      <c r="E2101" t="s">
        <v>1720</v>
      </c>
      <c r="F2101" t="s">
        <v>1724</v>
      </c>
      <c r="G2101" t="s">
        <v>4383</v>
      </c>
      <c r="H2101" t="s">
        <v>4198</v>
      </c>
    </row>
    <row r="2102" spans="1:8" x14ac:dyDescent="0.35">
      <c r="A2102" t="s">
        <v>450</v>
      </c>
      <c r="B2102" t="s">
        <v>1274</v>
      </c>
      <c r="C2102" t="s">
        <v>4195</v>
      </c>
      <c r="D2102">
        <v>400</v>
      </c>
      <c r="E2102" t="s">
        <v>1720</v>
      </c>
      <c r="F2102" t="s">
        <v>1721</v>
      </c>
      <c r="G2102" t="s">
        <v>4387</v>
      </c>
      <c r="H2102" t="s">
        <v>4196</v>
      </c>
    </row>
    <row r="2103" spans="1:8" x14ac:dyDescent="0.35">
      <c r="A2103" t="s">
        <v>450</v>
      </c>
      <c r="B2103" t="s">
        <v>1274</v>
      </c>
      <c r="C2103" t="s">
        <v>4213</v>
      </c>
      <c r="D2103">
        <v>20</v>
      </c>
      <c r="E2103" t="s">
        <v>1720</v>
      </c>
      <c r="F2103" t="s">
        <v>1721</v>
      </c>
      <c r="G2103" t="s">
        <v>4393</v>
      </c>
      <c r="H2103" t="s">
        <v>4214</v>
      </c>
    </row>
    <row r="2104" spans="1:8" x14ac:dyDescent="0.35">
      <c r="A2104" t="s">
        <v>450</v>
      </c>
      <c r="B2104" t="s">
        <v>1274</v>
      </c>
      <c r="C2104" t="s">
        <v>4213</v>
      </c>
      <c r="D2104">
        <v>3980</v>
      </c>
      <c r="E2104" t="s">
        <v>1720</v>
      </c>
      <c r="F2104" t="s">
        <v>1724</v>
      </c>
      <c r="G2104" t="s">
        <v>4393</v>
      </c>
      <c r="H2104" t="s">
        <v>4214</v>
      </c>
    </row>
    <row r="2105" spans="1:8" x14ac:dyDescent="0.35">
      <c r="A2105" t="s">
        <v>450</v>
      </c>
      <c r="B2105" t="s">
        <v>1274</v>
      </c>
      <c r="C2105" t="s">
        <v>4219</v>
      </c>
      <c r="D2105">
        <v>3980</v>
      </c>
      <c r="E2105" t="s">
        <v>1720</v>
      </c>
      <c r="F2105" t="s">
        <v>1724</v>
      </c>
      <c r="G2105" t="s">
        <v>4380</v>
      </c>
      <c r="H2105" t="s">
        <v>4220</v>
      </c>
    </row>
    <row r="2106" spans="1:8" x14ac:dyDescent="0.35">
      <c r="A2106" t="s">
        <v>450</v>
      </c>
      <c r="B2106" t="s">
        <v>1274</v>
      </c>
      <c r="C2106" t="s">
        <v>4223</v>
      </c>
      <c r="D2106">
        <v>3980</v>
      </c>
      <c r="E2106" t="s">
        <v>1720</v>
      </c>
      <c r="F2106" t="s">
        <v>1724</v>
      </c>
      <c r="G2106" t="s">
        <v>4399</v>
      </c>
      <c r="H2106" t="s">
        <v>4224</v>
      </c>
    </row>
    <row r="2107" spans="1:8" x14ac:dyDescent="0.35">
      <c r="A2107" t="s">
        <v>450</v>
      </c>
      <c r="B2107" t="s">
        <v>1274</v>
      </c>
      <c r="C2107" t="s">
        <v>4313</v>
      </c>
      <c r="D2107">
        <v>1600</v>
      </c>
      <c r="E2107" t="s">
        <v>1720</v>
      </c>
      <c r="F2107" t="s">
        <v>1721</v>
      </c>
      <c r="G2107" t="s">
        <v>4423</v>
      </c>
      <c r="H2107" t="s">
        <v>4314</v>
      </c>
    </row>
    <row r="2108" spans="1:8" x14ac:dyDescent="0.35">
      <c r="A2108" t="s">
        <v>450</v>
      </c>
      <c r="B2108" t="s">
        <v>1274</v>
      </c>
      <c r="C2108" t="s">
        <v>4313</v>
      </c>
      <c r="D2108">
        <v>2000</v>
      </c>
      <c r="E2108" t="s">
        <v>1720</v>
      </c>
      <c r="F2108" t="s">
        <v>1724</v>
      </c>
      <c r="G2108" t="s">
        <v>4423</v>
      </c>
      <c r="H2108" t="s">
        <v>4314</v>
      </c>
    </row>
    <row r="2109" spans="1:8" x14ac:dyDescent="0.35">
      <c r="A2109" t="s">
        <v>450</v>
      </c>
      <c r="B2109" t="s">
        <v>1274</v>
      </c>
      <c r="C2109" t="s">
        <v>4313</v>
      </c>
      <c r="D2109">
        <v>1600</v>
      </c>
      <c r="E2109" t="s">
        <v>1720</v>
      </c>
      <c r="F2109" t="s">
        <v>1721</v>
      </c>
      <c r="G2109" t="s">
        <v>4424</v>
      </c>
      <c r="H2109" t="s">
        <v>4314</v>
      </c>
    </row>
    <row r="2110" spans="1:8" x14ac:dyDescent="0.35">
      <c r="A2110" t="s">
        <v>450</v>
      </c>
      <c r="B2110" t="s">
        <v>1274</v>
      </c>
      <c r="C2110" t="s">
        <v>4313</v>
      </c>
      <c r="D2110">
        <v>2000</v>
      </c>
      <c r="E2110" t="s">
        <v>1720</v>
      </c>
      <c r="F2110" t="s">
        <v>1724</v>
      </c>
      <c r="G2110" t="s">
        <v>4424</v>
      </c>
      <c r="H2110" t="s">
        <v>4314</v>
      </c>
    </row>
    <row r="2111" spans="1:8" x14ac:dyDescent="0.35">
      <c r="A2111" t="s">
        <v>450</v>
      </c>
      <c r="B2111" t="s">
        <v>1274</v>
      </c>
      <c r="C2111" t="s">
        <v>4313</v>
      </c>
      <c r="D2111">
        <v>1600</v>
      </c>
      <c r="E2111" t="s">
        <v>1720</v>
      </c>
      <c r="F2111" t="s">
        <v>1721</v>
      </c>
      <c r="G2111" t="s">
        <v>4425</v>
      </c>
      <c r="H2111" t="s">
        <v>4314</v>
      </c>
    </row>
    <row r="2112" spans="1:8" x14ac:dyDescent="0.35">
      <c r="A2112" t="s">
        <v>450</v>
      </c>
      <c r="B2112" t="s">
        <v>1274</v>
      </c>
      <c r="C2112" t="s">
        <v>4313</v>
      </c>
      <c r="D2112">
        <v>2000</v>
      </c>
      <c r="E2112" t="s">
        <v>1720</v>
      </c>
      <c r="F2112" t="s">
        <v>1724</v>
      </c>
      <c r="G2112" t="s">
        <v>4425</v>
      </c>
      <c r="H2112" t="s">
        <v>4314</v>
      </c>
    </row>
    <row r="2113" spans="1:8" x14ac:dyDescent="0.35">
      <c r="A2113" t="s">
        <v>450</v>
      </c>
      <c r="B2113" t="s">
        <v>1274</v>
      </c>
      <c r="C2113" t="s">
        <v>4300</v>
      </c>
      <c r="D2113">
        <v>1300</v>
      </c>
      <c r="E2113" t="s">
        <v>1720</v>
      </c>
      <c r="F2113" t="s">
        <v>1724</v>
      </c>
      <c r="G2113" t="s">
        <v>4389</v>
      </c>
      <c r="H2113" t="s">
        <v>4301</v>
      </c>
    </row>
    <row r="2114" spans="1:8" x14ac:dyDescent="0.35">
      <c r="A2114" t="s">
        <v>450</v>
      </c>
      <c r="B2114" t="s">
        <v>1274</v>
      </c>
      <c r="C2114" t="s">
        <v>4244</v>
      </c>
      <c r="D2114">
        <v>2000</v>
      </c>
      <c r="E2114" t="s">
        <v>1720</v>
      </c>
      <c r="F2114" t="s">
        <v>1724</v>
      </c>
      <c r="G2114" t="s">
        <v>4406</v>
      </c>
      <c r="H2114" t="s">
        <v>4245</v>
      </c>
    </row>
    <row r="2115" spans="1:8" x14ac:dyDescent="0.35">
      <c r="A2115" t="s">
        <v>450</v>
      </c>
      <c r="B2115" t="s">
        <v>1274</v>
      </c>
      <c r="C2115" t="s">
        <v>4244</v>
      </c>
      <c r="D2115">
        <v>1600</v>
      </c>
      <c r="E2115" t="s">
        <v>1720</v>
      </c>
      <c r="F2115" t="s">
        <v>1721</v>
      </c>
      <c r="G2115" t="s">
        <v>4406</v>
      </c>
      <c r="H2115" t="s">
        <v>4245</v>
      </c>
    </row>
    <row r="2116" spans="1:8" x14ac:dyDescent="0.35">
      <c r="A2116" t="s">
        <v>450</v>
      </c>
      <c r="B2116" t="s">
        <v>1274</v>
      </c>
      <c r="C2116" t="s">
        <v>4323</v>
      </c>
      <c r="D2116">
        <v>2000</v>
      </c>
      <c r="E2116" t="s">
        <v>1720</v>
      </c>
      <c r="F2116" t="s">
        <v>1724</v>
      </c>
      <c r="G2116" t="s">
        <v>4428</v>
      </c>
      <c r="H2116" t="s">
        <v>4324</v>
      </c>
    </row>
    <row r="2117" spans="1:8" x14ac:dyDescent="0.35">
      <c r="A2117" t="s">
        <v>450</v>
      </c>
      <c r="B2117" t="s">
        <v>1274</v>
      </c>
      <c r="C2117" t="s">
        <v>4323</v>
      </c>
      <c r="D2117">
        <v>1600</v>
      </c>
      <c r="E2117" t="s">
        <v>1720</v>
      </c>
      <c r="F2117" t="s">
        <v>1721</v>
      </c>
      <c r="G2117" t="s">
        <v>4428</v>
      </c>
      <c r="H2117" t="s">
        <v>4324</v>
      </c>
    </row>
    <row r="2118" spans="1:8" x14ac:dyDescent="0.35">
      <c r="A2118" t="s">
        <v>450</v>
      </c>
      <c r="B2118" t="s">
        <v>1274</v>
      </c>
      <c r="C2118" t="s">
        <v>4323</v>
      </c>
      <c r="D2118">
        <v>2000</v>
      </c>
      <c r="E2118" t="s">
        <v>1720</v>
      </c>
      <c r="F2118" t="s">
        <v>1724</v>
      </c>
      <c r="G2118" t="s">
        <v>4429</v>
      </c>
      <c r="H2118" t="s">
        <v>4324</v>
      </c>
    </row>
    <row r="2119" spans="1:8" x14ac:dyDescent="0.35">
      <c r="A2119" t="s">
        <v>450</v>
      </c>
      <c r="B2119" t="s">
        <v>1274</v>
      </c>
      <c r="C2119" t="s">
        <v>4323</v>
      </c>
      <c r="D2119">
        <v>1600</v>
      </c>
      <c r="E2119" t="s">
        <v>1720</v>
      </c>
      <c r="F2119" t="s">
        <v>1721</v>
      </c>
      <c r="G2119" t="s">
        <v>4429</v>
      </c>
      <c r="H2119" t="s">
        <v>4324</v>
      </c>
    </row>
    <row r="2120" spans="1:8" x14ac:dyDescent="0.35">
      <c r="A2120" t="s">
        <v>450</v>
      </c>
      <c r="B2120" t="s">
        <v>1274</v>
      </c>
      <c r="C2120" t="s">
        <v>4323</v>
      </c>
      <c r="D2120">
        <v>2000</v>
      </c>
      <c r="E2120" t="s">
        <v>1720</v>
      </c>
      <c r="F2120" t="s">
        <v>1724</v>
      </c>
      <c r="G2120" t="s">
        <v>4430</v>
      </c>
      <c r="H2120" t="s">
        <v>4324</v>
      </c>
    </row>
    <row r="2121" spans="1:8" x14ac:dyDescent="0.35">
      <c r="A2121" t="s">
        <v>450</v>
      </c>
      <c r="B2121" t="s">
        <v>1274</v>
      </c>
      <c r="C2121" t="s">
        <v>4323</v>
      </c>
      <c r="D2121">
        <v>1600</v>
      </c>
      <c r="E2121" t="s">
        <v>1720</v>
      </c>
      <c r="F2121" t="s">
        <v>1721</v>
      </c>
      <c r="G2121" t="s">
        <v>4430</v>
      </c>
      <c r="H2121" t="s">
        <v>4324</v>
      </c>
    </row>
    <row r="2122" spans="1:8" x14ac:dyDescent="0.35">
      <c r="A2122" t="s">
        <v>450</v>
      </c>
      <c r="B2122" t="s">
        <v>1274</v>
      </c>
      <c r="C2122" t="s">
        <v>4258</v>
      </c>
      <c r="D2122">
        <v>2000</v>
      </c>
      <c r="E2122" t="s">
        <v>1720</v>
      </c>
      <c r="F2122" t="s">
        <v>1724</v>
      </c>
      <c r="G2122" t="s">
        <v>4408</v>
      </c>
      <c r="H2122" t="s">
        <v>4259</v>
      </c>
    </row>
    <row r="2123" spans="1:8" x14ac:dyDescent="0.35">
      <c r="A2123" t="s">
        <v>450</v>
      </c>
      <c r="B2123" t="s">
        <v>1274</v>
      </c>
      <c r="C2123" t="s">
        <v>4258</v>
      </c>
      <c r="D2123">
        <v>1600</v>
      </c>
      <c r="E2123" t="s">
        <v>1720</v>
      </c>
      <c r="F2123" t="s">
        <v>1721</v>
      </c>
      <c r="G2123" t="s">
        <v>4408</v>
      </c>
      <c r="H2123" t="s">
        <v>4259</v>
      </c>
    </row>
    <row r="2124" spans="1:8" x14ac:dyDescent="0.35">
      <c r="A2124" t="s">
        <v>510</v>
      </c>
      <c r="B2124" t="s">
        <v>1334</v>
      </c>
      <c r="C2124" t="s">
        <v>4305</v>
      </c>
      <c r="D2124">
        <v>1</v>
      </c>
      <c r="E2124" t="s">
        <v>1720</v>
      </c>
      <c r="F2124" t="s">
        <v>1721</v>
      </c>
      <c r="G2124" t="s">
        <v>4421</v>
      </c>
      <c r="H2124" t="s">
        <v>4306</v>
      </c>
    </row>
    <row r="2125" spans="1:8" x14ac:dyDescent="0.35">
      <c r="A2125" t="s">
        <v>510</v>
      </c>
      <c r="B2125" t="s">
        <v>1334</v>
      </c>
      <c r="C2125" t="s">
        <v>4305</v>
      </c>
      <c r="D2125">
        <v>10</v>
      </c>
      <c r="E2125" t="s">
        <v>1720</v>
      </c>
      <c r="F2125" t="s">
        <v>1724</v>
      </c>
      <c r="G2125" t="s">
        <v>4471</v>
      </c>
      <c r="H2125" t="s">
        <v>4306</v>
      </c>
    </row>
    <row r="2126" spans="1:8" x14ac:dyDescent="0.35">
      <c r="A2126" t="s">
        <v>510</v>
      </c>
      <c r="B2126" t="s">
        <v>1334</v>
      </c>
      <c r="C2126" t="s">
        <v>4313</v>
      </c>
      <c r="D2126">
        <v>650</v>
      </c>
      <c r="E2126" t="s">
        <v>1720</v>
      </c>
      <c r="F2126" t="s">
        <v>1724</v>
      </c>
      <c r="G2126" t="s">
        <v>4424</v>
      </c>
      <c r="H2126" t="s">
        <v>4314</v>
      </c>
    </row>
    <row r="2127" spans="1:8" x14ac:dyDescent="0.35">
      <c r="A2127" t="s">
        <v>510</v>
      </c>
      <c r="B2127" t="s">
        <v>1334</v>
      </c>
      <c r="C2127" t="s">
        <v>4313</v>
      </c>
      <c r="D2127">
        <v>50</v>
      </c>
      <c r="E2127" t="s">
        <v>1720</v>
      </c>
      <c r="F2127" t="s">
        <v>1721</v>
      </c>
      <c r="G2127" t="s">
        <v>4425</v>
      </c>
      <c r="H2127" t="s">
        <v>4314</v>
      </c>
    </row>
    <row r="2128" spans="1:8" x14ac:dyDescent="0.35">
      <c r="A2128" t="s">
        <v>510</v>
      </c>
      <c r="B2128" t="s">
        <v>1334</v>
      </c>
      <c r="C2128" t="s">
        <v>4313</v>
      </c>
      <c r="D2128">
        <v>650</v>
      </c>
      <c r="E2128" t="s">
        <v>1720</v>
      </c>
      <c r="F2128" t="s">
        <v>1724</v>
      </c>
      <c r="G2128" t="s">
        <v>4425</v>
      </c>
      <c r="H2128" t="s">
        <v>4314</v>
      </c>
    </row>
    <row r="2129" spans="1:8" x14ac:dyDescent="0.35">
      <c r="A2129" t="s">
        <v>510</v>
      </c>
      <c r="B2129" t="s">
        <v>1334</v>
      </c>
      <c r="C2129" t="s">
        <v>4313</v>
      </c>
      <c r="D2129">
        <v>50</v>
      </c>
      <c r="E2129" t="s">
        <v>1720</v>
      </c>
      <c r="F2129" t="s">
        <v>1721</v>
      </c>
      <c r="G2129" t="s">
        <v>4423</v>
      </c>
      <c r="H2129" t="s">
        <v>4314</v>
      </c>
    </row>
    <row r="2130" spans="1:8" x14ac:dyDescent="0.35">
      <c r="A2130" t="s">
        <v>510</v>
      </c>
      <c r="B2130" t="s">
        <v>1334</v>
      </c>
      <c r="C2130" t="s">
        <v>4313</v>
      </c>
      <c r="D2130">
        <v>650</v>
      </c>
      <c r="E2130" t="s">
        <v>1720</v>
      </c>
      <c r="F2130" t="s">
        <v>1724</v>
      </c>
      <c r="G2130" t="s">
        <v>4423</v>
      </c>
      <c r="H2130" t="s">
        <v>4314</v>
      </c>
    </row>
    <row r="2131" spans="1:8" x14ac:dyDescent="0.35">
      <c r="A2131" t="s">
        <v>510</v>
      </c>
      <c r="B2131" t="s">
        <v>1334</v>
      </c>
      <c r="C2131" t="s">
        <v>4313</v>
      </c>
      <c r="D2131">
        <v>50</v>
      </c>
      <c r="E2131" t="s">
        <v>1720</v>
      </c>
      <c r="F2131" t="s">
        <v>1721</v>
      </c>
      <c r="G2131" t="s">
        <v>4424</v>
      </c>
      <c r="H2131" t="s">
        <v>4314</v>
      </c>
    </row>
    <row r="2132" spans="1:8" x14ac:dyDescent="0.35">
      <c r="A2132" t="s">
        <v>510</v>
      </c>
      <c r="B2132" t="s">
        <v>1334</v>
      </c>
      <c r="C2132" t="s">
        <v>4244</v>
      </c>
      <c r="D2132">
        <v>650</v>
      </c>
      <c r="E2132" t="s">
        <v>1720</v>
      </c>
      <c r="F2132" t="s">
        <v>1724</v>
      </c>
      <c r="G2132" t="s">
        <v>4406</v>
      </c>
      <c r="H2132" t="s">
        <v>4245</v>
      </c>
    </row>
    <row r="2133" spans="1:8" x14ac:dyDescent="0.35">
      <c r="A2133" t="s">
        <v>510</v>
      </c>
      <c r="B2133" t="s">
        <v>1334</v>
      </c>
      <c r="C2133" t="s">
        <v>4244</v>
      </c>
      <c r="D2133">
        <v>50</v>
      </c>
      <c r="E2133" t="s">
        <v>1720</v>
      </c>
      <c r="F2133" t="s">
        <v>1721</v>
      </c>
      <c r="G2133" t="s">
        <v>4406</v>
      </c>
      <c r="H2133" t="s">
        <v>4245</v>
      </c>
    </row>
    <row r="2134" spans="1:8" x14ac:dyDescent="0.35">
      <c r="A2134" t="s">
        <v>510</v>
      </c>
      <c r="B2134" t="s">
        <v>1334</v>
      </c>
      <c r="C2134" t="s">
        <v>4321</v>
      </c>
      <c r="D2134">
        <v>1</v>
      </c>
      <c r="E2134" t="s">
        <v>1720</v>
      </c>
      <c r="F2134" t="s">
        <v>1721</v>
      </c>
      <c r="G2134" t="s">
        <v>4427</v>
      </c>
      <c r="H2134" t="s">
        <v>4322</v>
      </c>
    </row>
    <row r="2135" spans="1:8" x14ac:dyDescent="0.35">
      <c r="A2135" t="s">
        <v>510</v>
      </c>
      <c r="B2135" t="s">
        <v>1334</v>
      </c>
      <c r="C2135" t="s">
        <v>4321</v>
      </c>
      <c r="D2135">
        <v>10</v>
      </c>
      <c r="E2135" t="s">
        <v>1720</v>
      </c>
      <c r="F2135" t="s">
        <v>1724</v>
      </c>
      <c r="G2135" t="s">
        <v>4427</v>
      </c>
      <c r="H2135" t="s">
        <v>4322</v>
      </c>
    </row>
    <row r="2136" spans="1:8" x14ac:dyDescent="0.35">
      <c r="A2136" t="s">
        <v>561</v>
      </c>
      <c r="B2136" t="s">
        <v>1385</v>
      </c>
      <c r="C2136" t="s">
        <v>4181</v>
      </c>
      <c r="D2136">
        <v>1.4E-2</v>
      </c>
      <c r="E2136" t="s">
        <v>1720</v>
      </c>
      <c r="F2136" t="s">
        <v>1721</v>
      </c>
      <c r="G2136" t="s">
        <v>4381</v>
      </c>
      <c r="H2136" t="s">
        <v>4182</v>
      </c>
    </row>
    <row r="2137" spans="1:8" x14ac:dyDescent="0.35">
      <c r="A2137" t="s">
        <v>561</v>
      </c>
      <c r="B2137" t="s">
        <v>1385</v>
      </c>
      <c r="C2137" t="s">
        <v>4179</v>
      </c>
      <c r="D2137">
        <v>1.4E-2</v>
      </c>
      <c r="E2137" t="s">
        <v>1720</v>
      </c>
      <c r="F2137" t="s">
        <v>1721</v>
      </c>
      <c r="G2137" t="s">
        <v>4380</v>
      </c>
      <c r="H2137" t="s">
        <v>4180</v>
      </c>
    </row>
    <row r="2138" spans="1:8" x14ac:dyDescent="0.35">
      <c r="A2138" t="s">
        <v>561</v>
      </c>
      <c r="B2138" t="s">
        <v>1385</v>
      </c>
      <c r="C2138" t="s">
        <v>4183</v>
      </c>
      <c r="D2138">
        <v>1.4E-2</v>
      </c>
      <c r="E2138" t="s">
        <v>1720</v>
      </c>
      <c r="F2138" t="s">
        <v>1721</v>
      </c>
      <c r="G2138" t="s">
        <v>4382</v>
      </c>
      <c r="H2138" t="s">
        <v>4184</v>
      </c>
    </row>
    <row r="2139" spans="1:8" x14ac:dyDescent="0.35">
      <c r="A2139" t="s">
        <v>561</v>
      </c>
      <c r="B2139" t="s">
        <v>1385</v>
      </c>
      <c r="C2139" t="s">
        <v>4187</v>
      </c>
      <c r="D2139">
        <v>1.4E-2</v>
      </c>
      <c r="E2139" t="s">
        <v>1720</v>
      </c>
      <c r="F2139" t="s">
        <v>1721</v>
      </c>
      <c r="G2139" t="s">
        <v>4384</v>
      </c>
      <c r="H2139" t="s">
        <v>4188</v>
      </c>
    </row>
    <row r="2140" spans="1:8" x14ac:dyDescent="0.35">
      <c r="A2140" t="s">
        <v>561</v>
      </c>
      <c r="B2140" t="s">
        <v>1385</v>
      </c>
      <c r="C2140" t="s">
        <v>4187</v>
      </c>
      <c r="D2140">
        <v>2</v>
      </c>
      <c r="E2140" t="s">
        <v>1720</v>
      </c>
      <c r="F2140" t="s">
        <v>1724</v>
      </c>
      <c r="G2140" t="s">
        <v>4384</v>
      </c>
      <c r="H2140" t="s">
        <v>4188</v>
      </c>
    </row>
    <row r="2141" spans="1:8" x14ac:dyDescent="0.35">
      <c r="A2141" t="s">
        <v>561</v>
      </c>
      <c r="B2141" t="s">
        <v>1385</v>
      </c>
      <c r="C2141" t="s">
        <v>4185</v>
      </c>
      <c r="D2141">
        <v>1.4E-2</v>
      </c>
      <c r="E2141" t="s">
        <v>1720</v>
      </c>
      <c r="F2141" t="s">
        <v>1721</v>
      </c>
      <c r="G2141" t="s">
        <v>4383</v>
      </c>
      <c r="H2141" t="s">
        <v>4186</v>
      </c>
    </row>
    <row r="2142" spans="1:8" x14ac:dyDescent="0.35">
      <c r="A2142" t="s">
        <v>561</v>
      </c>
      <c r="B2142" t="s">
        <v>1385</v>
      </c>
      <c r="C2142" t="s">
        <v>4307</v>
      </c>
      <c r="D2142">
        <v>1.4E-2</v>
      </c>
      <c r="E2142" t="s">
        <v>1720</v>
      </c>
      <c r="F2142" t="s">
        <v>1721</v>
      </c>
      <c r="G2142" t="s">
        <v>4431</v>
      </c>
      <c r="H2142" t="s">
        <v>4325</v>
      </c>
    </row>
    <row r="2143" spans="1:8" x14ac:dyDescent="0.35">
      <c r="A2143" t="s">
        <v>561</v>
      </c>
      <c r="B2143" t="s">
        <v>1385</v>
      </c>
      <c r="C2143" t="s">
        <v>4307</v>
      </c>
      <c r="D2143">
        <v>1</v>
      </c>
      <c r="E2143" t="s">
        <v>1720</v>
      </c>
      <c r="F2143" t="s">
        <v>1724</v>
      </c>
      <c r="G2143" t="s">
        <v>4431</v>
      </c>
      <c r="H2143" t="s">
        <v>4325</v>
      </c>
    </row>
    <row r="2144" spans="1:8" x14ac:dyDescent="0.35">
      <c r="A2144" t="s">
        <v>561</v>
      </c>
      <c r="B2144" t="s">
        <v>1385</v>
      </c>
      <c r="C2144" t="s">
        <v>4307</v>
      </c>
      <c r="D2144">
        <v>1.4E-2</v>
      </c>
      <c r="E2144" t="s">
        <v>1720</v>
      </c>
      <c r="F2144" t="s">
        <v>1721</v>
      </c>
      <c r="G2144" t="s">
        <v>4432</v>
      </c>
      <c r="H2144" t="s">
        <v>4308</v>
      </c>
    </row>
    <row r="2145" spans="1:8" x14ac:dyDescent="0.35">
      <c r="A2145" t="s">
        <v>561</v>
      </c>
      <c r="B2145" t="s">
        <v>1385</v>
      </c>
      <c r="C2145" t="s">
        <v>4327</v>
      </c>
      <c r="D2145">
        <v>14</v>
      </c>
      <c r="E2145" t="s">
        <v>1720</v>
      </c>
      <c r="F2145" t="s">
        <v>1721</v>
      </c>
      <c r="G2145" t="s">
        <v>4434</v>
      </c>
      <c r="H2145" t="s">
        <v>4328</v>
      </c>
    </row>
    <row r="2146" spans="1:8" x14ac:dyDescent="0.35">
      <c r="A2146" t="s">
        <v>561</v>
      </c>
      <c r="B2146" t="s">
        <v>1385</v>
      </c>
      <c r="C2146" t="s">
        <v>4327</v>
      </c>
      <c r="D2146">
        <v>14</v>
      </c>
      <c r="E2146" t="s">
        <v>1720</v>
      </c>
      <c r="F2146" t="s">
        <v>1721</v>
      </c>
      <c r="G2146" t="s">
        <v>4435</v>
      </c>
      <c r="H2146" t="s">
        <v>4328</v>
      </c>
    </row>
    <row r="2147" spans="1:8" x14ac:dyDescent="0.35">
      <c r="A2147" t="s">
        <v>561</v>
      </c>
      <c r="B2147" t="s">
        <v>1385</v>
      </c>
      <c r="C2147" t="s">
        <v>4191</v>
      </c>
      <c r="D2147">
        <v>1.4E-2</v>
      </c>
      <c r="E2147" t="s">
        <v>1720</v>
      </c>
      <c r="F2147" t="s">
        <v>1721</v>
      </c>
      <c r="G2147" t="s">
        <v>4383</v>
      </c>
      <c r="H2147" t="s">
        <v>4192</v>
      </c>
    </row>
    <row r="2148" spans="1:8" x14ac:dyDescent="0.35">
      <c r="A2148" t="s">
        <v>561</v>
      </c>
      <c r="B2148" t="s">
        <v>1385</v>
      </c>
      <c r="C2148" t="s">
        <v>4197</v>
      </c>
      <c r="D2148">
        <v>1.4E-2</v>
      </c>
      <c r="E2148" t="s">
        <v>1720</v>
      </c>
      <c r="F2148" t="s">
        <v>1721</v>
      </c>
      <c r="G2148" t="s">
        <v>4383</v>
      </c>
      <c r="H2148" t="s">
        <v>4198</v>
      </c>
    </row>
    <row r="2149" spans="1:8" x14ac:dyDescent="0.35">
      <c r="A2149" t="s">
        <v>561</v>
      </c>
      <c r="B2149" t="s">
        <v>1385</v>
      </c>
      <c r="C2149" t="s">
        <v>4197</v>
      </c>
      <c r="D2149">
        <v>1.4E-2</v>
      </c>
      <c r="E2149" t="s">
        <v>1720</v>
      </c>
      <c r="F2149" t="s">
        <v>1721</v>
      </c>
      <c r="G2149" t="s">
        <v>4433</v>
      </c>
      <c r="H2149" t="s">
        <v>4326</v>
      </c>
    </row>
    <row r="2150" spans="1:8" x14ac:dyDescent="0.35">
      <c r="A2150" t="s">
        <v>561</v>
      </c>
      <c r="B2150" t="s">
        <v>1385</v>
      </c>
      <c r="C2150" t="s">
        <v>4197</v>
      </c>
      <c r="D2150">
        <v>1</v>
      </c>
      <c r="E2150" t="s">
        <v>1720</v>
      </c>
      <c r="F2150" t="s">
        <v>1724</v>
      </c>
      <c r="G2150" t="s">
        <v>4433</v>
      </c>
      <c r="H2150" t="s">
        <v>4326</v>
      </c>
    </row>
    <row r="2151" spans="1:8" x14ac:dyDescent="0.35">
      <c r="A2151" t="s">
        <v>561</v>
      </c>
      <c r="B2151" t="s">
        <v>1385</v>
      </c>
      <c r="C2151" t="s">
        <v>4309</v>
      </c>
      <c r="D2151">
        <v>1.4E-2</v>
      </c>
      <c r="E2151" t="s">
        <v>1720</v>
      </c>
      <c r="F2151" t="s">
        <v>1721</v>
      </c>
      <c r="G2151" t="s">
        <v>4396</v>
      </c>
      <c r="H2151" t="s">
        <v>4310</v>
      </c>
    </row>
    <row r="2152" spans="1:8" x14ac:dyDescent="0.35">
      <c r="A2152" t="s">
        <v>561</v>
      </c>
      <c r="B2152" t="s">
        <v>1385</v>
      </c>
      <c r="C2152" t="s">
        <v>4207</v>
      </c>
      <c r="D2152">
        <v>1.4E-2</v>
      </c>
      <c r="E2152" t="s">
        <v>1720</v>
      </c>
      <c r="F2152" t="s">
        <v>1721</v>
      </c>
      <c r="G2152" t="s">
        <v>4383</v>
      </c>
      <c r="H2152" t="s">
        <v>4208</v>
      </c>
    </row>
    <row r="2153" spans="1:8" x14ac:dyDescent="0.35">
      <c r="A2153" t="s">
        <v>561</v>
      </c>
      <c r="B2153" t="s">
        <v>1385</v>
      </c>
      <c r="C2153" t="s">
        <v>4193</v>
      </c>
      <c r="D2153">
        <v>1.4E-2</v>
      </c>
      <c r="E2153" t="s">
        <v>1720</v>
      </c>
      <c r="F2153" t="s">
        <v>1721</v>
      </c>
      <c r="G2153" t="s">
        <v>4386</v>
      </c>
      <c r="H2153" t="s">
        <v>4194</v>
      </c>
    </row>
    <row r="2154" spans="1:8" x14ac:dyDescent="0.35">
      <c r="A2154" t="s">
        <v>561</v>
      </c>
      <c r="B2154" t="s">
        <v>1385</v>
      </c>
      <c r="C2154" t="s">
        <v>4195</v>
      </c>
      <c r="D2154">
        <v>1.4E-2</v>
      </c>
      <c r="E2154" t="s">
        <v>1720</v>
      </c>
      <c r="F2154" t="s">
        <v>1721</v>
      </c>
      <c r="G2154" t="s">
        <v>4387</v>
      </c>
      <c r="H2154" t="s">
        <v>4196</v>
      </c>
    </row>
    <row r="2155" spans="1:8" x14ac:dyDescent="0.35">
      <c r="A2155" t="s">
        <v>561</v>
      </c>
      <c r="B2155" t="s">
        <v>1385</v>
      </c>
      <c r="C2155" t="s">
        <v>4199</v>
      </c>
      <c r="D2155">
        <v>1.4E-2</v>
      </c>
      <c r="E2155" t="s">
        <v>1720</v>
      </c>
      <c r="F2155" t="s">
        <v>1721</v>
      </c>
      <c r="G2155" t="s">
        <v>4388</v>
      </c>
      <c r="H2155" t="s">
        <v>4200</v>
      </c>
    </row>
    <row r="2156" spans="1:8" x14ac:dyDescent="0.35">
      <c r="A2156" t="s">
        <v>561</v>
      </c>
      <c r="B2156" t="s">
        <v>1385</v>
      </c>
      <c r="C2156" t="s">
        <v>4205</v>
      </c>
      <c r="D2156">
        <v>1.4E-3</v>
      </c>
      <c r="E2156" t="s">
        <v>1720</v>
      </c>
      <c r="F2156" t="s">
        <v>1721</v>
      </c>
      <c r="G2156" t="s">
        <v>4391</v>
      </c>
      <c r="H2156" t="s">
        <v>4206</v>
      </c>
    </row>
    <row r="2157" spans="1:8" x14ac:dyDescent="0.35">
      <c r="A2157" t="s">
        <v>561</v>
      </c>
      <c r="B2157" t="s">
        <v>1385</v>
      </c>
      <c r="C2157" t="s">
        <v>4309</v>
      </c>
      <c r="D2157">
        <v>1.4E-2</v>
      </c>
      <c r="E2157" t="s">
        <v>1720</v>
      </c>
      <c r="F2157" t="s">
        <v>1721</v>
      </c>
      <c r="G2157" t="s">
        <v>4436</v>
      </c>
      <c r="H2157" t="s">
        <v>4329</v>
      </c>
    </row>
    <row r="2158" spans="1:8" x14ac:dyDescent="0.35">
      <c r="A2158" t="s">
        <v>561</v>
      </c>
      <c r="B2158" t="s">
        <v>1385</v>
      </c>
      <c r="C2158" t="s">
        <v>4309</v>
      </c>
      <c r="D2158">
        <v>1</v>
      </c>
      <c r="E2158" t="s">
        <v>1720</v>
      </c>
      <c r="F2158" t="s">
        <v>1724</v>
      </c>
      <c r="G2158" t="s">
        <v>4436</v>
      </c>
      <c r="H2158" t="s">
        <v>4329</v>
      </c>
    </row>
    <row r="2159" spans="1:8" x14ac:dyDescent="0.35">
      <c r="A2159" t="s">
        <v>561</v>
      </c>
      <c r="B2159" t="s">
        <v>1385</v>
      </c>
      <c r="C2159" t="s">
        <v>4336</v>
      </c>
      <c r="D2159">
        <v>1.4E-2</v>
      </c>
      <c r="E2159" t="s">
        <v>1720</v>
      </c>
      <c r="F2159" t="s">
        <v>1721</v>
      </c>
      <c r="G2159" t="s">
        <v>4445</v>
      </c>
      <c r="H2159" t="s">
        <v>4337</v>
      </c>
    </row>
    <row r="2160" spans="1:8" x14ac:dyDescent="0.35">
      <c r="A2160" t="s">
        <v>561</v>
      </c>
      <c r="B2160" t="s">
        <v>1385</v>
      </c>
      <c r="C2160" t="s">
        <v>4336</v>
      </c>
      <c r="D2160">
        <v>2</v>
      </c>
      <c r="E2160" t="s">
        <v>1720</v>
      </c>
      <c r="F2160" t="s">
        <v>1724</v>
      </c>
      <c r="G2160" t="s">
        <v>4445</v>
      </c>
      <c r="H2160" t="s">
        <v>4337</v>
      </c>
    </row>
    <row r="2161" spans="1:8" x14ac:dyDescent="0.35">
      <c r="A2161" t="s">
        <v>561</v>
      </c>
      <c r="B2161" t="s">
        <v>1385</v>
      </c>
      <c r="C2161" t="s">
        <v>4217</v>
      </c>
      <c r="D2161">
        <v>1.4E-2</v>
      </c>
      <c r="E2161" t="s">
        <v>1720</v>
      </c>
      <c r="F2161" t="s">
        <v>1721</v>
      </c>
      <c r="G2161" t="s">
        <v>4396</v>
      </c>
      <c r="H2161" t="s">
        <v>4218</v>
      </c>
    </row>
    <row r="2162" spans="1:8" x14ac:dyDescent="0.35">
      <c r="A2162" t="s">
        <v>561</v>
      </c>
      <c r="B2162" t="s">
        <v>1385</v>
      </c>
      <c r="C2162" t="s">
        <v>4217</v>
      </c>
      <c r="D2162">
        <v>2</v>
      </c>
      <c r="E2162" t="s">
        <v>1720</v>
      </c>
      <c r="F2162" t="s">
        <v>1724</v>
      </c>
      <c r="G2162" t="s">
        <v>4396</v>
      </c>
      <c r="H2162" t="s">
        <v>4218</v>
      </c>
    </row>
    <row r="2163" spans="1:8" x14ac:dyDescent="0.35">
      <c r="A2163" t="s">
        <v>561</v>
      </c>
      <c r="B2163" t="s">
        <v>1385</v>
      </c>
      <c r="C2163" t="s">
        <v>4221</v>
      </c>
      <c r="D2163">
        <v>1.4E-2</v>
      </c>
      <c r="E2163" t="s">
        <v>1720</v>
      </c>
      <c r="F2163" t="s">
        <v>1721</v>
      </c>
      <c r="G2163" t="s">
        <v>4383</v>
      </c>
      <c r="H2163" t="s">
        <v>4222</v>
      </c>
    </row>
    <row r="2164" spans="1:8" x14ac:dyDescent="0.35">
      <c r="A2164" t="s">
        <v>561</v>
      </c>
      <c r="B2164" t="s">
        <v>1385</v>
      </c>
      <c r="C2164" t="s">
        <v>4330</v>
      </c>
      <c r="D2164">
        <v>1.4E-2</v>
      </c>
      <c r="E2164" t="s">
        <v>1720</v>
      </c>
      <c r="F2164" t="s">
        <v>1721</v>
      </c>
      <c r="G2164" t="s">
        <v>4437</v>
      </c>
      <c r="H2164" t="s">
        <v>4331</v>
      </c>
    </row>
    <row r="2165" spans="1:8" x14ac:dyDescent="0.35">
      <c r="A2165" t="s">
        <v>561</v>
      </c>
      <c r="B2165" t="s">
        <v>1385</v>
      </c>
      <c r="C2165" t="s">
        <v>4211</v>
      </c>
      <c r="D2165">
        <v>1.4E-2</v>
      </c>
      <c r="E2165" t="s">
        <v>1720</v>
      </c>
      <c r="F2165" t="s">
        <v>1721</v>
      </c>
      <c r="G2165" t="s">
        <v>4392</v>
      </c>
      <c r="H2165" t="s">
        <v>4212</v>
      </c>
    </row>
    <row r="2166" spans="1:8" x14ac:dyDescent="0.35">
      <c r="A2166" t="s">
        <v>561</v>
      </c>
      <c r="B2166" t="s">
        <v>1385</v>
      </c>
      <c r="C2166" t="s">
        <v>4334</v>
      </c>
      <c r="D2166">
        <v>1.4E-2</v>
      </c>
      <c r="E2166" t="s">
        <v>1720</v>
      </c>
      <c r="F2166" t="s">
        <v>1721</v>
      </c>
      <c r="G2166" t="s">
        <v>4443</v>
      </c>
      <c r="H2166" t="s">
        <v>4335</v>
      </c>
    </row>
    <row r="2167" spans="1:8" x14ac:dyDescent="0.35">
      <c r="A2167" t="s">
        <v>561</v>
      </c>
      <c r="B2167" t="s">
        <v>1385</v>
      </c>
      <c r="C2167" t="s">
        <v>4215</v>
      </c>
      <c r="D2167">
        <v>1.4E-2</v>
      </c>
      <c r="E2167" t="s">
        <v>1720</v>
      </c>
      <c r="F2167" t="s">
        <v>1721</v>
      </c>
      <c r="G2167" t="s">
        <v>4394</v>
      </c>
      <c r="H2167" t="s">
        <v>4216</v>
      </c>
    </row>
    <row r="2168" spans="1:8" x14ac:dyDescent="0.35">
      <c r="A2168" t="s">
        <v>561</v>
      </c>
      <c r="B2168" t="s">
        <v>1385</v>
      </c>
      <c r="C2168" t="s">
        <v>4215</v>
      </c>
      <c r="D2168">
        <v>1.4E-2</v>
      </c>
      <c r="E2168" t="s">
        <v>1720</v>
      </c>
      <c r="F2168" t="s">
        <v>1721</v>
      </c>
      <c r="G2168" t="s">
        <v>4395</v>
      </c>
      <c r="H2168" t="s">
        <v>4216</v>
      </c>
    </row>
    <row r="2169" spans="1:8" x14ac:dyDescent="0.35">
      <c r="A2169" t="s">
        <v>561</v>
      </c>
      <c r="B2169" t="s">
        <v>1385</v>
      </c>
      <c r="C2169" t="s">
        <v>4215</v>
      </c>
      <c r="D2169">
        <v>1.4E-2</v>
      </c>
      <c r="E2169" t="s">
        <v>1720</v>
      </c>
      <c r="F2169" t="s">
        <v>1721</v>
      </c>
      <c r="G2169" t="s">
        <v>4397</v>
      </c>
      <c r="H2169" t="s">
        <v>4216</v>
      </c>
    </row>
    <row r="2170" spans="1:8" x14ac:dyDescent="0.35">
      <c r="A2170" t="s">
        <v>561</v>
      </c>
      <c r="B2170" t="s">
        <v>1385</v>
      </c>
      <c r="C2170" t="s">
        <v>4215</v>
      </c>
      <c r="D2170">
        <v>1.4E-2</v>
      </c>
      <c r="E2170" t="s">
        <v>1720</v>
      </c>
      <c r="F2170" t="s">
        <v>1721</v>
      </c>
      <c r="G2170" t="s">
        <v>4398</v>
      </c>
      <c r="H2170" t="s">
        <v>4216</v>
      </c>
    </row>
    <row r="2171" spans="1:8" x14ac:dyDescent="0.35">
      <c r="A2171" t="s">
        <v>561</v>
      </c>
      <c r="B2171" t="s">
        <v>1385</v>
      </c>
      <c r="C2171" t="s">
        <v>4311</v>
      </c>
      <c r="D2171">
        <v>1E-3</v>
      </c>
      <c r="E2171" t="s">
        <v>1720</v>
      </c>
      <c r="G2171" t="s">
        <v>4387</v>
      </c>
      <c r="H2171" t="s">
        <v>4312</v>
      </c>
    </row>
    <row r="2172" spans="1:8" x14ac:dyDescent="0.35">
      <c r="A2172" t="s">
        <v>561</v>
      </c>
      <c r="B2172" t="s">
        <v>1385</v>
      </c>
      <c r="C2172" t="s">
        <v>4232</v>
      </c>
      <c r="D2172">
        <v>1.4E-2</v>
      </c>
      <c r="E2172" t="s">
        <v>1720</v>
      </c>
      <c r="F2172" t="s">
        <v>1721</v>
      </c>
      <c r="G2172" t="s">
        <v>4402</v>
      </c>
      <c r="H2172" t="s">
        <v>4233</v>
      </c>
    </row>
    <row r="2173" spans="1:8" x14ac:dyDescent="0.35">
      <c r="A2173" t="s">
        <v>561</v>
      </c>
      <c r="B2173" t="s">
        <v>1385</v>
      </c>
      <c r="C2173" t="s">
        <v>4213</v>
      </c>
      <c r="D2173">
        <v>6.4000000000000005E-4</v>
      </c>
      <c r="E2173" t="s">
        <v>1720</v>
      </c>
      <c r="F2173" t="s">
        <v>1721</v>
      </c>
      <c r="G2173" t="s">
        <v>4393</v>
      </c>
      <c r="H2173" t="s">
        <v>4214</v>
      </c>
    </row>
    <row r="2174" spans="1:8" x14ac:dyDescent="0.35">
      <c r="A2174" t="s">
        <v>561</v>
      </c>
      <c r="B2174" t="s">
        <v>1385</v>
      </c>
      <c r="C2174" t="s">
        <v>4213</v>
      </c>
      <c r="D2174">
        <v>2</v>
      </c>
      <c r="E2174" t="s">
        <v>1720</v>
      </c>
      <c r="F2174" t="s">
        <v>1724</v>
      </c>
      <c r="G2174" t="s">
        <v>4393</v>
      </c>
      <c r="H2174" t="s">
        <v>4214</v>
      </c>
    </row>
    <row r="2175" spans="1:8" x14ac:dyDescent="0.35">
      <c r="A2175" t="s">
        <v>561</v>
      </c>
      <c r="B2175" t="s">
        <v>1385</v>
      </c>
      <c r="C2175" t="s">
        <v>4219</v>
      </c>
      <c r="D2175">
        <v>1.4E-2</v>
      </c>
      <c r="E2175" t="s">
        <v>1720</v>
      </c>
      <c r="F2175" t="s">
        <v>1721</v>
      </c>
      <c r="G2175" t="s">
        <v>4380</v>
      </c>
      <c r="H2175" t="s">
        <v>4220</v>
      </c>
    </row>
    <row r="2176" spans="1:8" x14ac:dyDescent="0.35">
      <c r="A2176" t="s">
        <v>561</v>
      </c>
      <c r="B2176" t="s">
        <v>1385</v>
      </c>
      <c r="C2176" t="s">
        <v>4219</v>
      </c>
      <c r="D2176">
        <v>2</v>
      </c>
      <c r="E2176" t="s">
        <v>1720</v>
      </c>
      <c r="F2176" t="s">
        <v>1724</v>
      </c>
      <c r="G2176" t="s">
        <v>4380</v>
      </c>
      <c r="H2176" t="s">
        <v>4220</v>
      </c>
    </row>
    <row r="2177" spans="1:8" x14ac:dyDescent="0.35">
      <c r="A2177" t="s">
        <v>561</v>
      </c>
      <c r="B2177" t="s">
        <v>1385</v>
      </c>
      <c r="C2177" t="s">
        <v>4332</v>
      </c>
      <c r="D2177">
        <v>1.4E-2</v>
      </c>
      <c r="E2177" t="s">
        <v>1720</v>
      </c>
      <c r="F2177" t="s">
        <v>1721</v>
      </c>
      <c r="G2177" t="s">
        <v>4438</v>
      </c>
      <c r="H2177" t="s">
        <v>4333</v>
      </c>
    </row>
    <row r="2178" spans="1:8" x14ac:dyDescent="0.35">
      <c r="A2178" t="s">
        <v>561</v>
      </c>
      <c r="B2178" t="s">
        <v>1385</v>
      </c>
      <c r="C2178" t="s">
        <v>4332</v>
      </c>
      <c r="D2178">
        <v>2</v>
      </c>
      <c r="E2178" t="s">
        <v>1720</v>
      </c>
      <c r="F2178" t="s">
        <v>1724</v>
      </c>
      <c r="G2178" t="s">
        <v>4438</v>
      </c>
      <c r="H2178" t="s">
        <v>4333</v>
      </c>
    </row>
    <row r="2179" spans="1:8" x14ac:dyDescent="0.35">
      <c r="A2179" t="s">
        <v>561</v>
      </c>
      <c r="B2179" t="s">
        <v>1385</v>
      </c>
      <c r="C2179" t="s">
        <v>4332</v>
      </c>
      <c r="D2179">
        <v>1.4E-2</v>
      </c>
      <c r="E2179" t="s">
        <v>1720</v>
      </c>
      <c r="F2179" t="s">
        <v>1721</v>
      </c>
      <c r="G2179" t="s">
        <v>4439</v>
      </c>
      <c r="H2179" t="s">
        <v>4333</v>
      </c>
    </row>
    <row r="2180" spans="1:8" x14ac:dyDescent="0.35">
      <c r="A2180" t="s">
        <v>561</v>
      </c>
      <c r="B2180" t="s">
        <v>1385</v>
      </c>
      <c r="C2180" t="s">
        <v>4332</v>
      </c>
      <c r="D2180">
        <v>2</v>
      </c>
      <c r="E2180" t="s">
        <v>1720</v>
      </c>
      <c r="F2180" t="s">
        <v>1724</v>
      </c>
      <c r="G2180" t="s">
        <v>4439</v>
      </c>
      <c r="H2180" t="s">
        <v>4333</v>
      </c>
    </row>
    <row r="2181" spans="1:8" x14ac:dyDescent="0.35">
      <c r="A2181" t="s">
        <v>561</v>
      </c>
      <c r="B2181" t="s">
        <v>1385</v>
      </c>
      <c r="C2181" t="s">
        <v>4332</v>
      </c>
      <c r="D2181">
        <v>1.4E-2</v>
      </c>
      <c r="E2181" t="s">
        <v>1720</v>
      </c>
      <c r="F2181" t="s">
        <v>1721</v>
      </c>
      <c r="G2181" t="s">
        <v>4440</v>
      </c>
      <c r="H2181" t="s">
        <v>4333</v>
      </c>
    </row>
    <row r="2182" spans="1:8" x14ac:dyDescent="0.35">
      <c r="A2182" t="s">
        <v>561</v>
      </c>
      <c r="B2182" t="s">
        <v>1385</v>
      </c>
      <c r="C2182" t="s">
        <v>4332</v>
      </c>
      <c r="D2182">
        <v>2</v>
      </c>
      <c r="E2182" t="s">
        <v>1720</v>
      </c>
      <c r="F2182" t="s">
        <v>1724</v>
      </c>
      <c r="G2182" t="s">
        <v>4440</v>
      </c>
      <c r="H2182" t="s">
        <v>4333</v>
      </c>
    </row>
    <row r="2183" spans="1:8" x14ac:dyDescent="0.35">
      <c r="A2183" t="s">
        <v>561</v>
      </c>
      <c r="B2183" t="s">
        <v>1385</v>
      </c>
      <c r="C2183" t="s">
        <v>4332</v>
      </c>
      <c r="D2183">
        <v>1.4E-2</v>
      </c>
      <c r="E2183" t="s">
        <v>1720</v>
      </c>
      <c r="F2183" t="s">
        <v>1721</v>
      </c>
      <c r="G2183" t="s">
        <v>4441</v>
      </c>
      <c r="H2183" t="s">
        <v>4333</v>
      </c>
    </row>
    <row r="2184" spans="1:8" x14ac:dyDescent="0.35">
      <c r="A2184" t="s">
        <v>561</v>
      </c>
      <c r="B2184" t="s">
        <v>1385</v>
      </c>
      <c r="C2184" t="s">
        <v>4332</v>
      </c>
      <c r="D2184">
        <v>2</v>
      </c>
      <c r="E2184" t="s">
        <v>1720</v>
      </c>
      <c r="F2184" t="s">
        <v>1724</v>
      </c>
      <c r="G2184" t="s">
        <v>4441</v>
      </c>
      <c r="H2184" t="s">
        <v>4333</v>
      </c>
    </row>
    <row r="2185" spans="1:8" x14ac:dyDescent="0.35">
      <c r="A2185" t="s">
        <v>561</v>
      </c>
      <c r="B2185" t="s">
        <v>1385</v>
      </c>
      <c r="C2185" t="s">
        <v>4332</v>
      </c>
      <c r="D2185">
        <v>1.4E-2</v>
      </c>
      <c r="E2185" t="s">
        <v>1720</v>
      </c>
      <c r="F2185" t="s">
        <v>1721</v>
      </c>
      <c r="G2185" t="s">
        <v>4442</v>
      </c>
      <c r="H2185" t="s">
        <v>4333</v>
      </c>
    </row>
    <row r="2186" spans="1:8" x14ac:dyDescent="0.35">
      <c r="A2186" t="s">
        <v>561</v>
      </c>
      <c r="B2186" t="s">
        <v>1385</v>
      </c>
      <c r="C2186" t="s">
        <v>4209</v>
      </c>
      <c r="D2186">
        <v>1.4E-2</v>
      </c>
      <c r="E2186" t="s">
        <v>1720</v>
      </c>
      <c r="F2186" t="s">
        <v>1721</v>
      </c>
      <c r="G2186" t="s">
        <v>4383</v>
      </c>
      <c r="H2186" t="s">
        <v>4210</v>
      </c>
    </row>
    <row r="2187" spans="1:8" x14ac:dyDescent="0.35">
      <c r="A2187" t="s">
        <v>561</v>
      </c>
      <c r="B2187" t="s">
        <v>1385</v>
      </c>
      <c r="C2187" t="s">
        <v>4209</v>
      </c>
      <c r="D2187">
        <v>2</v>
      </c>
      <c r="E2187" t="s">
        <v>1720</v>
      </c>
      <c r="F2187" t="s">
        <v>1724</v>
      </c>
      <c r="G2187" t="s">
        <v>4383</v>
      </c>
      <c r="H2187" t="s">
        <v>4210</v>
      </c>
    </row>
    <row r="2188" spans="1:8" x14ac:dyDescent="0.35">
      <c r="A2188" t="s">
        <v>561</v>
      </c>
      <c r="B2188" t="s">
        <v>1385</v>
      </c>
      <c r="C2188" t="s">
        <v>4317</v>
      </c>
      <c r="D2188">
        <v>4.3999999999999997E-2</v>
      </c>
      <c r="E2188" t="s">
        <v>1720</v>
      </c>
      <c r="F2188" t="s">
        <v>1721</v>
      </c>
      <c r="G2188" t="s">
        <v>4426</v>
      </c>
      <c r="H2188" t="s">
        <v>4318</v>
      </c>
    </row>
    <row r="2189" spans="1:8" x14ac:dyDescent="0.35">
      <c r="A2189" t="s">
        <v>561</v>
      </c>
      <c r="B2189" t="s">
        <v>1385</v>
      </c>
      <c r="C2189" t="s">
        <v>4313</v>
      </c>
      <c r="D2189">
        <v>0.01</v>
      </c>
      <c r="E2189" t="s">
        <v>1720</v>
      </c>
      <c r="F2189" t="s">
        <v>1721</v>
      </c>
      <c r="G2189" t="s">
        <v>4423</v>
      </c>
      <c r="H2189" t="s">
        <v>4314</v>
      </c>
    </row>
    <row r="2190" spans="1:8" x14ac:dyDescent="0.35">
      <c r="A2190" t="s">
        <v>561</v>
      </c>
      <c r="B2190" t="s">
        <v>1385</v>
      </c>
      <c r="C2190" t="s">
        <v>4313</v>
      </c>
      <c r="D2190">
        <v>2</v>
      </c>
      <c r="E2190" t="s">
        <v>1720</v>
      </c>
      <c r="F2190" t="s">
        <v>1724</v>
      </c>
      <c r="G2190" t="s">
        <v>4423</v>
      </c>
      <c r="H2190" t="s">
        <v>4314</v>
      </c>
    </row>
    <row r="2191" spans="1:8" x14ac:dyDescent="0.35">
      <c r="A2191" t="s">
        <v>561</v>
      </c>
      <c r="B2191" t="s">
        <v>1385</v>
      </c>
      <c r="C2191" t="s">
        <v>4313</v>
      </c>
      <c r="D2191">
        <v>0.02</v>
      </c>
      <c r="E2191" t="s">
        <v>1720</v>
      </c>
      <c r="F2191" t="s">
        <v>1721</v>
      </c>
      <c r="G2191" t="s">
        <v>4424</v>
      </c>
      <c r="H2191" t="s">
        <v>4314</v>
      </c>
    </row>
    <row r="2192" spans="1:8" x14ac:dyDescent="0.35">
      <c r="A2192" t="s">
        <v>561</v>
      </c>
      <c r="B2192" t="s">
        <v>1385</v>
      </c>
      <c r="C2192" t="s">
        <v>4313</v>
      </c>
      <c r="D2192">
        <v>2</v>
      </c>
      <c r="E2192" t="s">
        <v>1720</v>
      </c>
      <c r="F2192" t="s">
        <v>1724</v>
      </c>
      <c r="G2192" t="s">
        <v>4424</v>
      </c>
      <c r="H2192" t="s">
        <v>4314</v>
      </c>
    </row>
    <row r="2193" spans="1:8" x14ac:dyDescent="0.35">
      <c r="A2193" t="s">
        <v>561</v>
      </c>
      <c r="B2193" t="s">
        <v>1385</v>
      </c>
      <c r="C2193" t="s">
        <v>4313</v>
      </c>
      <c r="D2193">
        <v>11</v>
      </c>
      <c r="E2193" t="s">
        <v>1720</v>
      </c>
      <c r="F2193" t="s">
        <v>1724</v>
      </c>
      <c r="G2193" t="s">
        <v>4444</v>
      </c>
      <c r="H2193" t="s">
        <v>4314</v>
      </c>
    </row>
    <row r="2194" spans="1:8" x14ac:dyDescent="0.35">
      <c r="A2194" t="s">
        <v>561</v>
      </c>
      <c r="B2194" t="s">
        <v>1385</v>
      </c>
      <c r="C2194" t="s">
        <v>4313</v>
      </c>
      <c r="D2194">
        <v>0.02</v>
      </c>
      <c r="E2194" t="s">
        <v>1720</v>
      </c>
      <c r="F2194" t="s">
        <v>1721</v>
      </c>
      <c r="G2194" t="s">
        <v>4425</v>
      </c>
      <c r="H2194" t="s">
        <v>4314</v>
      </c>
    </row>
    <row r="2195" spans="1:8" x14ac:dyDescent="0.35">
      <c r="A2195" t="s">
        <v>561</v>
      </c>
      <c r="B2195" t="s">
        <v>1385</v>
      </c>
      <c r="C2195" t="s">
        <v>4313</v>
      </c>
      <c r="D2195">
        <v>2</v>
      </c>
      <c r="E2195" t="s">
        <v>1720</v>
      </c>
      <c r="F2195" t="s">
        <v>1724</v>
      </c>
      <c r="G2195" t="s">
        <v>4425</v>
      </c>
      <c r="H2195" t="s">
        <v>4314</v>
      </c>
    </row>
    <row r="2196" spans="1:8" x14ac:dyDescent="0.35">
      <c r="A2196" t="s">
        <v>561</v>
      </c>
      <c r="B2196" t="s">
        <v>1385</v>
      </c>
      <c r="C2196" t="s">
        <v>4302</v>
      </c>
      <c r="D2196">
        <v>1.4E-2</v>
      </c>
      <c r="E2196" t="s">
        <v>1720</v>
      </c>
      <c r="F2196" t="s">
        <v>1721</v>
      </c>
      <c r="G2196" t="s">
        <v>4420</v>
      </c>
      <c r="H2196" t="s">
        <v>4303</v>
      </c>
    </row>
    <row r="2197" spans="1:8" x14ac:dyDescent="0.35">
      <c r="A2197" t="s">
        <v>561</v>
      </c>
      <c r="B2197" t="s">
        <v>1385</v>
      </c>
      <c r="C2197" t="s">
        <v>4227</v>
      </c>
      <c r="D2197">
        <v>1.4E-2</v>
      </c>
      <c r="E2197" t="s">
        <v>1720</v>
      </c>
      <c r="F2197" t="s">
        <v>1721</v>
      </c>
      <c r="G2197" t="s">
        <v>4401</v>
      </c>
      <c r="H2197" t="s">
        <v>4228</v>
      </c>
    </row>
    <row r="2198" spans="1:8" x14ac:dyDescent="0.35">
      <c r="A2198" t="s">
        <v>561</v>
      </c>
      <c r="B2198" t="s">
        <v>1385</v>
      </c>
      <c r="C2198" t="s">
        <v>4300</v>
      </c>
      <c r="D2198">
        <v>1.4E-2</v>
      </c>
      <c r="E2198" t="s">
        <v>1720</v>
      </c>
      <c r="F2198" t="s">
        <v>1721</v>
      </c>
      <c r="G2198" t="s">
        <v>4389</v>
      </c>
      <c r="H2198" t="s">
        <v>4301</v>
      </c>
    </row>
    <row r="2199" spans="1:8" x14ac:dyDescent="0.35">
      <c r="A2199" t="s">
        <v>561</v>
      </c>
      <c r="B2199" t="s">
        <v>1385</v>
      </c>
      <c r="C2199" t="s">
        <v>4300</v>
      </c>
      <c r="D2199">
        <v>2</v>
      </c>
      <c r="E2199" t="s">
        <v>1720</v>
      </c>
      <c r="F2199" t="s">
        <v>1724</v>
      </c>
      <c r="G2199" t="s">
        <v>4389</v>
      </c>
      <c r="H2199" t="s">
        <v>4301</v>
      </c>
    </row>
    <row r="2200" spans="1:8" x14ac:dyDescent="0.35">
      <c r="A2200" t="s">
        <v>561</v>
      </c>
      <c r="B2200" t="s">
        <v>1385</v>
      </c>
      <c r="C2200" t="s">
        <v>4223</v>
      </c>
      <c r="D2200">
        <v>1.4E-2</v>
      </c>
      <c r="E2200" t="s">
        <v>1720</v>
      </c>
      <c r="F2200" t="s">
        <v>1721</v>
      </c>
      <c r="G2200" t="s">
        <v>4399</v>
      </c>
      <c r="H2200" t="s">
        <v>4224</v>
      </c>
    </row>
    <row r="2201" spans="1:8" x14ac:dyDescent="0.35">
      <c r="A2201" t="s">
        <v>561</v>
      </c>
      <c r="B2201" t="s">
        <v>1385</v>
      </c>
      <c r="C2201" t="s">
        <v>4223</v>
      </c>
      <c r="D2201">
        <v>2</v>
      </c>
      <c r="E2201" t="s">
        <v>1720</v>
      </c>
      <c r="F2201" t="s">
        <v>1724</v>
      </c>
      <c r="G2201" t="s">
        <v>4399</v>
      </c>
      <c r="H2201" t="s">
        <v>4224</v>
      </c>
    </row>
    <row r="2202" spans="1:8" x14ac:dyDescent="0.35">
      <c r="A2202" t="s">
        <v>561</v>
      </c>
      <c r="B2202" t="s">
        <v>1385</v>
      </c>
      <c r="C2202" t="s">
        <v>4338</v>
      </c>
      <c r="D2202">
        <v>2</v>
      </c>
      <c r="E2202" t="s">
        <v>1720</v>
      </c>
      <c r="F2202" t="s">
        <v>1724</v>
      </c>
      <c r="G2202" t="s">
        <v>4383</v>
      </c>
      <c r="H2202" t="s">
        <v>4339</v>
      </c>
    </row>
    <row r="2203" spans="1:8" x14ac:dyDescent="0.35">
      <c r="A2203" t="s">
        <v>561</v>
      </c>
      <c r="B2203" t="s">
        <v>1385</v>
      </c>
      <c r="C2203" t="s">
        <v>4338</v>
      </c>
      <c r="D2203">
        <v>1.4E-2</v>
      </c>
      <c r="E2203" t="s">
        <v>1720</v>
      </c>
      <c r="F2203" t="s">
        <v>1721</v>
      </c>
      <c r="G2203" t="s">
        <v>4383</v>
      </c>
      <c r="H2203" t="s">
        <v>4339</v>
      </c>
    </row>
    <row r="2204" spans="1:8" x14ac:dyDescent="0.35">
      <c r="A2204" t="s">
        <v>561</v>
      </c>
      <c r="B2204" t="s">
        <v>1385</v>
      </c>
      <c r="C2204" t="s">
        <v>4332</v>
      </c>
      <c r="D2204">
        <v>2</v>
      </c>
      <c r="E2204" t="s">
        <v>1720</v>
      </c>
      <c r="F2204" t="s">
        <v>1724</v>
      </c>
      <c r="G2204" t="s">
        <v>4442</v>
      </c>
      <c r="H2204" t="s">
        <v>4333</v>
      </c>
    </row>
    <row r="2205" spans="1:8" x14ac:dyDescent="0.35">
      <c r="A2205" t="s">
        <v>561</v>
      </c>
      <c r="B2205" t="s">
        <v>1385</v>
      </c>
      <c r="C2205" t="s">
        <v>4201</v>
      </c>
      <c r="D2205">
        <v>0.02</v>
      </c>
      <c r="E2205" t="s">
        <v>1720</v>
      </c>
      <c r="F2205" t="s">
        <v>1724</v>
      </c>
      <c r="G2205" t="s">
        <v>4389</v>
      </c>
      <c r="H2205" t="s">
        <v>4202</v>
      </c>
    </row>
    <row r="2206" spans="1:8" x14ac:dyDescent="0.35">
      <c r="A2206" t="s">
        <v>561</v>
      </c>
      <c r="B2206" t="s">
        <v>1385</v>
      </c>
      <c r="C2206" t="s">
        <v>4201</v>
      </c>
      <c r="D2206">
        <v>1.4E-2</v>
      </c>
      <c r="E2206" t="s">
        <v>1720</v>
      </c>
      <c r="F2206" t="s">
        <v>1721</v>
      </c>
      <c r="G2206" t="s">
        <v>4389</v>
      </c>
      <c r="H2206" t="s">
        <v>4202</v>
      </c>
    </row>
    <row r="2207" spans="1:8" x14ac:dyDescent="0.35">
      <c r="A2207" t="s">
        <v>561</v>
      </c>
      <c r="B2207" t="s">
        <v>1385</v>
      </c>
      <c r="C2207" t="s">
        <v>4234</v>
      </c>
      <c r="D2207">
        <v>1.4E-2</v>
      </c>
      <c r="E2207" t="s">
        <v>1720</v>
      </c>
      <c r="G2207" t="s">
        <v>4383</v>
      </c>
      <c r="H2207" t="s">
        <v>4235</v>
      </c>
    </row>
    <row r="2208" spans="1:8" x14ac:dyDescent="0.35">
      <c r="A2208" t="s">
        <v>561</v>
      </c>
      <c r="B2208" t="s">
        <v>1385</v>
      </c>
      <c r="C2208" t="s">
        <v>4225</v>
      </c>
      <c r="D2208">
        <v>1.4E-2</v>
      </c>
      <c r="E2208" t="s">
        <v>1720</v>
      </c>
      <c r="F2208" t="s">
        <v>1721</v>
      </c>
      <c r="G2208" t="s">
        <v>4400</v>
      </c>
      <c r="H2208" t="s">
        <v>4226</v>
      </c>
    </row>
    <row r="2209" spans="1:8" x14ac:dyDescent="0.35">
      <c r="A2209" t="s">
        <v>561</v>
      </c>
      <c r="B2209" t="s">
        <v>1385</v>
      </c>
      <c r="C2209" t="s">
        <v>4315</v>
      </c>
      <c r="D2209">
        <v>1.4E-2</v>
      </c>
      <c r="E2209" t="s">
        <v>1720</v>
      </c>
      <c r="F2209" t="s">
        <v>1721</v>
      </c>
      <c r="G2209" t="s">
        <v>4383</v>
      </c>
      <c r="H2209" t="s">
        <v>4316</v>
      </c>
    </row>
    <row r="2210" spans="1:8" x14ac:dyDescent="0.35">
      <c r="A2210" t="s">
        <v>561</v>
      </c>
      <c r="B2210" t="s">
        <v>1385</v>
      </c>
      <c r="C2210" t="s">
        <v>4315</v>
      </c>
      <c r="D2210">
        <v>2</v>
      </c>
      <c r="E2210" t="s">
        <v>1720</v>
      </c>
      <c r="F2210" t="s">
        <v>1724</v>
      </c>
      <c r="G2210" t="s">
        <v>4383</v>
      </c>
      <c r="H2210" t="s">
        <v>4316</v>
      </c>
    </row>
    <row r="2211" spans="1:8" x14ac:dyDescent="0.35">
      <c r="A2211" t="s">
        <v>561</v>
      </c>
      <c r="B2211" t="s">
        <v>1385</v>
      </c>
      <c r="C2211" t="s">
        <v>4238</v>
      </c>
      <c r="D2211">
        <v>1.4E-2</v>
      </c>
      <c r="E2211" t="s">
        <v>1720</v>
      </c>
      <c r="F2211" t="s">
        <v>1721</v>
      </c>
      <c r="G2211" t="s">
        <v>4404</v>
      </c>
      <c r="H2211" t="s">
        <v>4239</v>
      </c>
    </row>
    <row r="2212" spans="1:8" x14ac:dyDescent="0.35">
      <c r="A2212" t="s">
        <v>561</v>
      </c>
      <c r="B2212" t="s">
        <v>1385</v>
      </c>
      <c r="C2212" t="s">
        <v>4229</v>
      </c>
      <c r="D2212">
        <v>1.4E-2</v>
      </c>
      <c r="E2212" t="s">
        <v>1720</v>
      </c>
      <c r="F2212" t="s">
        <v>1721</v>
      </c>
      <c r="G2212" t="s">
        <v>4399</v>
      </c>
      <c r="H2212" t="s">
        <v>1711</v>
      </c>
    </row>
    <row r="2213" spans="1:8" x14ac:dyDescent="0.35">
      <c r="A2213" t="s">
        <v>561</v>
      </c>
      <c r="B2213" t="s">
        <v>1385</v>
      </c>
      <c r="C2213" t="s">
        <v>4230</v>
      </c>
      <c r="D2213">
        <v>1.4E-2</v>
      </c>
      <c r="E2213" t="s">
        <v>1720</v>
      </c>
      <c r="F2213" t="s">
        <v>1721</v>
      </c>
      <c r="G2213" t="s">
        <v>4396</v>
      </c>
      <c r="H2213" t="s">
        <v>4231</v>
      </c>
    </row>
    <row r="2214" spans="1:8" x14ac:dyDescent="0.35">
      <c r="A2214" t="s">
        <v>561</v>
      </c>
      <c r="B2214" t="s">
        <v>1385</v>
      </c>
      <c r="C2214" t="s">
        <v>4240</v>
      </c>
      <c r="D2214">
        <v>1.4E-2</v>
      </c>
      <c r="E2214" t="s">
        <v>1720</v>
      </c>
      <c r="F2214" t="s">
        <v>1721</v>
      </c>
      <c r="G2214" t="s">
        <v>4402</v>
      </c>
      <c r="H2214" t="s">
        <v>4241</v>
      </c>
    </row>
    <row r="2215" spans="1:8" x14ac:dyDescent="0.35">
      <c r="A2215" t="s">
        <v>561</v>
      </c>
      <c r="B2215" t="s">
        <v>1385</v>
      </c>
      <c r="C2215" t="s">
        <v>4323</v>
      </c>
      <c r="D2215">
        <v>2</v>
      </c>
      <c r="E2215" t="s">
        <v>1720</v>
      </c>
      <c r="F2215" t="s">
        <v>1724</v>
      </c>
      <c r="G2215" t="s">
        <v>4428</v>
      </c>
      <c r="H2215" t="s">
        <v>4324</v>
      </c>
    </row>
    <row r="2216" spans="1:8" x14ac:dyDescent="0.35">
      <c r="A2216" t="s">
        <v>561</v>
      </c>
      <c r="B2216" t="s">
        <v>1385</v>
      </c>
      <c r="C2216" t="s">
        <v>4323</v>
      </c>
      <c r="D2216">
        <v>0.01</v>
      </c>
      <c r="E2216" t="s">
        <v>1720</v>
      </c>
      <c r="F2216" t="s">
        <v>1721</v>
      </c>
      <c r="G2216" t="s">
        <v>4428</v>
      </c>
      <c r="H2216" t="s">
        <v>4324</v>
      </c>
    </row>
    <row r="2217" spans="1:8" x14ac:dyDescent="0.35">
      <c r="A2217" t="s">
        <v>561</v>
      </c>
      <c r="B2217" t="s">
        <v>1385</v>
      </c>
      <c r="C2217" t="s">
        <v>4323</v>
      </c>
      <c r="D2217">
        <v>2</v>
      </c>
      <c r="E2217" t="s">
        <v>1720</v>
      </c>
      <c r="F2217" t="s">
        <v>1724</v>
      </c>
      <c r="G2217" t="s">
        <v>4429</v>
      </c>
      <c r="H2217" t="s">
        <v>4324</v>
      </c>
    </row>
    <row r="2218" spans="1:8" x14ac:dyDescent="0.35">
      <c r="A2218" t="s">
        <v>561</v>
      </c>
      <c r="B2218" t="s">
        <v>1385</v>
      </c>
      <c r="C2218" t="s">
        <v>4323</v>
      </c>
      <c r="D2218">
        <v>0.02</v>
      </c>
      <c r="E2218" t="s">
        <v>1720</v>
      </c>
      <c r="F2218" t="s">
        <v>1721</v>
      </c>
      <c r="G2218" t="s">
        <v>4429</v>
      </c>
      <c r="H2218" t="s">
        <v>4324</v>
      </c>
    </row>
    <row r="2219" spans="1:8" x14ac:dyDescent="0.35">
      <c r="A2219" t="s">
        <v>561</v>
      </c>
      <c r="B2219" t="s">
        <v>1385</v>
      </c>
      <c r="C2219" t="s">
        <v>4323</v>
      </c>
      <c r="D2219">
        <v>2</v>
      </c>
      <c r="E2219" t="s">
        <v>1720</v>
      </c>
      <c r="F2219" t="s">
        <v>1724</v>
      </c>
      <c r="G2219" t="s">
        <v>4430</v>
      </c>
      <c r="H2219" t="s">
        <v>4324</v>
      </c>
    </row>
    <row r="2220" spans="1:8" x14ac:dyDescent="0.35">
      <c r="A2220" t="s">
        <v>561</v>
      </c>
      <c r="B2220" t="s">
        <v>1385</v>
      </c>
      <c r="C2220" t="s">
        <v>4323</v>
      </c>
      <c r="D2220">
        <v>0.02</v>
      </c>
      <c r="E2220" t="s">
        <v>1720</v>
      </c>
      <c r="F2220" t="s">
        <v>1721</v>
      </c>
      <c r="G2220" t="s">
        <v>4430</v>
      </c>
      <c r="H2220" t="s">
        <v>4324</v>
      </c>
    </row>
    <row r="2221" spans="1:8" x14ac:dyDescent="0.35">
      <c r="A2221" t="s">
        <v>561</v>
      </c>
      <c r="B2221" t="s">
        <v>1385</v>
      </c>
      <c r="C2221" t="s">
        <v>4323</v>
      </c>
      <c r="D2221">
        <v>11</v>
      </c>
      <c r="E2221" t="s">
        <v>1720</v>
      </c>
      <c r="F2221" t="s">
        <v>1724</v>
      </c>
      <c r="G2221" t="s">
        <v>4446</v>
      </c>
      <c r="H2221" t="s">
        <v>4324</v>
      </c>
    </row>
    <row r="2222" spans="1:8" x14ac:dyDescent="0.35">
      <c r="A2222" t="s">
        <v>561</v>
      </c>
      <c r="B2222" t="s">
        <v>1385</v>
      </c>
      <c r="C2222" t="s">
        <v>4323</v>
      </c>
      <c r="D2222">
        <v>2.5</v>
      </c>
      <c r="E2222" t="s">
        <v>1720</v>
      </c>
      <c r="F2222" t="s">
        <v>1721</v>
      </c>
      <c r="G2222" t="s">
        <v>4446</v>
      </c>
      <c r="H2222" t="s">
        <v>4324</v>
      </c>
    </row>
    <row r="2223" spans="1:8" x14ac:dyDescent="0.35">
      <c r="A2223" t="s">
        <v>561</v>
      </c>
      <c r="B2223" t="s">
        <v>1385</v>
      </c>
      <c r="C2223" t="s">
        <v>4252</v>
      </c>
      <c r="D2223">
        <v>1.4E-2</v>
      </c>
      <c r="E2223" t="s">
        <v>1720</v>
      </c>
      <c r="F2223" t="s">
        <v>1721</v>
      </c>
      <c r="G2223" t="s">
        <v>4402</v>
      </c>
      <c r="H2223" t="s">
        <v>4253</v>
      </c>
    </row>
    <row r="2224" spans="1:8" x14ac:dyDescent="0.35">
      <c r="A2224" t="s">
        <v>561</v>
      </c>
      <c r="B2224" t="s">
        <v>1385</v>
      </c>
      <c r="C2224" t="s">
        <v>4340</v>
      </c>
      <c r="D2224">
        <v>2</v>
      </c>
      <c r="E2224" t="s">
        <v>1720</v>
      </c>
      <c r="F2224" t="s">
        <v>1724</v>
      </c>
      <c r="G2224" t="s">
        <v>4402</v>
      </c>
      <c r="H2224" t="s">
        <v>4341</v>
      </c>
    </row>
    <row r="2225" spans="1:8" x14ac:dyDescent="0.35">
      <c r="A2225" t="s">
        <v>561</v>
      </c>
      <c r="B2225" t="s">
        <v>1385</v>
      </c>
      <c r="C2225" t="s">
        <v>4340</v>
      </c>
      <c r="D2225">
        <v>1.4E-2</v>
      </c>
      <c r="E2225" t="s">
        <v>1720</v>
      </c>
      <c r="F2225" t="s">
        <v>1721</v>
      </c>
      <c r="G2225" t="s">
        <v>4402</v>
      </c>
      <c r="H2225" t="s">
        <v>4341</v>
      </c>
    </row>
    <row r="2226" spans="1:8" x14ac:dyDescent="0.35">
      <c r="A2226" t="s">
        <v>561</v>
      </c>
      <c r="B2226" t="s">
        <v>1385</v>
      </c>
      <c r="C2226" t="s">
        <v>4360</v>
      </c>
      <c r="D2226">
        <v>1.4E-2</v>
      </c>
      <c r="E2226" t="s">
        <v>1720</v>
      </c>
      <c r="F2226" t="s">
        <v>1721</v>
      </c>
      <c r="G2226" t="s">
        <v>4383</v>
      </c>
      <c r="H2226" t="s">
        <v>4361</v>
      </c>
    </row>
    <row r="2227" spans="1:8" x14ac:dyDescent="0.35">
      <c r="A2227" t="s">
        <v>561</v>
      </c>
      <c r="B2227" t="s">
        <v>1385</v>
      </c>
      <c r="C2227" t="s">
        <v>4242</v>
      </c>
      <c r="D2227">
        <v>1.4E-2</v>
      </c>
      <c r="E2227" t="s">
        <v>1720</v>
      </c>
      <c r="F2227" t="s">
        <v>1721</v>
      </c>
      <c r="G2227" t="s">
        <v>4405</v>
      </c>
      <c r="H2227" t="s">
        <v>4243</v>
      </c>
    </row>
    <row r="2228" spans="1:8" x14ac:dyDescent="0.35">
      <c r="A2228" t="s">
        <v>561</v>
      </c>
      <c r="B2228" t="s">
        <v>1385</v>
      </c>
      <c r="C2228" t="s">
        <v>4248</v>
      </c>
      <c r="D2228">
        <v>1.4E-2</v>
      </c>
      <c r="E2228" t="s">
        <v>1720</v>
      </c>
      <c r="F2228" t="s">
        <v>1721</v>
      </c>
      <c r="G2228" t="s">
        <v>4402</v>
      </c>
      <c r="H2228" t="s">
        <v>4249</v>
      </c>
    </row>
    <row r="2229" spans="1:8" x14ac:dyDescent="0.35">
      <c r="A2229" t="s">
        <v>561</v>
      </c>
      <c r="B2229" t="s">
        <v>1385</v>
      </c>
      <c r="C2229" t="s">
        <v>4244</v>
      </c>
      <c r="D2229">
        <v>2</v>
      </c>
      <c r="E2229" t="s">
        <v>1720</v>
      </c>
      <c r="F2229" t="s">
        <v>1724</v>
      </c>
      <c r="G2229" t="s">
        <v>4406</v>
      </c>
      <c r="H2229" t="s">
        <v>4245</v>
      </c>
    </row>
    <row r="2230" spans="1:8" x14ac:dyDescent="0.35">
      <c r="A2230" t="s">
        <v>561</v>
      </c>
      <c r="B2230" t="s">
        <v>1385</v>
      </c>
      <c r="C2230" t="s">
        <v>4244</v>
      </c>
      <c r="D2230">
        <v>1.4E-2</v>
      </c>
      <c r="E2230" t="s">
        <v>1720</v>
      </c>
      <c r="F2230" t="s">
        <v>1721</v>
      </c>
      <c r="G2230" t="s">
        <v>4406</v>
      </c>
      <c r="H2230" t="s">
        <v>4245</v>
      </c>
    </row>
    <row r="2231" spans="1:8" x14ac:dyDescent="0.35">
      <c r="A2231" t="s">
        <v>561</v>
      </c>
      <c r="B2231" t="s">
        <v>1385</v>
      </c>
      <c r="C2231" t="s">
        <v>4244</v>
      </c>
      <c r="D2231">
        <v>11</v>
      </c>
      <c r="E2231" t="s">
        <v>1720</v>
      </c>
      <c r="F2231" t="s">
        <v>1724</v>
      </c>
      <c r="G2231" t="s">
        <v>4407</v>
      </c>
      <c r="H2231" t="s">
        <v>4245</v>
      </c>
    </row>
    <row r="2232" spans="1:8" x14ac:dyDescent="0.35">
      <c r="A2232" t="s">
        <v>561</v>
      </c>
      <c r="B2232" t="s">
        <v>1385</v>
      </c>
      <c r="C2232" t="s">
        <v>4244</v>
      </c>
      <c r="D2232">
        <v>2.5</v>
      </c>
      <c r="E2232" t="s">
        <v>1720</v>
      </c>
      <c r="F2232" t="s">
        <v>1721</v>
      </c>
      <c r="G2232" t="s">
        <v>4407</v>
      </c>
      <c r="H2232" t="s">
        <v>4245</v>
      </c>
    </row>
    <row r="2233" spans="1:8" x14ac:dyDescent="0.35">
      <c r="A2233" t="s">
        <v>561</v>
      </c>
      <c r="B2233" t="s">
        <v>1385</v>
      </c>
      <c r="C2233" t="s">
        <v>4246</v>
      </c>
      <c r="D2233">
        <v>1.4E-2</v>
      </c>
      <c r="E2233" t="s">
        <v>1720</v>
      </c>
      <c r="F2233" t="s">
        <v>1721</v>
      </c>
      <c r="G2233" t="s">
        <v>4402</v>
      </c>
      <c r="H2233" t="s">
        <v>4247</v>
      </c>
    </row>
    <row r="2234" spans="1:8" x14ac:dyDescent="0.35">
      <c r="A2234" t="s">
        <v>561</v>
      </c>
      <c r="B2234" t="s">
        <v>1385</v>
      </c>
      <c r="C2234" t="s">
        <v>4250</v>
      </c>
      <c r="D2234">
        <v>1.4E-2</v>
      </c>
      <c r="E2234" t="s">
        <v>1720</v>
      </c>
      <c r="F2234" t="s">
        <v>1721</v>
      </c>
      <c r="G2234" t="s">
        <v>4402</v>
      </c>
      <c r="H2234" t="s">
        <v>4251</v>
      </c>
    </row>
    <row r="2235" spans="1:8" x14ac:dyDescent="0.35">
      <c r="A2235" t="s">
        <v>561</v>
      </c>
      <c r="B2235" t="s">
        <v>1385</v>
      </c>
      <c r="C2235" t="s">
        <v>4254</v>
      </c>
      <c r="D2235">
        <v>1.4E-2</v>
      </c>
      <c r="E2235" t="s">
        <v>1720</v>
      </c>
      <c r="F2235" t="s">
        <v>1721</v>
      </c>
      <c r="G2235" t="s">
        <v>4402</v>
      </c>
      <c r="H2235" t="s">
        <v>4255</v>
      </c>
    </row>
    <row r="2236" spans="1:8" x14ac:dyDescent="0.35">
      <c r="A2236" t="s">
        <v>561</v>
      </c>
      <c r="B2236" t="s">
        <v>1385</v>
      </c>
      <c r="C2236" t="s">
        <v>4319</v>
      </c>
      <c r="D2236">
        <v>1.4E-2</v>
      </c>
      <c r="E2236" t="s">
        <v>1720</v>
      </c>
      <c r="F2236" t="s">
        <v>1721</v>
      </c>
      <c r="G2236" t="s">
        <v>4402</v>
      </c>
      <c r="H2236" t="s">
        <v>4320</v>
      </c>
    </row>
    <row r="2237" spans="1:8" x14ac:dyDescent="0.35">
      <c r="A2237" t="s">
        <v>561</v>
      </c>
      <c r="B2237" t="s">
        <v>1385</v>
      </c>
      <c r="C2237" t="s">
        <v>4319</v>
      </c>
      <c r="D2237">
        <v>2</v>
      </c>
      <c r="E2237" t="s">
        <v>1720</v>
      </c>
      <c r="F2237" t="s">
        <v>1724</v>
      </c>
      <c r="G2237" t="s">
        <v>4402</v>
      </c>
      <c r="H2237" t="s">
        <v>4320</v>
      </c>
    </row>
    <row r="2238" spans="1:8" x14ac:dyDescent="0.35">
      <c r="A2238" t="s">
        <v>561</v>
      </c>
      <c r="B2238" t="s">
        <v>1385</v>
      </c>
      <c r="C2238" t="s">
        <v>4260</v>
      </c>
      <c r="D2238">
        <v>1.4E-2</v>
      </c>
      <c r="E2238" t="s">
        <v>1720</v>
      </c>
      <c r="F2238" t="s">
        <v>1721</v>
      </c>
      <c r="G2238" t="s">
        <v>4409</v>
      </c>
      <c r="H2238" t="s">
        <v>4261</v>
      </c>
    </row>
    <row r="2239" spans="1:8" x14ac:dyDescent="0.35">
      <c r="A2239" t="s">
        <v>561</v>
      </c>
      <c r="B2239" t="s">
        <v>1385</v>
      </c>
      <c r="C2239" t="s">
        <v>4262</v>
      </c>
      <c r="D2239">
        <v>1.4E-2</v>
      </c>
      <c r="E2239" t="s">
        <v>1720</v>
      </c>
      <c r="F2239" t="s">
        <v>1721</v>
      </c>
      <c r="G2239" t="s">
        <v>4410</v>
      </c>
      <c r="H2239" t="s">
        <v>4263</v>
      </c>
    </row>
    <row r="2240" spans="1:8" x14ac:dyDescent="0.35">
      <c r="A2240" t="s">
        <v>561</v>
      </c>
      <c r="B2240" t="s">
        <v>1385</v>
      </c>
      <c r="C2240" t="s">
        <v>4264</v>
      </c>
      <c r="D2240">
        <v>1.4E-2</v>
      </c>
      <c r="E2240" t="s">
        <v>1720</v>
      </c>
      <c r="F2240" t="s">
        <v>1721</v>
      </c>
      <c r="G2240" t="s">
        <v>4402</v>
      </c>
      <c r="H2240" t="s">
        <v>4265</v>
      </c>
    </row>
    <row r="2241" spans="1:8" x14ac:dyDescent="0.35">
      <c r="A2241" t="s">
        <v>561</v>
      </c>
      <c r="B2241" t="s">
        <v>1385</v>
      </c>
      <c r="C2241" t="s">
        <v>4266</v>
      </c>
      <c r="D2241">
        <v>1.4E-2</v>
      </c>
      <c r="E2241" t="s">
        <v>1720</v>
      </c>
      <c r="F2241" t="s">
        <v>1721</v>
      </c>
      <c r="G2241" t="s">
        <v>4402</v>
      </c>
      <c r="H2241" t="s">
        <v>4267</v>
      </c>
    </row>
    <row r="2242" spans="1:8" x14ac:dyDescent="0.35">
      <c r="A2242" t="s">
        <v>561</v>
      </c>
      <c r="B2242" t="s">
        <v>1385</v>
      </c>
      <c r="C2242" t="s">
        <v>4272</v>
      </c>
      <c r="D2242">
        <v>1.4E-2</v>
      </c>
      <c r="E2242" t="s">
        <v>1720</v>
      </c>
      <c r="F2242" t="s">
        <v>1721</v>
      </c>
      <c r="G2242" t="s">
        <v>4402</v>
      </c>
      <c r="H2242" t="s">
        <v>4273</v>
      </c>
    </row>
    <row r="2243" spans="1:8" x14ac:dyDescent="0.35">
      <c r="A2243" t="s">
        <v>561</v>
      </c>
      <c r="B2243" t="s">
        <v>1385</v>
      </c>
      <c r="C2243" t="s">
        <v>4274</v>
      </c>
      <c r="D2243">
        <v>1.4E-2</v>
      </c>
      <c r="E2243" t="s">
        <v>1720</v>
      </c>
      <c r="F2243" t="s">
        <v>1721</v>
      </c>
      <c r="G2243" t="s">
        <v>4402</v>
      </c>
      <c r="H2243" t="s">
        <v>4275</v>
      </c>
    </row>
    <row r="2244" spans="1:8" x14ac:dyDescent="0.35">
      <c r="A2244" t="s">
        <v>561</v>
      </c>
      <c r="B2244" t="s">
        <v>1385</v>
      </c>
      <c r="C2244" t="s">
        <v>4270</v>
      </c>
      <c r="D2244">
        <v>1.4E-2</v>
      </c>
      <c r="E2244" t="s">
        <v>1720</v>
      </c>
      <c r="F2244" t="s">
        <v>1721</v>
      </c>
      <c r="G2244" t="s">
        <v>4411</v>
      </c>
      <c r="H2244" t="s">
        <v>4271</v>
      </c>
    </row>
    <row r="2245" spans="1:8" x14ac:dyDescent="0.35">
      <c r="A2245" t="s">
        <v>561</v>
      </c>
      <c r="B2245" t="s">
        <v>1385</v>
      </c>
      <c r="C2245" t="s">
        <v>4258</v>
      </c>
      <c r="D2245">
        <v>2</v>
      </c>
      <c r="E2245" t="s">
        <v>1720</v>
      </c>
      <c r="F2245" t="s">
        <v>1724</v>
      </c>
      <c r="G2245" t="s">
        <v>4408</v>
      </c>
      <c r="H2245" t="s">
        <v>4259</v>
      </c>
    </row>
    <row r="2246" spans="1:8" x14ac:dyDescent="0.35">
      <c r="A2246" t="s">
        <v>561</v>
      </c>
      <c r="B2246" t="s">
        <v>1385</v>
      </c>
      <c r="C2246" t="s">
        <v>4258</v>
      </c>
      <c r="D2246">
        <v>1.4E-2</v>
      </c>
      <c r="E2246" t="s">
        <v>1720</v>
      </c>
      <c r="F2246" t="s">
        <v>1721</v>
      </c>
      <c r="G2246" t="s">
        <v>4408</v>
      </c>
      <c r="H2246" t="s">
        <v>4259</v>
      </c>
    </row>
    <row r="2247" spans="1:8" x14ac:dyDescent="0.35">
      <c r="A2247" t="s">
        <v>561</v>
      </c>
      <c r="B2247" t="s">
        <v>1385</v>
      </c>
      <c r="C2247" t="s">
        <v>4256</v>
      </c>
      <c r="D2247">
        <v>1.4E-2</v>
      </c>
      <c r="E2247" t="s">
        <v>1720</v>
      </c>
      <c r="F2247" t="s">
        <v>1721</v>
      </c>
      <c r="G2247" t="s">
        <v>4402</v>
      </c>
      <c r="H2247" t="s">
        <v>4257</v>
      </c>
    </row>
    <row r="2248" spans="1:8" x14ac:dyDescent="0.35">
      <c r="A2248" t="s">
        <v>561</v>
      </c>
      <c r="B2248" t="s">
        <v>1385</v>
      </c>
      <c r="C2248" t="s">
        <v>4280</v>
      </c>
      <c r="D2248">
        <v>1.4E-2</v>
      </c>
      <c r="E2248" t="s">
        <v>1720</v>
      </c>
      <c r="F2248" t="s">
        <v>1721</v>
      </c>
      <c r="G2248" t="s">
        <v>4415</v>
      </c>
      <c r="H2248" t="s">
        <v>4281</v>
      </c>
    </row>
    <row r="2249" spans="1:8" x14ac:dyDescent="0.35">
      <c r="A2249" t="s">
        <v>561</v>
      </c>
      <c r="B2249" t="s">
        <v>1385</v>
      </c>
      <c r="C2249" t="s">
        <v>4282</v>
      </c>
      <c r="D2249">
        <v>1.4E-2</v>
      </c>
      <c r="E2249" t="s">
        <v>1720</v>
      </c>
      <c r="F2249" t="s">
        <v>1724</v>
      </c>
      <c r="G2249" t="s">
        <v>4402</v>
      </c>
      <c r="H2249" t="s">
        <v>4283</v>
      </c>
    </row>
    <row r="2250" spans="1:8" x14ac:dyDescent="0.35">
      <c r="A2250" t="s">
        <v>561</v>
      </c>
      <c r="B2250" t="s">
        <v>1385</v>
      </c>
      <c r="C2250" t="s">
        <v>4282</v>
      </c>
      <c r="D2250">
        <v>1.4E-2</v>
      </c>
      <c r="E2250" t="s">
        <v>1720</v>
      </c>
      <c r="F2250" t="s">
        <v>1721</v>
      </c>
      <c r="G2250" t="s">
        <v>4402</v>
      </c>
      <c r="H2250" t="s">
        <v>4283</v>
      </c>
    </row>
    <row r="2251" spans="1:8" x14ac:dyDescent="0.35">
      <c r="A2251" t="s">
        <v>561</v>
      </c>
      <c r="B2251" t="s">
        <v>1385</v>
      </c>
      <c r="C2251" t="s">
        <v>4298</v>
      </c>
      <c r="D2251">
        <v>1.4E-2</v>
      </c>
      <c r="E2251" t="s">
        <v>1720</v>
      </c>
      <c r="F2251" t="s">
        <v>1721</v>
      </c>
      <c r="G2251" t="s">
        <v>4419</v>
      </c>
      <c r="H2251" t="s">
        <v>4299</v>
      </c>
    </row>
    <row r="2252" spans="1:8" x14ac:dyDescent="0.35">
      <c r="A2252" t="s">
        <v>561</v>
      </c>
      <c r="B2252" t="s">
        <v>1385</v>
      </c>
      <c r="C2252" t="s">
        <v>4354</v>
      </c>
      <c r="D2252">
        <v>1.2E-4</v>
      </c>
      <c r="E2252" t="s">
        <v>1720</v>
      </c>
      <c r="F2252" t="s">
        <v>1721</v>
      </c>
      <c r="G2252" t="s">
        <v>4402</v>
      </c>
      <c r="H2252" t="s">
        <v>4355</v>
      </c>
    </row>
    <row r="2253" spans="1:8" x14ac:dyDescent="0.35">
      <c r="A2253" t="s">
        <v>561</v>
      </c>
      <c r="B2253" t="s">
        <v>1385</v>
      </c>
      <c r="C2253" t="s">
        <v>4288</v>
      </c>
      <c r="D2253">
        <v>1.4E-2</v>
      </c>
      <c r="E2253" t="s">
        <v>1720</v>
      </c>
      <c r="F2253" t="s">
        <v>1721</v>
      </c>
      <c r="G2253" t="s">
        <v>4415</v>
      </c>
      <c r="H2253" t="s">
        <v>4289</v>
      </c>
    </row>
    <row r="2254" spans="1:8" x14ac:dyDescent="0.35">
      <c r="A2254" t="s">
        <v>561</v>
      </c>
      <c r="B2254" t="s">
        <v>1385</v>
      </c>
      <c r="C2254" t="s">
        <v>4290</v>
      </c>
      <c r="D2254">
        <v>2</v>
      </c>
      <c r="E2254" t="s">
        <v>1720</v>
      </c>
      <c r="F2254" t="s">
        <v>1724</v>
      </c>
      <c r="G2254" t="s">
        <v>4402</v>
      </c>
      <c r="H2254" t="s">
        <v>4291</v>
      </c>
    </row>
    <row r="2255" spans="1:8" x14ac:dyDescent="0.35">
      <c r="A2255" t="s">
        <v>561</v>
      </c>
      <c r="B2255" t="s">
        <v>1385</v>
      </c>
      <c r="C2255" t="s">
        <v>4290</v>
      </c>
      <c r="D2255">
        <v>1.4E-2</v>
      </c>
      <c r="E2255" t="s">
        <v>1720</v>
      </c>
      <c r="F2255" t="s">
        <v>1721</v>
      </c>
      <c r="G2255" t="s">
        <v>4402</v>
      </c>
      <c r="H2255" t="s">
        <v>4291</v>
      </c>
    </row>
    <row r="2256" spans="1:8" x14ac:dyDescent="0.35">
      <c r="A2256" t="s">
        <v>561</v>
      </c>
      <c r="B2256" t="s">
        <v>1385</v>
      </c>
      <c r="C2256" t="s">
        <v>4294</v>
      </c>
      <c r="D2256">
        <v>1.4E-2</v>
      </c>
      <c r="E2256" t="s">
        <v>1720</v>
      </c>
      <c r="F2256" t="s">
        <v>1721</v>
      </c>
      <c r="G2256" t="s">
        <v>4418</v>
      </c>
      <c r="H2256" t="s">
        <v>4295</v>
      </c>
    </row>
    <row r="2257" spans="1:8" x14ac:dyDescent="0.35">
      <c r="A2257" t="s">
        <v>561</v>
      </c>
      <c r="B2257" t="s">
        <v>1385</v>
      </c>
      <c r="C2257" t="s">
        <v>4286</v>
      </c>
      <c r="D2257">
        <v>1.4E-2</v>
      </c>
      <c r="E2257" t="s">
        <v>1720</v>
      </c>
      <c r="F2257" t="s">
        <v>1721</v>
      </c>
      <c r="G2257" t="s">
        <v>4402</v>
      </c>
      <c r="H2257" t="s">
        <v>4287</v>
      </c>
    </row>
    <row r="2258" spans="1:8" x14ac:dyDescent="0.35">
      <c r="A2258" t="s">
        <v>561</v>
      </c>
      <c r="B2258" t="s">
        <v>1385</v>
      </c>
      <c r="C2258" t="s">
        <v>4296</v>
      </c>
      <c r="D2258">
        <v>1.4E-2</v>
      </c>
      <c r="E2258" t="s">
        <v>1720</v>
      </c>
      <c r="F2258" t="s">
        <v>1721</v>
      </c>
      <c r="G2258" t="s">
        <v>4402</v>
      </c>
      <c r="H2258" t="s">
        <v>4297</v>
      </c>
    </row>
    <row r="2259" spans="1:8" x14ac:dyDescent="0.35">
      <c r="A2259" t="s">
        <v>51</v>
      </c>
      <c r="B2259" t="s">
        <v>880</v>
      </c>
      <c r="C2259" t="s">
        <v>4213</v>
      </c>
      <c r="D2259">
        <v>70</v>
      </c>
      <c r="E2259" t="s">
        <v>1720</v>
      </c>
      <c r="F2259" t="s">
        <v>1721</v>
      </c>
      <c r="G2259" t="s">
        <v>4393</v>
      </c>
      <c r="H2259" t="s">
        <v>4214</v>
      </c>
    </row>
    <row r="2260" spans="1:8" x14ac:dyDescent="0.35">
      <c r="A2260" t="s">
        <v>578</v>
      </c>
      <c r="B2260" t="s">
        <v>1402</v>
      </c>
      <c r="C2260" t="s">
        <v>4187</v>
      </c>
      <c r="D2260">
        <v>840</v>
      </c>
      <c r="E2260" t="s">
        <v>1720</v>
      </c>
      <c r="F2260" t="s">
        <v>1721</v>
      </c>
      <c r="G2260" t="s">
        <v>4384</v>
      </c>
      <c r="H2260" t="s">
        <v>4188</v>
      </c>
    </row>
    <row r="2261" spans="1:8" x14ac:dyDescent="0.35">
      <c r="A2261" t="s">
        <v>578</v>
      </c>
      <c r="B2261" t="s">
        <v>1402</v>
      </c>
      <c r="C2261" t="s">
        <v>4187</v>
      </c>
      <c r="D2261">
        <v>5280</v>
      </c>
      <c r="E2261" t="s">
        <v>1720</v>
      </c>
      <c r="F2261" t="s">
        <v>1724</v>
      </c>
      <c r="G2261" t="s">
        <v>4384</v>
      </c>
      <c r="H2261" t="s">
        <v>4188</v>
      </c>
    </row>
    <row r="2262" spans="1:8" x14ac:dyDescent="0.35">
      <c r="A2262" t="s">
        <v>578</v>
      </c>
      <c r="B2262" t="s">
        <v>1402</v>
      </c>
      <c r="C2262" t="s">
        <v>4185</v>
      </c>
      <c r="D2262">
        <v>5.3</v>
      </c>
      <c r="E2262" t="s">
        <v>1720</v>
      </c>
      <c r="F2262" t="s">
        <v>1721</v>
      </c>
      <c r="G2262" t="s">
        <v>4383</v>
      </c>
      <c r="H2262" t="s">
        <v>4186</v>
      </c>
    </row>
    <row r="2263" spans="1:8" x14ac:dyDescent="0.35">
      <c r="A2263" t="s">
        <v>578</v>
      </c>
      <c r="B2263" t="s">
        <v>1402</v>
      </c>
      <c r="C2263" t="s">
        <v>4185</v>
      </c>
      <c r="D2263">
        <v>240</v>
      </c>
      <c r="E2263" t="s">
        <v>1720</v>
      </c>
      <c r="F2263" t="s">
        <v>1724</v>
      </c>
      <c r="G2263" t="s">
        <v>4383</v>
      </c>
      <c r="H2263" t="s">
        <v>4186</v>
      </c>
    </row>
    <row r="2264" spans="1:8" x14ac:dyDescent="0.35">
      <c r="A2264" t="s">
        <v>578</v>
      </c>
      <c r="B2264" t="s">
        <v>1402</v>
      </c>
      <c r="C2264" t="s">
        <v>4197</v>
      </c>
      <c r="D2264">
        <v>140</v>
      </c>
      <c r="E2264" t="s">
        <v>1720</v>
      </c>
      <c r="F2264" t="s">
        <v>1721</v>
      </c>
      <c r="G2264" t="s">
        <v>4383</v>
      </c>
      <c r="H2264" t="s">
        <v>4198</v>
      </c>
    </row>
    <row r="2265" spans="1:8" x14ac:dyDescent="0.35">
      <c r="A2265" t="s">
        <v>578</v>
      </c>
      <c r="B2265" t="s">
        <v>1402</v>
      </c>
      <c r="C2265" t="s">
        <v>4197</v>
      </c>
      <c r="D2265">
        <v>700</v>
      </c>
      <c r="E2265" t="s">
        <v>1720</v>
      </c>
      <c r="F2265" t="s">
        <v>1724</v>
      </c>
      <c r="G2265" t="s">
        <v>4383</v>
      </c>
      <c r="H2265" t="s">
        <v>4198</v>
      </c>
    </row>
    <row r="2266" spans="1:8" x14ac:dyDescent="0.35">
      <c r="A2266" t="s">
        <v>578</v>
      </c>
      <c r="B2266" t="s">
        <v>1402</v>
      </c>
      <c r="C2266" t="s">
        <v>4195</v>
      </c>
      <c r="D2266">
        <v>800</v>
      </c>
      <c r="E2266" t="s">
        <v>1720</v>
      </c>
      <c r="G2266" t="s">
        <v>4387</v>
      </c>
      <c r="H2266" t="s">
        <v>4196</v>
      </c>
    </row>
    <row r="2267" spans="1:8" x14ac:dyDescent="0.35">
      <c r="A2267" t="s">
        <v>578</v>
      </c>
      <c r="B2267" t="s">
        <v>1402</v>
      </c>
      <c r="C2267" t="s">
        <v>4336</v>
      </c>
      <c r="D2267">
        <v>645</v>
      </c>
      <c r="E2267" t="s">
        <v>1720</v>
      </c>
      <c r="F2267" t="s">
        <v>1721</v>
      </c>
      <c r="G2267" t="s">
        <v>4445</v>
      </c>
      <c r="H2267" t="s">
        <v>4337</v>
      </c>
    </row>
    <row r="2268" spans="1:8" x14ac:dyDescent="0.35">
      <c r="A2268" t="s">
        <v>578</v>
      </c>
      <c r="B2268" t="s">
        <v>1402</v>
      </c>
      <c r="C2268" t="s">
        <v>4336</v>
      </c>
      <c r="D2268">
        <v>1290</v>
      </c>
      <c r="E2268" t="s">
        <v>1720</v>
      </c>
      <c r="F2268" t="s">
        <v>1724</v>
      </c>
      <c r="G2268" t="s">
        <v>4445</v>
      </c>
      <c r="H2268" t="s">
        <v>4337</v>
      </c>
    </row>
    <row r="2269" spans="1:8" x14ac:dyDescent="0.35">
      <c r="A2269" t="s">
        <v>578</v>
      </c>
      <c r="B2269" t="s">
        <v>1402</v>
      </c>
      <c r="C2269" t="s">
        <v>4213</v>
      </c>
      <c r="D2269">
        <v>70</v>
      </c>
      <c r="E2269" t="s">
        <v>1720</v>
      </c>
      <c r="F2269" t="s">
        <v>1721</v>
      </c>
      <c r="G2269" t="s">
        <v>4393</v>
      </c>
      <c r="H2269" t="s">
        <v>4214</v>
      </c>
    </row>
    <row r="2270" spans="1:8" x14ac:dyDescent="0.35">
      <c r="A2270" t="s">
        <v>578</v>
      </c>
      <c r="B2270" t="s">
        <v>1402</v>
      </c>
      <c r="C2270" t="s">
        <v>4213</v>
      </c>
      <c r="D2270">
        <v>5280</v>
      </c>
      <c r="E2270" t="s">
        <v>1720</v>
      </c>
      <c r="F2270" t="s">
        <v>1724</v>
      </c>
      <c r="G2270" t="s">
        <v>4393</v>
      </c>
      <c r="H2270" t="s">
        <v>4214</v>
      </c>
    </row>
    <row r="2271" spans="1:8" x14ac:dyDescent="0.35">
      <c r="A2271" t="s">
        <v>578</v>
      </c>
      <c r="B2271" t="s">
        <v>1402</v>
      </c>
      <c r="C2271" t="s">
        <v>4317</v>
      </c>
      <c r="D2271">
        <v>5280</v>
      </c>
      <c r="E2271" t="s">
        <v>1720</v>
      </c>
      <c r="F2271" t="s">
        <v>1724</v>
      </c>
      <c r="G2271" t="s">
        <v>4426</v>
      </c>
      <c r="H2271" t="s">
        <v>4318</v>
      </c>
    </row>
    <row r="2272" spans="1:8" x14ac:dyDescent="0.35">
      <c r="A2272" t="s">
        <v>578</v>
      </c>
      <c r="B2272" t="s">
        <v>1402</v>
      </c>
      <c r="C2272" t="s">
        <v>4223</v>
      </c>
      <c r="D2272">
        <v>840</v>
      </c>
      <c r="E2272" t="s">
        <v>1720</v>
      </c>
      <c r="F2272" t="s">
        <v>1721</v>
      </c>
      <c r="G2272" t="s">
        <v>4399</v>
      </c>
      <c r="H2272" t="s">
        <v>4224</v>
      </c>
    </row>
    <row r="2273" spans="1:8" x14ac:dyDescent="0.35">
      <c r="A2273" t="s">
        <v>578</v>
      </c>
      <c r="B2273" t="s">
        <v>1402</v>
      </c>
      <c r="C2273" t="s">
        <v>4223</v>
      </c>
      <c r="D2273">
        <v>5280</v>
      </c>
      <c r="E2273" t="s">
        <v>1720</v>
      </c>
      <c r="F2273" t="s">
        <v>1724</v>
      </c>
      <c r="G2273" t="s">
        <v>4399</v>
      </c>
      <c r="H2273" t="s">
        <v>4224</v>
      </c>
    </row>
    <row r="2274" spans="1:8" x14ac:dyDescent="0.35">
      <c r="A2274" t="s">
        <v>578</v>
      </c>
      <c r="B2274" t="s">
        <v>1402</v>
      </c>
      <c r="C2274" t="s">
        <v>4313</v>
      </c>
      <c r="D2274">
        <v>280</v>
      </c>
      <c r="E2274" t="s">
        <v>1720</v>
      </c>
      <c r="F2274" t="s">
        <v>1721</v>
      </c>
      <c r="G2274" t="s">
        <v>4423</v>
      </c>
      <c r="H2274" t="s">
        <v>4314</v>
      </c>
    </row>
    <row r="2275" spans="1:8" x14ac:dyDescent="0.35">
      <c r="A2275" t="s">
        <v>578</v>
      </c>
      <c r="B2275" t="s">
        <v>1402</v>
      </c>
      <c r="C2275" t="s">
        <v>4313</v>
      </c>
      <c r="D2275">
        <v>2600</v>
      </c>
      <c r="E2275" t="s">
        <v>1720</v>
      </c>
      <c r="F2275" t="s">
        <v>1724</v>
      </c>
      <c r="G2275" t="s">
        <v>4423</v>
      </c>
      <c r="H2275" t="s">
        <v>4314</v>
      </c>
    </row>
    <row r="2276" spans="1:8" x14ac:dyDescent="0.35">
      <c r="A2276" t="s">
        <v>578</v>
      </c>
      <c r="B2276" t="s">
        <v>1402</v>
      </c>
      <c r="C2276" t="s">
        <v>4313</v>
      </c>
      <c r="D2276">
        <v>680</v>
      </c>
      <c r="E2276" t="s">
        <v>1720</v>
      </c>
      <c r="F2276" t="s">
        <v>1721</v>
      </c>
      <c r="G2276" t="s">
        <v>4424</v>
      </c>
      <c r="H2276" t="s">
        <v>4314</v>
      </c>
    </row>
    <row r="2277" spans="1:8" x14ac:dyDescent="0.35">
      <c r="A2277" t="s">
        <v>578</v>
      </c>
      <c r="B2277" t="s">
        <v>1402</v>
      </c>
      <c r="C2277" t="s">
        <v>4313</v>
      </c>
      <c r="D2277">
        <v>6500</v>
      </c>
      <c r="E2277" t="s">
        <v>1720</v>
      </c>
      <c r="F2277" t="s">
        <v>1724</v>
      </c>
      <c r="G2277" t="s">
        <v>4424</v>
      </c>
      <c r="H2277" t="s">
        <v>4314</v>
      </c>
    </row>
    <row r="2278" spans="1:8" x14ac:dyDescent="0.35">
      <c r="A2278" t="s">
        <v>578</v>
      </c>
      <c r="B2278" t="s">
        <v>1402</v>
      </c>
      <c r="C2278" t="s">
        <v>4313</v>
      </c>
      <c r="D2278">
        <v>15000</v>
      </c>
      <c r="E2278" t="s">
        <v>1720</v>
      </c>
      <c r="F2278" t="s">
        <v>1724</v>
      </c>
      <c r="G2278" t="s">
        <v>4444</v>
      </c>
      <c r="H2278" t="s">
        <v>4314</v>
      </c>
    </row>
    <row r="2279" spans="1:8" x14ac:dyDescent="0.35">
      <c r="A2279" t="s">
        <v>578</v>
      </c>
      <c r="B2279" t="s">
        <v>1402</v>
      </c>
      <c r="C2279" t="s">
        <v>4313</v>
      </c>
      <c r="D2279">
        <v>680</v>
      </c>
      <c r="E2279" t="s">
        <v>1720</v>
      </c>
      <c r="F2279" t="s">
        <v>1721</v>
      </c>
      <c r="G2279" t="s">
        <v>4425</v>
      </c>
      <c r="H2279" t="s">
        <v>4314</v>
      </c>
    </row>
    <row r="2280" spans="1:8" x14ac:dyDescent="0.35">
      <c r="A2280" t="s">
        <v>578</v>
      </c>
      <c r="B2280" t="s">
        <v>1402</v>
      </c>
      <c r="C2280" t="s">
        <v>4313</v>
      </c>
      <c r="D2280">
        <v>6500</v>
      </c>
      <c r="E2280" t="s">
        <v>1720</v>
      </c>
      <c r="F2280" t="s">
        <v>1724</v>
      </c>
      <c r="G2280" t="s">
        <v>4425</v>
      </c>
      <c r="H2280" t="s">
        <v>4314</v>
      </c>
    </row>
    <row r="2281" spans="1:8" x14ac:dyDescent="0.35">
      <c r="A2281" t="s">
        <v>578</v>
      </c>
      <c r="B2281" t="s">
        <v>1402</v>
      </c>
      <c r="C2281" t="s">
        <v>4300</v>
      </c>
      <c r="D2281">
        <v>1800</v>
      </c>
      <c r="E2281" t="s">
        <v>1720</v>
      </c>
      <c r="F2281" t="s">
        <v>1724</v>
      </c>
      <c r="G2281" t="s">
        <v>4389</v>
      </c>
      <c r="H2281" t="s">
        <v>4301</v>
      </c>
    </row>
    <row r="2282" spans="1:8" x14ac:dyDescent="0.35">
      <c r="A2282" t="s">
        <v>578</v>
      </c>
      <c r="B2282" t="s">
        <v>1402</v>
      </c>
      <c r="C2282" t="s">
        <v>4219</v>
      </c>
      <c r="D2282">
        <v>840</v>
      </c>
      <c r="E2282" t="s">
        <v>1720</v>
      </c>
      <c r="F2282" t="s">
        <v>1721</v>
      </c>
      <c r="G2282" t="s">
        <v>4380</v>
      </c>
      <c r="H2282" t="s">
        <v>4220</v>
      </c>
    </row>
    <row r="2283" spans="1:8" x14ac:dyDescent="0.35">
      <c r="A2283" t="s">
        <v>578</v>
      </c>
      <c r="B2283" t="s">
        <v>1402</v>
      </c>
      <c r="C2283" t="s">
        <v>4219</v>
      </c>
      <c r="D2283">
        <v>5280</v>
      </c>
      <c r="E2283" t="s">
        <v>1720</v>
      </c>
      <c r="F2283" t="s">
        <v>1724</v>
      </c>
      <c r="G2283" t="s">
        <v>4380</v>
      </c>
      <c r="H2283" t="s">
        <v>4220</v>
      </c>
    </row>
    <row r="2284" spans="1:8" x14ac:dyDescent="0.35">
      <c r="A2284" t="s">
        <v>578</v>
      </c>
      <c r="B2284" t="s">
        <v>1402</v>
      </c>
      <c r="C2284" t="s">
        <v>4323</v>
      </c>
      <c r="D2284">
        <v>2600</v>
      </c>
      <c r="E2284" t="s">
        <v>1720</v>
      </c>
      <c r="F2284" t="s">
        <v>1724</v>
      </c>
      <c r="G2284" t="s">
        <v>4428</v>
      </c>
      <c r="H2284" t="s">
        <v>4324</v>
      </c>
    </row>
    <row r="2285" spans="1:8" x14ac:dyDescent="0.35">
      <c r="A2285" t="s">
        <v>578</v>
      </c>
      <c r="B2285" t="s">
        <v>1402</v>
      </c>
      <c r="C2285" t="s">
        <v>4323</v>
      </c>
      <c r="D2285">
        <v>280</v>
      </c>
      <c r="E2285" t="s">
        <v>1720</v>
      </c>
      <c r="F2285" t="s">
        <v>1721</v>
      </c>
      <c r="G2285" t="s">
        <v>4428</v>
      </c>
      <c r="H2285" t="s">
        <v>4324</v>
      </c>
    </row>
    <row r="2286" spans="1:8" x14ac:dyDescent="0.35">
      <c r="A2286" t="s">
        <v>578</v>
      </c>
      <c r="B2286" t="s">
        <v>1402</v>
      </c>
      <c r="C2286" t="s">
        <v>4323</v>
      </c>
      <c r="D2286">
        <v>6500</v>
      </c>
      <c r="E2286" t="s">
        <v>1720</v>
      </c>
      <c r="F2286" t="s">
        <v>1724</v>
      </c>
      <c r="G2286" t="s">
        <v>4429</v>
      </c>
      <c r="H2286" t="s">
        <v>4324</v>
      </c>
    </row>
    <row r="2287" spans="1:8" x14ac:dyDescent="0.35">
      <c r="A2287" t="s">
        <v>578</v>
      </c>
      <c r="B2287" t="s">
        <v>1402</v>
      </c>
      <c r="C2287" t="s">
        <v>4323</v>
      </c>
      <c r="D2287">
        <v>680</v>
      </c>
      <c r="E2287" t="s">
        <v>1720</v>
      </c>
      <c r="F2287" t="s">
        <v>1721</v>
      </c>
      <c r="G2287" t="s">
        <v>4429</v>
      </c>
      <c r="H2287" t="s">
        <v>4324</v>
      </c>
    </row>
    <row r="2288" spans="1:8" x14ac:dyDescent="0.35">
      <c r="A2288" t="s">
        <v>578</v>
      </c>
      <c r="B2288" t="s">
        <v>1402</v>
      </c>
      <c r="C2288" t="s">
        <v>4323</v>
      </c>
      <c r="D2288">
        <v>6500</v>
      </c>
      <c r="E2288" t="s">
        <v>1720</v>
      </c>
      <c r="F2288" t="s">
        <v>1724</v>
      </c>
      <c r="G2288" t="s">
        <v>4430</v>
      </c>
      <c r="H2288" t="s">
        <v>4324</v>
      </c>
    </row>
    <row r="2289" spans="1:8" x14ac:dyDescent="0.35">
      <c r="A2289" t="s">
        <v>578</v>
      </c>
      <c r="B2289" t="s">
        <v>1402</v>
      </c>
      <c r="C2289" t="s">
        <v>4323</v>
      </c>
      <c r="D2289">
        <v>680</v>
      </c>
      <c r="E2289" t="s">
        <v>1720</v>
      </c>
      <c r="F2289" t="s">
        <v>1721</v>
      </c>
      <c r="G2289" t="s">
        <v>4430</v>
      </c>
      <c r="H2289" t="s">
        <v>4324</v>
      </c>
    </row>
    <row r="2290" spans="1:8" x14ac:dyDescent="0.35">
      <c r="A2290" t="s">
        <v>578</v>
      </c>
      <c r="B2290" t="s">
        <v>1402</v>
      </c>
      <c r="C2290" t="s">
        <v>4323</v>
      </c>
      <c r="D2290">
        <v>15000</v>
      </c>
      <c r="E2290" t="s">
        <v>1720</v>
      </c>
      <c r="F2290" t="s">
        <v>1724</v>
      </c>
      <c r="G2290" t="s">
        <v>4446</v>
      </c>
      <c r="H2290" t="s">
        <v>4324</v>
      </c>
    </row>
    <row r="2291" spans="1:8" x14ac:dyDescent="0.35">
      <c r="A2291" t="s">
        <v>578</v>
      </c>
      <c r="B2291" t="s">
        <v>1402</v>
      </c>
      <c r="C2291" t="s">
        <v>4323</v>
      </c>
      <c r="D2291">
        <v>1600</v>
      </c>
      <c r="E2291" t="s">
        <v>1720</v>
      </c>
      <c r="F2291" t="s">
        <v>1721</v>
      </c>
      <c r="G2291" t="s">
        <v>4446</v>
      </c>
      <c r="H2291" t="s">
        <v>4324</v>
      </c>
    </row>
    <row r="2292" spans="1:8" x14ac:dyDescent="0.35">
      <c r="A2292" t="s">
        <v>578</v>
      </c>
      <c r="B2292" t="s">
        <v>1402</v>
      </c>
      <c r="C2292" t="s">
        <v>4244</v>
      </c>
      <c r="D2292">
        <v>6500</v>
      </c>
      <c r="E2292" t="s">
        <v>1720</v>
      </c>
      <c r="F2292" t="s">
        <v>1724</v>
      </c>
      <c r="G2292" t="s">
        <v>4406</v>
      </c>
      <c r="H2292" t="s">
        <v>4245</v>
      </c>
    </row>
    <row r="2293" spans="1:8" x14ac:dyDescent="0.35">
      <c r="A2293" t="s">
        <v>578</v>
      </c>
      <c r="B2293" t="s">
        <v>1402</v>
      </c>
      <c r="C2293" t="s">
        <v>4244</v>
      </c>
      <c r="D2293">
        <v>680</v>
      </c>
      <c r="E2293" t="s">
        <v>1720</v>
      </c>
      <c r="F2293" t="s">
        <v>1721</v>
      </c>
      <c r="G2293" t="s">
        <v>4406</v>
      </c>
      <c r="H2293" t="s">
        <v>4245</v>
      </c>
    </row>
    <row r="2294" spans="1:8" x14ac:dyDescent="0.35">
      <c r="A2294" t="s">
        <v>578</v>
      </c>
      <c r="B2294" t="s">
        <v>1402</v>
      </c>
      <c r="C2294" t="s">
        <v>4244</v>
      </c>
      <c r="D2294">
        <v>1600</v>
      </c>
      <c r="E2294" t="s">
        <v>1720</v>
      </c>
      <c r="F2294" t="s">
        <v>1721</v>
      </c>
      <c r="G2294" t="s">
        <v>4407</v>
      </c>
      <c r="H2294" t="s">
        <v>4245</v>
      </c>
    </row>
    <row r="2295" spans="1:8" x14ac:dyDescent="0.35">
      <c r="A2295" t="s">
        <v>578</v>
      </c>
      <c r="B2295" t="s">
        <v>1402</v>
      </c>
      <c r="C2295" t="s">
        <v>4258</v>
      </c>
      <c r="D2295">
        <v>2600</v>
      </c>
      <c r="E2295" t="s">
        <v>1720</v>
      </c>
      <c r="F2295" t="s">
        <v>1724</v>
      </c>
      <c r="G2295" t="s">
        <v>4408</v>
      </c>
      <c r="H2295" t="s">
        <v>4259</v>
      </c>
    </row>
    <row r="2296" spans="1:8" x14ac:dyDescent="0.35">
      <c r="A2296" t="s">
        <v>578</v>
      </c>
      <c r="B2296" t="s">
        <v>1402</v>
      </c>
      <c r="C2296" t="s">
        <v>4258</v>
      </c>
      <c r="D2296">
        <v>280</v>
      </c>
      <c r="E2296" t="s">
        <v>1720</v>
      </c>
      <c r="F2296" t="s">
        <v>1721</v>
      </c>
      <c r="G2296" t="s">
        <v>4408</v>
      </c>
      <c r="H2296" t="s">
        <v>4259</v>
      </c>
    </row>
    <row r="2297" spans="1:8" x14ac:dyDescent="0.35">
      <c r="A2297" t="s">
        <v>593</v>
      </c>
      <c r="B2297" t="s">
        <v>1417</v>
      </c>
      <c r="C2297" t="s">
        <v>4183</v>
      </c>
      <c r="D2297">
        <v>0.1</v>
      </c>
      <c r="E2297" t="s">
        <v>1720</v>
      </c>
      <c r="F2297" t="s">
        <v>1721</v>
      </c>
      <c r="G2297" t="s">
        <v>4382</v>
      </c>
      <c r="H2297" t="s">
        <v>4184</v>
      </c>
    </row>
    <row r="2298" spans="1:8" x14ac:dyDescent="0.35">
      <c r="A2298" t="s">
        <v>593</v>
      </c>
      <c r="B2298" t="s">
        <v>1417</v>
      </c>
      <c r="C2298" t="s">
        <v>4179</v>
      </c>
      <c r="D2298">
        <v>0.1</v>
      </c>
      <c r="E2298" t="s">
        <v>1720</v>
      </c>
      <c r="F2298" t="s">
        <v>1721</v>
      </c>
      <c r="G2298" t="s">
        <v>4380</v>
      </c>
      <c r="H2298" t="s">
        <v>4180</v>
      </c>
    </row>
    <row r="2299" spans="1:8" x14ac:dyDescent="0.35">
      <c r="A2299" t="s">
        <v>593</v>
      </c>
      <c r="B2299" t="s">
        <v>1417</v>
      </c>
      <c r="C2299" t="s">
        <v>4187</v>
      </c>
      <c r="D2299">
        <v>0.1</v>
      </c>
      <c r="E2299" t="s">
        <v>1720</v>
      </c>
      <c r="F2299" t="s">
        <v>1724</v>
      </c>
      <c r="G2299" t="s">
        <v>4384</v>
      </c>
      <c r="H2299" t="s">
        <v>4188</v>
      </c>
    </row>
    <row r="2300" spans="1:8" x14ac:dyDescent="0.35">
      <c r="A2300" t="s">
        <v>593</v>
      </c>
      <c r="B2300" t="s">
        <v>1417</v>
      </c>
      <c r="C2300" t="s">
        <v>4187</v>
      </c>
      <c r="D2300">
        <v>0.1</v>
      </c>
      <c r="E2300" t="s">
        <v>1720</v>
      </c>
      <c r="F2300" t="s">
        <v>1721</v>
      </c>
      <c r="G2300" t="s">
        <v>4384</v>
      </c>
      <c r="H2300" t="s">
        <v>4188</v>
      </c>
    </row>
    <row r="2301" spans="1:8" x14ac:dyDescent="0.35">
      <c r="A2301" t="s">
        <v>593</v>
      </c>
      <c r="B2301" t="s">
        <v>1417</v>
      </c>
      <c r="C2301" t="s">
        <v>4189</v>
      </c>
      <c r="D2301">
        <v>0.1</v>
      </c>
      <c r="E2301" t="s">
        <v>1720</v>
      </c>
      <c r="F2301" t="s">
        <v>1721</v>
      </c>
      <c r="G2301" t="s">
        <v>4385</v>
      </c>
      <c r="H2301" t="s">
        <v>4190</v>
      </c>
    </row>
    <row r="2302" spans="1:8" x14ac:dyDescent="0.35">
      <c r="A2302" t="s">
        <v>593</v>
      </c>
      <c r="B2302" t="s">
        <v>1417</v>
      </c>
      <c r="C2302" t="s">
        <v>4307</v>
      </c>
      <c r="D2302">
        <v>0.1</v>
      </c>
      <c r="E2302" t="s">
        <v>1720</v>
      </c>
      <c r="F2302" t="s">
        <v>1721</v>
      </c>
      <c r="G2302" t="s">
        <v>4422</v>
      </c>
      <c r="H2302" t="s">
        <v>4308</v>
      </c>
    </row>
    <row r="2303" spans="1:8" x14ac:dyDescent="0.35">
      <c r="A2303" t="s">
        <v>593</v>
      </c>
      <c r="B2303" t="s">
        <v>1417</v>
      </c>
      <c r="C2303" t="s">
        <v>4191</v>
      </c>
      <c r="D2303">
        <v>0.1</v>
      </c>
      <c r="E2303" t="s">
        <v>1720</v>
      </c>
      <c r="F2303" t="s">
        <v>1721</v>
      </c>
      <c r="G2303" t="s">
        <v>4383</v>
      </c>
      <c r="H2303" t="s">
        <v>4192</v>
      </c>
    </row>
    <row r="2304" spans="1:8" x14ac:dyDescent="0.35">
      <c r="A2304" t="s">
        <v>593</v>
      </c>
      <c r="B2304" t="s">
        <v>1417</v>
      </c>
      <c r="C2304" t="s">
        <v>4305</v>
      </c>
      <c r="D2304">
        <v>0.1</v>
      </c>
      <c r="E2304" t="s">
        <v>1720</v>
      </c>
      <c r="F2304" t="s">
        <v>1721</v>
      </c>
      <c r="G2304" t="s">
        <v>4421</v>
      </c>
      <c r="H2304" t="s">
        <v>4306</v>
      </c>
    </row>
    <row r="2305" spans="1:8" x14ac:dyDescent="0.35">
      <c r="A2305" t="s">
        <v>593</v>
      </c>
      <c r="B2305" t="s">
        <v>1417</v>
      </c>
      <c r="C2305" t="s">
        <v>4195</v>
      </c>
      <c r="D2305">
        <v>0.1</v>
      </c>
      <c r="E2305" t="s">
        <v>1720</v>
      </c>
      <c r="F2305" t="s">
        <v>1721</v>
      </c>
      <c r="G2305" t="s">
        <v>4387</v>
      </c>
      <c r="H2305" t="s">
        <v>4196</v>
      </c>
    </row>
    <row r="2306" spans="1:8" x14ac:dyDescent="0.35">
      <c r="A2306" t="s">
        <v>593</v>
      </c>
      <c r="B2306" t="s">
        <v>1417</v>
      </c>
      <c r="C2306" t="s">
        <v>4309</v>
      </c>
      <c r="D2306">
        <v>0.1</v>
      </c>
      <c r="E2306" t="s">
        <v>1720</v>
      </c>
      <c r="F2306" t="s">
        <v>1721</v>
      </c>
      <c r="G2306" t="s">
        <v>4396</v>
      </c>
      <c r="H2306" t="s">
        <v>4310</v>
      </c>
    </row>
    <row r="2307" spans="1:8" x14ac:dyDescent="0.35">
      <c r="A2307" t="s">
        <v>593</v>
      </c>
      <c r="B2307" t="s">
        <v>1417</v>
      </c>
      <c r="C2307" t="s">
        <v>4207</v>
      </c>
      <c r="D2307">
        <v>0.1</v>
      </c>
      <c r="E2307" t="s">
        <v>1720</v>
      </c>
      <c r="F2307" t="s">
        <v>1721</v>
      </c>
      <c r="G2307" t="s">
        <v>4383</v>
      </c>
      <c r="H2307" t="s">
        <v>4208</v>
      </c>
    </row>
    <row r="2308" spans="1:8" x14ac:dyDescent="0.35">
      <c r="A2308" t="s">
        <v>593</v>
      </c>
      <c r="B2308" t="s">
        <v>1417</v>
      </c>
      <c r="C2308" t="s">
        <v>4205</v>
      </c>
      <c r="D2308">
        <v>0.1</v>
      </c>
      <c r="E2308" t="s">
        <v>1720</v>
      </c>
      <c r="F2308" t="s">
        <v>1721</v>
      </c>
      <c r="G2308" t="s">
        <v>4391</v>
      </c>
      <c r="H2308" t="s">
        <v>4206</v>
      </c>
    </row>
    <row r="2309" spans="1:8" x14ac:dyDescent="0.35">
      <c r="A2309" t="s">
        <v>593</v>
      </c>
      <c r="B2309" t="s">
        <v>1417</v>
      </c>
      <c r="C2309" t="s">
        <v>4213</v>
      </c>
      <c r="D2309">
        <v>0.1</v>
      </c>
      <c r="E2309" t="s">
        <v>1720</v>
      </c>
      <c r="F2309" t="s">
        <v>1721</v>
      </c>
      <c r="G2309" t="s">
        <v>4393</v>
      </c>
      <c r="H2309" t="s">
        <v>4214</v>
      </c>
    </row>
    <row r="2310" spans="1:8" x14ac:dyDescent="0.35">
      <c r="A2310" t="s">
        <v>593</v>
      </c>
      <c r="B2310" t="s">
        <v>1417</v>
      </c>
      <c r="C2310" t="s">
        <v>4221</v>
      </c>
      <c r="D2310">
        <v>0.1</v>
      </c>
      <c r="E2310" t="s">
        <v>1720</v>
      </c>
      <c r="F2310" t="s">
        <v>1721</v>
      </c>
      <c r="G2310" t="s">
        <v>4383</v>
      </c>
      <c r="H2310" t="s">
        <v>4222</v>
      </c>
    </row>
    <row r="2311" spans="1:8" x14ac:dyDescent="0.35">
      <c r="A2311" t="s">
        <v>593</v>
      </c>
      <c r="B2311" t="s">
        <v>1417</v>
      </c>
      <c r="C2311" t="s">
        <v>4199</v>
      </c>
      <c r="D2311">
        <v>0.1</v>
      </c>
      <c r="E2311" t="s">
        <v>1720</v>
      </c>
      <c r="F2311" t="s">
        <v>1721</v>
      </c>
      <c r="G2311" t="s">
        <v>4388</v>
      </c>
      <c r="H2311" t="s">
        <v>4200</v>
      </c>
    </row>
    <row r="2312" spans="1:8" x14ac:dyDescent="0.35">
      <c r="A2312" t="s">
        <v>593</v>
      </c>
      <c r="B2312" t="s">
        <v>1417</v>
      </c>
      <c r="C2312" t="s">
        <v>4217</v>
      </c>
      <c r="D2312">
        <v>0.01</v>
      </c>
      <c r="E2312" t="s">
        <v>1720</v>
      </c>
      <c r="F2312" t="s">
        <v>1721</v>
      </c>
      <c r="G2312" t="s">
        <v>4396</v>
      </c>
      <c r="H2312" t="s">
        <v>4218</v>
      </c>
    </row>
    <row r="2313" spans="1:8" x14ac:dyDescent="0.35">
      <c r="A2313" t="s">
        <v>593</v>
      </c>
      <c r="B2313" t="s">
        <v>1417</v>
      </c>
      <c r="C2313" t="s">
        <v>4232</v>
      </c>
      <c r="D2313">
        <v>0.1</v>
      </c>
      <c r="E2313" t="s">
        <v>1720</v>
      </c>
      <c r="F2313" t="s">
        <v>1721</v>
      </c>
      <c r="G2313" t="s">
        <v>4402</v>
      </c>
      <c r="H2313" t="s">
        <v>4233</v>
      </c>
    </row>
    <row r="2314" spans="1:8" x14ac:dyDescent="0.35">
      <c r="A2314" t="s">
        <v>593</v>
      </c>
      <c r="B2314" t="s">
        <v>1417</v>
      </c>
      <c r="C2314" t="s">
        <v>4230</v>
      </c>
      <c r="D2314">
        <v>0.1</v>
      </c>
      <c r="E2314" t="s">
        <v>1720</v>
      </c>
      <c r="F2314" t="s">
        <v>1721</v>
      </c>
      <c r="G2314" t="s">
        <v>4396</v>
      </c>
      <c r="H2314" t="s">
        <v>4231</v>
      </c>
    </row>
    <row r="2315" spans="1:8" x14ac:dyDescent="0.35">
      <c r="A2315" t="s">
        <v>593</v>
      </c>
      <c r="B2315" t="s">
        <v>1417</v>
      </c>
      <c r="C2315" t="s">
        <v>4225</v>
      </c>
      <c r="D2315">
        <v>0.1</v>
      </c>
      <c r="E2315" t="s">
        <v>1720</v>
      </c>
      <c r="F2315" t="s">
        <v>1721</v>
      </c>
      <c r="G2315" t="s">
        <v>4400</v>
      </c>
      <c r="H2315" t="s">
        <v>4226</v>
      </c>
    </row>
    <row r="2316" spans="1:8" x14ac:dyDescent="0.35">
      <c r="A2316" t="s">
        <v>593</v>
      </c>
      <c r="B2316" t="s">
        <v>1417</v>
      </c>
      <c r="C2316" t="s">
        <v>4317</v>
      </c>
      <c r="D2316">
        <v>0.1</v>
      </c>
      <c r="E2316" t="s">
        <v>1720</v>
      </c>
      <c r="F2316" t="s">
        <v>1721</v>
      </c>
      <c r="G2316" t="s">
        <v>4426</v>
      </c>
      <c r="H2316" t="s">
        <v>4318</v>
      </c>
    </row>
    <row r="2317" spans="1:8" x14ac:dyDescent="0.35">
      <c r="A2317" t="s">
        <v>593</v>
      </c>
      <c r="B2317" t="s">
        <v>1417</v>
      </c>
      <c r="C2317" t="s">
        <v>4300</v>
      </c>
      <c r="D2317">
        <v>0.1</v>
      </c>
      <c r="E2317" t="s">
        <v>1720</v>
      </c>
      <c r="F2317" t="s">
        <v>1721</v>
      </c>
      <c r="G2317" t="s">
        <v>4389</v>
      </c>
      <c r="H2317" t="s">
        <v>4301</v>
      </c>
    </row>
    <row r="2318" spans="1:8" x14ac:dyDescent="0.35">
      <c r="A2318" t="s">
        <v>593</v>
      </c>
      <c r="B2318" t="s">
        <v>1417</v>
      </c>
      <c r="C2318" t="s">
        <v>4234</v>
      </c>
      <c r="D2318">
        <v>0.1</v>
      </c>
      <c r="E2318" t="s">
        <v>1720</v>
      </c>
      <c r="G2318" t="s">
        <v>4383</v>
      </c>
      <c r="H2318" t="s">
        <v>4235</v>
      </c>
    </row>
    <row r="2319" spans="1:8" x14ac:dyDescent="0.35">
      <c r="A2319" t="s">
        <v>593</v>
      </c>
      <c r="B2319" t="s">
        <v>1417</v>
      </c>
      <c r="C2319" t="s">
        <v>4313</v>
      </c>
      <c r="D2319">
        <v>0.1</v>
      </c>
      <c r="E2319" t="s">
        <v>1720</v>
      </c>
      <c r="F2319" t="s">
        <v>1721</v>
      </c>
      <c r="G2319" t="s">
        <v>4423</v>
      </c>
      <c r="H2319" t="s">
        <v>4314</v>
      </c>
    </row>
    <row r="2320" spans="1:8" x14ac:dyDescent="0.35">
      <c r="A2320" t="s">
        <v>593</v>
      </c>
      <c r="B2320" t="s">
        <v>1417</v>
      </c>
      <c r="C2320" t="s">
        <v>4313</v>
      </c>
      <c r="D2320">
        <v>0.1</v>
      </c>
      <c r="E2320" t="s">
        <v>1720</v>
      </c>
      <c r="F2320" t="s">
        <v>1721</v>
      </c>
      <c r="G2320" t="s">
        <v>4424</v>
      </c>
      <c r="H2320" t="s">
        <v>4314</v>
      </c>
    </row>
    <row r="2321" spans="1:8" x14ac:dyDescent="0.35">
      <c r="A2321" t="s">
        <v>593</v>
      </c>
      <c r="B2321" t="s">
        <v>1417</v>
      </c>
      <c r="C2321" t="s">
        <v>4313</v>
      </c>
      <c r="D2321">
        <v>0.1</v>
      </c>
      <c r="E2321" t="s">
        <v>1720</v>
      </c>
      <c r="F2321" t="s">
        <v>1721</v>
      </c>
      <c r="G2321" t="s">
        <v>4425</v>
      </c>
      <c r="H2321" t="s">
        <v>4314</v>
      </c>
    </row>
    <row r="2322" spans="1:8" x14ac:dyDescent="0.35">
      <c r="A2322" t="s">
        <v>593</v>
      </c>
      <c r="B2322" t="s">
        <v>1417</v>
      </c>
      <c r="C2322" t="s">
        <v>4223</v>
      </c>
      <c r="D2322">
        <v>0.1</v>
      </c>
      <c r="E2322" t="s">
        <v>1720</v>
      </c>
      <c r="F2322" t="s">
        <v>1721</v>
      </c>
      <c r="G2322" t="s">
        <v>4399</v>
      </c>
      <c r="H2322" t="s">
        <v>4224</v>
      </c>
    </row>
    <row r="2323" spans="1:8" x14ac:dyDescent="0.35">
      <c r="A2323" t="s">
        <v>593</v>
      </c>
      <c r="B2323" t="s">
        <v>1417</v>
      </c>
      <c r="C2323" t="s">
        <v>4315</v>
      </c>
      <c r="D2323">
        <v>0.1</v>
      </c>
      <c r="E2323" t="s">
        <v>1720</v>
      </c>
      <c r="F2323" t="s">
        <v>1721</v>
      </c>
      <c r="G2323" t="s">
        <v>4383</v>
      </c>
      <c r="H2323" t="s">
        <v>4316</v>
      </c>
    </row>
    <row r="2324" spans="1:8" x14ac:dyDescent="0.35">
      <c r="A2324" t="s">
        <v>593</v>
      </c>
      <c r="B2324" t="s">
        <v>1417</v>
      </c>
      <c r="C2324" t="s">
        <v>4219</v>
      </c>
      <c r="D2324">
        <v>0.1</v>
      </c>
      <c r="E2324" t="s">
        <v>1720</v>
      </c>
      <c r="F2324" t="s">
        <v>1721</v>
      </c>
      <c r="G2324" t="s">
        <v>4380</v>
      </c>
      <c r="H2324" t="s">
        <v>4220</v>
      </c>
    </row>
    <row r="2325" spans="1:8" x14ac:dyDescent="0.35">
      <c r="A2325" t="s">
        <v>593</v>
      </c>
      <c r="B2325" t="s">
        <v>1417</v>
      </c>
      <c r="C2325" t="s">
        <v>4229</v>
      </c>
      <c r="D2325">
        <v>0.1</v>
      </c>
      <c r="E2325" t="s">
        <v>1720</v>
      </c>
      <c r="F2325" t="s">
        <v>1721</v>
      </c>
      <c r="G2325" t="s">
        <v>4399</v>
      </c>
      <c r="H2325" t="s">
        <v>1711</v>
      </c>
    </row>
    <row r="2326" spans="1:8" x14ac:dyDescent="0.35">
      <c r="A2326" t="s">
        <v>593</v>
      </c>
      <c r="B2326" t="s">
        <v>1417</v>
      </c>
      <c r="C2326" t="s">
        <v>4240</v>
      </c>
      <c r="D2326">
        <v>0.1</v>
      </c>
      <c r="E2326" t="s">
        <v>1720</v>
      </c>
      <c r="F2326" t="s">
        <v>1721</v>
      </c>
      <c r="G2326" t="s">
        <v>4402</v>
      </c>
      <c r="H2326" t="s">
        <v>4241</v>
      </c>
    </row>
    <row r="2327" spans="1:8" x14ac:dyDescent="0.35">
      <c r="A2327" t="s">
        <v>593</v>
      </c>
      <c r="B2327" t="s">
        <v>1417</v>
      </c>
      <c r="C2327" t="s">
        <v>4242</v>
      </c>
      <c r="D2327">
        <v>0.1</v>
      </c>
      <c r="E2327" t="s">
        <v>1720</v>
      </c>
      <c r="F2327" t="s">
        <v>1721</v>
      </c>
      <c r="G2327" t="s">
        <v>4405</v>
      </c>
      <c r="H2327" t="s">
        <v>4243</v>
      </c>
    </row>
    <row r="2328" spans="1:8" x14ac:dyDescent="0.35">
      <c r="A2328" t="s">
        <v>593</v>
      </c>
      <c r="B2328" t="s">
        <v>1417</v>
      </c>
      <c r="C2328" t="s">
        <v>4244</v>
      </c>
      <c r="D2328">
        <v>0.1</v>
      </c>
      <c r="E2328" t="s">
        <v>1720</v>
      </c>
      <c r="F2328" t="s">
        <v>1721</v>
      </c>
      <c r="G2328" t="s">
        <v>4406</v>
      </c>
      <c r="H2328" t="s">
        <v>4245</v>
      </c>
    </row>
    <row r="2329" spans="1:8" x14ac:dyDescent="0.35">
      <c r="A2329" t="s">
        <v>593</v>
      </c>
      <c r="B2329" t="s">
        <v>1417</v>
      </c>
      <c r="C2329" t="s">
        <v>4246</v>
      </c>
      <c r="D2329">
        <v>0.1</v>
      </c>
      <c r="E2329" t="s">
        <v>1720</v>
      </c>
      <c r="F2329" t="s">
        <v>1721</v>
      </c>
      <c r="G2329" t="s">
        <v>4402</v>
      </c>
      <c r="H2329" t="s">
        <v>4247</v>
      </c>
    </row>
    <row r="2330" spans="1:8" x14ac:dyDescent="0.35">
      <c r="A2330" t="s">
        <v>593</v>
      </c>
      <c r="B2330" t="s">
        <v>1417</v>
      </c>
      <c r="C2330" t="s">
        <v>4248</v>
      </c>
      <c r="D2330">
        <v>0.1</v>
      </c>
      <c r="E2330" t="s">
        <v>1720</v>
      </c>
      <c r="F2330" t="s">
        <v>1721</v>
      </c>
      <c r="G2330" t="s">
        <v>4402</v>
      </c>
      <c r="H2330" t="s">
        <v>4249</v>
      </c>
    </row>
    <row r="2331" spans="1:8" x14ac:dyDescent="0.35">
      <c r="A2331" t="s">
        <v>593</v>
      </c>
      <c r="B2331" t="s">
        <v>1417</v>
      </c>
      <c r="C2331" t="s">
        <v>4250</v>
      </c>
      <c r="D2331">
        <v>0.1</v>
      </c>
      <c r="E2331" t="s">
        <v>1720</v>
      </c>
      <c r="F2331" t="s">
        <v>1721</v>
      </c>
      <c r="G2331" t="s">
        <v>4402</v>
      </c>
      <c r="H2331" t="s">
        <v>4251</v>
      </c>
    </row>
    <row r="2332" spans="1:8" x14ac:dyDescent="0.35">
      <c r="A2332" t="s">
        <v>593</v>
      </c>
      <c r="B2332" t="s">
        <v>1417</v>
      </c>
      <c r="C2332" t="s">
        <v>4252</v>
      </c>
      <c r="D2332">
        <v>0.1</v>
      </c>
      <c r="E2332" t="s">
        <v>1720</v>
      </c>
      <c r="F2332" t="s">
        <v>1721</v>
      </c>
      <c r="G2332" t="s">
        <v>4402</v>
      </c>
      <c r="H2332" t="s">
        <v>4253</v>
      </c>
    </row>
    <row r="2333" spans="1:8" x14ac:dyDescent="0.35">
      <c r="A2333" t="s">
        <v>593</v>
      </c>
      <c r="B2333" t="s">
        <v>1417</v>
      </c>
      <c r="C2333" t="s">
        <v>4254</v>
      </c>
      <c r="D2333">
        <v>0.1</v>
      </c>
      <c r="E2333" t="s">
        <v>1720</v>
      </c>
      <c r="F2333" t="s">
        <v>1721</v>
      </c>
      <c r="G2333" t="s">
        <v>4402</v>
      </c>
      <c r="H2333" t="s">
        <v>4255</v>
      </c>
    </row>
    <row r="2334" spans="1:8" x14ac:dyDescent="0.35">
      <c r="A2334" t="s">
        <v>593</v>
      </c>
      <c r="B2334" t="s">
        <v>1417</v>
      </c>
      <c r="C2334" t="s">
        <v>4319</v>
      </c>
      <c r="D2334">
        <v>0.1</v>
      </c>
      <c r="E2334" t="s">
        <v>1720</v>
      </c>
      <c r="F2334" t="s">
        <v>1721</v>
      </c>
      <c r="G2334" t="s">
        <v>4402</v>
      </c>
      <c r="H2334" t="s">
        <v>4320</v>
      </c>
    </row>
    <row r="2335" spans="1:8" x14ac:dyDescent="0.35">
      <c r="A2335" t="s">
        <v>593</v>
      </c>
      <c r="B2335" t="s">
        <v>1417</v>
      </c>
      <c r="C2335" t="s">
        <v>4264</v>
      </c>
      <c r="D2335">
        <v>0.1</v>
      </c>
      <c r="E2335" t="s">
        <v>1720</v>
      </c>
      <c r="F2335" t="s">
        <v>1721</v>
      </c>
      <c r="G2335" t="s">
        <v>4402</v>
      </c>
      <c r="H2335" t="s">
        <v>4265</v>
      </c>
    </row>
    <row r="2336" spans="1:8" x14ac:dyDescent="0.35">
      <c r="A2336" t="s">
        <v>593</v>
      </c>
      <c r="B2336" t="s">
        <v>1417</v>
      </c>
      <c r="C2336" t="s">
        <v>4268</v>
      </c>
      <c r="D2336">
        <v>0.1</v>
      </c>
      <c r="E2336" t="s">
        <v>1720</v>
      </c>
      <c r="F2336" t="s">
        <v>1721</v>
      </c>
      <c r="G2336" t="s">
        <v>4402</v>
      </c>
      <c r="H2336" t="s">
        <v>4269</v>
      </c>
    </row>
    <row r="2337" spans="1:8" x14ac:dyDescent="0.35">
      <c r="A2337" t="s">
        <v>593</v>
      </c>
      <c r="B2337" t="s">
        <v>1417</v>
      </c>
      <c r="C2337" t="s">
        <v>4256</v>
      </c>
      <c r="D2337">
        <v>0.1</v>
      </c>
      <c r="E2337" t="s">
        <v>1720</v>
      </c>
      <c r="F2337" t="s">
        <v>1721</v>
      </c>
      <c r="G2337" t="s">
        <v>4402</v>
      </c>
      <c r="H2337" t="s">
        <v>4257</v>
      </c>
    </row>
    <row r="2338" spans="1:8" x14ac:dyDescent="0.35">
      <c r="A2338" t="s">
        <v>593</v>
      </c>
      <c r="B2338" t="s">
        <v>1417</v>
      </c>
      <c r="C2338" t="s">
        <v>4270</v>
      </c>
      <c r="D2338">
        <v>0.1</v>
      </c>
      <c r="E2338" t="s">
        <v>1720</v>
      </c>
      <c r="G2338" t="s">
        <v>4411</v>
      </c>
      <c r="H2338" t="s">
        <v>4271</v>
      </c>
    </row>
    <row r="2339" spans="1:8" x14ac:dyDescent="0.35">
      <c r="A2339" t="s">
        <v>593</v>
      </c>
      <c r="B2339" t="s">
        <v>1417</v>
      </c>
      <c r="C2339" t="s">
        <v>4276</v>
      </c>
      <c r="D2339">
        <v>0.1</v>
      </c>
      <c r="E2339" t="s">
        <v>1720</v>
      </c>
      <c r="F2339" t="s">
        <v>1721</v>
      </c>
      <c r="G2339" t="s">
        <v>4413</v>
      </c>
      <c r="H2339" t="s">
        <v>4277</v>
      </c>
    </row>
    <row r="2340" spans="1:8" x14ac:dyDescent="0.35">
      <c r="A2340" t="s">
        <v>593</v>
      </c>
      <c r="B2340" t="s">
        <v>1417</v>
      </c>
      <c r="C2340" t="s">
        <v>4282</v>
      </c>
      <c r="D2340">
        <v>0.1</v>
      </c>
      <c r="E2340" t="s">
        <v>1720</v>
      </c>
      <c r="F2340" t="s">
        <v>1721</v>
      </c>
      <c r="G2340" t="s">
        <v>4402</v>
      </c>
      <c r="H2340" t="s">
        <v>4283</v>
      </c>
    </row>
    <row r="2341" spans="1:8" x14ac:dyDescent="0.35">
      <c r="A2341" t="s">
        <v>593</v>
      </c>
      <c r="B2341" t="s">
        <v>1417</v>
      </c>
      <c r="C2341" t="s">
        <v>4280</v>
      </c>
      <c r="D2341">
        <v>0.1</v>
      </c>
      <c r="E2341" t="s">
        <v>1720</v>
      </c>
      <c r="F2341" t="s">
        <v>1721</v>
      </c>
      <c r="G2341" t="s">
        <v>4415</v>
      </c>
      <c r="H2341" t="s">
        <v>4281</v>
      </c>
    </row>
    <row r="2342" spans="1:8" x14ac:dyDescent="0.35">
      <c r="A2342" t="s">
        <v>593</v>
      </c>
      <c r="B2342" t="s">
        <v>1417</v>
      </c>
      <c r="C2342" t="s">
        <v>4284</v>
      </c>
      <c r="D2342">
        <v>0.1</v>
      </c>
      <c r="E2342" t="s">
        <v>1720</v>
      </c>
      <c r="G2342" t="s">
        <v>4416</v>
      </c>
      <c r="H2342" t="s">
        <v>4285</v>
      </c>
    </row>
    <row r="2343" spans="1:8" x14ac:dyDescent="0.35">
      <c r="A2343" t="s">
        <v>593</v>
      </c>
      <c r="B2343" t="s">
        <v>1417</v>
      </c>
      <c r="C2343" t="s">
        <v>4284</v>
      </c>
      <c r="D2343">
        <v>0.1</v>
      </c>
      <c r="E2343" t="s">
        <v>1720</v>
      </c>
      <c r="G2343" t="s">
        <v>4417</v>
      </c>
      <c r="H2343" t="s">
        <v>4285</v>
      </c>
    </row>
    <row r="2344" spans="1:8" x14ac:dyDescent="0.35">
      <c r="A2344" t="s">
        <v>593</v>
      </c>
      <c r="B2344" t="s">
        <v>1417</v>
      </c>
      <c r="C2344" t="s">
        <v>4298</v>
      </c>
      <c r="D2344">
        <v>0.1</v>
      </c>
      <c r="E2344" t="s">
        <v>1720</v>
      </c>
      <c r="F2344" t="s">
        <v>1721</v>
      </c>
      <c r="G2344" t="s">
        <v>4419</v>
      </c>
      <c r="H2344" t="s">
        <v>4299</v>
      </c>
    </row>
    <row r="2345" spans="1:8" x14ac:dyDescent="0.35">
      <c r="A2345" t="s">
        <v>593</v>
      </c>
      <c r="B2345" t="s">
        <v>1417</v>
      </c>
      <c r="C2345" t="s">
        <v>4290</v>
      </c>
      <c r="D2345">
        <v>0.1</v>
      </c>
      <c r="E2345" t="s">
        <v>1720</v>
      </c>
      <c r="F2345" t="s">
        <v>1721</v>
      </c>
      <c r="G2345" t="s">
        <v>4402</v>
      </c>
      <c r="H2345" t="s">
        <v>4291</v>
      </c>
    </row>
    <row r="2346" spans="1:8" x14ac:dyDescent="0.35">
      <c r="A2346" t="s">
        <v>593</v>
      </c>
      <c r="B2346" t="s">
        <v>1417</v>
      </c>
      <c r="C2346" t="s">
        <v>4288</v>
      </c>
      <c r="D2346">
        <v>0.1</v>
      </c>
      <c r="E2346" t="s">
        <v>1720</v>
      </c>
      <c r="F2346" t="s">
        <v>1721</v>
      </c>
      <c r="G2346" t="s">
        <v>4415</v>
      </c>
      <c r="H2346" t="s">
        <v>4289</v>
      </c>
    </row>
    <row r="2347" spans="1:8" x14ac:dyDescent="0.35">
      <c r="A2347" t="s">
        <v>593</v>
      </c>
      <c r="B2347" t="s">
        <v>1417</v>
      </c>
      <c r="C2347" t="s">
        <v>4292</v>
      </c>
      <c r="D2347">
        <v>0.1</v>
      </c>
      <c r="E2347" t="s">
        <v>1720</v>
      </c>
      <c r="F2347" t="s">
        <v>1721</v>
      </c>
      <c r="G2347" t="s">
        <v>4402</v>
      </c>
      <c r="H2347" t="s">
        <v>4293</v>
      </c>
    </row>
    <row r="2348" spans="1:8" x14ac:dyDescent="0.35">
      <c r="A2348" t="s">
        <v>593</v>
      </c>
      <c r="B2348" t="s">
        <v>1417</v>
      </c>
      <c r="C2348" t="s">
        <v>4321</v>
      </c>
      <c r="D2348">
        <v>0.1</v>
      </c>
      <c r="E2348" t="s">
        <v>1720</v>
      </c>
      <c r="F2348" t="s">
        <v>1721</v>
      </c>
      <c r="G2348" t="s">
        <v>4427</v>
      </c>
      <c r="H2348" t="s">
        <v>4322</v>
      </c>
    </row>
    <row r="2349" spans="1:8" x14ac:dyDescent="0.35">
      <c r="A2349" t="s">
        <v>593</v>
      </c>
      <c r="B2349" t="s">
        <v>1417</v>
      </c>
      <c r="C2349" t="s">
        <v>4286</v>
      </c>
      <c r="D2349">
        <v>0.1</v>
      </c>
      <c r="E2349" t="s">
        <v>1720</v>
      </c>
      <c r="F2349" t="s">
        <v>1721</v>
      </c>
      <c r="G2349" t="s">
        <v>4402</v>
      </c>
      <c r="H2349" t="s">
        <v>4287</v>
      </c>
    </row>
    <row r="2350" spans="1:8" x14ac:dyDescent="0.35">
      <c r="A2350" t="s">
        <v>593</v>
      </c>
      <c r="B2350" t="s">
        <v>1417</v>
      </c>
      <c r="C2350" t="s">
        <v>4296</v>
      </c>
      <c r="D2350">
        <v>0.1</v>
      </c>
      <c r="E2350" t="s">
        <v>1720</v>
      </c>
      <c r="F2350" t="s">
        <v>1721</v>
      </c>
      <c r="G2350" t="s">
        <v>4402</v>
      </c>
      <c r="H2350" t="s">
        <v>4297</v>
      </c>
    </row>
    <row r="2351" spans="1:8" x14ac:dyDescent="0.35">
      <c r="A2351" t="s">
        <v>466</v>
      </c>
      <c r="B2351" t="s">
        <v>1290</v>
      </c>
      <c r="C2351" t="s">
        <v>4213</v>
      </c>
      <c r="D2351">
        <v>1.2999999999999999E-2</v>
      </c>
      <c r="E2351" t="s">
        <v>1720</v>
      </c>
      <c r="F2351" t="s">
        <v>1721</v>
      </c>
      <c r="G2351" t="s">
        <v>4393</v>
      </c>
      <c r="H2351" t="s">
        <v>4214</v>
      </c>
    </row>
    <row r="2352" spans="1:8" x14ac:dyDescent="0.35">
      <c r="A2352" t="s">
        <v>466</v>
      </c>
      <c r="B2352" t="s">
        <v>1290</v>
      </c>
      <c r="C2352" t="s">
        <v>4332</v>
      </c>
      <c r="D2352">
        <v>0.03</v>
      </c>
      <c r="E2352" t="s">
        <v>1720</v>
      </c>
      <c r="F2352" t="s">
        <v>1721</v>
      </c>
      <c r="G2352" t="s">
        <v>4438</v>
      </c>
      <c r="H2352" t="s">
        <v>4333</v>
      </c>
    </row>
    <row r="2353" spans="1:8" x14ac:dyDescent="0.35">
      <c r="A2353" t="s">
        <v>466</v>
      </c>
      <c r="B2353" t="s">
        <v>1290</v>
      </c>
      <c r="C2353" t="s">
        <v>4332</v>
      </c>
      <c r="D2353">
        <v>30</v>
      </c>
      <c r="E2353" t="s">
        <v>1720</v>
      </c>
      <c r="F2353" t="s">
        <v>1724</v>
      </c>
      <c r="G2353" t="s">
        <v>4438</v>
      </c>
      <c r="H2353" t="s">
        <v>4333</v>
      </c>
    </row>
    <row r="2354" spans="1:8" x14ac:dyDescent="0.35">
      <c r="A2354" t="s">
        <v>466</v>
      </c>
      <c r="B2354" t="s">
        <v>1290</v>
      </c>
      <c r="C2354" t="s">
        <v>4332</v>
      </c>
      <c r="D2354">
        <v>0.03</v>
      </c>
      <c r="E2354" t="s">
        <v>1720</v>
      </c>
      <c r="F2354" t="s">
        <v>1721</v>
      </c>
      <c r="G2354" t="s">
        <v>4439</v>
      </c>
      <c r="H2354" t="s">
        <v>4333</v>
      </c>
    </row>
    <row r="2355" spans="1:8" x14ac:dyDescent="0.35">
      <c r="A2355" t="s">
        <v>466</v>
      </c>
      <c r="B2355" t="s">
        <v>1290</v>
      </c>
      <c r="C2355" t="s">
        <v>4332</v>
      </c>
      <c r="D2355">
        <v>30</v>
      </c>
      <c r="E2355" t="s">
        <v>1720</v>
      </c>
      <c r="F2355" t="s">
        <v>1724</v>
      </c>
      <c r="G2355" t="s">
        <v>4439</v>
      </c>
      <c r="H2355" t="s">
        <v>4333</v>
      </c>
    </row>
    <row r="2356" spans="1:8" x14ac:dyDescent="0.35">
      <c r="A2356" t="s">
        <v>466</v>
      </c>
      <c r="B2356" t="s">
        <v>1290</v>
      </c>
      <c r="C2356" t="s">
        <v>4332</v>
      </c>
      <c r="D2356">
        <v>0.03</v>
      </c>
      <c r="E2356" t="s">
        <v>1720</v>
      </c>
      <c r="F2356" t="s">
        <v>1721</v>
      </c>
      <c r="G2356" t="s">
        <v>4440</v>
      </c>
      <c r="H2356" t="s">
        <v>4333</v>
      </c>
    </row>
    <row r="2357" spans="1:8" x14ac:dyDescent="0.35">
      <c r="A2357" t="s">
        <v>466</v>
      </c>
      <c r="B2357" t="s">
        <v>1290</v>
      </c>
      <c r="C2357" t="s">
        <v>4332</v>
      </c>
      <c r="D2357">
        <v>30</v>
      </c>
      <c r="E2357" t="s">
        <v>1720</v>
      </c>
      <c r="F2357" t="s">
        <v>1724</v>
      </c>
      <c r="G2357" t="s">
        <v>4440</v>
      </c>
      <c r="H2357" t="s">
        <v>4333</v>
      </c>
    </row>
    <row r="2358" spans="1:8" x14ac:dyDescent="0.35">
      <c r="A2358" t="s">
        <v>466</v>
      </c>
      <c r="B2358" t="s">
        <v>1290</v>
      </c>
      <c r="C2358" t="s">
        <v>4332</v>
      </c>
      <c r="D2358">
        <v>3</v>
      </c>
      <c r="E2358" t="s">
        <v>1720</v>
      </c>
      <c r="F2358" t="s">
        <v>1721</v>
      </c>
      <c r="G2358" t="s">
        <v>4441</v>
      </c>
      <c r="H2358" t="s">
        <v>4333</v>
      </c>
    </row>
    <row r="2359" spans="1:8" x14ac:dyDescent="0.35">
      <c r="A2359" t="s">
        <v>466</v>
      </c>
      <c r="B2359" t="s">
        <v>1290</v>
      </c>
      <c r="C2359" t="s">
        <v>4332</v>
      </c>
      <c r="D2359">
        <v>30</v>
      </c>
      <c r="E2359" t="s">
        <v>1720</v>
      </c>
      <c r="F2359" t="s">
        <v>1724</v>
      </c>
      <c r="G2359" t="s">
        <v>4441</v>
      </c>
      <c r="H2359" t="s">
        <v>4333</v>
      </c>
    </row>
    <row r="2360" spans="1:8" x14ac:dyDescent="0.35">
      <c r="A2360" t="s">
        <v>466</v>
      </c>
      <c r="B2360" t="s">
        <v>1290</v>
      </c>
      <c r="C2360" t="s">
        <v>4332</v>
      </c>
      <c r="D2360">
        <v>3</v>
      </c>
      <c r="E2360" t="s">
        <v>1720</v>
      </c>
      <c r="F2360" t="s">
        <v>1721</v>
      </c>
      <c r="G2360" t="s">
        <v>4442</v>
      </c>
      <c r="H2360" t="s">
        <v>4333</v>
      </c>
    </row>
    <row r="2361" spans="1:8" x14ac:dyDescent="0.35">
      <c r="A2361" t="s">
        <v>466</v>
      </c>
      <c r="B2361" t="s">
        <v>1290</v>
      </c>
      <c r="C2361" t="s">
        <v>4332</v>
      </c>
      <c r="D2361">
        <v>30</v>
      </c>
      <c r="E2361" t="s">
        <v>1720</v>
      </c>
      <c r="F2361" t="s">
        <v>1724</v>
      </c>
      <c r="G2361" t="s">
        <v>4442</v>
      </c>
      <c r="H2361" t="s">
        <v>4333</v>
      </c>
    </row>
    <row r="2362" spans="1:8" x14ac:dyDescent="0.35">
      <c r="A2362" t="s">
        <v>605</v>
      </c>
      <c r="B2362" t="s">
        <v>1429</v>
      </c>
      <c r="C2362" t="s">
        <v>4187</v>
      </c>
      <c r="D2362">
        <v>50</v>
      </c>
      <c r="E2362" t="s">
        <v>1720</v>
      </c>
      <c r="F2362" t="s">
        <v>1721</v>
      </c>
      <c r="G2362" t="s">
        <v>4384</v>
      </c>
      <c r="H2362" t="s">
        <v>4188</v>
      </c>
    </row>
    <row r="2363" spans="1:8" x14ac:dyDescent="0.35">
      <c r="A2363" t="s">
        <v>605</v>
      </c>
      <c r="B2363" t="s">
        <v>1429</v>
      </c>
      <c r="C2363" t="s">
        <v>4187</v>
      </c>
      <c r="D2363">
        <v>250</v>
      </c>
      <c r="E2363" t="s">
        <v>1720</v>
      </c>
      <c r="F2363" t="s">
        <v>1724</v>
      </c>
      <c r="G2363" t="s">
        <v>4384</v>
      </c>
      <c r="H2363" t="s">
        <v>4188</v>
      </c>
    </row>
    <row r="2364" spans="1:8" x14ac:dyDescent="0.35">
      <c r="A2364" t="s">
        <v>605</v>
      </c>
      <c r="B2364" t="s">
        <v>1429</v>
      </c>
      <c r="C2364" t="s">
        <v>4213</v>
      </c>
      <c r="D2364">
        <v>7.9000000000000001E-4</v>
      </c>
      <c r="E2364" t="s">
        <v>1720</v>
      </c>
      <c r="F2364" t="s">
        <v>1721</v>
      </c>
      <c r="G2364" t="s">
        <v>4393</v>
      </c>
      <c r="H2364" t="s">
        <v>4214</v>
      </c>
    </row>
    <row r="2365" spans="1:8" x14ac:dyDescent="0.35">
      <c r="A2365" t="s">
        <v>605</v>
      </c>
      <c r="B2365" t="s">
        <v>1429</v>
      </c>
      <c r="C2365" t="s">
        <v>4213</v>
      </c>
      <c r="D2365">
        <v>6</v>
      </c>
      <c r="E2365" t="s">
        <v>1720</v>
      </c>
      <c r="F2365" t="s">
        <v>1724</v>
      </c>
      <c r="G2365" t="s">
        <v>4393</v>
      </c>
      <c r="H2365" t="s">
        <v>4214</v>
      </c>
    </row>
    <row r="2366" spans="1:8" x14ac:dyDescent="0.35">
      <c r="A2366" t="s">
        <v>605</v>
      </c>
      <c r="B2366" t="s">
        <v>1429</v>
      </c>
      <c r="C2366" t="s">
        <v>4313</v>
      </c>
      <c r="D2366">
        <v>3.7</v>
      </c>
      <c r="E2366" t="s">
        <v>1720</v>
      </c>
      <c r="F2366" t="s">
        <v>1721</v>
      </c>
      <c r="G2366" t="s">
        <v>4423</v>
      </c>
      <c r="H2366" t="s">
        <v>4314</v>
      </c>
    </row>
    <row r="2367" spans="1:8" x14ac:dyDescent="0.35">
      <c r="A2367" t="s">
        <v>605</v>
      </c>
      <c r="B2367" t="s">
        <v>1429</v>
      </c>
      <c r="C2367" t="s">
        <v>4313</v>
      </c>
      <c r="D2367">
        <v>6</v>
      </c>
      <c r="E2367" t="s">
        <v>1720</v>
      </c>
      <c r="F2367" t="s">
        <v>1724</v>
      </c>
      <c r="G2367" t="s">
        <v>4423</v>
      </c>
      <c r="H2367" t="s">
        <v>4314</v>
      </c>
    </row>
    <row r="2368" spans="1:8" x14ac:dyDescent="0.35">
      <c r="A2368" t="s">
        <v>605</v>
      </c>
      <c r="B2368" t="s">
        <v>1429</v>
      </c>
      <c r="C2368" t="s">
        <v>4313</v>
      </c>
      <c r="D2368">
        <v>3.7</v>
      </c>
      <c r="E2368" t="s">
        <v>1720</v>
      </c>
      <c r="F2368" t="s">
        <v>1721</v>
      </c>
      <c r="G2368" t="s">
        <v>4424</v>
      </c>
      <c r="H2368" t="s">
        <v>4314</v>
      </c>
    </row>
    <row r="2369" spans="1:8" x14ac:dyDescent="0.35">
      <c r="A2369" t="s">
        <v>605</v>
      </c>
      <c r="B2369" t="s">
        <v>1429</v>
      </c>
      <c r="C2369" t="s">
        <v>4313</v>
      </c>
      <c r="D2369">
        <v>6</v>
      </c>
      <c r="E2369" t="s">
        <v>1720</v>
      </c>
      <c r="F2369" t="s">
        <v>1724</v>
      </c>
      <c r="G2369" t="s">
        <v>4424</v>
      </c>
      <c r="H2369" t="s">
        <v>4314</v>
      </c>
    </row>
    <row r="2370" spans="1:8" x14ac:dyDescent="0.35">
      <c r="A2370" t="s">
        <v>605</v>
      </c>
      <c r="B2370" t="s">
        <v>1429</v>
      </c>
      <c r="C2370" t="s">
        <v>4313</v>
      </c>
      <c r="D2370">
        <v>3.7</v>
      </c>
      <c r="E2370" t="s">
        <v>1720</v>
      </c>
      <c r="F2370" t="s">
        <v>1721</v>
      </c>
      <c r="G2370" t="s">
        <v>4425</v>
      </c>
      <c r="H2370" t="s">
        <v>4314</v>
      </c>
    </row>
    <row r="2371" spans="1:8" x14ac:dyDescent="0.35">
      <c r="A2371" t="s">
        <v>605</v>
      </c>
      <c r="B2371" t="s">
        <v>1429</v>
      </c>
      <c r="C2371" t="s">
        <v>4313</v>
      </c>
      <c r="D2371">
        <v>6</v>
      </c>
      <c r="E2371" t="s">
        <v>1720</v>
      </c>
      <c r="F2371" t="s">
        <v>1724</v>
      </c>
      <c r="G2371" t="s">
        <v>4425</v>
      </c>
      <c r="H2371" t="s">
        <v>4314</v>
      </c>
    </row>
    <row r="2372" spans="1:8" x14ac:dyDescent="0.35">
      <c r="A2372" t="s">
        <v>605</v>
      </c>
      <c r="B2372" t="s">
        <v>1429</v>
      </c>
      <c r="C2372" t="s">
        <v>4223</v>
      </c>
      <c r="D2372">
        <v>3.7</v>
      </c>
      <c r="E2372" t="s">
        <v>1720</v>
      </c>
      <c r="F2372" t="s">
        <v>1721</v>
      </c>
      <c r="G2372" t="s">
        <v>4399</v>
      </c>
      <c r="H2372" t="s">
        <v>4224</v>
      </c>
    </row>
    <row r="2373" spans="1:8" x14ac:dyDescent="0.35">
      <c r="A2373" t="s">
        <v>605</v>
      </c>
      <c r="B2373" t="s">
        <v>1429</v>
      </c>
      <c r="C2373" t="s">
        <v>4223</v>
      </c>
      <c r="D2373">
        <v>6</v>
      </c>
      <c r="E2373" t="s">
        <v>1720</v>
      </c>
      <c r="F2373" t="s">
        <v>1724</v>
      </c>
      <c r="G2373" t="s">
        <v>4399</v>
      </c>
      <c r="H2373" t="s">
        <v>4224</v>
      </c>
    </row>
    <row r="2374" spans="1:8" x14ac:dyDescent="0.35">
      <c r="A2374" t="s">
        <v>605</v>
      </c>
      <c r="B2374" t="s">
        <v>1429</v>
      </c>
      <c r="C2374" t="s">
        <v>4244</v>
      </c>
      <c r="D2374">
        <v>6</v>
      </c>
      <c r="E2374" t="s">
        <v>1720</v>
      </c>
      <c r="F2374" t="s">
        <v>1724</v>
      </c>
      <c r="G2374" t="s">
        <v>4406</v>
      </c>
      <c r="H2374" t="s">
        <v>4245</v>
      </c>
    </row>
    <row r="2375" spans="1:8" x14ac:dyDescent="0.35">
      <c r="A2375" t="s">
        <v>605</v>
      </c>
      <c r="B2375" t="s">
        <v>1429</v>
      </c>
      <c r="C2375" t="s">
        <v>4244</v>
      </c>
      <c r="D2375">
        <v>4</v>
      </c>
      <c r="E2375" t="s">
        <v>1720</v>
      </c>
      <c r="F2375" t="s">
        <v>1721</v>
      </c>
      <c r="G2375" t="s">
        <v>4406</v>
      </c>
      <c r="H2375" t="s">
        <v>4245</v>
      </c>
    </row>
    <row r="2376" spans="1:8" x14ac:dyDescent="0.35">
      <c r="A2376" t="s">
        <v>605</v>
      </c>
      <c r="B2376" t="s">
        <v>1429</v>
      </c>
      <c r="C2376" t="s">
        <v>4258</v>
      </c>
      <c r="D2376">
        <v>6</v>
      </c>
      <c r="E2376" t="s">
        <v>1720</v>
      </c>
      <c r="F2376" t="s">
        <v>1724</v>
      </c>
      <c r="G2376" t="s">
        <v>4408</v>
      </c>
      <c r="H2376" t="s">
        <v>4259</v>
      </c>
    </row>
    <row r="2377" spans="1:8" x14ac:dyDescent="0.35">
      <c r="A2377" t="s">
        <v>605</v>
      </c>
      <c r="B2377" t="s">
        <v>1429</v>
      </c>
      <c r="C2377" t="s">
        <v>4258</v>
      </c>
      <c r="D2377">
        <v>3.7</v>
      </c>
      <c r="E2377" t="s">
        <v>1720</v>
      </c>
      <c r="F2377" t="s">
        <v>1721</v>
      </c>
      <c r="G2377" t="s">
        <v>4408</v>
      </c>
      <c r="H2377" t="s">
        <v>4259</v>
      </c>
    </row>
    <row r="2378" spans="1:8" x14ac:dyDescent="0.35">
      <c r="A2378" t="s">
        <v>606</v>
      </c>
      <c r="B2378" t="s">
        <v>1430</v>
      </c>
      <c r="C2378" t="s">
        <v>4187</v>
      </c>
      <c r="D2378">
        <v>3</v>
      </c>
      <c r="E2378" t="s">
        <v>1720</v>
      </c>
      <c r="F2378" t="s">
        <v>1721</v>
      </c>
      <c r="G2378" t="s">
        <v>4384</v>
      </c>
      <c r="H2378" t="s">
        <v>4188</v>
      </c>
    </row>
    <row r="2379" spans="1:8" x14ac:dyDescent="0.35">
      <c r="A2379" t="s">
        <v>606</v>
      </c>
      <c r="B2379" t="s">
        <v>1430</v>
      </c>
      <c r="C2379" t="s">
        <v>4187</v>
      </c>
      <c r="D2379">
        <v>940</v>
      </c>
      <c r="E2379" t="s">
        <v>1720</v>
      </c>
      <c r="F2379" t="s">
        <v>1724</v>
      </c>
      <c r="G2379" t="s">
        <v>4384</v>
      </c>
      <c r="H2379" t="s">
        <v>4188</v>
      </c>
    </row>
    <row r="2380" spans="1:8" x14ac:dyDescent="0.35">
      <c r="A2380" t="s">
        <v>606</v>
      </c>
      <c r="B2380" t="s">
        <v>1430</v>
      </c>
      <c r="C2380" t="s">
        <v>4185</v>
      </c>
      <c r="D2380">
        <v>12</v>
      </c>
      <c r="E2380" t="s">
        <v>1720</v>
      </c>
      <c r="F2380" t="s">
        <v>1721</v>
      </c>
      <c r="G2380" t="s">
        <v>4383</v>
      </c>
      <c r="H2380" t="s">
        <v>4186</v>
      </c>
    </row>
    <row r="2381" spans="1:8" x14ac:dyDescent="0.35">
      <c r="A2381" t="s">
        <v>606</v>
      </c>
      <c r="B2381" t="s">
        <v>1430</v>
      </c>
      <c r="C2381" t="s">
        <v>4185</v>
      </c>
      <c r="D2381">
        <v>555</v>
      </c>
      <c r="E2381" t="s">
        <v>1720</v>
      </c>
      <c r="F2381" t="s">
        <v>1724</v>
      </c>
      <c r="G2381" t="s">
        <v>4383</v>
      </c>
      <c r="H2381" t="s">
        <v>4186</v>
      </c>
    </row>
    <row r="2382" spans="1:8" x14ac:dyDescent="0.35">
      <c r="A2382" t="s">
        <v>606</v>
      </c>
      <c r="B2382" t="s">
        <v>1430</v>
      </c>
      <c r="C2382" t="s">
        <v>4305</v>
      </c>
      <c r="D2382">
        <v>0.6</v>
      </c>
      <c r="E2382" t="s">
        <v>1720</v>
      </c>
      <c r="F2382" t="s">
        <v>1721</v>
      </c>
      <c r="G2382" t="s">
        <v>4421</v>
      </c>
      <c r="H2382" t="s">
        <v>4306</v>
      </c>
    </row>
    <row r="2383" spans="1:8" x14ac:dyDescent="0.35">
      <c r="A2383" t="s">
        <v>606</v>
      </c>
      <c r="B2383" t="s">
        <v>1430</v>
      </c>
      <c r="C2383" t="s">
        <v>4197</v>
      </c>
      <c r="D2383">
        <v>910</v>
      </c>
      <c r="E2383" t="s">
        <v>1720</v>
      </c>
      <c r="F2383" t="s">
        <v>1721</v>
      </c>
      <c r="G2383" t="s">
        <v>4383</v>
      </c>
      <c r="H2383" t="s">
        <v>4198</v>
      </c>
    </row>
    <row r="2384" spans="1:8" x14ac:dyDescent="0.35">
      <c r="A2384" t="s">
        <v>606</v>
      </c>
      <c r="B2384" t="s">
        <v>1430</v>
      </c>
      <c r="C2384" t="s">
        <v>4197</v>
      </c>
      <c r="D2384">
        <v>4500</v>
      </c>
      <c r="E2384" t="s">
        <v>1720</v>
      </c>
      <c r="F2384" t="s">
        <v>1724</v>
      </c>
      <c r="G2384" t="s">
        <v>4383</v>
      </c>
      <c r="H2384" t="s">
        <v>4198</v>
      </c>
    </row>
    <row r="2385" spans="1:8" x14ac:dyDescent="0.35">
      <c r="A2385" t="s">
        <v>606</v>
      </c>
      <c r="B2385" t="s">
        <v>1430</v>
      </c>
      <c r="C2385" t="s">
        <v>4223</v>
      </c>
      <c r="D2385">
        <v>360</v>
      </c>
      <c r="E2385" t="s">
        <v>1720</v>
      </c>
      <c r="F2385" t="s">
        <v>1721</v>
      </c>
      <c r="G2385" t="s">
        <v>4399</v>
      </c>
      <c r="H2385" t="s">
        <v>4224</v>
      </c>
    </row>
    <row r="2386" spans="1:8" x14ac:dyDescent="0.35">
      <c r="A2386" t="s">
        <v>606</v>
      </c>
      <c r="B2386" t="s">
        <v>1430</v>
      </c>
      <c r="C2386" t="s">
        <v>4223</v>
      </c>
      <c r="D2386">
        <v>400</v>
      </c>
      <c r="E2386" t="s">
        <v>1720</v>
      </c>
      <c r="F2386" t="s">
        <v>1724</v>
      </c>
      <c r="G2386" t="s">
        <v>4399</v>
      </c>
      <c r="H2386" t="s">
        <v>4224</v>
      </c>
    </row>
    <row r="2387" spans="1:8" x14ac:dyDescent="0.35">
      <c r="A2387" t="s">
        <v>606</v>
      </c>
      <c r="B2387" t="s">
        <v>1430</v>
      </c>
      <c r="C2387" t="s">
        <v>4213</v>
      </c>
      <c r="D2387">
        <v>3.7</v>
      </c>
      <c r="E2387" t="s">
        <v>1720</v>
      </c>
      <c r="F2387" t="s">
        <v>1721</v>
      </c>
      <c r="G2387" t="s">
        <v>4393</v>
      </c>
      <c r="H2387" t="s">
        <v>4214</v>
      </c>
    </row>
    <row r="2388" spans="1:8" x14ac:dyDescent="0.35">
      <c r="A2388" t="s">
        <v>606</v>
      </c>
      <c r="B2388" t="s">
        <v>1430</v>
      </c>
      <c r="C2388" t="s">
        <v>4213</v>
      </c>
      <c r="D2388">
        <v>2000</v>
      </c>
      <c r="E2388" t="s">
        <v>1720</v>
      </c>
      <c r="F2388" t="s">
        <v>1724</v>
      </c>
      <c r="G2388" t="s">
        <v>4393</v>
      </c>
      <c r="H2388" t="s">
        <v>4214</v>
      </c>
    </row>
    <row r="2389" spans="1:8" x14ac:dyDescent="0.35">
      <c r="A2389" t="s">
        <v>606</v>
      </c>
      <c r="B2389" t="s">
        <v>1430</v>
      </c>
      <c r="C2389" t="s">
        <v>4313</v>
      </c>
      <c r="D2389">
        <v>360</v>
      </c>
      <c r="E2389" t="s">
        <v>1720</v>
      </c>
      <c r="F2389" t="s">
        <v>1721</v>
      </c>
      <c r="G2389" t="s">
        <v>4423</v>
      </c>
      <c r="H2389" t="s">
        <v>4314</v>
      </c>
    </row>
    <row r="2390" spans="1:8" x14ac:dyDescent="0.35">
      <c r="A2390" t="s">
        <v>606</v>
      </c>
      <c r="B2390" t="s">
        <v>1430</v>
      </c>
      <c r="C2390" t="s">
        <v>4313</v>
      </c>
      <c r="D2390">
        <v>400</v>
      </c>
      <c r="E2390" t="s">
        <v>1720</v>
      </c>
      <c r="F2390" t="s">
        <v>1724</v>
      </c>
      <c r="G2390" t="s">
        <v>4423</v>
      </c>
      <c r="H2390" t="s">
        <v>4314</v>
      </c>
    </row>
    <row r="2391" spans="1:8" x14ac:dyDescent="0.35">
      <c r="A2391" t="s">
        <v>606</v>
      </c>
      <c r="B2391" t="s">
        <v>1430</v>
      </c>
      <c r="C2391" t="s">
        <v>4313</v>
      </c>
      <c r="D2391">
        <v>360</v>
      </c>
      <c r="E2391" t="s">
        <v>1720</v>
      </c>
      <c r="F2391" t="s">
        <v>1721</v>
      </c>
      <c r="G2391" t="s">
        <v>4424</v>
      </c>
      <c r="H2391" t="s">
        <v>4314</v>
      </c>
    </row>
    <row r="2392" spans="1:8" x14ac:dyDescent="0.35">
      <c r="A2392" t="s">
        <v>606</v>
      </c>
      <c r="B2392" t="s">
        <v>1430</v>
      </c>
      <c r="C2392" t="s">
        <v>4313</v>
      </c>
      <c r="D2392">
        <v>400</v>
      </c>
      <c r="E2392" t="s">
        <v>1720</v>
      </c>
      <c r="F2392" t="s">
        <v>1724</v>
      </c>
      <c r="G2392" t="s">
        <v>4424</v>
      </c>
      <c r="H2392" t="s">
        <v>4314</v>
      </c>
    </row>
    <row r="2393" spans="1:8" x14ac:dyDescent="0.35">
      <c r="A2393" t="s">
        <v>606</v>
      </c>
      <c r="B2393" t="s">
        <v>1430</v>
      </c>
      <c r="C2393" t="s">
        <v>4313</v>
      </c>
      <c r="D2393">
        <v>3100</v>
      </c>
      <c r="E2393" t="s">
        <v>1720</v>
      </c>
      <c r="F2393" t="s">
        <v>1724</v>
      </c>
      <c r="G2393" t="s">
        <v>4444</v>
      </c>
      <c r="H2393" t="s">
        <v>4314</v>
      </c>
    </row>
    <row r="2394" spans="1:8" x14ac:dyDescent="0.35">
      <c r="A2394" t="s">
        <v>606</v>
      </c>
      <c r="B2394" t="s">
        <v>1430</v>
      </c>
      <c r="C2394" t="s">
        <v>4313</v>
      </c>
      <c r="D2394">
        <v>360</v>
      </c>
      <c r="E2394" t="s">
        <v>1720</v>
      </c>
      <c r="F2394" t="s">
        <v>1721</v>
      </c>
      <c r="G2394" t="s">
        <v>4425</v>
      </c>
      <c r="H2394" t="s">
        <v>4314</v>
      </c>
    </row>
    <row r="2395" spans="1:8" x14ac:dyDescent="0.35">
      <c r="A2395" t="s">
        <v>606</v>
      </c>
      <c r="B2395" t="s">
        <v>1430</v>
      </c>
      <c r="C2395" t="s">
        <v>4313</v>
      </c>
      <c r="D2395">
        <v>400</v>
      </c>
      <c r="E2395" t="s">
        <v>1720</v>
      </c>
      <c r="F2395" t="s">
        <v>1724</v>
      </c>
      <c r="G2395" t="s">
        <v>4425</v>
      </c>
      <c r="H2395" t="s">
        <v>4314</v>
      </c>
    </row>
    <row r="2396" spans="1:8" x14ac:dyDescent="0.35">
      <c r="A2396" t="s">
        <v>606</v>
      </c>
      <c r="B2396" t="s">
        <v>1430</v>
      </c>
      <c r="C2396" t="s">
        <v>4244</v>
      </c>
      <c r="D2396">
        <v>400</v>
      </c>
      <c r="E2396" t="s">
        <v>1720</v>
      </c>
      <c r="F2396" t="s">
        <v>1724</v>
      </c>
      <c r="G2396" t="s">
        <v>4406</v>
      </c>
      <c r="H2396" t="s">
        <v>4245</v>
      </c>
    </row>
    <row r="2397" spans="1:8" x14ac:dyDescent="0.35">
      <c r="A2397" t="s">
        <v>606</v>
      </c>
      <c r="B2397" t="s">
        <v>1430</v>
      </c>
      <c r="C2397" t="s">
        <v>4244</v>
      </c>
      <c r="D2397">
        <v>360</v>
      </c>
      <c r="E2397" t="s">
        <v>1720</v>
      </c>
      <c r="F2397" t="s">
        <v>1721</v>
      </c>
      <c r="G2397" t="s">
        <v>4406</v>
      </c>
      <c r="H2397" t="s">
        <v>4245</v>
      </c>
    </row>
    <row r="2398" spans="1:8" x14ac:dyDescent="0.35">
      <c r="A2398" t="s">
        <v>606</v>
      </c>
      <c r="B2398" t="s">
        <v>1430</v>
      </c>
      <c r="C2398" t="s">
        <v>4244</v>
      </c>
      <c r="D2398">
        <v>3100</v>
      </c>
      <c r="E2398" t="s">
        <v>1720</v>
      </c>
      <c r="F2398" t="s">
        <v>1724</v>
      </c>
      <c r="G2398" t="s">
        <v>4407</v>
      </c>
      <c r="H2398" t="s">
        <v>4245</v>
      </c>
    </row>
    <row r="2399" spans="1:8" x14ac:dyDescent="0.35">
      <c r="A2399" t="s">
        <v>606</v>
      </c>
      <c r="B2399" t="s">
        <v>1430</v>
      </c>
      <c r="C2399" t="s">
        <v>4244</v>
      </c>
      <c r="D2399">
        <v>360</v>
      </c>
      <c r="E2399" t="s">
        <v>1720</v>
      </c>
      <c r="F2399" t="s">
        <v>1721</v>
      </c>
      <c r="G2399" t="s">
        <v>4407</v>
      </c>
      <c r="H2399" t="s">
        <v>4245</v>
      </c>
    </row>
    <row r="2400" spans="1:8" x14ac:dyDescent="0.35">
      <c r="A2400" t="s">
        <v>606</v>
      </c>
      <c r="B2400" t="s">
        <v>1430</v>
      </c>
      <c r="C2400" t="s">
        <v>4323</v>
      </c>
      <c r="D2400">
        <v>400</v>
      </c>
      <c r="E2400" t="s">
        <v>1720</v>
      </c>
      <c r="F2400" t="s">
        <v>1724</v>
      </c>
      <c r="G2400" t="s">
        <v>4428</v>
      </c>
      <c r="H2400" t="s">
        <v>4324</v>
      </c>
    </row>
    <row r="2401" spans="1:8" x14ac:dyDescent="0.35">
      <c r="A2401" t="s">
        <v>606</v>
      </c>
      <c r="B2401" t="s">
        <v>1430</v>
      </c>
      <c r="C2401" t="s">
        <v>4323</v>
      </c>
      <c r="D2401">
        <v>360</v>
      </c>
      <c r="E2401" t="s">
        <v>1720</v>
      </c>
      <c r="F2401" t="s">
        <v>1721</v>
      </c>
      <c r="G2401" t="s">
        <v>4428</v>
      </c>
      <c r="H2401" t="s">
        <v>4324</v>
      </c>
    </row>
    <row r="2402" spans="1:8" x14ac:dyDescent="0.35">
      <c r="A2402" t="s">
        <v>606</v>
      </c>
      <c r="B2402" t="s">
        <v>1430</v>
      </c>
      <c r="C2402" t="s">
        <v>4323</v>
      </c>
      <c r="D2402">
        <v>400</v>
      </c>
      <c r="E2402" t="s">
        <v>1720</v>
      </c>
      <c r="F2402" t="s">
        <v>1724</v>
      </c>
      <c r="G2402" t="s">
        <v>4429</v>
      </c>
      <c r="H2402" t="s">
        <v>4324</v>
      </c>
    </row>
    <row r="2403" spans="1:8" x14ac:dyDescent="0.35">
      <c r="A2403" t="s">
        <v>606</v>
      </c>
      <c r="B2403" t="s">
        <v>1430</v>
      </c>
      <c r="C2403" t="s">
        <v>4323</v>
      </c>
      <c r="D2403">
        <v>360</v>
      </c>
      <c r="E2403" t="s">
        <v>1720</v>
      </c>
      <c r="F2403" t="s">
        <v>1721</v>
      </c>
      <c r="G2403" t="s">
        <v>4429</v>
      </c>
      <c r="H2403" t="s">
        <v>4324</v>
      </c>
    </row>
    <row r="2404" spans="1:8" x14ac:dyDescent="0.35">
      <c r="A2404" t="s">
        <v>606</v>
      </c>
      <c r="B2404" t="s">
        <v>1430</v>
      </c>
      <c r="C2404" t="s">
        <v>4323</v>
      </c>
      <c r="D2404">
        <v>400</v>
      </c>
      <c r="E2404" t="s">
        <v>1720</v>
      </c>
      <c r="F2404" t="s">
        <v>1724</v>
      </c>
      <c r="G2404" t="s">
        <v>4430</v>
      </c>
      <c r="H2404" t="s">
        <v>4324</v>
      </c>
    </row>
    <row r="2405" spans="1:8" x14ac:dyDescent="0.35">
      <c r="A2405" t="s">
        <v>606</v>
      </c>
      <c r="B2405" t="s">
        <v>1430</v>
      </c>
      <c r="C2405" t="s">
        <v>4323</v>
      </c>
      <c r="D2405">
        <v>360</v>
      </c>
      <c r="E2405" t="s">
        <v>1720</v>
      </c>
      <c r="F2405" t="s">
        <v>1721</v>
      </c>
      <c r="G2405" t="s">
        <v>4430</v>
      </c>
      <c r="H2405" t="s">
        <v>4324</v>
      </c>
    </row>
    <row r="2406" spans="1:8" x14ac:dyDescent="0.35">
      <c r="A2406" t="s">
        <v>606</v>
      </c>
      <c r="B2406" t="s">
        <v>1430</v>
      </c>
      <c r="C2406" t="s">
        <v>4323</v>
      </c>
      <c r="D2406">
        <v>3100</v>
      </c>
      <c r="E2406" t="s">
        <v>1720</v>
      </c>
      <c r="F2406" t="s">
        <v>1724</v>
      </c>
      <c r="G2406" t="s">
        <v>4446</v>
      </c>
      <c r="H2406" t="s">
        <v>4324</v>
      </c>
    </row>
    <row r="2407" spans="1:8" x14ac:dyDescent="0.35">
      <c r="A2407" t="s">
        <v>606</v>
      </c>
      <c r="B2407" t="s">
        <v>1430</v>
      </c>
      <c r="C2407" t="s">
        <v>4323</v>
      </c>
      <c r="D2407">
        <v>360</v>
      </c>
      <c r="E2407" t="s">
        <v>1720</v>
      </c>
      <c r="F2407" t="s">
        <v>1721</v>
      </c>
      <c r="G2407" t="s">
        <v>4446</v>
      </c>
      <c r="H2407" t="s">
        <v>4324</v>
      </c>
    </row>
    <row r="2408" spans="1:8" x14ac:dyDescent="0.35">
      <c r="A2408" t="s">
        <v>606</v>
      </c>
      <c r="B2408" t="s">
        <v>1430</v>
      </c>
      <c r="C2408" t="s">
        <v>4258</v>
      </c>
      <c r="D2408">
        <v>400</v>
      </c>
      <c r="E2408" t="s">
        <v>1720</v>
      </c>
      <c r="F2408" t="s">
        <v>1724</v>
      </c>
      <c r="G2408" t="s">
        <v>4408</v>
      </c>
      <c r="H2408" t="s">
        <v>4259</v>
      </c>
    </row>
    <row r="2409" spans="1:8" x14ac:dyDescent="0.35">
      <c r="A2409" t="s">
        <v>606</v>
      </c>
      <c r="B2409" t="s">
        <v>1430</v>
      </c>
      <c r="C2409" t="s">
        <v>4258</v>
      </c>
      <c r="D2409">
        <v>360</v>
      </c>
      <c r="E2409" t="s">
        <v>1720</v>
      </c>
      <c r="F2409" t="s">
        <v>1721</v>
      </c>
      <c r="G2409" t="s">
        <v>4408</v>
      </c>
      <c r="H2409" t="s">
        <v>4259</v>
      </c>
    </row>
    <row r="2410" spans="1:8" x14ac:dyDescent="0.35">
      <c r="A2410" t="s">
        <v>606</v>
      </c>
      <c r="B2410" t="s">
        <v>1430</v>
      </c>
      <c r="C2410" t="s">
        <v>4321</v>
      </c>
      <c r="D2410">
        <v>0.6</v>
      </c>
      <c r="E2410" t="s">
        <v>1720</v>
      </c>
      <c r="F2410" t="s">
        <v>1721</v>
      </c>
      <c r="G2410" t="s">
        <v>4427</v>
      </c>
      <c r="H2410" t="s">
        <v>4322</v>
      </c>
    </row>
    <row r="2411" spans="1:8" x14ac:dyDescent="0.35">
      <c r="A2411" t="s">
        <v>612</v>
      </c>
      <c r="B2411" t="s">
        <v>1436</v>
      </c>
      <c r="C2411" t="s">
        <v>4305</v>
      </c>
      <c r="D2411">
        <v>4</v>
      </c>
      <c r="E2411" t="s">
        <v>1720</v>
      </c>
      <c r="F2411" t="s">
        <v>1721</v>
      </c>
      <c r="G2411" t="s">
        <v>4421</v>
      </c>
      <c r="H2411" t="s">
        <v>4306</v>
      </c>
    </row>
    <row r="2412" spans="1:8" x14ac:dyDescent="0.35">
      <c r="A2412" t="s">
        <v>612</v>
      </c>
      <c r="B2412" t="s">
        <v>1436</v>
      </c>
      <c r="C2412" t="s">
        <v>4305</v>
      </c>
      <c r="D2412">
        <v>40</v>
      </c>
      <c r="E2412" t="s">
        <v>1720</v>
      </c>
      <c r="F2412" t="s">
        <v>1724</v>
      </c>
      <c r="G2412" t="s">
        <v>4471</v>
      </c>
      <c r="H2412" t="s">
        <v>4306</v>
      </c>
    </row>
    <row r="2413" spans="1:8" x14ac:dyDescent="0.35">
      <c r="A2413" t="s">
        <v>612</v>
      </c>
      <c r="B2413" t="s">
        <v>1436</v>
      </c>
      <c r="C2413" t="s">
        <v>4321</v>
      </c>
      <c r="D2413">
        <v>4</v>
      </c>
      <c r="E2413" t="s">
        <v>1720</v>
      </c>
      <c r="F2413" t="s">
        <v>1721</v>
      </c>
      <c r="G2413" t="s">
        <v>4427</v>
      </c>
      <c r="H2413" t="s">
        <v>4322</v>
      </c>
    </row>
    <row r="2414" spans="1:8" x14ac:dyDescent="0.35">
      <c r="A2414" t="s">
        <v>612</v>
      </c>
      <c r="B2414" t="s">
        <v>1436</v>
      </c>
      <c r="C2414" t="s">
        <v>4321</v>
      </c>
      <c r="D2414">
        <v>40</v>
      </c>
      <c r="E2414" t="s">
        <v>1720</v>
      </c>
      <c r="F2414" t="s">
        <v>1724</v>
      </c>
      <c r="G2414" t="s">
        <v>4427</v>
      </c>
      <c r="H2414" t="s">
        <v>4322</v>
      </c>
    </row>
    <row r="2415" spans="1:8" x14ac:dyDescent="0.35">
      <c r="A2415" t="s">
        <v>35</v>
      </c>
      <c r="B2415" t="s">
        <v>864</v>
      </c>
      <c r="C2415" t="s">
        <v>4187</v>
      </c>
      <c r="D2415">
        <v>620</v>
      </c>
      <c r="E2415" t="s">
        <v>1720</v>
      </c>
      <c r="F2415" t="s">
        <v>1721</v>
      </c>
      <c r="G2415" t="s">
        <v>4384</v>
      </c>
      <c r="H2415" t="s">
        <v>4188</v>
      </c>
    </row>
    <row r="2416" spans="1:8" x14ac:dyDescent="0.35">
      <c r="A2416" t="s">
        <v>35</v>
      </c>
      <c r="B2416" t="s">
        <v>864</v>
      </c>
      <c r="C2416" t="s">
        <v>4187</v>
      </c>
      <c r="D2416">
        <v>2300</v>
      </c>
      <c r="E2416" t="s">
        <v>1720</v>
      </c>
      <c r="F2416" t="s">
        <v>1724</v>
      </c>
      <c r="G2416" t="s">
        <v>4384</v>
      </c>
      <c r="H2416" t="s">
        <v>4188</v>
      </c>
    </row>
    <row r="2417" spans="1:8" x14ac:dyDescent="0.35">
      <c r="A2417" t="s">
        <v>35</v>
      </c>
      <c r="B2417" t="s">
        <v>864</v>
      </c>
      <c r="C2417" t="s">
        <v>4185</v>
      </c>
      <c r="D2417">
        <v>2.6</v>
      </c>
      <c r="E2417" t="s">
        <v>1720</v>
      </c>
      <c r="F2417" t="s">
        <v>1721</v>
      </c>
      <c r="G2417" t="s">
        <v>4383</v>
      </c>
      <c r="H2417" t="s">
        <v>4186</v>
      </c>
    </row>
    <row r="2418" spans="1:8" x14ac:dyDescent="0.35">
      <c r="A2418" t="s">
        <v>35</v>
      </c>
      <c r="B2418" t="s">
        <v>864</v>
      </c>
      <c r="C2418" t="s">
        <v>4185</v>
      </c>
      <c r="D2418">
        <v>115</v>
      </c>
      <c r="E2418" t="s">
        <v>1720</v>
      </c>
      <c r="F2418" t="s">
        <v>1724</v>
      </c>
      <c r="G2418" t="s">
        <v>4383</v>
      </c>
      <c r="H2418" t="s">
        <v>4186</v>
      </c>
    </row>
    <row r="2419" spans="1:8" x14ac:dyDescent="0.35">
      <c r="A2419" t="s">
        <v>35</v>
      </c>
      <c r="B2419" t="s">
        <v>864</v>
      </c>
      <c r="C2419" t="s">
        <v>4197</v>
      </c>
      <c r="D2419">
        <v>43</v>
      </c>
      <c r="E2419" t="s">
        <v>1720</v>
      </c>
      <c r="F2419" t="s">
        <v>1721</v>
      </c>
      <c r="G2419" t="s">
        <v>4388</v>
      </c>
      <c r="H2419" t="s">
        <v>4198</v>
      </c>
    </row>
    <row r="2420" spans="1:8" x14ac:dyDescent="0.35">
      <c r="A2420" t="s">
        <v>35</v>
      </c>
      <c r="B2420" t="s">
        <v>864</v>
      </c>
      <c r="C2420" t="s">
        <v>4197</v>
      </c>
      <c r="D2420">
        <v>140</v>
      </c>
      <c r="E2420" t="s">
        <v>1720</v>
      </c>
      <c r="F2420" t="s">
        <v>1724</v>
      </c>
      <c r="G2420" t="s">
        <v>4388</v>
      </c>
      <c r="H2420" t="s">
        <v>4198</v>
      </c>
    </row>
    <row r="2421" spans="1:8" x14ac:dyDescent="0.35">
      <c r="A2421" t="s">
        <v>35</v>
      </c>
      <c r="B2421" t="s">
        <v>864</v>
      </c>
      <c r="C2421" t="s">
        <v>4195</v>
      </c>
      <c r="D2421">
        <v>600</v>
      </c>
      <c r="E2421" t="s">
        <v>1720</v>
      </c>
      <c r="F2421" t="s">
        <v>1721</v>
      </c>
      <c r="G2421" t="s">
        <v>4387</v>
      </c>
      <c r="H2421" t="s">
        <v>4196</v>
      </c>
    </row>
    <row r="2422" spans="1:8" x14ac:dyDescent="0.35">
      <c r="A2422" t="s">
        <v>35</v>
      </c>
      <c r="B2422" t="s">
        <v>864</v>
      </c>
      <c r="C2422" t="s">
        <v>4213</v>
      </c>
      <c r="D2422">
        <v>620</v>
      </c>
      <c r="E2422" t="s">
        <v>1720</v>
      </c>
      <c r="F2422" t="s">
        <v>1721</v>
      </c>
      <c r="G2422" t="s">
        <v>4393</v>
      </c>
      <c r="H2422" t="s">
        <v>4214</v>
      </c>
    </row>
    <row r="2423" spans="1:8" x14ac:dyDescent="0.35">
      <c r="A2423" t="s">
        <v>35</v>
      </c>
      <c r="B2423" t="s">
        <v>864</v>
      </c>
      <c r="C2423" t="s">
        <v>4213</v>
      </c>
      <c r="D2423">
        <v>2300</v>
      </c>
      <c r="E2423" t="s">
        <v>1720</v>
      </c>
      <c r="F2423" t="s">
        <v>1724</v>
      </c>
      <c r="G2423" t="s">
        <v>4393</v>
      </c>
      <c r="H2423" t="s">
        <v>4214</v>
      </c>
    </row>
    <row r="2424" spans="1:8" x14ac:dyDescent="0.35">
      <c r="A2424" t="s">
        <v>35</v>
      </c>
      <c r="B2424" t="s">
        <v>864</v>
      </c>
      <c r="C2424" t="s">
        <v>4300</v>
      </c>
      <c r="D2424">
        <v>770</v>
      </c>
      <c r="E2424" t="s">
        <v>1720</v>
      </c>
      <c r="F2424" t="s">
        <v>1724</v>
      </c>
      <c r="G2424" t="s">
        <v>4389</v>
      </c>
      <c r="H2424" t="s">
        <v>4301</v>
      </c>
    </row>
    <row r="2425" spans="1:8" x14ac:dyDescent="0.35">
      <c r="A2425" t="s">
        <v>35</v>
      </c>
      <c r="B2425" t="s">
        <v>864</v>
      </c>
      <c r="C2425" t="s">
        <v>4219</v>
      </c>
      <c r="D2425">
        <v>620</v>
      </c>
      <c r="E2425" t="s">
        <v>1720</v>
      </c>
      <c r="F2425" t="s">
        <v>1721</v>
      </c>
      <c r="G2425" t="s">
        <v>4380</v>
      </c>
      <c r="H2425" t="s">
        <v>4220</v>
      </c>
    </row>
    <row r="2426" spans="1:8" x14ac:dyDescent="0.35">
      <c r="A2426" t="s">
        <v>35</v>
      </c>
      <c r="B2426" t="s">
        <v>864</v>
      </c>
      <c r="C2426" t="s">
        <v>4219</v>
      </c>
      <c r="D2426">
        <v>2300</v>
      </c>
      <c r="E2426" t="s">
        <v>1720</v>
      </c>
      <c r="F2426" t="s">
        <v>1724</v>
      </c>
      <c r="G2426" t="s">
        <v>4380</v>
      </c>
      <c r="H2426" t="s">
        <v>4220</v>
      </c>
    </row>
    <row r="2427" spans="1:8" x14ac:dyDescent="0.35">
      <c r="A2427" t="s">
        <v>35</v>
      </c>
      <c r="B2427" t="s">
        <v>864</v>
      </c>
      <c r="C2427" t="s">
        <v>4362</v>
      </c>
      <c r="D2427">
        <v>25</v>
      </c>
      <c r="E2427" t="s">
        <v>1720</v>
      </c>
      <c r="G2427" t="s">
        <v>4472</v>
      </c>
      <c r="H2427" t="s">
        <v>4363</v>
      </c>
    </row>
    <row r="2428" spans="1:8" x14ac:dyDescent="0.35">
      <c r="A2428" t="s">
        <v>35</v>
      </c>
      <c r="B2428" t="s">
        <v>864</v>
      </c>
      <c r="C2428" t="s">
        <v>4313</v>
      </c>
      <c r="D2428">
        <v>210</v>
      </c>
      <c r="E2428" t="s">
        <v>1720</v>
      </c>
      <c r="F2428" t="s">
        <v>1721</v>
      </c>
      <c r="G2428" t="s">
        <v>4423</v>
      </c>
      <c r="H2428" t="s">
        <v>4314</v>
      </c>
    </row>
    <row r="2429" spans="1:8" x14ac:dyDescent="0.35">
      <c r="A2429" t="s">
        <v>35</v>
      </c>
      <c r="B2429" t="s">
        <v>864</v>
      </c>
      <c r="C2429" t="s">
        <v>4313</v>
      </c>
      <c r="D2429">
        <v>1100</v>
      </c>
      <c r="E2429" t="s">
        <v>1720</v>
      </c>
      <c r="F2429" t="s">
        <v>1724</v>
      </c>
      <c r="G2429" t="s">
        <v>4423</v>
      </c>
      <c r="H2429" t="s">
        <v>4314</v>
      </c>
    </row>
    <row r="2430" spans="1:8" x14ac:dyDescent="0.35">
      <c r="A2430" t="s">
        <v>35</v>
      </c>
      <c r="B2430" t="s">
        <v>864</v>
      </c>
      <c r="C2430" t="s">
        <v>4313</v>
      </c>
      <c r="D2430">
        <v>580</v>
      </c>
      <c r="E2430" t="s">
        <v>1720</v>
      </c>
      <c r="F2430" t="s">
        <v>1721</v>
      </c>
      <c r="G2430" t="s">
        <v>4424</v>
      </c>
      <c r="H2430" t="s">
        <v>4314</v>
      </c>
    </row>
    <row r="2431" spans="1:8" x14ac:dyDescent="0.35">
      <c r="A2431" t="s">
        <v>35</v>
      </c>
      <c r="B2431" t="s">
        <v>864</v>
      </c>
      <c r="C2431" t="s">
        <v>4313</v>
      </c>
      <c r="D2431">
        <v>3200</v>
      </c>
      <c r="E2431" t="s">
        <v>1720</v>
      </c>
      <c r="F2431" t="s">
        <v>1724</v>
      </c>
      <c r="G2431" t="s">
        <v>4424</v>
      </c>
      <c r="H2431" t="s">
        <v>4314</v>
      </c>
    </row>
    <row r="2432" spans="1:8" x14ac:dyDescent="0.35">
      <c r="A2432" t="s">
        <v>35</v>
      </c>
      <c r="B2432" t="s">
        <v>864</v>
      </c>
      <c r="C2432" t="s">
        <v>4313</v>
      </c>
      <c r="D2432">
        <v>580</v>
      </c>
      <c r="E2432" t="s">
        <v>1720</v>
      </c>
      <c r="F2432" t="s">
        <v>1721</v>
      </c>
      <c r="G2432" t="s">
        <v>4425</v>
      </c>
      <c r="H2432" t="s">
        <v>4314</v>
      </c>
    </row>
    <row r="2433" spans="1:8" x14ac:dyDescent="0.35">
      <c r="A2433" t="s">
        <v>35</v>
      </c>
      <c r="B2433" t="s">
        <v>864</v>
      </c>
      <c r="C2433" t="s">
        <v>4313</v>
      </c>
      <c r="D2433">
        <v>3200</v>
      </c>
      <c r="E2433" t="s">
        <v>1720</v>
      </c>
      <c r="F2433" t="s">
        <v>1724</v>
      </c>
      <c r="G2433" t="s">
        <v>4425</v>
      </c>
      <c r="H2433" t="s">
        <v>4314</v>
      </c>
    </row>
    <row r="2434" spans="1:8" x14ac:dyDescent="0.35">
      <c r="A2434" t="s">
        <v>35</v>
      </c>
      <c r="B2434" t="s">
        <v>864</v>
      </c>
      <c r="C2434" t="s">
        <v>4223</v>
      </c>
      <c r="D2434">
        <v>620</v>
      </c>
      <c r="E2434" t="s">
        <v>1720</v>
      </c>
      <c r="F2434" t="s">
        <v>1721</v>
      </c>
      <c r="G2434" t="s">
        <v>4399</v>
      </c>
      <c r="H2434" t="s">
        <v>4224</v>
      </c>
    </row>
    <row r="2435" spans="1:8" x14ac:dyDescent="0.35">
      <c r="A2435" t="s">
        <v>35</v>
      </c>
      <c r="B2435" t="s">
        <v>864</v>
      </c>
      <c r="C2435" t="s">
        <v>4223</v>
      </c>
      <c r="D2435">
        <v>2300</v>
      </c>
      <c r="E2435" t="s">
        <v>1720</v>
      </c>
      <c r="F2435" t="s">
        <v>1724</v>
      </c>
      <c r="G2435" t="s">
        <v>4399</v>
      </c>
      <c r="H2435" t="s">
        <v>4224</v>
      </c>
    </row>
    <row r="2436" spans="1:8" x14ac:dyDescent="0.35">
      <c r="A2436" t="s">
        <v>35</v>
      </c>
      <c r="B2436" t="s">
        <v>864</v>
      </c>
      <c r="C2436" t="s">
        <v>4244</v>
      </c>
      <c r="D2436">
        <v>3200</v>
      </c>
      <c r="E2436" t="s">
        <v>1720</v>
      </c>
      <c r="F2436" t="s">
        <v>1724</v>
      </c>
      <c r="G2436" t="s">
        <v>4406</v>
      </c>
      <c r="H2436" t="s">
        <v>4245</v>
      </c>
    </row>
    <row r="2437" spans="1:8" x14ac:dyDescent="0.35">
      <c r="A2437" t="s">
        <v>35</v>
      </c>
      <c r="B2437" t="s">
        <v>864</v>
      </c>
      <c r="C2437" t="s">
        <v>4244</v>
      </c>
      <c r="D2437">
        <v>580</v>
      </c>
      <c r="E2437" t="s">
        <v>1720</v>
      </c>
      <c r="F2437" t="s">
        <v>1721</v>
      </c>
      <c r="G2437" t="s">
        <v>4406</v>
      </c>
      <c r="H2437" t="s">
        <v>4245</v>
      </c>
    </row>
    <row r="2438" spans="1:8" x14ac:dyDescent="0.35">
      <c r="A2438" t="s">
        <v>35</v>
      </c>
      <c r="B2438" t="s">
        <v>864</v>
      </c>
      <c r="C2438" t="s">
        <v>4323</v>
      </c>
      <c r="D2438">
        <v>1100</v>
      </c>
      <c r="E2438" t="s">
        <v>1720</v>
      </c>
      <c r="F2438" t="s">
        <v>1724</v>
      </c>
      <c r="G2438" t="s">
        <v>4428</v>
      </c>
      <c r="H2438" t="s">
        <v>4324</v>
      </c>
    </row>
    <row r="2439" spans="1:8" x14ac:dyDescent="0.35">
      <c r="A2439" t="s">
        <v>35</v>
      </c>
      <c r="B2439" t="s">
        <v>864</v>
      </c>
      <c r="C2439" t="s">
        <v>4323</v>
      </c>
      <c r="D2439">
        <v>210</v>
      </c>
      <c r="E2439" t="s">
        <v>1720</v>
      </c>
      <c r="F2439" t="s">
        <v>1721</v>
      </c>
      <c r="G2439" t="s">
        <v>4428</v>
      </c>
      <c r="H2439" t="s">
        <v>4324</v>
      </c>
    </row>
    <row r="2440" spans="1:8" x14ac:dyDescent="0.35">
      <c r="A2440" t="s">
        <v>35</v>
      </c>
      <c r="B2440" t="s">
        <v>864</v>
      </c>
      <c r="C2440" t="s">
        <v>4323</v>
      </c>
      <c r="D2440">
        <v>3300</v>
      </c>
      <c r="E2440" t="s">
        <v>1720</v>
      </c>
      <c r="F2440" t="s">
        <v>1724</v>
      </c>
      <c r="G2440" t="s">
        <v>4429</v>
      </c>
      <c r="H2440" t="s">
        <v>4324</v>
      </c>
    </row>
    <row r="2441" spans="1:8" x14ac:dyDescent="0.35">
      <c r="A2441" t="s">
        <v>35</v>
      </c>
      <c r="B2441" t="s">
        <v>864</v>
      </c>
      <c r="C2441" t="s">
        <v>4323</v>
      </c>
      <c r="D2441">
        <v>600</v>
      </c>
      <c r="E2441" t="s">
        <v>1720</v>
      </c>
      <c r="F2441" t="s">
        <v>1721</v>
      </c>
      <c r="G2441" t="s">
        <v>4429</v>
      </c>
      <c r="H2441" t="s">
        <v>4324</v>
      </c>
    </row>
    <row r="2442" spans="1:8" x14ac:dyDescent="0.35">
      <c r="A2442" t="s">
        <v>35</v>
      </c>
      <c r="B2442" t="s">
        <v>864</v>
      </c>
      <c r="C2442" t="s">
        <v>4323</v>
      </c>
      <c r="D2442">
        <v>3300</v>
      </c>
      <c r="E2442" t="s">
        <v>1720</v>
      </c>
      <c r="F2442" t="s">
        <v>1724</v>
      </c>
      <c r="G2442" t="s">
        <v>4430</v>
      </c>
      <c r="H2442" t="s">
        <v>4324</v>
      </c>
    </row>
    <row r="2443" spans="1:8" x14ac:dyDescent="0.35">
      <c r="A2443" t="s">
        <v>35</v>
      </c>
      <c r="B2443" t="s">
        <v>864</v>
      </c>
      <c r="C2443" t="s">
        <v>4323</v>
      </c>
      <c r="D2443">
        <v>600</v>
      </c>
      <c r="E2443" t="s">
        <v>1720</v>
      </c>
      <c r="F2443" t="s">
        <v>1721</v>
      </c>
      <c r="G2443" t="s">
        <v>4430</v>
      </c>
      <c r="H2443" t="s">
        <v>4324</v>
      </c>
    </row>
    <row r="2444" spans="1:8" x14ac:dyDescent="0.35">
      <c r="A2444" t="s">
        <v>35</v>
      </c>
      <c r="B2444" t="s">
        <v>864</v>
      </c>
      <c r="C2444" t="s">
        <v>4258</v>
      </c>
      <c r="D2444">
        <v>1100</v>
      </c>
      <c r="E2444" t="s">
        <v>1720</v>
      </c>
      <c r="F2444" t="s">
        <v>1724</v>
      </c>
      <c r="G2444" t="s">
        <v>4408</v>
      </c>
      <c r="H2444" t="s">
        <v>4259</v>
      </c>
    </row>
    <row r="2445" spans="1:8" x14ac:dyDescent="0.35">
      <c r="A2445" t="s">
        <v>35</v>
      </c>
      <c r="B2445" t="s">
        <v>864</v>
      </c>
      <c r="C2445" t="s">
        <v>4258</v>
      </c>
      <c r="D2445">
        <v>210</v>
      </c>
      <c r="E2445" t="s">
        <v>1720</v>
      </c>
      <c r="F2445" t="s">
        <v>1721</v>
      </c>
      <c r="G2445" t="s">
        <v>4408</v>
      </c>
      <c r="H2445" t="s">
        <v>4259</v>
      </c>
    </row>
    <row r="2446" spans="1:8" x14ac:dyDescent="0.35">
      <c r="A2446" t="s">
        <v>629</v>
      </c>
      <c r="B2446" t="s">
        <v>1453</v>
      </c>
      <c r="C2446" t="s">
        <v>4187</v>
      </c>
      <c r="D2446">
        <v>2560</v>
      </c>
      <c r="E2446" t="s">
        <v>1720</v>
      </c>
      <c r="F2446" t="s">
        <v>1721</v>
      </c>
      <c r="G2446" t="s">
        <v>4384</v>
      </c>
      <c r="H2446" t="s">
        <v>4188</v>
      </c>
    </row>
    <row r="2447" spans="1:8" x14ac:dyDescent="0.35">
      <c r="A2447" t="s">
        <v>629</v>
      </c>
      <c r="B2447" t="s">
        <v>1453</v>
      </c>
      <c r="C2447" t="s">
        <v>4187</v>
      </c>
      <c r="D2447">
        <v>10200</v>
      </c>
      <c r="E2447" t="s">
        <v>1720</v>
      </c>
      <c r="F2447" t="s">
        <v>1724</v>
      </c>
      <c r="G2447" t="s">
        <v>4384</v>
      </c>
      <c r="H2447" t="s">
        <v>4188</v>
      </c>
    </row>
    <row r="2448" spans="1:8" x14ac:dyDescent="0.35">
      <c r="A2448" t="s">
        <v>629</v>
      </c>
      <c r="B2448" t="s">
        <v>1453</v>
      </c>
      <c r="C2448" t="s">
        <v>4185</v>
      </c>
      <c r="D2448">
        <v>5.6</v>
      </c>
      <c r="E2448" t="s">
        <v>1720</v>
      </c>
      <c r="F2448" t="s">
        <v>1721</v>
      </c>
      <c r="G2448" t="s">
        <v>4383</v>
      </c>
      <c r="H2448" t="s">
        <v>4186</v>
      </c>
    </row>
    <row r="2449" spans="1:8" x14ac:dyDescent="0.35">
      <c r="A2449" t="s">
        <v>629</v>
      </c>
      <c r="B2449" t="s">
        <v>1453</v>
      </c>
      <c r="C2449" t="s">
        <v>4185</v>
      </c>
      <c r="D2449">
        <v>251</v>
      </c>
      <c r="E2449" t="s">
        <v>1720</v>
      </c>
      <c r="F2449" t="s">
        <v>1724</v>
      </c>
      <c r="G2449" t="s">
        <v>4383</v>
      </c>
      <c r="H2449" t="s">
        <v>4186</v>
      </c>
    </row>
    <row r="2450" spans="1:8" x14ac:dyDescent="0.35">
      <c r="A2450" t="s">
        <v>629</v>
      </c>
      <c r="B2450" t="s">
        <v>1453</v>
      </c>
      <c r="C2450" t="s">
        <v>4201</v>
      </c>
      <c r="D2450">
        <v>300</v>
      </c>
      <c r="E2450" t="s">
        <v>1720</v>
      </c>
      <c r="F2450" t="s">
        <v>1724</v>
      </c>
      <c r="G2450" t="s">
        <v>4389</v>
      </c>
      <c r="H2450" t="s">
        <v>4202</v>
      </c>
    </row>
    <row r="2451" spans="1:8" x14ac:dyDescent="0.35">
      <c r="A2451" t="s">
        <v>629</v>
      </c>
      <c r="B2451" t="s">
        <v>1453</v>
      </c>
      <c r="C2451" t="s">
        <v>4201</v>
      </c>
      <c r="D2451">
        <v>102</v>
      </c>
      <c r="E2451" t="s">
        <v>1720</v>
      </c>
      <c r="F2451" t="s">
        <v>1721</v>
      </c>
      <c r="G2451" t="s">
        <v>4389</v>
      </c>
      <c r="H2451" t="s">
        <v>4202</v>
      </c>
    </row>
    <row r="2452" spans="1:8" x14ac:dyDescent="0.35">
      <c r="A2452" t="s">
        <v>629</v>
      </c>
      <c r="B2452" t="s">
        <v>1453</v>
      </c>
      <c r="C2452" t="s">
        <v>4336</v>
      </c>
      <c r="D2452">
        <v>350</v>
      </c>
      <c r="E2452" t="s">
        <v>1720</v>
      </c>
      <c r="F2452" t="s">
        <v>1721</v>
      </c>
      <c r="G2452" t="s">
        <v>4445</v>
      </c>
      <c r="H2452" t="s">
        <v>4337</v>
      </c>
    </row>
    <row r="2453" spans="1:8" x14ac:dyDescent="0.35">
      <c r="A2453" t="s">
        <v>629</v>
      </c>
      <c r="B2453" t="s">
        <v>1453</v>
      </c>
      <c r="C2453" t="s">
        <v>4336</v>
      </c>
      <c r="D2453">
        <v>700</v>
      </c>
      <c r="E2453" t="s">
        <v>1720</v>
      </c>
      <c r="F2453" t="s">
        <v>1724</v>
      </c>
      <c r="G2453" t="s">
        <v>4445</v>
      </c>
      <c r="H2453" t="s">
        <v>4337</v>
      </c>
    </row>
    <row r="2454" spans="1:8" x14ac:dyDescent="0.35">
      <c r="A2454" t="s">
        <v>629</v>
      </c>
      <c r="B2454" t="s">
        <v>1453</v>
      </c>
      <c r="C2454" t="s">
        <v>4332</v>
      </c>
      <c r="D2454">
        <v>50</v>
      </c>
      <c r="E2454" t="s">
        <v>1720</v>
      </c>
      <c r="F2454" t="s">
        <v>1721</v>
      </c>
      <c r="G2454" t="s">
        <v>4438</v>
      </c>
      <c r="H2454" t="s">
        <v>4333</v>
      </c>
    </row>
    <row r="2455" spans="1:8" x14ac:dyDescent="0.35">
      <c r="A2455" t="s">
        <v>629</v>
      </c>
      <c r="B2455" t="s">
        <v>1453</v>
      </c>
      <c r="C2455" t="s">
        <v>4332</v>
      </c>
      <c r="D2455">
        <v>1000</v>
      </c>
      <c r="E2455" t="s">
        <v>1720</v>
      </c>
      <c r="F2455" t="s">
        <v>1724</v>
      </c>
      <c r="G2455" t="s">
        <v>4438</v>
      </c>
      <c r="H2455" t="s">
        <v>4333</v>
      </c>
    </row>
    <row r="2456" spans="1:8" x14ac:dyDescent="0.35">
      <c r="A2456" t="s">
        <v>629</v>
      </c>
      <c r="B2456" t="s">
        <v>1453</v>
      </c>
      <c r="C2456" t="s">
        <v>4332</v>
      </c>
      <c r="D2456">
        <v>50</v>
      </c>
      <c r="E2456" t="s">
        <v>1720</v>
      </c>
      <c r="F2456" t="s">
        <v>1721</v>
      </c>
      <c r="G2456" t="s">
        <v>4439</v>
      </c>
      <c r="H2456" t="s">
        <v>4333</v>
      </c>
    </row>
    <row r="2457" spans="1:8" x14ac:dyDescent="0.35">
      <c r="A2457" t="s">
        <v>629</v>
      </c>
      <c r="B2457" t="s">
        <v>1453</v>
      </c>
      <c r="C2457" t="s">
        <v>4332</v>
      </c>
      <c r="D2457">
        <v>1000</v>
      </c>
      <c r="E2457" t="s">
        <v>1720</v>
      </c>
      <c r="F2457" t="s">
        <v>1724</v>
      </c>
      <c r="G2457" t="s">
        <v>4439</v>
      </c>
      <c r="H2457" t="s">
        <v>4333</v>
      </c>
    </row>
    <row r="2458" spans="1:8" x14ac:dyDescent="0.35">
      <c r="A2458" t="s">
        <v>629</v>
      </c>
      <c r="B2458" t="s">
        <v>1453</v>
      </c>
      <c r="C2458" t="s">
        <v>4332</v>
      </c>
      <c r="D2458">
        <v>50</v>
      </c>
      <c r="E2458" t="s">
        <v>1720</v>
      </c>
      <c r="F2458" t="s">
        <v>1721</v>
      </c>
      <c r="G2458" t="s">
        <v>4440</v>
      </c>
      <c r="H2458" t="s">
        <v>4333</v>
      </c>
    </row>
    <row r="2459" spans="1:8" x14ac:dyDescent="0.35">
      <c r="A2459" t="s">
        <v>629</v>
      </c>
      <c r="B2459" t="s">
        <v>1453</v>
      </c>
      <c r="C2459" t="s">
        <v>4332</v>
      </c>
      <c r="D2459">
        <v>2500</v>
      </c>
      <c r="E2459" t="s">
        <v>1720</v>
      </c>
      <c r="F2459" t="s">
        <v>1724</v>
      </c>
      <c r="G2459" t="s">
        <v>4440</v>
      </c>
      <c r="H2459" t="s">
        <v>4333</v>
      </c>
    </row>
    <row r="2460" spans="1:8" x14ac:dyDescent="0.35">
      <c r="A2460" t="s">
        <v>629</v>
      </c>
      <c r="B2460" t="s">
        <v>1453</v>
      </c>
      <c r="C2460" t="s">
        <v>4332</v>
      </c>
      <c r="D2460">
        <v>50</v>
      </c>
      <c r="E2460" t="s">
        <v>1720</v>
      </c>
      <c r="F2460" t="s">
        <v>1721</v>
      </c>
      <c r="G2460" t="s">
        <v>4441</v>
      </c>
      <c r="H2460" t="s">
        <v>4333</v>
      </c>
    </row>
    <row r="2461" spans="1:8" x14ac:dyDescent="0.35">
      <c r="A2461" t="s">
        <v>629</v>
      </c>
      <c r="B2461" t="s">
        <v>1453</v>
      </c>
      <c r="C2461" t="s">
        <v>4332</v>
      </c>
      <c r="D2461">
        <v>2500</v>
      </c>
      <c r="E2461" t="s">
        <v>1720</v>
      </c>
      <c r="F2461" t="s">
        <v>1724</v>
      </c>
      <c r="G2461" t="s">
        <v>4441</v>
      </c>
      <c r="H2461" t="s">
        <v>4333</v>
      </c>
    </row>
    <row r="2462" spans="1:8" x14ac:dyDescent="0.35">
      <c r="A2462" t="s">
        <v>629</v>
      </c>
      <c r="B2462" t="s">
        <v>1453</v>
      </c>
      <c r="C2462" t="s">
        <v>4332</v>
      </c>
      <c r="D2462">
        <v>50</v>
      </c>
      <c r="E2462" t="s">
        <v>1720</v>
      </c>
      <c r="F2462" t="s">
        <v>1721</v>
      </c>
      <c r="G2462" t="s">
        <v>4442</v>
      </c>
      <c r="H2462" t="s">
        <v>4333</v>
      </c>
    </row>
    <row r="2463" spans="1:8" x14ac:dyDescent="0.35">
      <c r="A2463" t="s">
        <v>629</v>
      </c>
      <c r="B2463" t="s">
        <v>1453</v>
      </c>
      <c r="C2463" t="s">
        <v>4332</v>
      </c>
      <c r="D2463">
        <v>2500</v>
      </c>
      <c r="E2463" t="s">
        <v>1720</v>
      </c>
      <c r="F2463" t="s">
        <v>1724</v>
      </c>
      <c r="G2463" t="s">
        <v>4442</v>
      </c>
      <c r="H2463" t="s">
        <v>4333</v>
      </c>
    </row>
    <row r="2464" spans="1:8" x14ac:dyDescent="0.35">
      <c r="A2464" t="s">
        <v>629</v>
      </c>
      <c r="B2464" t="s">
        <v>1453</v>
      </c>
      <c r="C2464" t="s">
        <v>4215</v>
      </c>
      <c r="D2464">
        <v>0.01</v>
      </c>
      <c r="E2464" t="s">
        <v>1720</v>
      </c>
      <c r="G2464" t="s">
        <v>4394</v>
      </c>
      <c r="H2464" t="s">
        <v>4216</v>
      </c>
    </row>
    <row r="2465" spans="1:8" x14ac:dyDescent="0.35">
      <c r="A2465" t="s">
        <v>629</v>
      </c>
      <c r="B2465" t="s">
        <v>1453</v>
      </c>
      <c r="C2465" t="s">
        <v>4215</v>
      </c>
      <c r="D2465">
        <v>0.01</v>
      </c>
      <c r="E2465" t="s">
        <v>1720</v>
      </c>
      <c r="G2465" t="s">
        <v>4395</v>
      </c>
      <c r="H2465" t="s">
        <v>4216</v>
      </c>
    </row>
    <row r="2466" spans="1:8" x14ac:dyDescent="0.35">
      <c r="A2466" t="s">
        <v>629</v>
      </c>
      <c r="B2466" t="s">
        <v>1453</v>
      </c>
      <c r="C2466" t="s">
        <v>4215</v>
      </c>
      <c r="D2466">
        <v>0.01</v>
      </c>
      <c r="E2466" t="s">
        <v>1720</v>
      </c>
      <c r="G2466" t="s">
        <v>4397</v>
      </c>
      <c r="H2466" t="s">
        <v>4216</v>
      </c>
    </row>
    <row r="2467" spans="1:8" x14ac:dyDescent="0.35">
      <c r="A2467" t="s">
        <v>629</v>
      </c>
      <c r="B2467" t="s">
        <v>1453</v>
      </c>
      <c r="C2467" t="s">
        <v>4215</v>
      </c>
      <c r="D2467">
        <v>0.01</v>
      </c>
      <c r="E2467" t="s">
        <v>1720</v>
      </c>
      <c r="G2467" t="s">
        <v>4398</v>
      </c>
      <c r="H2467" t="s">
        <v>4216</v>
      </c>
    </row>
    <row r="2468" spans="1:8" x14ac:dyDescent="0.35">
      <c r="A2468" t="s">
        <v>629</v>
      </c>
      <c r="B2468" t="s">
        <v>1453</v>
      </c>
      <c r="C2468" t="s">
        <v>4219</v>
      </c>
      <c r="D2468">
        <v>2560</v>
      </c>
      <c r="E2468" t="s">
        <v>1720</v>
      </c>
      <c r="F2468" t="s">
        <v>1721</v>
      </c>
      <c r="G2468" t="s">
        <v>4380</v>
      </c>
      <c r="H2468" t="s">
        <v>4220</v>
      </c>
    </row>
    <row r="2469" spans="1:8" x14ac:dyDescent="0.35">
      <c r="A2469" t="s">
        <v>629</v>
      </c>
      <c r="B2469" t="s">
        <v>1453</v>
      </c>
      <c r="C2469" t="s">
        <v>4219</v>
      </c>
      <c r="D2469">
        <v>10200</v>
      </c>
      <c r="E2469" t="s">
        <v>1720</v>
      </c>
      <c r="F2469" t="s">
        <v>1724</v>
      </c>
      <c r="G2469" t="s">
        <v>4380</v>
      </c>
      <c r="H2469" t="s">
        <v>4220</v>
      </c>
    </row>
    <row r="2470" spans="1:8" x14ac:dyDescent="0.35">
      <c r="A2470" t="s">
        <v>629</v>
      </c>
      <c r="B2470" t="s">
        <v>1453</v>
      </c>
      <c r="C2470" t="s">
        <v>4213</v>
      </c>
      <c r="D2470">
        <v>2560</v>
      </c>
      <c r="E2470" t="s">
        <v>1720</v>
      </c>
      <c r="F2470" t="s">
        <v>1721</v>
      </c>
      <c r="G2470" t="s">
        <v>4393</v>
      </c>
      <c r="H2470" t="s">
        <v>4214</v>
      </c>
    </row>
    <row r="2471" spans="1:8" x14ac:dyDescent="0.35">
      <c r="A2471" t="s">
        <v>629</v>
      </c>
      <c r="B2471" t="s">
        <v>1453</v>
      </c>
      <c r="C2471" t="s">
        <v>4213</v>
      </c>
      <c r="D2471">
        <v>10200</v>
      </c>
      <c r="E2471" t="s">
        <v>1720</v>
      </c>
      <c r="F2471" t="s">
        <v>1724</v>
      </c>
      <c r="G2471" t="s">
        <v>4393</v>
      </c>
      <c r="H2471" t="s">
        <v>4214</v>
      </c>
    </row>
    <row r="2472" spans="1:8" x14ac:dyDescent="0.35">
      <c r="A2472" t="s">
        <v>629</v>
      </c>
      <c r="B2472" t="s">
        <v>1453</v>
      </c>
      <c r="C2472" t="s">
        <v>4313</v>
      </c>
      <c r="D2472">
        <v>730</v>
      </c>
      <c r="E2472" t="s">
        <v>1720</v>
      </c>
      <c r="F2472" t="s">
        <v>1721</v>
      </c>
      <c r="G2472" t="s">
        <v>4423</v>
      </c>
      <c r="H2472" t="s">
        <v>4314</v>
      </c>
    </row>
    <row r="2473" spans="1:8" x14ac:dyDescent="0.35">
      <c r="A2473" t="s">
        <v>629</v>
      </c>
      <c r="B2473" t="s">
        <v>1453</v>
      </c>
      <c r="C2473" t="s">
        <v>4313</v>
      </c>
      <c r="D2473">
        <v>5100</v>
      </c>
      <c r="E2473" t="s">
        <v>1720</v>
      </c>
      <c r="F2473" t="s">
        <v>1724</v>
      </c>
      <c r="G2473" t="s">
        <v>4423</v>
      </c>
      <c r="H2473" t="s">
        <v>4314</v>
      </c>
    </row>
    <row r="2474" spans="1:8" x14ac:dyDescent="0.35">
      <c r="A2474" t="s">
        <v>629</v>
      </c>
      <c r="B2474" t="s">
        <v>1453</v>
      </c>
      <c r="C2474" t="s">
        <v>4313</v>
      </c>
      <c r="D2474">
        <v>1000</v>
      </c>
      <c r="E2474" t="s">
        <v>1720</v>
      </c>
      <c r="F2474" t="s">
        <v>1721</v>
      </c>
      <c r="G2474" t="s">
        <v>4424</v>
      </c>
      <c r="H2474" t="s">
        <v>4314</v>
      </c>
    </row>
    <row r="2475" spans="1:8" x14ac:dyDescent="0.35">
      <c r="A2475" t="s">
        <v>629</v>
      </c>
      <c r="B2475" t="s">
        <v>1453</v>
      </c>
      <c r="C2475" t="s">
        <v>4313</v>
      </c>
      <c r="D2475">
        <v>7000</v>
      </c>
      <c r="E2475" t="s">
        <v>1720</v>
      </c>
      <c r="F2475" t="s">
        <v>1724</v>
      </c>
      <c r="G2475" t="s">
        <v>4424</v>
      </c>
      <c r="H2475" t="s">
        <v>4314</v>
      </c>
    </row>
    <row r="2476" spans="1:8" x14ac:dyDescent="0.35">
      <c r="A2476" t="s">
        <v>629</v>
      </c>
      <c r="B2476" t="s">
        <v>1453</v>
      </c>
      <c r="C2476" t="s">
        <v>4313</v>
      </c>
      <c r="D2476">
        <v>1000</v>
      </c>
      <c r="E2476" t="s">
        <v>1720</v>
      </c>
      <c r="F2476" t="s">
        <v>1721</v>
      </c>
      <c r="G2476" t="s">
        <v>4425</v>
      </c>
      <c r="H2476" t="s">
        <v>4314</v>
      </c>
    </row>
    <row r="2477" spans="1:8" x14ac:dyDescent="0.35">
      <c r="A2477" t="s">
        <v>629</v>
      </c>
      <c r="B2477" t="s">
        <v>1453</v>
      </c>
      <c r="C2477" t="s">
        <v>4313</v>
      </c>
      <c r="D2477">
        <v>7000</v>
      </c>
      <c r="E2477" t="s">
        <v>1720</v>
      </c>
      <c r="F2477" t="s">
        <v>1724</v>
      </c>
      <c r="G2477" t="s">
        <v>4425</v>
      </c>
      <c r="H2477" t="s">
        <v>4314</v>
      </c>
    </row>
    <row r="2478" spans="1:8" x14ac:dyDescent="0.35">
      <c r="A2478" t="s">
        <v>629</v>
      </c>
      <c r="B2478" t="s">
        <v>1453</v>
      </c>
      <c r="C2478" t="s">
        <v>4223</v>
      </c>
      <c r="D2478">
        <v>2560</v>
      </c>
      <c r="E2478" t="s">
        <v>1720</v>
      </c>
      <c r="F2478" t="s">
        <v>1721</v>
      </c>
      <c r="G2478" t="s">
        <v>4399</v>
      </c>
      <c r="H2478" t="s">
        <v>4224</v>
      </c>
    </row>
    <row r="2479" spans="1:8" x14ac:dyDescent="0.35">
      <c r="A2479" t="s">
        <v>629</v>
      </c>
      <c r="B2479" t="s">
        <v>1453</v>
      </c>
      <c r="C2479" t="s">
        <v>4223</v>
      </c>
      <c r="D2479">
        <v>10200</v>
      </c>
      <c r="E2479" t="s">
        <v>1720</v>
      </c>
      <c r="F2479" t="s">
        <v>1724</v>
      </c>
      <c r="G2479" t="s">
        <v>4399</v>
      </c>
      <c r="H2479" t="s">
        <v>4224</v>
      </c>
    </row>
    <row r="2480" spans="1:8" x14ac:dyDescent="0.35">
      <c r="A2480" t="s">
        <v>629</v>
      </c>
      <c r="B2480" t="s">
        <v>1453</v>
      </c>
      <c r="C2480" t="s">
        <v>4300</v>
      </c>
      <c r="D2480">
        <v>3400</v>
      </c>
      <c r="E2480" t="s">
        <v>1720</v>
      </c>
      <c r="F2480" t="s">
        <v>1724</v>
      </c>
      <c r="G2480" t="s">
        <v>4389</v>
      </c>
      <c r="H2480" t="s">
        <v>4301</v>
      </c>
    </row>
    <row r="2481" spans="1:8" x14ac:dyDescent="0.35">
      <c r="A2481" t="s">
        <v>629</v>
      </c>
      <c r="B2481" t="s">
        <v>1453</v>
      </c>
      <c r="C2481" t="s">
        <v>4323</v>
      </c>
      <c r="D2481">
        <v>26000</v>
      </c>
      <c r="E2481" t="s">
        <v>1720</v>
      </c>
      <c r="F2481" t="s">
        <v>1721</v>
      </c>
      <c r="G2481" t="s">
        <v>4446</v>
      </c>
      <c r="H2481" t="s">
        <v>4324</v>
      </c>
    </row>
    <row r="2482" spans="1:8" x14ac:dyDescent="0.35">
      <c r="A2482" t="s">
        <v>629</v>
      </c>
      <c r="B2482" t="s">
        <v>1453</v>
      </c>
      <c r="C2482" t="s">
        <v>4244</v>
      </c>
      <c r="D2482">
        <v>7000</v>
      </c>
      <c r="E2482" t="s">
        <v>1720</v>
      </c>
      <c r="F2482" t="s">
        <v>1724</v>
      </c>
      <c r="G2482" t="s">
        <v>4406</v>
      </c>
      <c r="H2482" t="s">
        <v>4245</v>
      </c>
    </row>
    <row r="2483" spans="1:8" x14ac:dyDescent="0.35">
      <c r="A2483" t="s">
        <v>629</v>
      </c>
      <c r="B2483" t="s">
        <v>1453</v>
      </c>
      <c r="C2483" t="s">
        <v>4244</v>
      </c>
      <c r="D2483">
        <v>1000</v>
      </c>
      <c r="E2483" t="s">
        <v>1720</v>
      </c>
      <c r="F2483" t="s">
        <v>1721</v>
      </c>
      <c r="G2483" t="s">
        <v>4406</v>
      </c>
      <c r="H2483" t="s">
        <v>4245</v>
      </c>
    </row>
    <row r="2484" spans="1:8" x14ac:dyDescent="0.35">
      <c r="A2484" t="s">
        <v>629</v>
      </c>
      <c r="B2484" t="s">
        <v>1453</v>
      </c>
      <c r="C2484" t="s">
        <v>4323</v>
      </c>
      <c r="D2484">
        <v>5100</v>
      </c>
      <c r="E2484" t="s">
        <v>1720</v>
      </c>
      <c r="F2484" t="s">
        <v>1724</v>
      </c>
      <c r="G2484" t="s">
        <v>4428</v>
      </c>
      <c r="H2484" t="s">
        <v>4324</v>
      </c>
    </row>
    <row r="2485" spans="1:8" x14ac:dyDescent="0.35">
      <c r="A2485" t="s">
        <v>629</v>
      </c>
      <c r="B2485" t="s">
        <v>1453</v>
      </c>
      <c r="C2485" t="s">
        <v>4323</v>
      </c>
      <c r="D2485">
        <v>730</v>
      </c>
      <c r="E2485" t="s">
        <v>1720</v>
      </c>
      <c r="F2485" t="s">
        <v>1721</v>
      </c>
      <c r="G2485" t="s">
        <v>4428</v>
      </c>
      <c r="H2485" t="s">
        <v>4324</v>
      </c>
    </row>
    <row r="2486" spans="1:8" x14ac:dyDescent="0.35">
      <c r="A2486" t="s">
        <v>629</v>
      </c>
      <c r="B2486" t="s">
        <v>1453</v>
      </c>
      <c r="C2486" t="s">
        <v>4323</v>
      </c>
      <c r="D2486">
        <v>7000</v>
      </c>
      <c r="E2486" t="s">
        <v>1720</v>
      </c>
      <c r="F2486" t="s">
        <v>1724</v>
      </c>
      <c r="G2486" t="s">
        <v>4429</v>
      </c>
      <c r="H2486" t="s">
        <v>4324</v>
      </c>
    </row>
    <row r="2487" spans="1:8" x14ac:dyDescent="0.35">
      <c r="A2487" t="s">
        <v>629</v>
      </c>
      <c r="B2487" t="s">
        <v>1453</v>
      </c>
      <c r="C2487" t="s">
        <v>4323</v>
      </c>
      <c r="D2487">
        <v>1000</v>
      </c>
      <c r="E2487" t="s">
        <v>1720</v>
      </c>
      <c r="F2487" t="s">
        <v>1721</v>
      </c>
      <c r="G2487" t="s">
        <v>4429</v>
      </c>
      <c r="H2487" t="s">
        <v>4324</v>
      </c>
    </row>
    <row r="2488" spans="1:8" x14ac:dyDescent="0.35">
      <c r="A2488" t="s">
        <v>629</v>
      </c>
      <c r="B2488" t="s">
        <v>1453</v>
      </c>
      <c r="C2488" t="s">
        <v>4323</v>
      </c>
      <c r="D2488">
        <v>7000</v>
      </c>
      <c r="E2488" t="s">
        <v>1720</v>
      </c>
      <c r="F2488" t="s">
        <v>1724</v>
      </c>
      <c r="G2488" t="s">
        <v>4430</v>
      </c>
      <c r="H2488" t="s">
        <v>4324</v>
      </c>
    </row>
    <row r="2489" spans="1:8" x14ac:dyDescent="0.35">
      <c r="A2489" t="s">
        <v>629</v>
      </c>
      <c r="B2489" t="s">
        <v>1453</v>
      </c>
      <c r="C2489" t="s">
        <v>4323</v>
      </c>
      <c r="D2489">
        <v>1000</v>
      </c>
      <c r="E2489" t="s">
        <v>1720</v>
      </c>
      <c r="F2489" t="s">
        <v>1721</v>
      </c>
      <c r="G2489" t="s">
        <v>4430</v>
      </c>
      <c r="H2489" t="s">
        <v>4324</v>
      </c>
    </row>
    <row r="2490" spans="1:8" x14ac:dyDescent="0.35">
      <c r="A2490" t="s">
        <v>629</v>
      </c>
      <c r="B2490" t="s">
        <v>1453</v>
      </c>
      <c r="C2490" t="s">
        <v>4323</v>
      </c>
      <c r="D2490">
        <v>180000</v>
      </c>
      <c r="E2490" t="s">
        <v>1720</v>
      </c>
      <c r="F2490" t="s">
        <v>1724</v>
      </c>
      <c r="G2490" t="s">
        <v>4446</v>
      </c>
      <c r="H2490" t="s">
        <v>4324</v>
      </c>
    </row>
    <row r="2491" spans="1:8" x14ac:dyDescent="0.35">
      <c r="A2491" t="s">
        <v>629</v>
      </c>
      <c r="B2491" t="s">
        <v>1453</v>
      </c>
      <c r="C2491" t="s">
        <v>4270</v>
      </c>
      <c r="D2491">
        <v>10.199999999999999</v>
      </c>
      <c r="E2491" t="s">
        <v>1720</v>
      </c>
      <c r="F2491" t="s">
        <v>1724</v>
      </c>
      <c r="G2491" t="s">
        <v>4411</v>
      </c>
      <c r="H2491" t="s">
        <v>4271</v>
      </c>
    </row>
    <row r="2492" spans="1:8" x14ac:dyDescent="0.35">
      <c r="A2492" t="s">
        <v>629</v>
      </c>
      <c r="B2492" t="s">
        <v>1453</v>
      </c>
      <c r="C2492" t="s">
        <v>4270</v>
      </c>
      <c r="D2492">
        <v>2.56</v>
      </c>
      <c r="E2492" t="s">
        <v>1720</v>
      </c>
      <c r="F2492" t="s">
        <v>1721</v>
      </c>
      <c r="G2492" t="s">
        <v>4411</v>
      </c>
      <c r="H2492" t="s">
        <v>4271</v>
      </c>
    </row>
    <row r="2493" spans="1:8" x14ac:dyDescent="0.35">
      <c r="A2493" t="s">
        <v>629</v>
      </c>
      <c r="B2493" t="s">
        <v>1453</v>
      </c>
      <c r="C2493" t="s">
        <v>4258</v>
      </c>
      <c r="D2493">
        <v>5100</v>
      </c>
      <c r="E2493" t="s">
        <v>1720</v>
      </c>
      <c r="F2493" t="s">
        <v>1724</v>
      </c>
      <c r="G2493" t="s">
        <v>4408</v>
      </c>
      <c r="H2493" t="s">
        <v>4259</v>
      </c>
    </row>
    <row r="2494" spans="1:8" x14ac:dyDescent="0.35">
      <c r="A2494" t="s">
        <v>629</v>
      </c>
      <c r="B2494" t="s">
        <v>1453</v>
      </c>
      <c r="C2494" t="s">
        <v>4258</v>
      </c>
      <c r="D2494">
        <v>730</v>
      </c>
      <c r="E2494" t="s">
        <v>1720</v>
      </c>
      <c r="F2494" t="s">
        <v>1721</v>
      </c>
      <c r="G2494" t="s">
        <v>4408</v>
      </c>
      <c r="H2494" t="s">
        <v>4259</v>
      </c>
    </row>
    <row r="2495" spans="1:8" x14ac:dyDescent="0.35">
      <c r="A2495" t="s">
        <v>633</v>
      </c>
      <c r="B2495" t="s">
        <v>1457</v>
      </c>
      <c r="C2495" t="s">
        <v>4187</v>
      </c>
      <c r="D2495">
        <v>763</v>
      </c>
      <c r="E2495" t="s">
        <v>1720</v>
      </c>
      <c r="F2495" t="s">
        <v>1721</v>
      </c>
      <c r="G2495" t="s">
        <v>4384</v>
      </c>
      <c r="H2495" t="s">
        <v>4188</v>
      </c>
    </row>
    <row r="2496" spans="1:8" x14ac:dyDescent="0.35">
      <c r="A2496" t="s">
        <v>633</v>
      </c>
      <c r="B2496" t="s">
        <v>1457</v>
      </c>
      <c r="C2496" t="s">
        <v>4187</v>
      </c>
      <c r="D2496">
        <v>1120</v>
      </c>
      <c r="E2496" t="s">
        <v>1720</v>
      </c>
      <c r="F2496" t="s">
        <v>1724</v>
      </c>
      <c r="G2496" t="s">
        <v>4384</v>
      </c>
      <c r="H2496" t="s">
        <v>4188</v>
      </c>
    </row>
    <row r="2497" spans="1:8" x14ac:dyDescent="0.35">
      <c r="A2497" t="s">
        <v>633</v>
      </c>
      <c r="B2497" t="s">
        <v>1457</v>
      </c>
      <c r="C2497" t="s">
        <v>4185</v>
      </c>
      <c r="D2497">
        <v>1.2</v>
      </c>
      <c r="E2497" t="s">
        <v>1720</v>
      </c>
      <c r="F2497" t="s">
        <v>1721</v>
      </c>
      <c r="G2497" t="s">
        <v>4383</v>
      </c>
      <c r="H2497" t="s">
        <v>4186</v>
      </c>
    </row>
    <row r="2498" spans="1:8" x14ac:dyDescent="0.35">
      <c r="A2498" t="s">
        <v>633</v>
      </c>
      <c r="B2498" t="s">
        <v>1457</v>
      </c>
      <c r="C2498" t="s">
        <v>4185</v>
      </c>
      <c r="D2498">
        <v>56</v>
      </c>
      <c r="E2498" t="s">
        <v>1720</v>
      </c>
      <c r="F2498" t="s">
        <v>1724</v>
      </c>
      <c r="G2498" t="s">
        <v>4383</v>
      </c>
      <c r="H2498" t="s">
        <v>4186</v>
      </c>
    </row>
    <row r="2499" spans="1:8" x14ac:dyDescent="0.35">
      <c r="A2499" t="s">
        <v>633</v>
      </c>
      <c r="B2499" t="s">
        <v>1457</v>
      </c>
      <c r="C2499" t="s">
        <v>4197</v>
      </c>
      <c r="D2499">
        <v>150</v>
      </c>
      <c r="E2499" t="s">
        <v>1720</v>
      </c>
      <c r="F2499" t="s">
        <v>1721</v>
      </c>
      <c r="G2499" t="s">
        <v>4388</v>
      </c>
      <c r="H2499" t="s">
        <v>4198</v>
      </c>
    </row>
    <row r="2500" spans="1:8" x14ac:dyDescent="0.35">
      <c r="A2500" t="s">
        <v>633</v>
      </c>
      <c r="B2500" t="s">
        <v>1457</v>
      </c>
      <c r="C2500" t="s">
        <v>4197</v>
      </c>
      <c r="D2500">
        <v>730</v>
      </c>
      <c r="E2500" t="s">
        <v>1720</v>
      </c>
      <c r="F2500" t="s">
        <v>1724</v>
      </c>
      <c r="G2500" t="s">
        <v>4388</v>
      </c>
      <c r="H2500" t="s">
        <v>4198</v>
      </c>
    </row>
    <row r="2501" spans="1:8" x14ac:dyDescent="0.35">
      <c r="A2501" t="s">
        <v>633</v>
      </c>
      <c r="B2501" t="s">
        <v>1457</v>
      </c>
      <c r="C2501" t="s">
        <v>4195</v>
      </c>
      <c r="D2501">
        <v>200</v>
      </c>
      <c r="E2501" t="s">
        <v>1720</v>
      </c>
      <c r="F2501" t="s">
        <v>1721</v>
      </c>
      <c r="G2501" t="s">
        <v>4387</v>
      </c>
      <c r="H2501" t="s">
        <v>4196</v>
      </c>
    </row>
    <row r="2502" spans="1:8" x14ac:dyDescent="0.35">
      <c r="A2502" t="s">
        <v>633</v>
      </c>
      <c r="B2502" t="s">
        <v>1457</v>
      </c>
      <c r="C2502" t="s">
        <v>4300</v>
      </c>
      <c r="D2502">
        <v>370</v>
      </c>
      <c r="E2502" t="s">
        <v>1720</v>
      </c>
      <c r="F2502" t="s">
        <v>1724</v>
      </c>
      <c r="G2502" t="s">
        <v>4389</v>
      </c>
      <c r="H2502" t="s">
        <v>4301</v>
      </c>
    </row>
    <row r="2503" spans="1:8" x14ac:dyDescent="0.35">
      <c r="A2503" t="s">
        <v>633</v>
      </c>
      <c r="B2503" t="s">
        <v>1457</v>
      </c>
      <c r="C2503" t="s">
        <v>4213</v>
      </c>
      <c r="D2503">
        <v>900</v>
      </c>
      <c r="E2503" t="s">
        <v>1720</v>
      </c>
      <c r="F2503" t="s">
        <v>1721</v>
      </c>
      <c r="G2503" t="s">
        <v>4393</v>
      </c>
      <c r="H2503" t="s">
        <v>4214</v>
      </c>
    </row>
    <row r="2504" spans="1:8" x14ac:dyDescent="0.35">
      <c r="A2504" t="s">
        <v>633</v>
      </c>
      <c r="B2504" t="s">
        <v>1457</v>
      </c>
      <c r="C2504" t="s">
        <v>4313</v>
      </c>
      <c r="D2504">
        <v>210</v>
      </c>
      <c r="E2504" t="s">
        <v>1720</v>
      </c>
      <c r="F2504" t="s">
        <v>1721</v>
      </c>
      <c r="G2504" t="s">
        <v>4423</v>
      </c>
      <c r="H2504" t="s">
        <v>4314</v>
      </c>
    </row>
    <row r="2505" spans="1:8" x14ac:dyDescent="0.35">
      <c r="A2505" t="s">
        <v>633</v>
      </c>
      <c r="B2505" t="s">
        <v>1457</v>
      </c>
      <c r="C2505" t="s">
        <v>4313</v>
      </c>
      <c r="D2505">
        <v>560</v>
      </c>
      <c r="E2505" t="s">
        <v>1720</v>
      </c>
      <c r="F2505" t="s">
        <v>1724</v>
      </c>
      <c r="G2505" t="s">
        <v>4423</v>
      </c>
      <c r="H2505" t="s">
        <v>4314</v>
      </c>
    </row>
    <row r="2506" spans="1:8" x14ac:dyDescent="0.35">
      <c r="A2506" t="s">
        <v>633</v>
      </c>
      <c r="B2506" t="s">
        <v>1457</v>
      </c>
      <c r="C2506" t="s">
        <v>4313</v>
      </c>
      <c r="D2506">
        <v>780</v>
      </c>
      <c r="E2506" t="s">
        <v>1720</v>
      </c>
      <c r="F2506" t="s">
        <v>1721</v>
      </c>
      <c r="G2506" t="s">
        <v>4424</v>
      </c>
      <c r="H2506" t="s">
        <v>4314</v>
      </c>
    </row>
    <row r="2507" spans="1:8" x14ac:dyDescent="0.35">
      <c r="A2507" t="s">
        <v>633</v>
      </c>
      <c r="B2507" t="s">
        <v>1457</v>
      </c>
      <c r="C2507" t="s">
        <v>4313</v>
      </c>
      <c r="D2507">
        <v>2000</v>
      </c>
      <c r="E2507" t="s">
        <v>1720</v>
      </c>
      <c r="F2507" t="s">
        <v>1724</v>
      </c>
      <c r="G2507" t="s">
        <v>4424</v>
      </c>
      <c r="H2507" t="s">
        <v>4314</v>
      </c>
    </row>
    <row r="2508" spans="1:8" x14ac:dyDescent="0.35">
      <c r="A2508" t="s">
        <v>633</v>
      </c>
      <c r="B2508" t="s">
        <v>1457</v>
      </c>
      <c r="C2508" t="s">
        <v>4313</v>
      </c>
      <c r="D2508">
        <v>6500</v>
      </c>
      <c r="E2508" t="s">
        <v>1720</v>
      </c>
      <c r="F2508" t="s">
        <v>1724</v>
      </c>
      <c r="G2508" t="s">
        <v>4444</v>
      </c>
      <c r="H2508" t="s">
        <v>4314</v>
      </c>
    </row>
    <row r="2509" spans="1:8" x14ac:dyDescent="0.35">
      <c r="A2509" t="s">
        <v>633</v>
      </c>
      <c r="B2509" t="s">
        <v>1457</v>
      </c>
      <c r="C2509" t="s">
        <v>4313</v>
      </c>
      <c r="D2509">
        <v>780</v>
      </c>
      <c r="E2509" t="s">
        <v>1720</v>
      </c>
      <c r="F2509" t="s">
        <v>1721</v>
      </c>
      <c r="G2509" t="s">
        <v>4425</v>
      </c>
      <c r="H2509" t="s">
        <v>4314</v>
      </c>
    </row>
    <row r="2510" spans="1:8" x14ac:dyDescent="0.35">
      <c r="A2510" t="s">
        <v>633</v>
      </c>
      <c r="B2510" t="s">
        <v>1457</v>
      </c>
      <c r="C2510" t="s">
        <v>4313</v>
      </c>
      <c r="D2510">
        <v>2000</v>
      </c>
      <c r="E2510" t="s">
        <v>1720</v>
      </c>
      <c r="F2510" t="s">
        <v>1724</v>
      </c>
      <c r="G2510" t="s">
        <v>4425</v>
      </c>
      <c r="H2510" t="s">
        <v>4314</v>
      </c>
    </row>
    <row r="2511" spans="1:8" x14ac:dyDescent="0.35">
      <c r="A2511" t="s">
        <v>633</v>
      </c>
      <c r="B2511" t="s">
        <v>1457</v>
      </c>
      <c r="C2511" t="s">
        <v>4244</v>
      </c>
      <c r="D2511">
        <v>2000</v>
      </c>
      <c r="E2511" t="s">
        <v>1720</v>
      </c>
      <c r="F2511" t="s">
        <v>1724</v>
      </c>
      <c r="G2511" t="s">
        <v>4406</v>
      </c>
      <c r="H2511" t="s">
        <v>4245</v>
      </c>
    </row>
    <row r="2512" spans="1:8" x14ac:dyDescent="0.35">
      <c r="A2512" t="s">
        <v>633</v>
      </c>
      <c r="B2512" t="s">
        <v>1457</v>
      </c>
      <c r="C2512" t="s">
        <v>4244</v>
      </c>
      <c r="D2512">
        <v>780</v>
      </c>
      <c r="E2512" t="s">
        <v>1720</v>
      </c>
      <c r="F2512" t="s">
        <v>1721</v>
      </c>
      <c r="G2512" t="s">
        <v>4406</v>
      </c>
      <c r="H2512" t="s">
        <v>4245</v>
      </c>
    </row>
    <row r="2513" spans="1:8" x14ac:dyDescent="0.35">
      <c r="A2513" t="s">
        <v>633</v>
      </c>
      <c r="B2513" t="s">
        <v>1457</v>
      </c>
      <c r="C2513" t="s">
        <v>4244</v>
      </c>
      <c r="D2513">
        <v>6500</v>
      </c>
      <c r="E2513" t="s">
        <v>1720</v>
      </c>
      <c r="F2513" t="s">
        <v>1724</v>
      </c>
      <c r="G2513" t="s">
        <v>4407</v>
      </c>
      <c r="H2513" t="s">
        <v>4245</v>
      </c>
    </row>
    <row r="2514" spans="1:8" x14ac:dyDescent="0.35">
      <c r="A2514" t="s">
        <v>633</v>
      </c>
      <c r="B2514" t="s">
        <v>1457</v>
      </c>
      <c r="C2514" t="s">
        <v>4244</v>
      </c>
      <c r="D2514">
        <v>2500</v>
      </c>
      <c r="E2514" t="s">
        <v>1720</v>
      </c>
      <c r="F2514" t="s">
        <v>1721</v>
      </c>
      <c r="G2514" t="s">
        <v>4407</v>
      </c>
      <c r="H2514" t="s">
        <v>4245</v>
      </c>
    </row>
    <row r="2515" spans="1:8" x14ac:dyDescent="0.35">
      <c r="A2515" t="s">
        <v>633</v>
      </c>
      <c r="B2515" t="s">
        <v>1457</v>
      </c>
      <c r="C2515" t="s">
        <v>4323</v>
      </c>
      <c r="D2515">
        <v>560</v>
      </c>
      <c r="E2515" t="s">
        <v>1720</v>
      </c>
      <c r="F2515" t="s">
        <v>1724</v>
      </c>
      <c r="G2515" t="s">
        <v>4428</v>
      </c>
      <c r="H2515" t="s">
        <v>4324</v>
      </c>
    </row>
    <row r="2516" spans="1:8" x14ac:dyDescent="0.35">
      <c r="A2516" t="s">
        <v>633</v>
      </c>
      <c r="B2516" t="s">
        <v>1457</v>
      </c>
      <c r="C2516" t="s">
        <v>4323</v>
      </c>
      <c r="D2516">
        <v>210</v>
      </c>
      <c r="E2516" t="s">
        <v>1720</v>
      </c>
      <c r="F2516" t="s">
        <v>1721</v>
      </c>
      <c r="G2516" t="s">
        <v>4428</v>
      </c>
      <c r="H2516" t="s">
        <v>4324</v>
      </c>
    </row>
    <row r="2517" spans="1:8" x14ac:dyDescent="0.35">
      <c r="A2517" t="s">
        <v>633</v>
      </c>
      <c r="B2517" t="s">
        <v>1457</v>
      </c>
      <c r="C2517" t="s">
        <v>4323</v>
      </c>
      <c r="D2517">
        <v>2000</v>
      </c>
      <c r="E2517" t="s">
        <v>1720</v>
      </c>
      <c r="F2517" t="s">
        <v>1724</v>
      </c>
      <c r="G2517" t="s">
        <v>4429</v>
      </c>
      <c r="H2517" t="s">
        <v>4324</v>
      </c>
    </row>
    <row r="2518" spans="1:8" x14ac:dyDescent="0.35">
      <c r="A2518" t="s">
        <v>633</v>
      </c>
      <c r="B2518" t="s">
        <v>1457</v>
      </c>
      <c r="C2518" t="s">
        <v>4323</v>
      </c>
      <c r="D2518">
        <v>780</v>
      </c>
      <c r="E2518" t="s">
        <v>1720</v>
      </c>
      <c r="F2518" t="s">
        <v>1721</v>
      </c>
      <c r="G2518" t="s">
        <v>4429</v>
      </c>
      <c r="H2518" t="s">
        <v>4324</v>
      </c>
    </row>
    <row r="2519" spans="1:8" x14ac:dyDescent="0.35">
      <c r="A2519" t="s">
        <v>633</v>
      </c>
      <c r="B2519" t="s">
        <v>1457</v>
      </c>
      <c r="C2519" t="s">
        <v>4323</v>
      </c>
      <c r="D2519">
        <v>2000</v>
      </c>
      <c r="E2519" t="s">
        <v>1720</v>
      </c>
      <c r="F2519" t="s">
        <v>1724</v>
      </c>
      <c r="G2519" t="s">
        <v>4430</v>
      </c>
      <c r="H2519" t="s">
        <v>4324</v>
      </c>
    </row>
    <row r="2520" spans="1:8" x14ac:dyDescent="0.35">
      <c r="A2520" t="s">
        <v>633</v>
      </c>
      <c r="B2520" t="s">
        <v>1457</v>
      </c>
      <c r="C2520" t="s">
        <v>4323</v>
      </c>
      <c r="D2520">
        <v>780</v>
      </c>
      <c r="E2520" t="s">
        <v>1720</v>
      </c>
      <c r="F2520" t="s">
        <v>1721</v>
      </c>
      <c r="G2520" t="s">
        <v>4430</v>
      </c>
      <c r="H2520" t="s">
        <v>4324</v>
      </c>
    </row>
    <row r="2521" spans="1:8" x14ac:dyDescent="0.35">
      <c r="A2521" t="s">
        <v>633</v>
      </c>
      <c r="B2521" t="s">
        <v>1457</v>
      </c>
      <c r="C2521" t="s">
        <v>4323</v>
      </c>
      <c r="D2521">
        <v>6500</v>
      </c>
      <c r="E2521" t="s">
        <v>1720</v>
      </c>
      <c r="F2521" t="s">
        <v>1724</v>
      </c>
      <c r="G2521" t="s">
        <v>4446</v>
      </c>
      <c r="H2521" t="s">
        <v>4324</v>
      </c>
    </row>
    <row r="2522" spans="1:8" x14ac:dyDescent="0.35">
      <c r="A2522" t="s">
        <v>633</v>
      </c>
      <c r="B2522" t="s">
        <v>1457</v>
      </c>
      <c r="C2522" t="s">
        <v>4323</v>
      </c>
      <c r="D2522">
        <v>2500</v>
      </c>
      <c r="E2522" t="s">
        <v>1720</v>
      </c>
      <c r="F2522" t="s">
        <v>1721</v>
      </c>
      <c r="G2522" t="s">
        <v>4446</v>
      </c>
      <c r="H2522" t="s">
        <v>4324</v>
      </c>
    </row>
    <row r="2523" spans="1:8" x14ac:dyDescent="0.35">
      <c r="A2523" t="s">
        <v>633</v>
      </c>
      <c r="B2523" t="s">
        <v>1457</v>
      </c>
      <c r="C2523" t="s">
        <v>4258</v>
      </c>
      <c r="D2523">
        <v>560</v>
      </c>
      <c r="E2523" t="s">
        <v>1720</v>
      </c>
      <c r="F2523" t="s">
        <v>1724</v>
      </c>
      <c r="G2523" t="s">
        <v>4408</v>
      </c>
      <c r="H2523" t="s">
        <v>4259</v>
      </c>
    </row>
    <row r="2524" spans="1:8" x14ac:dyDescent="0.35">
      <c r="A2524" t="s">
        <v>633</v>
      </c>
      <c r="B2524" t="s">
        <v>1457</v>
      </c>
      <c r="C2524" t="s">
        <v>4258</v>
      </c>
      <c r="D2524">
        <v>210</v>
      </c>
      <c r="E2524" t="s">
        <v>1720</v>
      </c>
      <c r="F2524" t="s">
        <v>1721</v>
      </c>
      <c r="G2524" t="s">
        <v>4408</v>
      </c>
      <c r="H2524" t="s">
        <v>4259</v>
      </c>
    </row>
    <row r="2525" spans="1:8" x14ac:dyDescent="0.35">
      <c r="A2525" t="s">
        <v>634</v>
      </c>
      <c r="B2525" t="s">
        <v>1458</v>
      </c>
      <c r="C2525" t="s">
        <v>4197</v>
      </c>
      <c r="D2525">
        <v>160</v>
      </c>
      <c r="E2525" t="s">
        <v>1720</v>
      </c>
      <c r="F2525" t="s">
        <v>1721</v>
      </c>
      <c r="G2525" t="s">
        <v>4388</v>
      </c>
      <c r="H2525" t="s">
        <v>4198</v>
      </c>
    </row>
    <row r="2526" spans="1:8" x14ac:dyDescent="0.35">
      <c r="A2526" t="s">
        <v>634</v>
      </c>
      <c r="B2526" t="s">
        <v>1458</v>
      </c>
      <c r="C2526" t="s">
        <v>4197</v>
      </c>
      <c r="D2526">
        <v>800</v>
      </c>
      <c r="E2526" t="s">
        <v>1720</v>
      </c>
      <c r="F2526" t="s">
        <v>1724</v>
      </c>
      <c r="G2526" t="s">
        <v>4388</v>
      </c>
      <c r="H2526" t="s">
        <v>4198</v>
      </c>
    </row>
    <row r="2527" spans="1:8" x14ac:dyDescent="0.35">
      <c r="A2527" t="s">
        <v>643</v>
      </c>
      <c r="B2527" t="s">
        <v>1467</v>
      </c>
      <c r="C2527" t="s">
        <v>4213</v>
      </c>
      <c r="D2527">
        <v>40</v>
      </c>
      <c r="E2527" t="s">
        <v>1720</v>
      </c>
      <c r="F2527" t="s">
        <v>1721</v>
      </c>
      <c r="G2527" t="s">
        <v>4393</v>
      </c>
      <c r="H2527" t="s">
        <v>4214</v>
      </c>
    </row>
    <row r="2528" spans="1:8" x14ac:dyDescent="0.35">
      <c r="A2528" t="s">
        <v>643</v>
      </c>
      <c r="B2528" t="s">
        <v>1467</v>
      </c>
      <c r="C2528" t="s">
        <v>4217</v>
      </c>
      <c r="D2528">
        <v>5.6000000000000001E-2</v>
      </c>
      <c r="E2528" t="s">
        <v>1720</v>
      </c>
      <c r="F2528" t="s">
        <v>1721</v>
      </c>
      <c r="G2528" t="s">
        <v>4396</v>
      </c>
      <c r="H2528" t="s">
        <v>4218</v>
      </c>
    </row>
    <row r="2529" spans="1:8" x14ac:dyDescent="0.35">
      <c r="A2529" t="s">
        <v>643</v>
      </c>
      <c r="B2529" t="s">
        <v>1467</v>
      </c>
      <c r="C2529" t="s">
        <v>4217</v>
      </c>
      <c r="D2529">
        <v>0.22</v>
      </c>
      <c r="E2529" t="s">
        <v>1720</v>
      </c>
      <c r="F2529" t="s">
        <v>1724</v>
      </c>
      <c r="G2529" t="s">
        <v>4396</v>
      </c>
      <c r="H2529" t="s">
        <v>4218</v>
      </c>
    </row>
    <row r="2530" spans="1:8" x14ac:dyDescent="0.35">
      <c r="A2530" t="s">
        <v>643</v>
      </c>
      <c r="B2530" t="s">
        <v>1467</v>
      </c>
      <c r="C2530" t="s">
        <v>4313</v>
      </c>
      <c r="D2530">
        <v>0.06</v>
      </c>
      <c r="E2530" t="s">
        <v>1720</v>
      </c>
      <c r="F2530" t="s">
        <v>1721</v>
      </c>
      <c r="G2530" t="s">
        <v>4423</v>
      </c>
      <c r="H2530" t="s">
        <v>4314</v>
      </c>
    </row>
    <row r="2531" spans="1:8" x14ac:dyDescent="0.35">
      <c r="A2531" t="s">
        <v>643</v>
      </c>
      <c r="B2531" t="s">
        <v>1467</v>
      </c>
      <c r="C2531" t="s">
        <v>4313</v>
      </c>
      <c r="D2531">
        <v>0.2</v>
      </c>
      <c r="E2531" t="s">
        <v>1720</v>
      </c>
      <c r="F2531" t="s">
        <v>1724</v>
      </c>
      <c r="G2531" t="s">
        <v>4423</v>
      </c>
      <c r="H2531" t="s">
        <v>4314</v>
      </c>
    </row>
    <row r="2532" spans="1:8" x14ac:dyDescent="0.35">
      <c r="A2532" t="s">
        <v>643</v>
      </c>
      <c r="B2532" t="s">
        <v>1467</v>
      </c>
      <c r="C2532" t="s">
        <v>4313</v>
      </c>
      <c r="D2532">
        <v>0.06</v>
      </c>
      <c r="E2532" t="s">
        <v>1720</v>
      </c>
      <c r="F2532" t="s">
        <v>1721</v>
      </c>
      <c r="G2532" t="s">
        <v>4424</v>
      </c>
      <c r="H2532" t="s">
        <v>4314</v>
      </c>
    </row>
    <row r="2533" spans="1:8" x14ac:dyDescent="0.35">
      <c r="A2533" t="s">
        <v>643</v>
      </c>
      <c r="B2533" t="s">
        <v>1467</v>
      </c>
      <c r="C2533" t="s">
        <v>4219</v>
      </c>
      <c r="D2533">
        <v>5.6000000000000001E-2</v>
      </c>
      <c r="E2533" t="s">
        <v>1720</v>
      </c>
      <c r="F2533" t="s">
        <v>1721</v>
      </c>
      <c r="G2533" t="s">
        <v>4380</v>
      </c>
      <c r="H2533" t="s">
        <v>4220</v>
      </c>
    </row>
    <row r="2534" spans="1:8" x14ac:dyDescent="0.35">
      <c r="A2534" t="s">
        <v>643</v>
      </c>
      <c r="B2534" t="s">
        <v>1467</v>
      </c>
      <c r="C2534" t="s">
        <v>4219</v>
      </c>
      <c r="D2534">
        <v>0.11</v>
      </c>
      <c r="E2534" t="s">
        <v>1720</v>
      </c>
      <c r="F2534" t="s">
        <v>1724</v>
      </c>
      <c r="G2534" t="s">
        <v>4380</v>
      </c>
      <c r="H2534" t="s">
        <v>4220</v>
      </c>
    </row>
    <row r="2535" spans="1:8" x14ac:dyDescent="0.35">
      <c r="A2535" t="s">
        <v>643</v>
      </c>
      <c r="B2535" t="s">
        <v>1467</v>
      </c>
      <c r="C2535" t="s">
        <v>4313</v>
      </c>
      <c r="D2535">
        <v>0.2</v>
      </c>
      <c r="E2535" t="s">
        <v>1720</v>
      </c>
      <c r="F2535" t="s">
        <v>1724</v>
      </c>
      <c r="G2535" t="s">
        <v>4424</v>
      </c>
      <c r="H2535" t="s">
        <v>4314</v>
      </c>
    </row>
    <row r="2536" spans="1:8" x14ac:dyDescent="0.35">
      <c r="A2536" t="s">
        <v>643</v>
      </c>
      <c r="B2536" t="s">
        <v>1467</v>
      </c>
      <c r="C2536" t="s">
        <v>4313</v>
      </c>
      <c r="D2536">
        <v>3</v>
      </c>
      <c r="E2536" t="s">
        <v>1720</v>
      </c>
      <c r="F2536" t="s">
        <v>1724</v>
      </c>
      <c r="G2536" t="s">
        <v>4444</v>
      </c>
      <c r="H2536" t="s">
        <v>4314</v>
      </c>
    </row>
    <row r="2537" spans="1:8" x14ac:dyDescent="0.35">
      <c r="A2537" t="s">
        <v>643</v>
      </c>
      <c r="B2537" t="s">
        <v>1467</v>
      </c>
      <c r="C2537" t="s">
        <v>4313</v>
      </c>
      <c r="D2537">
        <v>0.06</v>
      </c>
      <c r="E2537" t="s">
        <v>1720</v>
      </c>
      <c r="F2537" t="s">
        <v>1721</v>
      </c>
      <c r="G2537" t="s">
        <v>4425</v>
      </c>
      <c r="H2537" t="s">
        <v>4314</v>
      </c>
    </row>
    <row r="2538" spans="1:8" x14ac:dyDescent="0.35">
      <c r="A2538" t="s">
        <v>643</v>
      </c>
      <c r="B2538" t="s">
        <v>1467</v>
      </c>
      <c r="C2538" t="s">
        <v>4313</v>
      </c>
      <c r="D2538">
        <v>0.2</v>
      </c>
      <c r="E2538" t="s">
        <v>1720</v>
      </c>
      <c r="F2538" t="s">
        <v>1724</v>
      </c>
      <c r="G2538" t="s">
        <v>4425</v>
      </c>
      <c r="H2538" t="s">
        <v>4314</v>
      </c>
    </row>
    <row r="2539" spans="1:8" x14ac:dyDescent="0.35">
      <c r="A2539" t="s">
        <v>643</v>
      </c>
      <c r="B2539" t="s">
        <v>1467</v>
      </c>
      <c r="C2539" t="s">
        <v>4244</v>
      </c>
      <c r="D2539">
        <v>0.22</v>
      </c>
      <c r="E2539" t="s">
        <v>1720</v>
      </c>
      <c r="F2539" t="s">
        <v>1724</v>
      </c>
      <c r="G2539" t="s">
        <v>4406</v>
      </c>
      <c r="H2539" t="s">
        <v>4245</v>
      </c>
    </row>
    <row r="2540" spans="1:8" x14ac:dyDescent="0.35">
      <c r="A2540" t="s">
        <v>643</v>
      </c>
      <c r="B2540" t="s">
        <v>1467</v>
      </c>
      <c r="C2540" t="s">
        <v>4244</v>
      </c>
      <c r="D2540">
        <v>0.06</v>
      </c>
      <c r="E2540" t="s">
        <v>1720</v>
      </c>
      <c r="F2540" t="s">
        <v>1721</v>
      </c>
      <c r="G2540" t="s">
        <v>4406</v>
      </c>
      <c r="H2540" t="s">
        <v>4245</v>
      </c>
    </row>
    <row r="2541" spans="1:8" x14ac:dyDescent="0.35">
      <c r="A2541" t="s">
        <v>643</v>
      </c>
      <c r="B2541" t="s">
        <v>1467</v>
      </c>
      <c r="C2541" t="s">
        <v>4244</v>
      </c>
      <c r="D2541">
        <v>3</v>
      </c>
      <c r="E2541" t="s">
        <v>1720</v>
      </c>
      <c r="F2541" t="s">
        <v>1724</v>
      </c>
      <c r="G2541" t="s">
        <v>4407</v>
      </c>
      <c r="H2541" t="s">
        <v>4245</v>
      </c>
    </row>
    <row r="2542" spans="1:8" x14ac:dyDescent="0.35">
      <c r="A2542" t="s">
        <v>643</v>
      </c>
      <c r="B2542" t="s">
        <v>1467</v>
      </c>
      <c r="C2542" t="s">
        <v>4244</v>
      </c>
      <c r="D2542">
        <v>1.5</v>
      </c>
      <c r="E2542" t="s">
        <v>1720</v>
      </c>
      <c r="F2542" t="s">
        <v>1721</v>
      </c>
      <c r="G2542" t="s">
        <v>4407</v>
      </c>
      <c r="H2542" t="s">
        <v>4245</v>
      </c>
    </row>
    <row r="2543" spans="1:8" x14ac:dyDescent="0.35">
      <c r="A2543" t="s">
        <v>643</v>
      </c>
      <c r="B2543" t="s">
        <v>1467</v>
      </c>
      <c r="C2543" t="s">
        <v>4323</v>
      </c>
      <c r="D2543">
        <v>0.22</v>
      </c>
      <c r="E2543" t="s">
        <v>1720</v>
      </c>
      <c r="F2543" t="s">
        <v>1724</v>
      </c>
      <c r="G2543" t="s">
        <v>4428</v>
      </c>
      <c r="H2543" t="s">
        <v>4324</v>
      </c>
    </row>
    <row r="2544" spans="1:8" x14ac:dyDescent="0.35">
      <c r="A2544" t="s">
        <v>643</v>
      </c>
      <c r="B2544" t="s">
        <v>1467</v>
      </c>
      <c r="C2544" t="s">
        <v>4323</v>
      </c>
      <c r="D2544">
        <v>0.06</v>
      </c>
      <c r="E2544" t="s">
        <v>1720</v>
      </c>
      <c r="F2544" t="s">
        <v>1721</v>
      </c>
      <c r="G2544" t="s">
        <v>4428</v>
      </c>
      <c r="H2544" t="s">
        <v>4324</v>
      </c>
    </row>
    <row r="2545" spans="1:8" x14ac:dyDescent="0.35">
      <c r="A2545" t="s">
        <v>643</v>
      </c>
      <c r="B2545" t="s">
        <v>1467</v>
      </c>
      <c r="C2545" t="s">
        <v>4323</v>
      </c>
      <c r="D2545">
        <v>0.22</v>
      </c>
      <c r="E2545" t="s">
        <v>1720</v>
      </c>
      <c r="F2545" t="s">
        <v>1724</v>
      </c>
      <c r="G2545" t="s">
        <v>4429</v>
      </c>
      <c r="H2545" t="s">
        <v>4324</v>
      </c>
    </row>
    <row r="2546" spans="1:8" x14ac:dyDescent="0.35">
      <c r="A2546" t="s">
        <v>643</v>
      </c>
      <c r="B2546" t="s">
        <v>1467</v>
      </c>
      <c r="C2546" t="s">
        <v>4323</v>
      </c>
      <c r="D2546">
        <v>0.06</v>
      </c>
      <c r="E2546" t="s">
        <v>1720</v>
      </c>
      <c r="F2546" t="s">
        <v>1721</v>
      </c>
      <c r="G2546" t="s">
        <v>4429</v>
      </c>
      <c r="H2546" t="s">
        <v>4324</v>
      </c>
    </row>
    <row r="2547" spans="1:8" x14ac:dyDescent="0.35">
      <c r="A2547" t="s">
        <v>643</v>
      </c>
      <c r="B2547" t="s">
        <v>1467</v>
      </c>
      <c r="C2547" t="s">
        <v>4323</v>
      </c>
      <c r="D2547">
        <v>0.22</v>
      </c>
      <c r="E2547" t="s">
        <v>1720</v>
      </c>
      <c r="F2547" t="s">
        <v>1724</v>
      </c>
      <c r="G2547" t="s">
        <v>4430</v>
      </c>
      <c r="H2547" t="s">
        <v>4324</v>
      </c>
    </row>
    <row r="2548" spans="1:8" x14ac:dyDescent="0.35">
      <c r="A2548" t="s">
        <v>643</v>
      </c>
      <c r="B2548" t="s">
        <v>1467</v>
      </c>
      <c r="C2548" t="s">
        <v>4323</v>
      </c>
      <c r="D2548">
        <v>0.06</v>
      </c>
      <c r="E2548" t="s">
        <v>1720</v>
      </c>
      <c r="F2548" t="s">
        <v>1721</v>
      </c>
      <c r="G2548" t="s">
        <v>4430</v>
      </c>
      <c r="H2548" t="s">
        <v>4324</v>
      </c>
    </row>
    <row r="2549" spans="1:8" x14ac:dyDescent="0.35">
      <c r="A2549" t="s">
        <v>643</v>
      </c>
      <c r="B2549" t="s">
        <v>1467</v>
      </c>
      <c r="C2549" t="s">
        <v>4323</v>
      </c>
      <c r="D2549">
        <v>3</v>
      </c>
      <c r="E2549" t="s">
        <v>1720</v>
      </c>
      <c r="F2549" t="s">
        <v>1724</v>
      </c>
      <c r="G2549" t="s">
        <v>4446</v>
      </c>
      <c r="H2549" t="s">
        <v>4324</v>
      </c>
    </row>
    <row r="2550" spans="1:8" x14ac:dyDescent="0.35">
      <c r="A2550" t="s">
        <v>643</v>
      </c>
      <c r="B2550" t="s">
        <v>1467</v>
      </c>
      <c r="C2550" t="s">
        <v>4323</v>
      </c>
      <c r="D2550">
        <v>1.5</v>
      </c>
      <c r="E2550" t="s">
        <v>1720</v>
      </c>
      <c r="F2550" t="s">
        <v>1721</v>
      </c>
      <c r="G2550" t="s">
        <v>4446</v>
      </c>
      <c r="H2550" t="s">
        <v>4324</v>
      </c>
    </row>
    <row r="2551" spans="1:8" x14ac:dyDescent="0.35">
      <c r="A2551" t="s">
        <v>643</v>
      </c>
      <c r="B2551" t="s">
        <v>1467</v>
      </c>
      <c r="C2551" t="s">
        <v>4258</v>
      </c>
      <c r="D2551">
        <v>0.2</v>
      </c>
      <c r="E2551" t="s">
        <v>1720</v>
      </c>
      <c r="F2551" t="s">
        <v>1724</v>
      </c>
      <c r="G2551" t="s">
        <v>4408</v>
      </c>
      <c r="H2551" t="s">
        <v>4259</v>
      </c>
    </row>
    <row r="2552" spans="1:8" x14ac:dyDescent="0.35">
      <c r="A2552" t="s">
        <v>643</v>
      </c>
      <c r="B2552" t="s">
        <v>1467</v>
      </c>
      <c r="C2552" t="s">
        <v>4258</v>
      </c>
      <c r="D2552">
        <v>0.06</v>
      </c>
      <c r="E2552" t="s">
        <v>1720</v>
      </c>
      <c r="F2552" t="s">
        <v>1721</v>
      </c>
      <c r="G2552" t="s">
        <v>4408</v>
      </c>
      <c r="H2552" t="s">
        <v>4259</v>
      </c>
    </row>
    <row r="2553" spans="1:8" x14ac:dyDescent="0.35">
      <c r="A2553" t="s">
        <v>647</v>
      </c>
      <c r="B2553" t="s">
        <v>1471</v>
      </c>
      <c r="C2553" t="s">
        <v>4181</v>
      </c>
      <c r="D2553">
        <v>3.8E-3</v>
      </c>
      <c r="E2553" t="s">
        <v>1720</v>
      </c>
      <c r="F2553" t="s">
        <v>1721</v>
      </c>
      <c r="G2553" t="s">
        <v>4381</v>
      </c>
      <c r="H2553" t="s">
        <v>4182</v>
      </c>
    </row>
    <row r="2554" spans="1:8" x14ac:dyDescent="0.35">
      <c r="A2554" t="s">
        <v>647</v>
      </c>
      <c r="B2554" t="s">
        <v>1471</v>
      </c>
      <c r="C2554" t="s">
        <v>4181</v>
      </c>
      <c r="D2554">
        <v>0.26</v>
      </c>
      <c r="E2554" t="s">
        <v>1720</v>
      </c>
      <c r="F2554" t="s">
        <v>1724</v>
      </c>
      <c r="G2554" t="s">
        <v>4381</v>
      </c>
      <c r="H2554" t="s">
        <v>4182</v>
      </c>
    </row>
    <row r="2555" spans="1:8" x14ac:dyDescent="0.35">
      <c r="A2555" t="s">
        <v>647</v>
      </c>
      <c r="B2555" t="s">
        <v>1471</v>
      </c>
      <c r="C2555" t="s">
        <v>4179</v>
      </c>
      <c r="D2555">
        <v>3.8E-3</v>
      </c>
      <c r="E2555" t="s">
        <v>1720</v>
      </c>
      <c r="F2555" t="s">
        <v>1721</v>
      </c>
      <c r="G2555" t="s">
        <v>4380</v>
      </c>
      <c r="H2555" t="s">
        <v>4180</v>
      </c>
    </row>
    <row r="2556" spans="1:8" x14ac:dyDescent="0.35">
      <c r="A2556" t="s">
        <v>647</v>
      </c>
      <c r="B2556" t="s">
        <v>1471</v>
      </c>
      <c r="C2556" t="s">
        <v>4179</v>
      </c>
      <c r="D2556">
        <v>0.52</v>
      </c>
      <c r="E2556" t="s">
        <v>1720</v>
      </c>
      <c r="F2556" t="s">
        <v>1724</v>
      </c>
      <c r="G2556" t="s">
        <v>4380</v>
      </c>
      <c r="H2556" t="s">
        <v>4180</v>
      </c>
    </row>
    <row r="2557" spans="1:8" x14ac:dyDescent="0.35">
      <c r="A2557" t="s">
        <v>647</v>
      </c>
      <c r="B2557" t="s">
        <v>1471</v>
      </c>
      <c r="C2557" t="s">
        <v>4183</v>
      </c>
      <c r="D2557">
        <v>3.8E-3</v>
      </c>
      <c r="E2557" t="s">
        <v>1720</v>
      </c>
      <c r="F2557" t="s">
        <v>1721</v>
      </c>
      <c r="G2557" t="s">
        <v>4382</v>
      </c>
      <c r="H2557" t="s">
        <v>4184</v>
      </c>
    </row>
    <row r="2558" spans="1:8" x14ac:dyDescent="0.35">
      <c r="A2558" t="s">
        <v>647</v>
      </c>
      <c r="B2558" t="s">
        <v>1471</v>
      </c>
      <c r="C2558" t="s">
        <v>4183</v>
      </c>
      <c r="D2558">
        <v>0.52</v>
      </c>
      <c r="E2558" t="s">
        <v>1720</v>
      </c>
      <c r="F2558" t="s">
        <v>1724</v>
      </c>
      <c r="G2558" t="s">
        <v>4382</v>
      </c>
      <c r="H2558" t="s">
        <v>4184</v>
      </c>
    </row>
    <row r="2559" spans="1:8" x14ac:dyDescent="0.35">
      <c r="A2559" t="s">
        <v>647</v>
      </c>
      <c r="B2559" t="s">
        <v>1471</v>
      </c>
      <c r="C2559" t="s">
        <v>4187</v>
      </c>
      <c r="D2559">
        <v>3.8E-3</v>
      </c>
      <c r="E2559" t="s">
        <v>1720</v>
      </c>
      <c r="F2559" t="s">
        <v>1721</v>
      </c>
      <c r="G2559" t="s">
        <v>4384</v>
      </c>
      <c r="H2559" t="s">
        <v>4188</v>
      </c>
    </row>
    <row r="2560" spans="1:8" x14ac:dyDescent="0.35">
      <c r="A2560" t="s">
        <v>647</v>
      </c>
      <c r="B2560" t="s">
        <v>1471</v>
      </c>
      <c r="C2560" t="s">
        <v>4187</v>
      </c>
      <c r="D2560">
        <v>0.52</v>
      </c>
      <c r="E2560" t="s">
        <v>1720</v>
      </c>
      <c r="F2560" t="s">
        <v>1724</v>
      </c>
      <c r="G2560" t="s">
        <v>4384</v>
      </c>
      <c r="H2560" t="s">
        <v>4188</v>
      </c>
    </row>
    <row r="2561" spans="1:8" x14ac:dyDescent="0.35">
      <c r="A2561" t="s">
        <v>647</v>
      </c>
      <c r="B2561" t="s">
        <v>1471</v>
      </c>
      <c r="C2561" t="s">
        <v>4189</v>
      </c>
      <c r="D2561">
        <v>3.8E-3</v>
      </c>
      <c r="E2561" t="s">
        <v>1720</v>
      </c>
      <c r="F2561" t="s">
        <v>1721</v>
      </c>
      <c r="G2561" t="s">
        <v>4385</v>
      </c>
      <c r="H2561" t="s">
        <v>4190</v>
      </c>
    </row>
    <row r="2562" spans="1:8" x14ac:dyDescent="0.35">
      <c r="A2562" t="s">
        <v>647</v>
      </c>
      <c r="B2562" t="s">
        <v>1471</v>
      </c>
      <c r="C2562" t="s">
        <v>4189</v>
      </c>
      <c r="D2562">
        <v>0.52</v>
      </c>
      <c r="E2562" t="s">
        <v>1720</v>
      </c>
      <c r="F2562" t="s">
        <v>1724</v>
      </c>
      <c r="G2562" t="s">
        <v>4385</v>
      </c>
      <c r="H2562" t="s">
        <v>4190</v>
      </c>
    </row>
    <row r="2563" spans="1:8" x14ac:dyDescent="0.35">
      <c r="A2563" t="s">
        <v>647</v>
      </c>
      <c r="B2563" t="s">
        <v>1471</v>
      </c>
      <c r="C2563" t="s">
        <v>4185</v>
      </c>
      <c r="D2563">
        <v>3.8E-3</v>
      </c>
      <c r="E2563" t="s">
        <v>1720</v>
      </c>
      <c r="F2563" t="s">
        <v>1721</v>
      </c>
      <c r="G2563" t="s">
        <v>4383</v>
      </c>
      <c r="H2563" t="s">
        <v>4186</v>
      </c>
    </row>
    <row r="2564" spans="1:8" x14ac:dyDescent="0.35">
      <c r="A2564" t="s">
        <v>647</v>
      </c>
      <c r="B2564" t="s">
        <v>1471</v>
      </c>
      <c r="C2564" t="s">
        <v>4185</v>
      </c>
      <c r="D2564">
        <v>0.52</v>
      </c>
      <c r="E2564" t="s">
        <v>1720</v>
      </c>
      <c r="F2564" t="s">
        <v>1724</v>
      </c>
      <c r="G2564" t="s">
        <v>4383</v>
      </c>
      <c r="H2564" t="s">
        <v>4186</v>
      </c>
    </row>
    <row r="2565" spans="1:8" x14ac:dyDescent="0.35">
      <c r="A2565" t="s">
        <v>647</v>
      </c>
      <c r="B2565" t="s">
        <v>1471</v>
      </c>
      <c r="C2565" t="s">
        <v>4197</v>
      </c>
      <c r="D2565">
        <v>3.8E-3</v>
      </c>
      <c r="E2565" t="s">
        <v>1720</v>
      </c>
      <c r="F2565" t="s">
        <v>1721</v>
      </c>
      <c r="G2565" t="s">
        <v>4383</v>
      </c>
      <c r="H2565" t="s">
        <v>4198</v>
      </c>
    </row>
    <row r="2566" spans="1:8" x14ac:dyDescent="0.35">
      <c r="A2566" t="s">
        <v>647</v>
      </c>
      <c r="B2566" t="s">
        <v>1471</v>
      </c>
      <c r="C2566" t="s">
        <v>4197</v>
      </c>
      <c r="D2566">
        <v>0.5</v>
      </c>
      <c r="E2566" t="s">
        <v>1720</v>
      </c>
      <c r="F2566" t="s">
        <v>1724</v>
      </c>
      <c r="G2566" t="s">
        <v>4383</v>
      </c>
      <c r="H2566" t="s">
        <v>4198</v>
      </c>
    </row>
    <row r="2567" spans="1:8" x14ac:dyDescent="0.35">
      <c r="A2567" t="s">
        <v>647</v>
      </c>
      <c r="B2567" t="s">
        <v>1471</v>
      </c>
      <c r="C2567" t="s">
        <v>4307</v>
      </c>
      <c r="D2567">
        <v>3.8E-3</v>
      </c>
      <c r="E2567" t="s">
        <v>1720</v>
      </c>
      <c r="F2567" t="s">
        <v>1721</v>
      </c>
      <c r="G2567" t="s">
        <v>4432</v>
      </c>
      <c r="H2567" t="s">
        <v>4308</v>
      </c>
    </row>
    <row r="2568" spans="1:8" x14ac:dyDescent="0.35">
      <c r="A2568" t="s">
        <v>647</v>
      </c>
      <c r="B2568" t="s">
        <v>1471</v>
      </c>
      <c r="C2568" t="s">
        <v>4307</v>
      </c>
      <c r="D2568">
        <v>0.52</v>
      </c>
      <c r="E2568" t="s">
        <v>1720</v>
      </c>
      <c r="F2568" t="s">
        <v>1724</v>
      </c>
      <c r="G2568" t="s">
        <v>4432</v>
      </c>
      <c r="H2568" t="s">
        <v>4308</v>
      </c>
    </row>
    <row r="2569" spans="1:8" x14ac:dyDescent="0.35">
      <c r="A2569" t="s">
        <v>647</v>
      </c>
      <c r="B2569" t="s">
        <v>1471</v>
      </c>
      <c r="C2569" t="s">
        <v>4307</v>
      </c>
      <c r="D2569">
        <v>0.52</v>
      </c>
      <c r="E2569" t="s">
        <v>1720</v>
      </c>
      <c r="F2569" t="s">
        <v>1724</v>
      </c>
      <c r="G2569" t="s">
        <v>4431</v>
      </c>
      <c r="H2569" t="s">
        <v>4325</v>
      </c>
    </row>
    <row r="2570" spans="1:8" x14ac:dyDescent="0.35">
      <c r="A2570" t="s">
        <v>647</v>
      </c>
      <c r="B2570" t="s">
        <v>1471</v>
      </c>
      <c r="C2570" t="s">
        <v>4307</v>
      </c>
      <c r="D2570">
        <v>3.8E-3</v>
      </c>
      <c r="E2570" t="s">
        <v>1720</v>
      </c>
      <c r="F2570" t="s">
        <v>1721</v>
      </c>
      <c r="G2570" t="s">
        <v>4431</v>
      </c>
      <c r="H2570" t="s">
        <v>4325</v>
      </c>
    </row>
    <row r="2571" spans="1:8" x14ac:dyDescent="0.35">
      <c r="A2571" t="s">
        <v>647</v>
      </c>
      <c r="B2571" t="s">
        <v>1471</v>
      </c>
      <c r="C2571" t="s">
        <v>4191</v>
      </c>
      <c r="D2571">
        <v>3.8E-3</v>
      </c>
      <c r="E2571" t="s">
        <v>1720</v>
      </c>
      <c r="F2571" t="s">
        <v>1721</v>
      </c>
      <c r="G2571" t="s">
        <v>4383</v>
      </c>
      <c r="H2571" t="s">
        <v>4192</v>
      </c>
    </row>
    <row r="2572" spans="1:8" x14ac:dyDescent="0.35">
      <c r="A2572" t="s">
        <v>647</v>
      </c>
      <c r="B2572" t="s">
        <v>1471</v>
      </c>
      <c r="C2572" t="s">
        <v>4191</v>
      </c>
      <c r="D2572">
        <v>0.52</v>
      </c>
      <c r="E2572" t="s">
        <v>1720</v>
      </c>
      <c r="F2572" t="s">
        <v>1724</v>
      </c>
      <c r="G2572" t="s">
        <v>4383</v>
      </c>
      <c r="H2572" t="s">
        <v>4192</v>
      </c>
    </row>
    <row r="2573" spans="1:8" x14ac:dyDescent="0.35">
      <c r="A2573" t="s">
        <v>647</v>
      </c>
      <c r="B2573" t="s">
        <v>1471</v>
      </c>
      <c r="C2573" t="s">
        <v>4193</v>
      </c>
      <c r="D2573">
        <v>3.8E-3</v>
      </c>
      <c r="E2573" t="s">
        <v>1720</v>
      </c>
      <c r="F2573" t="s">
        <v>1721</v>
      </c>
      <c r="G2573" t="s">
        <v>4386</v>
      </c>
      <c r="H2573" t="s">
        <v>4194</v>
      </c>
    </row>
    <row r="2574" spans="1:8" x14ac:dyDescent="0.35">
      <c r="A2574" t="s">
        <v>647</v>
      </c>
      <c r="B2574" t="s">
        <v>1471</v>
      </c>
      <c r="C2574" t="s">
        <v>4193</v>
      </c>
      <c r="D2574">
        <v>0.52</v>
      </c>
      <c r="E2574" t="s">
        <v>1720</v>
      </c>
      <c r="F2574" t="s">
        <v>1724</v>
      </c>
      <c r="G2574" t="s">
        <v>4386</v>
      </c>
      <c r="H2574" t="s">
        <v>4194</v>
      </c>
    </row>
    <row r="2575" spans="1:8" x14ac:dyDescent="0.35">
      <c r="A2575" t="s">
        <v>647</v>
      </c>
      <c r="B2575" t="s">
        <v>1471</v>
      </c>
      <c r="C2575" t="s">
        <v>4197</v>
      </c>
      <c r="D2575">
        <v>3.8E-3</v>
      </c>
      <c r="E2575" t="s">
        <v>1720</v>
      </c>
      <c r="F2575" t="s">
        <v>1721</v>
      </c>
      <c r="G2575" t="s">
        <v>4433</v>
      </c>
      <c r="H2575" t="s">
        <v>4326</v>
      </c>
    </row>
    <row r="2576" spans="1:8" x14ac:dyDescent="0.35">
      <c r="A2576" t="s">
        <v>647</v>
      </c>
      <c r="B2576" t="s">
        <v>1471</v>
      </c>
      <c r="C2576" t="s">
        <v>4197</v>
      </c>
      <c r="D2576">
        <v>0.52</v>
      </c>
      <c r="E2576" t="s">
        <v>1720</v>
      </c>
      <c r="F2576" t="s">
        <v>1724</v>
      </c>
      <c r="G2576" t="s">
        <v>4433</v>
      </c>
      <c r="H2576" t="s">
        <v>4326</v>
      </c>
    </row>
    <row r="2577" spans="1:8" x14ac:dyDescent="0.35">
      <c r="A2577" t="s">
        <v>647</v>
      </c>
      <c r="B2577" t="s">
        <v>1471</v>
      </c>
      <c r="C2577" t="s">
        <v>4195</v>
      </c>
      <c r="D2577">
        <v>3.8E-3</v>
      </c>
      <c r="E2577" t="s">
        <v>1720</v>
      </c>
      <c r="F2577" t="s">
        <v>1721</v>
      </c>
      <c r="G2577" t="s">
        <v>4387</v>
      </c>
      <c r="H2577" t="s">
        <v>4196</v>
      </c>
    </row>
    <row r="2578" spans="1:8" x14ac:dyDescent="0.35">
      <c r="A2578" t="s">
        <v>647</v>
      </c>
      <c r="B2578" t="s">
        <v>1471</v>
      </c>
      <c r="C2578" t="s">
        <v>4195</v>
      </c>
      <c r="D2578">
        <v>0.52</v>
      </c>
      <c r="E2578" t="s">
        <v>1720</v>
      </c>
      <c r="F2578" t="s">
        <v>1724</v>
      </c>
      <c r="G2578" t="s">
        <v>4387</v>
      </c>
      <c r="H2578" t="s">
        <v>4196</v>
      </c>
    </row>
    <row r="2579" spans="1:8" x14ac:dyDescent="0.35">
      <c r="A2579" t="s">
        <v>647</v>
      </c>
      <c r="B2579" t="s">
        <v>1471</v>
      </c>
      <c r="C2579" t="s">
        <v>4199</v>
      </c>
      <c r="D2579">
        <v>3.8E-3</v>
      </c>
      <c r="E2579" t="s">
        <v>1720</v>
      </c>
      <c r="F2579" t="s">
        <v>1721</v>
      </c>
      <c r="G2579" t="s">
        <v>4388</v>
      </c>
      <c r="H2579" t="s">
        <v>4200</v>
      </c>
    </row>
    <row r="2580" spans="1:8" x14ac:dyDescent="0.35">
      <c r="A2580" t="s">
        <v>647</v>
      </c>
      <c r="B2580" t="s">
        <v>1471</v>
      </c>
      <c r="C2580" t="s">
        <v>4199</v>
      </c>
      <c r="D2580">
        <v>0.52</v>
      </c>
      <c r="E2580" t="s">
        <v>1720</v>
      </c>
      <c r="F2580" t="s">
        <v>1724</v>
      </c>
      <c r="G2580" t="s">
        <v>4388</v>
      </c>
      <c r="H2580" t="s">
        <v>4200</v>
      </c>
    </row>
    <row r="2581" spans="1:8" x14ac:dyDescent="0.35">
      <c r="A2581" t="s">
        <v>647</v>
      </c>
      <c r="B2581" t="s">
        <v>1471</v>
      </c>
      <c r="C2581" t="s">
        <v>4205</v>
      </c>
      <c r="D2581">
        <v>3.8E-3</v>
      </c>
      <c r="E2581" t="s">
        <v>1720</v>
      </c>
      <c r="F2581" t="s">
        <v>1721</v>
      </c>
      <c r="G2581" t="s">
        <v>4391</v>
      </c>
      <c r="H2581" t="s">
        <v>4206</v>
      </c>
    </row>
    <row r="2582" spans="1:8" x14ac:dyDescent="0.35">
      <c r="A2582" t="s">
        <v>647</v>
      </c>
      <c r="B2582" t="s">
        <v>1471</v>
      </c>
      <c r="C2582" t="s">
        <v>4205</v>
      </c>
      <c r="D2582">
        <v>0.52</v>
      </c>
      <c r="E2582" t="s">
        <v>1720</v>
      </c>
      <c r="F2582" t="s">
        <v>1724</v>
      </c>
      <c r="G2582" t="s">
        <v>4391</v>
      </c>
      <c r="H2582" t="s">
        <v>4206</v>
      </c>
    </row>
    <row r="2583" spans="1:8" x14ac:dyDescent="0.35">
      <c r="A2583" t="s">
        <v>647</v>
      </c>
      <c r="B2583" t="s">
        <v>1471</v>
      </c>
      <c r="C2583" t="s">
        <v>4207</v>
      </c>
      <c r="D2583">
        <v>3.8E-3</v>
      </c>
      <c r="E2583" t="s">
        <v>1720</v>
      </c>
      <c r="F2583" t="s">
        <v>1721</v>
      </c>
      <c r="G2583" t="s">
        <v>4383</v>
      </c>
      <c r="H2583" t="s">
        <v>4208</v>
      </c>
    </row>
    <row r="2584" spans="1:8" x14ac:dyDescent="0.35">
      <c r="A2584" t="s">
        <v>647</v>
      </c>
      <c r="B2584" t="s">
        <v>1471</v>
      </c>
      <c r="C2584" t="s">
        <v>4207</v>
      </c>
      <c r="D2584">
        <v>0.52</v>
      </c>
      <c r="E2584" t="s">
        <v>1720</v>
      </c>
      <c r="F2584" t="s">
        <v>1724</v>
      </c>
      <c r="G2584" t="s">
        <v>4383</v>
      </c>
      <c r="H2584" t="s">
        <v>4208</v>
      </c>
    </row>
    <row r="2585" spans="1:8" x14ac:dyDescent="0.35">
      <c r="A2585" t="s">
        <v>647</v>
      </c>
      <c r="B2585" t="s">
        <v>1471</v>
      </c>
      <c r="C2585" t="s">
        <v>4203</v>
      </c>
      <c r="D2585">
        <v>3.8E-3</v>
      </c>
      <c r="E2585" t="s">
        <v>1720</v>
      </c>
      <c r="F2585" t="s">
        <v>1721</v>
      </c>
      <c r="G2585" t="s">
        <v>4390</v>
      </c>
      <c r="H2585" t="s">
        <v>4204</v>
      </c>
    </row>
    <row r="2586" spans="1:8" x14ac:dyDescent="0.35">
      <c r="A2586" t="s">
        <v>647</v>
      </c>
      <c r="B2586" t="s">
        <v>1471</v>
      </c>
      <c r="C2586" t="s">
        <v>4203</v>
      </c>
      <c r="D2586">
        <v>0.52</v>
      </c>
      <c r="E2586" t="s">
        <v>1720</v>
      </c>
      <c r="F2586" t="s">
        <v>1724</v>
      </c>
      <c r="G2586" t="s">
        <v>4390</v>
      </c>
      <c r="H2586" t="s">
        <v>4204</v>
      </c>
    </row>
    <row r="2587" spans="1:8" x14ac:dyDescent="0.35">
      <c r="A2587" t="s">
        <v>647</v>
      </c>
      <c r="B2587" t="s">
        <v>1471</v>
      </c>
      <c r="C2587" t="s">
        <v>4309</v>
      </c>
      <c r="D2587">
        <v>0.52</v>
      </c>
      <c r="E2587" t="s">
        <v>1720</v>
      </c>
      <c r="F2587" t="s">
        <v>1724</v>
      </c>
      <c r="G2587" t="s">
        <v>4436</v>
      </c>
      <c r="H2587" t="s">
        <v>4329</v>
      </c>
    </row>
    <row r="2588" spans="1:8" x14ac:dyDescent="0.35">
      <c r="A2588" t="s">
        <v>647</v>
      </c>
      <c r="B2588" t="s">
        <v>1471</v>
      </c>
      <c r="C2588" t="s">
        <v>4309</v>
      </c>
      <c r="D2588">
        <v>3.8E-3</v>
      </c>
      <c r="E2588" t="s">
        <v>1720</v>
      </c>
      <c r="F2588" t="s">
        <v>1721</v>
      </c>
      <c r="G2588" t="s">
        <v>4436</v>
      </c>
      <c r="H2588" t="s">
        <v>4329</v>
      </c>
    </row>
    <row r="2589" spans="1:8" x14ac:dyDescent="0.35">
      <c r="A2589" t="s">
        <v>647</v>
      </c>
      <c r="B2589" t="s">
        <v>1471</v>
      </c>
      <c r="C2589" t="s">
        <v>4221</v>
      </c>
      <c r="D2589">
        <v>3.8E-3</v>
      </c>
      <c r="E2589" t="s">
        <v>1720</v>
      </c>
      <c r="F2589" t="s">
        <v>1721</v>
      </c>
      <c r="G2589" t="s">
        <v>4383</v>
      </c>
      <c r="H2589" t="s">
        <v>4222</v>
      </c>
    </row>
    <row r="2590" spans="1:8" x14ac:dyDescent="0.35">
      <c r="A2590" t="s">
        <v>647</v>
      </c>
      <c r="B2590" t="s">
        <v>1471</v>
      </c>
      <c r="C2590" t="s">
        <v>4221</v>
      </c>
      <c r="D2590">
        <v>0.26</v>
      </c>
      <c r="E2590" t="s">
        <v>1720</v>
      </c>
      <c r="F2590" t="s">
        <v>1724</v>
      </c>
      <c r="G2590" t="s">
        <v>4383</v>
      </c>
      <c r="H2590" t="s">
        <v>4222</v>
      </c>
    </row>
    <row r="2591" spans="1:8" x14ac:dyDescent="0.35">
      <c r="A2591" t="s">
        <v>647</v>
      </c>
      <c r="B2591" t="s">
        <v>1471</v>
      </c>
      <c r="C2591" t="s">
        <v>4213</v>
      </c>
      <c r="D2591">
        <v>3.2000000000000003E-4</v>
      </c>
      <c r="E2591" t="s">
        <v>1720</v>
      </c>
      <c r="F2591" t="s">
        <v>1721</v>
      </c>
      <c r="G2591" t="s">
        <v>4393</v>
      </c>
      <c r="H2591" t="s">
        <v>4214</v>
      </c>
    </row>
    <row r="2592" spans="1:8" x14ac:dyDescent="0.35">
      <c r="A2592" t="s">
        <v>647</v>
      </c>
      <c r="B2592" t="s">
        <v>1471</v>
      </c>
      <c r="C2592" t="s">
        <v>4213</v>
      </c>
      <c r="D2592">
        <v>0.52</v>
      </c>
      <c r="E2592" t="s">
        <v>1720</v>
      </c>
      <c r="F2592" t="s">
        <v>1724</v>
      </c>
      <c r="G2592" t="s">
        <v>4393</v>
      </c>
      <c r="H2592" t="s">
        <v>4214</v>
      </c>
    </row>
    <row r="2593" spans="1:8" x14ac:dyDescent="0.35">
      <c r="A2593" t="s">
        <v>647</v>
      </c>
      <c r="B2593" t="s">
        <v>1471</v>
      </c>
      <c r="C2593" t="s">
        <v>4209</v>
      </c>
      <c r="D2593">
        <v>3.8E-3</v>
      </c>
      <c r="E2593" t="s">
        <v>1720</v>
      </c>
      <c r="F2593" t="s">
        <v>1721</v>
      </c>
      <c r="G2593" t="s">
        <v>4383</v>
      </c>
      <c r="H2593" t="s">
        <v>4210</v>
      </c>
    </row>
    <row r="2594" spans="1:8" x14ac:dyDescent="0.35">
      <c r="A2594" t="s">
        <v>647</v>
      </c>
      <c r="B2594" t="s">
        <v>1471</v>
      </c>
      <c r="C2594" t="s">
        <v>4209</v>
      </c>
      <c r="D2594">
        <v>0.52</v>
      </c>
      <c r="E2594" t="s">
        <v>1720</v>
      </c>
      <c r="F2594" t="s">
        <v>1724</v>
      </c>
      <c r="G2594" t="s">
        <v>4383</v>
      </c>
      <c r="H2594" t="s">
        <v>4210</v>
      </c>
    </row>
    <row r="2595" spans="1:8" x14ac:dyDescent="0.35">
      <c r="A2595" t="s">
        <v>647</v>
      </c>
      <c r="B2595" t="s">
        <v>1471</v>
      </c>
      <c r="C2595" t="s">
        <v>4332</v>
      </c>
      <c r="D2595">
        <v>3.8E-3</v>
      </c>
      <c r="E2595" t="s">
        <v>1720</v>
      </c>
      <c r="F2595" t="s">
        <v>1721</v>
      </c>
      <c r="G2595" t="s">
        <v>4438</v>
      </c>
      <c r="H2595" t="s">
        <v>4333</v>
      </c>
    </row>
    <row r="2596" spans="1:8" x14ac:dyDescent="0.35">
      <c r="A2596" t="s">
        <v>647</v>
      </c>
      <c r="B2596" t="s">
        <v>1471</v>
      </c>
      <c r="C2596" t="s">
        <v>4332</v>
      </c>
      <c r="D2596">
        <v>0.52</v>
      </c>
      <c r="E2596" t="s">
        <v>1720</v>
      </c>
      <c r="F2596" t="s">
        <v>1724</v>
      </c>
      <c r="G2596" t="s">
        <v>4438</v>
      </c>
      <c r="H2596" t="s">
        <v>4333</v>
      </c>
    </row>
    <row r="2597" spans="1:8" x14ac:dyDescent="0.35">
      <c r="A2597" t="s">
        <v>647</v>
      </c>
      <c r="B2597" t="s">
        <v>1471</v>
      </c>
      <c r="C2597" t="s">
        <v>4332</v>
      </c>
      <c r="D2597">
        <v>3.8E-3</v>
      </c>
      <c r="E2597" t="s">
        <v>1720</v>
      </c>
      <c r="F2597" t="s">
        <v>1721</v>
      </c>
      <c r="G2597" t="s">
        <v>4439</v>
      </c>
      <c r="H2597" t="s">
        <v>4333</v>
      </c>
    </row>
    <row r="2598" spans="1:8" x14ac:dyDescent="0.35">
      <c r="A2598" t="s">
        <v>647</v>
      </c>
      <c r="B2598" t="s">
        <v>1471</v>
      </c>
      <c r="C2598" t="s">
        <v>4332</v>
      </c>
      <c r="D2598">
        <v>0.52</v>
      </c>
      <c r="E2598" t="s">
        <v>1720</v>
      </c>
      <c r="F2598" t="s">
        <v>1724</v>
      </c>
      <c r="G2598" t="s">
        <v>4439</v>
      </c>
      <c r="H2598" t="s">
        <v>4333</v>
      </c>
    </row>
    <row r="2599" spans="1:8" x14ac:dyDescent="0.35">
      <c r="A2599" t="s">
        <v>647</v>
      </c>
      <c r="B2599" t="s">
        <v>1471</v>
      </c>
      <c r="C2599" t="s">
        <v>4332</v>
      </c>
      <c r="D2599">
        <v>3.8E-3</v>
      </c>
      <c r="E2599" t="s">
        <v>1720</v>
      </c>
      <c r="F2599" t="s">
        <v>1721</v>
      </c>
      <c r="G2599" t="s">
        <v>4440</v>
      </c>
      <c r="H2599" t="s">
        <v>4333</v>
      </c>
    </row>
    <row r="2600" spans="1:8" x14ac:dyDescent="0.35">
      <c r="A2600" t="s">
        <v>647</v>
      </c>
      <c r="B2600" t="s">
        <v>1471</v>
      </c>
      <c r="C2600" t="s">
        <v>4332</v>
      </c>
      <c r="D2600">
        <v>0.52</v>
      </c>
      <c r="E2600" t="s">
        <v>1720</v>
      </c>
      <c r="F2600" t="s">
        <v>1724</v>
      </c>
      <c r="G2600" t="s">
        <v>4440</v>
      </c>
      <c r="H2600" t="s">
        <v>4333</v>
      </c>
    </row>
    <row r="2601" spans="1:8" x14ac:dyDescent="0.35">
      <c r="A2601" t="s">
        <v>647</v>
      </c>
      <c r="B2601" t="s">
        <v>1471</v>
      </c>
      <c r="C2601" t="s">
        <v>4332</v>
      </c>
      <c r="D2601">
        <v>3.8E-3</v>
      </c>
      <c r="E2601" t="s">
        <v>1720</v>
      </c>
      <c r="F2601" t="s">
        <v>1721</v>
      </c>
      <c r="G2601" t="s">
        <v>4441</v>
      </c>
      <c r="H2601" t="s">
        <v>4333</v>
      </c>
    </row>
    <row r="2602" spans="1:8" x14ac:dyDescent="0.35">
      <c r="A2602" t="s">
        <v>647</v>
      </c>
      <c r="B2602" t="s">
        <v>1471</v>
      </c>
      <c r="C2602" t="s">
        <v>4332</v>
      </c>
      <c r="D2602">
        <v>0.52</v>
      </c>
      <c r="E2602" t="s">
        <v>1720</v>
      </c>
      <c r="F2602" t="s">
        <v>1724</v>
      </c>
      <c r="G2602" t="s">
        <v>4441</v>
      </c>
      <c r="H2602" t="s">
        <v>4333</v>
      </c>
    </row>
    <row r="2603" spans="1:8" x14ac:dyDescent="0.35">
      <c r="A2603" t="s">
        <v>647</v>
      </c>
      <c r="B2603" t="s">
        <v>1471</v>
      </c>
      <c r="C2603" t="s">
        <v>4332</v>
      </c>
      <c r="D2603">
        <v>3.8E-3</v>
      </c>
      <c r="E2603" t="s">
        <v>1720</v>
      </c>
      <c r="F2603" t="s">
        <v>1721</v>
      </c>
      <c r="G2603" t="s">
        <v>4442</v>
      </c>
      <c r="H2603" t="s">
        <v>4333</v>
      </c>
    </row>
    <row r="2604" spans="1:8" x14ac:dyDescent="0.35">
      <c r="A2604" t="s">
        <v>647</v>
      </c>
      <c r="B2604" t="s">
        <v>1471</v>
      </c>
      <c r="C2604" t="s">
        <v>4332</v>
      </c>
      <c r="D2604">
        <v>0.52</v>
      </c>
      <c r="E2604" t="s">
        <v>1720</v>
      </c>
      <c r="F2604" t="s">
        <v>1724</v>
      </c>
      <c r="G2604" t="s">
        <v>4442</v>
      </c>
      <c r="H2604" t="s">
        <v>4333</v>
      </c>
    </row>
    <row r="2605" spans="1:8" x14ac:dyDescent="0.35">
      <c r="A2605" t="s">
        <v>647</v>
      </c>
      <c r="B2605" t="s">
        <v>1471</v>
      </c>
      <c r="C2605" t="s">
        <v>4211</v>
      </c>
      <c r="D2605">
        <v>3.8E-3</v>
      </c>
      <c r="E2605" t="s">
        <v>1720</v>
      </c>
      <c r="F2605" t="s">
        <v>1721</v>
      </c>
      <c r="G2605" t="s">
        <v>4392</v>
      </c>
      <c r="H2605" t="s">
        <v>4212</v>
      </c>
    </row>
    <row r="2606" spans="1:8" x14ac:dyDescent="0.35">
      <c r="A2606" t="s">
        <v>647</v>
      </c>
      <c r="B2606" t="s">
        <v>1471</v>
      </c>
      <c r="C2606" t="s">
        <v>4211</v>
      </c>
      <c r="D2606">
        <v>0.26</v>
      </c>
      <c r="E2606" t="s">
        <v>1720</v>
      </c>
      <c r="F2606" t="s">
        <v>1724</v>
      </c>
      <c r="G2606" t="s">
        <v>4392</v>
      </c>
      <c r="H2606" t="s">
        <v>4212</v>
      </c>
    </row>
    <row r="2607" spans="1:8" x14ac:dyDescent="0.35">
      <c r="A2607" t="s">
        <v>647</v>
      </c>
      <c r="B2607" t="s">
        <v>1471</v>
      </c>
      <c r="C2607" t="s">
        <v>4219</v>
      </c>
      <c r="D2607">
        <v>3.8E-3</v>
      </c>
      <c r="E2607" t="s">
        <v>1720</v>
      </c>
      <c r="F2607" t="s">
        <v>1721</v>
      </c>
      <c r="G2607" t="s">
        <v>4380</v>
      </c>
      <c r="H2607" t="s">
        <v>4220</v>
      </c>
    </row>
    <row r="2608" spans="1:8" x14ac:dyDescent="0.35">
      <c r="A2608" t="s">
        <v>647</v>
      </c>
      <c r="B2608" t="s">
        <v>1471</v>
      </c>
      <c r="C2608" t="s">
        <v>4219</v>
      </c>
      <c r="D2608">
        <v>0.52</v>
      </c>
      <c r="E2608" t="s">
        <v>1720</v>
      </c>
      <c r="F2608" t="s">
        <v>1724</v>
      </c>
      <c r="G2608" t="s">
        <v>4380</v>
      </c>
      <c r="H2608" t="s">
        <v>4220</v>
      </c>
    </row>
    <row r="2609" spans="1:8" x14ac:dyDescent="0.35">
      <c r="A2609" t="s">
        <v>647</v>
      </c>
      <c r="B2609" t="s">
        <v>1471</v>
      </c>
      <c r="C2609" t="s">
        <v>4302</v>
      </c>
      <c r="D2609">
        <v>3.8E-3</v>
      </c>
      <c r="E2609" t="s">
        <v>1720</v>
      </c>
      <c r="F2609" t="s">
        <v>1721</v>
      </c>
      <c r="G2609" t="s">
        <v>4420</v>
      </c>
      <c r="H2609" t="s">
        <v>4303</v>
      </c>
    </row>
    <row r="2610" spans="1:8" x14ac:dyDescent="0.35">
      <c r="A2610" t="s">
        <v>647</v>
      </c>
      <c r="B2610" t="s">
        <v>1471</v>
      </c>
      <c r="C2610" t="s">
        <v>4302</v>
      </c>
      <c r="D2610">
        <v>0.52</v>
      </c>
      <c r="E2610" t="s">
        <v>1720</v>
      </c>
      <c r="F2610" t="s">
        <v>1724</v>
      </c>
      <c r="G2610" t="s">
        <v>4420</v>
      </c>
      <c r="H2610" t="s">
        <v>4303</v>
      </c>
    </row>
    <row r="2611" spans="1:8" x14ac:dyDescent="0.35">
      <c r="A2611" t="s">
        <v>647</v>
      </c>
      <c r="B2611" t="s">
        <v>1471</v>
      </c>
      <c r="C2611" t="s">
        <v>4234</v>
      </c>
      <c r="D2611">
        <v>3.8E-3</v>
      </c>
      <c r="E2611" t="s">
        <v>1720</v>
      </c>
      <c r="G2611" t="s">
        <v>4383</v>
      </c>
      <c r="H2611" t="s">
        <v>4235</v>
      </c>
    </row>
    <row r="2612" spans="1:8" x14ac:dyDescent="0.35">
      <c r="A2612" t="s">
        <v>647</v>
      </c>
      <c r="B2612" t="s">
        <v>1471</v>
      </c>
      <c r="C2612" t="s">
        <v>4234</v>
      </c>
      <c r="D2612">
        <v>0.52</v>
      </c>
      <c r="E2612" t="s">
        <v>1720</v>
      </c>
      <c r="G2612" t="s">
        <v>4383</v>
      </c>
      <c r="H2612" t="s">
        <v>4235</v>
      </c>
    </row>
    <row r="2613" spans="1:8" x14ac:dyDescent="0.35">
      <c r="A2613" t="s">
        <v>647</v>
      </c>
      <c r="B2613" t="s">
        <v>1471</v>
      </c>
      <c r="C2613" t="s">
        <v>4215</v>
      </c>
      <c r="D2613">
        <v>3.8E-3</v>
      </c>
      <c r="E2613" t="s">
        <v>1720</v>
      </c>
      <c r="F2613" t="s">
        <v>1721</v>
      </c>
      <c r="G2613" t="s">
        <v>4394</v>
      </c>
      <c r="H2613" t="s">
        <v>4216</v>
      </c>
    </row>
    <row r="2614" spans="1:8" x14ac:dyDescent="0.35">
      <c r="A2614" t="s">
        <v>647</v>
      </c>
      <c r="B2614" t="s">
        <v>1471</v>
      </c>
      <c r="C2614" t="s">
        <v>4215</v>
      </c>
      <c r="D2614">
        <v>0.26</v>
      </c>
      <c r="E2614" t="s">
        <v>1720</v>
      </c>
      <c r="F2614" t="s">
        <v>1724</v>
      </c>
      <c r="G2614" t="s">
        <v>4394</v>
      </c>
      <c r="H2614" t="s">
        <v>4216</v>
      </c>
    </row>
    <row r="2615" spans="1:8" x14ac:dyDescent="0.35">
      <c r="A2615" t="s">
        <v>647</v>
      </c>
      <c r="B2615" t="s">
        <v>1471</v>
      </c>
      <c r="C2615" t="s">
        <v>4215</v>
      </c>
      <c r="D2615">
        <v>3.8E-3</v>
      </c>
      <c r="E2615" t="s">
        <v>1720</v>
      </c>
      <c r="F2615" t="s">
        <v>1721</v>
      </c>
      <c r="G2615" t="s">
        <v>4395</v>
      </c>
      <c r="H2615" t="s">
        <v>4216</v>
      </c>
    </row>
    <row r="2616" spans="1:8" x14ac:dyDescent="0.35">
      <c r="A2616" t="s">
        <v>647</v>
      </c>
      <c r="B2616" t="s">
        <v>1471</v>
      </c>
      <c r="C2616" t="s">
        <v>4215</v>
      </c>
      <c r="D2616">
        <v>0.26</v>
      </c>
      <c r="E2616" t="s">
        <v>1720</v>
      </c>
      <c r="F2616" t="s">
        <v>1724</v>
      </c>
      <c r="G2616" t="s">
        <v>4395</v>
      </c>
      <c r="H2616" t="s">
        <v>4216</v>
      </c>
    </row>
    <row r="2617" spans="1:8" x14ac:dyDescent="0.35">
      <c r="A2617" t="s">
        <v>647</v>
      </c>
      <c r="B2617" t="s">
        <v>1471</v>
      </c>
      <c r="C2617" t="s">
        <v>4215</v>
      </c>
      <c r="D2617">
        <v>3.8E-3</v>
      </c>
      <c r="E2617" t="s">
        <v>1720</v>
      </c>
      <c r="F2617" t="s">
        <v>1721</v>
      </c>
      <c r="G2617" t="s">
        <v>4397</v>
      </c>
      <c r="H2617" t="s">
        <v>4216</v>
      </c>
    </row>
    <row r="2618" spans="1:8" x14ac:dyDescent="0.35">
      <c r="A2618" t="s">
        <v>647</v>
      </c>
      <c r="B2618" t="s">
        <v>1471</v>
      </c>
      <c r="C2618" t="s">
        <v>4215</v>
      </c>
      <c r="D2618">
        <v>0.26</v>
      </c>
      <c r="E2618" t="s">
        <v>1720</v>
      </c>
      <c r="F2618" t="s">
        <v>1724</v>
      </c>
      <c r="G2618" t="s">
        <v>4397</v>
      </c>
      <c r="H2618" t="s">
        <v>4216</v>
      </c>
    </row>
    <row r="2619" spans="1:8" x14ac:dyDescent="0.35">
      <c r="A2619" t="s">
        <v>647</v>
      </c>
      <c r="B2619" t="s">
        <v>1471</v>
      </c>
      <c r="C2619" t="s">
        <v>4215</v>
      </c>
      <c r="D2619">
        <v>3.8E-3</v>
      </c>
      <c r="E2619" t="s">
        <v>1720</v>
      </c>
      <c r="F2619" t="s">
        <v>1721</v>
      </c>
      <c r="G2619" t="s">
        <v>4398</v>
      </c>
      <c r="H2619" t="s">
        <v>4216</v>
      </c>
    </row>
    <row r="2620" spans="1:8" x14ac:dyDescent="0.35">
      <c r="A2620" t="s">
        <v>647</v>
      </c>
      <c r="B2620" t="s">
        <v>1471</v>
      </c>
      <c r="C2620" t="s">
        <v>4215</v>
      </c>
      <c r="D2620">
        <v>0.26</v>
      </c>
      <c r="E2620" t="s">
        <v>1720</v>
      </c>
      <c r="F2620" t="s">
        <v>1724</v>
      </c>
      <c r="G2620" t="s">
        <v>4398</v>
      </c>
      <c r="H2620" t="s">
        <v>4216</v>
      </c>
    </row>
    <row r="2621" spans="1:8" x14ac:dyDescent="0.35">
      <c r="A2621" t="s">
        <v>647</v>
      </c>
      <c r="B2621" t="s">
        <v>1471</v>
      </c>
      <c r="C2621" t="s">
        <v>4313</v>
      </c>
      <c r="D2621">
        <v>4.0000000000000001E-3</v>
      </c>
      <c r="E2621" t="s">
        <v>1720</v>
      </c>
      <c r="F2621" t="s">
        <v>1721</v>
      </c>
      <c r="G2621" t="s">
        <v>4423</v>
      </c>
      <c r="H2621" t="s">
        <v>4314</v>
      </c>
    </row>
    <row r="2622" spans="1:8" x14ac:dyDescent="0.35">
      <c r="A2622" t="s">
        <v>647</v>
      </c>
      <c r="B2622" t="s">
        <v>1471</v>
      </c>
      <c r="C2622" t="s">
        <v>4313</v>
      </c>
      <c r="D2622">
        <v>0.5</v>
      </c>
      <c r="E2622" t="s">
        <v>1720</v>
      </c>
      <c r="F2622" t="s">
        <v>1724</v>
      </c>
      <c r="G2622" t="s">
        <v>4423</v>
      </c>
      <c r="H2622" t="s">
        <v>4314</v>
      </c>
    </row>
    <row r="2623" spans="1:8" x14ac:dyDescent="0.35">
      <c r="A2623" t="s">
        <v>647</v>
      </c>
      <c r="B2623" t="s">
        <v>1471</v>
      </c>
      <c r="C2623" t="s">
        <v>4313</v>
      </c>
      <c r="D2623">
        <v>0.01</v>
      </c>
      <c r="E2623" t="s">
        <v>1720</v>
      </c>
      <c r="F2623" t="s">
        <v>1721</v>
      </c>
      <c r="G2623" t="s">
        <v>4424</v>
      </c>
      <c r="H2623" t="s">
        <v>4314</v>
      </c>
    </row>
    <row r="2624" spans="1:8" x14ac:dyDescent="0.35">
      <c r="A2624" t="s">
        <v>647</v>
      </c>
      <c r="B2624" t="s">
        <v>1471</v>
      </c>
      <c r="C2624" t="s">
        <v>4313</v>
      </c>
      <c r="D2624">
        <v>0.6</v>
      </c>
      <c r="E2624" t="s">
        <v>1720</v>
      </c>
      <c r="F2624" t="s">
        <v>1724</v>
      </c>
      <c r="G2624" t="s">
        <v>4424</v>
      </c>
      <c r="H2624" t="s">
        <v>4314</v>
      </c>
    </row>
    <row r="2625" spans="1:8" x14ac:dyDescent="0.35">
      <c r="A2625" t="s">
        <v>647</v>
      </c>
      <c r="B2625" t="s">
        <v>1471</v>
      </c>
      <c r="C2625" t="s">
        <v>4313</v>
      </c>
      <c r="D2625">
        <v>0.9</v>
      </c>
      <c r="E2625" t="s">
        <v>1720</v>
      </c>
      <c r="F2625" t="s">
        <v>1724</v>
      </c>
      <c r="G2625" t="s">
        <v>4444</v>
      </c>
      <c r="H2625" t="s">
        <v>4314</v>
      </c>
    </row>
    <row r="2626" spans="1:8" x14ac:dyDescent="0.35">
      <c r="A2626" t="s">
        <v>647</v>
      </c>
      <c r="B2626" t="s">
        <v>1471</v>
      </c>
      <c r="C2626" t="s">
        <v>4313</v>
      </c>
      <c r="D2626">
        <v>4.0000000000000001E-3</v>
      </c>
      <c r="E2626" t="s">
        <v>1720</v>
      </c>
      <c r="F2626" t="s">
        <v>1721</v>
      </c>
      <c r="G2626" t="s">
        <v>4425</v>
      </c>
      <c r="H2626" t="s">
        <v>4314</v>
      </c>
    </row>
    <row r="2627" spans="1:8" x14ac:dyDescent="0.35">
      <c r="A2627" t="s">
        <v>647</v>
      </c>
      <c r="B2627" t="s">
        <v>1471</v>
      </c>
      <c r="C2627" t="s">
        <v>4313</v>
      </c>
      <c r="D2627">
        <v>0.5</v>
      </c>
      <c r="E2627" t="s">
        <v>1720</v>
      </c>
      <c r="F2627" t="s">
        <v>1724</v>
      </c>
      <c r="G2627" t="s">
        <v>4425</v>
      </c>
      <c r="H2627" t="s">
        <v>4314</v>
      </c>
    </row>
    <row r="2628" spans="1:8" x14ac:dyDescent="0.35">
      <c r="A2628" t="s">
        <v>647</v>
      </c>
      <c r="B2628" t="s">
        <v>1471</v>
      </c>
      <c r="C2628" t="s">
        <v>4223</v>
      </c>
      <c r="D2628">
        <v>3.8E-3</v>
      </c>
      <c r="E2628" t="s">
        <v>1720</v>
      </c>
      <c r="F2628" t="s">
        <v>1721</v>
      </c>
      <c r="G2628" t="s">
        <v>4399</v>
      </c>
      <c r="H2628" t="s">
        <v>4224</v>
      </c>
    </row>
    <row r="2629" spans="1:8" x14ac:dyDescent="0.35">
      <c r="A2629" t="s">
        <v>647</v>
      </c>
      <c r="B2629" t="s">
        <v>1471</v>
      </c>
      <c r="C2629" t="s">
        <v>4223</v>
      </c>
      <c r="D2629">
        <v>0.52</v>
      </c>
      <c r="E2629" t="s">
        <v>1720</v>
      </c>
      <c r="F2629" t="s">
        <v>1724</v>
      </c>
      <c r="G2629" t="s">
        <v>4399</v>
      </c>
      <c r="H2629" t="s">
        <v>4224</v>
      </c>
    </row>
    <row r="2630" spans="1:8" x14ac:dyDescent="0.35">
      <c r="A2630" t="s">
        <v>647</v>
      </c>
      <c r="B2630" t="s">
        <v>1471</v>
      </c>
      <c r="C2630" t="s">
        <v>4229</v>
      </c>
      <c r="D2630">
        <v>0.52</v>
      </c>
      <c r="E2630" t="s">
        <v>1720</v>
      </c>
      <c r="F2630" t="s">
        <v>1724</v>
      </c>
      <c r="G2630" t="s">
        <v>4399</v>
      </c>
      <c r="H2630" t="s">
        <v>1711</v>
      </c>
    </row>
    <row r="2631" spans="1:8" x14ac:dyDescent="0.35">
      <c r="A2631" t="s">
        <v>647</v>
      </c>
      <c r="B2631" t="s">
        <v>1471</v>
      </c>
      <c r="C2631" t="s">
        <v>4229</v>
      </c>
      <c r="D2631">
        <v>3.8E-3</v>
      </c>
      <c r="E2631" t="s">
        <v>1720</v>
      </c>
      <c r="F2631" t="s">
        <v>1721</v>
      </c>
      <c r="G2631" t="s">
        <v>4399</v>
      </c>
      <c r="H2631" t="s">
        <v>1711</v>
      </c>
    </row>
    <row r="2632" spans="1:8" x14ac:dyDescent="0.35">
      <c r="A2632" t="s">
        <v>647</v>
      </c>
      <c r="B2632" t="s">
        <v>1471</v>
      </c>
      <c r="C2632" t="s">
        <v>4238</v>
      </c>
      <c r="D2632">
        <v>3.8E-3</v>
      </c>
      <c r="E2632" t="s">
        <v>1720</v>
      </c>
      <c r="F2632" t="s">
        <v>1721</v>
      </c>
      <c r="G2632" t="s">
        <v>4404</v>
      </c>
      <c r="H2632" t="s">
        <v>4239</v>
      </c>
    </row>
    <row r="2633" spans="1:8" x14ac:dyDescent="0.35">
      <c r="A2633" t="s">
        <v>647</v>
      </c>
      <c r="B2633" t="s">
        <v>1471</v>
      </c>
      <c r="C2633" t="s">
        <v>4225</v>
      </c>
      <c r="D2633">
        <v>3.8E-3</v>
      </c>
      <c r="E2633" t="s">
        <v>1720</v>
      </c>
      <c r="F2633" t="s">
        <v>1721</v>
      </c>
      <c r="G2633" t="s">
        <v>4400</v>
      </c>
      <c r="H2633" t="s">
        <v>4226</v>
      </c>
    </row>
    <row r="2634" spans="1:8" x14ac:dyDescent="0.35">
      <c r="A2634" t="s">
        <v>647</v>
      </c>
      <c r="B2634" t="s">
        <v>1471</v>
      </c>
      <c r="C2634" t="s">
        <v>4225</v>
      </c>
      <c r="D2634">
        <v>0.52</v>
      </c>
      <c r="E2634" t="s">
        <v>1720</v>
      </c>
      <c r="F2634" t="s">
        <v>1724</v>
      </c>
      <c r="G2634" t="s">
        <v>4400</v>
      </c>
      <c r="H2634" t="s">
        <v>4226</v>
      </c>
    </row>
    <row r="2635" spans="1:8" x14ac:dyDescent="0.35">
      <c r="A2635" t="s">
        <v>647</v>
      </c>
      <c r="B2635" t="s">
        <v>1471</v>
      </c>
      <c r="C2635" t="s">
        <v>4227</v>
      </c>
      <c r="D2635">
        <v>3.8E-3</v>
      </c>
      <c r="E2635" t="s">
        <v>1720</v>
      </c>
      <c r="F2635" t="s">
        <v>1721</v>
      </c>
      <c r="G2635" t="s">
        <v>4401</v>
      </c>
      <c r="H2635" t="s">
        <v>4228</v>
      </c>
    </row>
    <row r="2636" spans="1:8" x14ac:dyDescent="0.35">
      <c r="A2636" t="s">
        <v>647</v>
      </c>
      <c r="B2636" t="s">
        <v>1471</v>
      </c>
      <c r="C2636" t="s">
        <v>4227</v>
      </c>
      <c r="D2636">
        <v>0.52</v>
      </c>
      <c r="E2636" t="s">
        <v>1720</v>
      </c>
      <c r="F2636" t="s">
        <v>1724</v>
      </c>
      <c r="G2636" t="s">
        <v>4401</v>
      </c>
      <c r="H2636" t="s">
        <v>4228</v>
      </c>
    </row>
    <row r="2637" spans="1:8" x14ac:dyDescent="0.35">
      <c r="A2637" t="s">
        <v>647</v>
      </c>
      <c r="B2637" t="s">
        <v>1471</v>
      </c>
      <c r="C2637" t="s">
        <v>4232</v>
      </c>
      <c r="D2637">
        <v>0.26</v>
      </c>
      <c r="E2637" t="s">
        <v>1720</v>
      </c>
      <c r="F2637" t="s">
        <v>1724</v>
      </c>
      <c r="G2637" t="s">
        <v>4402</v>
      </c>
      <c r="H2637" t="s">
        <v>4233</v>
      </c>
    </row>
    <row r="2638" spans="1:8" x14ac:dyDescent="0.35">
      <c r="A2638" t="s">
        <v>647</v>
      </c>
      <c r="B2638" t="s">
        <v>1471</v>
      </c>
      <c r="C2638" t="s">
        <v>4232</v>
      </c>
      <c r="D2638">
        <v>3.8E-3</v>
      </c>
      <c r="E2638" t="s">
        <v>1720</v>
      </c>
      <c r="F2638" t="s">
        <v>1721</v>
      </c>
      <c r="G2638" t="s">
        <v>4402</v>
      </c>
      <c r="H2638" t="s">
        <v>4233</v>
      </c>
    </row>
    <row r="2639" spans="1:8" x14ac:dyDescent="0.35">
      <c r="A2639" t="s">
        <v>647</v>
      </c>
      <c r="B2639" t="s">
        <v>1471</v>
      </c>
      <c r="C2639" t="s">
        <v>4236</v>
      </c>
      <c r="D2639">
        <v>0.52</v>
      </c>
      <c r="E2639" t="s">
        <v>1720</v>
      </c>
      <c r="F2639" t="s">
        <v>1724</v>
      </c>
      <c r="G2639" t="s">
        <v>4403</v>
      </c>
      <c r="H2639" t="s">
        <v>4237</v>
      </c>
    </row>
    <row r="2640" spans="1:8" x14ac:dyDescent="0.35">
      <c r="A2640" t="s">
        <v>647</v>
      </c>
      <c r="B2640" t="s">
        <v>1471</v>
      </c>
      <c r="C2640" t="s">
        <v>4230</v>
      </c>
      <c r="D2640">
        <v>0.52</v>
      </c>
      <c r="E2640" t="s">
        <v>1720</v>
      </c>
      <c r="F2640" t="s">
        <v>1724</v>
      </c>
      <c r="G2640" t="s">
        <v>4396</v>
      </c>
      <c r="H2640" t="s">
        <v>4231</v>
      </c>
    </row>
    <row r="2641" spans="1:8" x14ac:dyDescent="0.35">
      <c r="A2641" t="s">
        <v>647</v>
      </c>
      <c r="B2641" t="s">
        <v>1471</v>
      </c>
      <c r="C2641" t="s">
        <v>4230</v>
      </c>
      <c r="D2641">
        <v>3.8E-3</v>
      </c>
      <c r="E2641" t="s">
        <v>1720</v>
      </c>
      <c r="F2641" t="s">
        <v>1721</v>
      </c>
      <c r="G2641" t="s">
        <v>4396</v>
      </c>
      <c r="H2641" t="s">
        <v>4231</v>
      </c>
    </row>
    <row r="2642" spans="1:8" x14ac:dyDescent="0.35">
      <c r="A2642" t="s">
        <v>647</v>
      </c>
      <c r="B2642" t="s">
        <v>1471</v>
      </c>
      <c r="C2642" t="s">
        <v>4236</v>
      </c>
      <c r="D2642">
        <v>3.8E-3</v>
      </c>
      <c r="E2642" t="s">
        <v>1720</v>
      </c>
      <c r="F2642" t="s">
        <v>1721</v>
      </c>
      <c r="G2642" t="s">
        <v>4403</v>
      </c>
      <c r="H2642" t="s">
        <v>4237</v>
      </c>
    </row>
    <row r="2643" spans="1:8" x14ac:dyDescent="0.35">
      <c r="A2643" t="s">
        <v>647</v>
      </c>
      <c r="B2643" t="s">
        <v>1471</v>
      </c>
      <c r="C2643" t="s">
        <v>4238</v>
      </c>
      <c r="D2643">
        <v>0.52</v>
      </c>
      <c r="E2643" t="s">
        <v>1720</v>
      </c>
      <c r="F2643" t="s">
        <v>1724</v>
      </c>
      <c r="G2643" t="s">
        <v>4404</v>
      </c>
      <c r="H2643" t="s">
        <v>4239</v>
      </c>
    </row>
    <row r="2644" spans="1:8" x14ac:dyDescent="0.35">
      <c r="A2644" t="s">
        <v>647</v>
      </c>
      <c r="B2644" t="s">
        <v>1471</v>
      </c>
      <c r="C2644" t="s">
        <v>4240</v>
      </c>
      <c r="D2644">
        <v>5.1999999999999998E-2</v>
      </c>
      <c r="E2644" t="s">
        <v>1720</v>
      </c>
      <c r="F2644" t="s">
        <v>1724</v>
      </c>
      <c r="G2644" t="s">
        <v>4402</v>
      </c>
      <c r="H2644" t="s">
        <v>4241</v>
      </c>
    </row>
    <row r="2645" spans="1:8" x14ac:dyDescent="0.35">
      <c r="A2645" t="s">
        <v>647</v>
      </c>
      <c r="B2645" t="s">
        <v>1471</v>
      </c>
      <c r="C2645" t="s">
        <v>4240</v>
      </c>
      <c r="D2645">
        <v>3.8E-3</v>
      </c>
      <c r="E2645" t="s">
        <v>1720</v>
      </c>
      <c r="F2645" t="s">
        <v>1721</v>
      </c>
      <c r="G2645" t="s">
        <v>4402</v>
      </c>
      <c r="H2645" t="s">
        <v>4241</v>
      </c>
    </row>
    <row r="2646" spans="1:8" x14ac:dyDescent="0.35">
      <c r="A2646" t="s">
        <v>647</v>
      </c>
      <c r="B2646" t="s">
        <v>1471</v>
      </c>
      <c r="C2646" t="s">
        <v>4242</v>
      </c>
      <c r="D2646">
        <v>0.52</v>
      </c>
      <c r="E2646" t="s">
        <v>1720</v>
      </c>
      <c r="F2646" t="s">
        <v>1724</v>
      </c>
      <c r="G2646" t="s">
        <v>4405</v>
      </c>
      <c r="H2646" t="s">
        <v>4243</v>
      </c>
    </row>
    <row r="2647" spans="1:8" x14ac:dyDescent="0.35">
      <c r="A2647" t="s">
        <v>647</v>
      </c>
      <c r="B2647" t="s">
        <v>1471</v>
      </c>
      <c r="C2647" t="s">
        <v>4242</v>
      </c>
      <c r="D2647">
        <v>3.8E-3</v>
      </c>
      <c r="E2647" t="s">
        <v>1720</v>
      </c>
      <c r="F2647" t="s">
        <v>1721</v>
      </c>
      <c r="G2647" t="s">
        <v>4405</v>
      </c>
      <c r="H2647" t="s">
        <v>4243</v>
      </c>
    </row>
    <row r="2648" spans="1:8" x14ac:dyDescent="0.35">
      <c r="A2648" t="s">
        <v>647</v>
      </c>
      <c r="B2648" t="s">
        <v>1471</v>
      </c>
      <c r="C2648" t="s">
        <v>4244</v>
      </c>
      <c r="D2648">
        <v>0.52</v>
      </c>
      <c r="E2648" t="s">
        <v>1720</v>
      </c>
      <c r="F2648" t="s">
        <v>1724</v>
      </c>
      <c r="G2648" t="s">
        <v>4406</v>
      </c>
      <c r="H2648" t="s">
        <v>4245</v>
      </c>
    </row>
    <row r="2649" spans="1:8" x14ac:dyDescent="0.35">
      <c r="A2649" t="s">
        <v>647</v>
      </c>
      <c r="B2649" t="s">
        <v>1471</v>
      </c>
      <c r="C2649" t="s">
        <v>4244</v>
      </c>
      <c r="D2649">
        <v>3.8E-3</v>
      </c>
      <c r="E2649" t="s">
        <v>1720</v>
      </c>
      <c r="F2649" t="s">
        <v>1721</v>
      </c>
      <c r="G2649" t="s">
        <v>4406</v>
      </c>
      <c r="H2649" t="s">
        <v>4245</v>
      </c>
    </row>
    <row r="2650" spans="1:8" x14ac:dyDescent="0.35">
      <c r="A2650" t="s">
        <v>647</v>
      </c>
      <c r="B2650" t="s">
        <v>1471</v>
      </c>
      <c r="C2650" t="s">
        <v>4244</v>
      </c>
      <c r="D2650">
        <v>0.9</v>
      </c>
      <c r="E2650" t="s">
        <v>1720</v>
      </c>
      <c r="F2650" t="s">
        <v>1724</v>
      </c>
      <c r="G2650" t="s">
        <v>4407</v>
      </c>
      <c r="H2650" t="s">
        <v>4245</v>
      </c>
    </row>
    <row r="2651" spans="1:8" x14ac:dyDescent="0.35">
      <c r="A2651" t="s">
        <v>647</v>
      </c>
      <c r="B2651" t="s">
        <v>1471</v>
      </c>
      <c r="C2651" t="s">
        <v>4244</v>
      </c>
      <c r="D2651">
        <v>0.1</v>
      </c>
      <c r="E2651" t="s">
        <v>1720</v>
      </c>
      <c r="F2651" t="s">
        <v>1721</v>
      </c>
      <c r="G2651" t="s">
        <v>4407</v>
      </c>
      <c r="H2651" t="s">
        <v>4245</v>
      </c>
    </row>
    <row r="2652" spans="1:8" x14ac:dyDescent="0.35">
      <c r="A2652" t="s">
        <v>647</v>
      </c>
      <c r="B2652" t="s">
        <v>1471</v>
      </c>
      <c r="C2652" t="s">
        <v>4246</v>
      </c>
      <c r="D2652">
        <v>3.8E-3</v>
      </c>
      <c r="E2652" t="s">
        <v>1720</v>
      </c>
      <c r="F2652" t="s">
        <v>1721</v>
      </c>
      <c r="G2652" t="s">
        <v>4402</v>
      </c>
      <c r="H2652" t="s">
        <v>4247</v>
      </c>
    </row>
    <row r="2653" spans="1:8" x14ac:dyDescent="0.35">
      <c r="A2653" t="s">
        <v>647</v>
      </c>
      <c r="B2653" t="s">
        <v>1471</v>
      </c>
      <c r="C2653" t="s">
        <v>4246</v>
      </c>
      <c r="D2653">
        <v>0.52</v>
      </c>
      <c r="E2653" t="s">
        <v>1720</v>
      </c>
      <c r="F2653" t="s">
        <v>1724</v>
      </c>
      <c r="G2653" t="s">
        <v>4402</v>
      </c>
      <c r="H2653" t="s">
        <v>4247</v>
      </c>
    </row>
    <row r="2654" spans="1:8" x14ac:dyDescent="0.35">
      <c r="A2654" t="s">
        <v>647</v>
      </c>
      <c r="B2654" t="s">
        <v>1471</v>
      </c>
      <c r="C2654" t="s">
        <v>4248</v>
      </c>
      <c r="D2654">
        <v>0.26</v>
      </c>
      <c r="E2654" t="s">
        <v>1720</v>
      </c>
      <c r="F2654" t="s">
        <v>1724</v>
      </c>
      <c r="G2654" t="s">
        <v>4402</v>
      </c>
      <c r="H2654" t="s">
        <v>4249</v>
      </c>
    </row>
    <row r="2655" spans="1:8" x14ac:dyDescent="0.35">
      <c r="A2655" t="s">
        <v>647</v>
      </c>
      <c r="B2655" t="s">
        <v>1471</v>
      </c>
      <c r="C2655" t="s">
        <v>4248</v>
      </c>
      <c r="D2655">
        <v>3.8E-3</v>
      </c>
      <c r="E2655" t="s">
        <v>1720</v>
      </c>
      <c r="F2655" t="s">
        <v>1721</v>
      </c>
      <c r="G2655" t="s">
        <v>4402</v>
      </c>
      <c r="H2655" t="s">
        <v>4249</v>
      </c>
    </row>
    <row r="2656" spans="1:8" x14ac:dyDescent="0.35">
      <c r="A2656" t="s">
        <v>647</v>
      </c>
      <c r="B2656" t="s">
        <v>1471</v>
      </c>
      <c r="C2656" t="s">
        <v>4323</v>
      </c>
      <c r="D2656">
        <v>0.52</v>
      </c>
      <c r="E2656" t="s">
        <v>1720</v>
      </c>
      <c r="F2656" t="s">
        <v>1724</v>
      </c>
      <c r="G2656" t="s">
        <v>4428</v>
      </c>
      <c r="H2656" t="s">
        <v>4324</v>
      </c>
    </row>
    <row r="2657" spans="1:8" x14ac:dyDescent="0.35">
      <c r="A2657" t="s">
        <v>647</v>
      </c>
      <c r="B2657" t="s">
        <v>1471</v>
      </c>
      <c r="C2657" t="s">
        <v>4323</v>
      </c>
      <c r="D2657">
        <v>4.0000000000000001E-3</v>
      </c>
      <c r="E2657" t="s">
        <v>1720</v>
      </c>
      <c r="F2657" t="s">
        <v>1721</v>
      </c>
      <c r="G2657" t="s">
        <v>4428</v>
      </c>
      <c r="H2657" t="s">
        <v>4324</v>
      </c>
    </row>
    <row r="2658" spans="1:8" x14ac:dyDescent="0.35">
      <c r="A2658" t="s">
        <v>647</v>
      </c>
      <c r="B2658" t="s">
        <v>1471</v>
      </c>
      <c r="C2658" t="s">
        <v>4323</v>
      </c>
      <c r="D2658">
        <v>0.52</v>
      </c>
      <c r="E2658" t="s">
        <v>1720</v>
      </c>
      <c r="F2658" t="s">
        <v>1724</v>
      </c>
      <c r="G2658" t="s">
        <v>4429</v>
      </c>
      <c r="H2658" t="s">
        <v>4324</v>
      </c>
    </row>
    <row r="2659" spans="1:8" x14ac:dyDescent="0.35">
      <c r="A2659" t="s">
        <v>647</v>
      </c>
      <c r="B2659" t="s">
        <v>1471</v>
      </c>
      <c r="C2659" t="s">
        <v>4323</v>
      </c>
      <c r="D2659">
        <v>4.0000000000000001E-3</v>
      </c>
      <c r="E2659" t="s">
        <v>1720</v>
      </c>
      <c r="F2659" t="s">
        <v>1721</v>
      </c>
      <c r="G2659" t="s">
        <v>4429</v>
      </c>
      <c r="H2659" t="s">
        <v>4324</v>
      </c>
    </row>
    <row r="2660" spans="1:8" x14ac:dyDescent="0.35">
      <c r="A2660" t="s">
        <v>647</v>
      </c>
      <c r="B2660" t="s">
        <v>1471</v>
      </c>
      <c r="C2660" t="s">
        <v>4323</v>
      </c>
      <c r="D2660">
        <v>0.57999999999999996</v>
      </c>
      <c r="E2660" t="s">
        <v>1720</v>
      </c>
      <c r="F2660" t="s">
        <v>1724</v>
      </c>
      <c r="G2660" t="s">
        <v>4430</v>
      </c>
      <c r="H2660" t="s">
        <v>4324</v>
      </c>
    </row>
    <row r="2661" spans="1:8" x14ac:dyDescent="0.35">
      <c r="A2661" t="s">
        <v>647</v>
      </c>
      <c r="B2661" t="s">
        <v>1471</v>
      </c>
      <c r="C2661" t="s">
        <v>4323</v>
      </c>
      <c r="D2661">
        <v>1.2999999999999999E-2</v>
      </c>
      <c r="E2661" t="s">
        <v>1720</v>
      </c>
      <c r="F2661" t="s">
        <v>1721</v>
      </c>
      <c r="G2661" t="s">
        <v>4430</v>
      </c>
      <c r="H2661" t="s">
        <v>4324</v>
      </c>
    </row>
    <row r="2662" spans="1:8" x14ac:dyDescent="0.35">
      <c r="A2662" t="s">
        <v>647</v>
      </c>
      <c r="B2662" t="s">
        <v>1471</v>
      </c>
      <c r="C2662" t="s">
        <v>4323</v>
      </c>
      <c r="D2662">
        <v>0.9</v>
      </c>
      <c r="E2662" t="s">
        <v>1720</v>
      </c>
      <c r="F2662" t="s">
        <v>1724</v>
      </c>
      <c r="G2662" t="s">
        <v>4446</v>
      </c>
      <c r="H2662" t="s">
        <v>4324</v>
      </c>
    </row>
    <row r="2663" spans="1:8" x14ac:dyDescent="0.35">
      <c r="A2663" t="s">
        <v>647</v>
      </c>
      <c r="B2663" t="s">
        <v>1471</v>
      </c>
      <c r="C2663" t="s">
        <v>4323</v>
      </c>
      <c r="D2663">
        <v>0.1</v>
      </c>
      <c r="E2663" t="s">
        <v>1720</v>
      </c>
      <c r="F2663" t="s">
        <v>1721</v>
      </c>
      <c r="G2663" t="s">
        <v>4446</v>
      </c>
      <c r="H2663" t="s">
        <v>4324</v>
      </c>
    </row>
    <row r="2664" spans="1:8" x14ac:dyDescent="0.35">
      <c r="A2664" t="s">
        <v>647</v>
      </c>
      <c r="B2664" t="s">
        <v>1471</v>
      </c>
      <c r="C2664" t="s">
        <v>4252</v>
      </c>
      <c r="D2664">
        <v>0.52</v>
      </c>
      <c r="E2664" t="s">
        <v>1720</v>
      </c>
      <c r="F2664" t="s">
        <v>1724</v>
      </c>
      <c r="G2664" t="s">
        <v>4402</v>
      </c>
      <c r="H2664" t="s">
        <v>4253</v>
      </c>
    </row>
    <row r="2665" spans="1:8" x14ac:dyDescent="0.35">
      <c r="A2665" t="s">
        <v>647</v>
      </c>
      <c r="B2665" t="s">
        <v>1471</v>
      </c>
      <c r="C2665" t="s">
        <v>4252</v>
      </c>
      <c r="D2665">
        <v>3.8E-3</v>
      </c>
      <c r="E2665" t="s">
        <v>1720</v>
      </c>
      <c r="F2665" t="s">
        <v>1721</v>
      </c>
      <c r="G2665" t="s">
        <v>4402</v>
      </c>
      <c r="H2665" t="s">
        <v>4253</v>
      </c>
    </row>
    <row r="2666" spans="1:8" x14ac:dyDescent="0.35">
      <c r="A2666" t="s">
        <v>647</v>
      </c>
      <c r="B2666" t="s">
        <v>1471</v>
      </c>
      <c r="C2666" t="s">
        <v>4250</v>
      </c>
      <c r="D2666">
        <v>0.52</v>
      </c>
      <c r="E2666" t="s">
        <v>1720</v>
      </c>
      <c r="F2666" t="s">
        <v>1724</v>
      </c>
      <c r="G2666" t="s">
        <v>4402</v>
      </c>
      <c r="H2666" t="s">
        <v>4251</v>
      </c>
    </row>
    <row r="2667" spans="1:8" x14ac:dyDescent="0.35">
      <c r="A2667" t="s">
        <v>647</v>
      </c>
      <c r="B2667" t="s">
        <v>1471</v>
      </c>
      <c r="C2667" t="s">
        <v>4250</v>
      </c>
      <c r="D2667">
        <v>3.8E-3</v>
      </c>
      <c r="E2667" t="s">
        <v>1720</v>
      </c>
      <c r="F2667" t="s">
        <v>1721</v>
      </c>
      <c r="G2667" t="s">
        <v>4402</v>
      </c>
      <c r="H2667" t="s">
        <v>4251</v>
      </c>
    </row>
    <row r="2668" spans="1:8" x14ac:dyDescent="0.35">
      <c r="A2668" t="s">
        <v>647</v>
      </c>
      <c r="B2668" t="s">
        <v>1471</v>
      </c>
      <c r="C2668" t="s">
        <v>4254</v>
      </c>
      <c r="D2668">
        <v>0.52</v>
      </c>
      <c r="E2668" t="s">
        <v>1720</v>
      </c>
      <c r="F2668" t="s">
        <v>1724</v>
      </c>
      <c r="G2668" t="s">
        <v>4402</v>
      </c>
      <c r="H2668" t="s">
        <v>4255</v>
      </c>
    </row>
    <row r="2669" spans="1:8" x14ac:dyDescent="0.35">
      <c r="A2669" t="s">
        <v>647</v>
      </c>
      <c r="B2669" t="s">
        <v>1471</v>
      </c>
      <c r="C2669" t="s">
        <v>4254</v>
      </c>
      <c r="D2669">
        <v>3.8E-3</v>
      </c>
      <c r="E2669" t="s">
        <v>1720</v>
      </c>
      <c r="F2669" t="s">
        <v>1721</v>
      </c>
      <c r="G2669" t="s">
        <v>4402</v>
      </c>
      <c r="H2669" t="s">
        <v>4255</v>
      </c>
    </row>
    <row r="2670" spans="1:8" x14ac:dyDescent="0.35">
      <c r="A2670" t="s">
        <v>647</v>
      </c>
      <c r="B2670" t="s">
        <v>1471</v>
      </c>
      <c r="C2670" t="s">
        <v>4260</v>
      </c>
      <c r="D2670">
        <v>0.52</v>
      </c>
      <c r="E2670" t="s">
        <v>1720</v>
      </c>
      <c r="F2670" t="s">
        <v>1724</v>
      </c>
      <c r="G2670" t="s">
        <v>4409</v>
      </c>
      <c r="H2670" t="s">
        <v>4261</v>
      </c>
    </row>
    <row r="2671" spans="1:8" x14ac:dyDescent="0.35">
      <c r="A2671" t="s">
        <v>647</v>
      </c>
      <c r="B2671" t="s">
        <v>1471</v>
      </c>
      <c r="C2671" t="s">
        <v>4260</v>
      </c>
      <c r="D2671">
        <v>3.8E-3</v>
      </c>
      <c r="E2671" t="s">
        <v>1720</v>
      </c>
      <c r="F2671" t="s">
        <v>1721</v>
      </c>
      <c r="G2671" t="s">
        <v>4409</v>
      </c>
      <c r="H2671" t="s">
        <v>4261</v>
      </c>
    </row>
    <row r="2672" spans="1:8" x14ac:dyDescent="0.35">
      <c r="A2672" t="s">
        <v>647</v>
      </c>
      <c r="B2672" t="s">
        <v>1471</v>
      </c>
      <c r="C2672" t="s">
        <v>4262</v>
      </c>
      <c r="D2672">
        <v>0.52</v>
      </c>
      <c r="E2672" t="s">
        <v>1720</v>
      </c>
      <c r="F2672" t="s">
        <v>1724</v>
      </c>
      <c r="G2672" t="s">
        <v>4410</v>
      </c>
      <c r="H2672" t="s">
        <v>4263</v>
      </c>
    </row>
    <row r="2673" spans="1:8" x14ac:dyDescent="0.35">
      <c r="A2673" t="s">
        <v>647</v>
      </c>
      <c r="B2673" t="s">
        <v>1471</v>
      </c>
      <c r="C2673" t="s">
        <v>4262</v>
      </c>
      <c r="D2673">
        <v>3.8E-3</v>
      </c>
      <c r="E2673" t="s">
        <v>1720</v>
      </c>
      <c r="F2673" t="s">
        <v>1721</v>
      </c>
      <c r="G2673" t="s">
        <v>4410</v>
      </c>
      <c r="H2673" t="s">
        <v>4263</v>
      </c>
    </row>
    <row r="2674" spans="1:8" x14ac:dyDescent="0.35">
      <c r="A2674" t="s">
        <v>647</v>
      </c>
      <c r="B2674" t="s">
        <v>1471</v>
      </c>
      <c r="C2674" t="s">
        <v>4264</v>
      </c>
      <c r="D2674">
        <v>0.52</v>
      </c>
      <c r="E2674" t="s">
        <v>1720</v>
      </c>
      <c r="F2674" t="s">
        <v>1724</v>
      </c>
      <c r="G2674" t="s">
        <v>4402</v>
      </c>
      <c r="H2674" t="s">
        <v>4265</v>
      </c>
    </row>
    <row r="2675" spans="1:8" x14ac:dyDescent="0.35">
      <c r="A2675" t="s">
        <v>647</v>
      </c>
      <c r="B2675" t="s">
        <v>1471</v>
      </c>
      <c r="C2675" t="s">
        <v>4264</v>
      </c>
      <c r="D2675">
        <v>3.8E-3</v>
      </c>
      <c r="E2675" t="s">
        <v>1720</v>
      </c>
      <c r="F2675" t="s">
        <v>1721</v>
      </c>
      <c r="G2675" t="s">
        <v>4402</v>
      </c>
      <c r="H2675" t="s">
        <v>4265</v>
      </c>
    </row>
    <row r="2676" spans="1:8" x14ac:dyDescent="0.35">
      <c r="A2676" t="s">
        <v>647</v>
      </c>
      <c r="B2676" t="s">
        <v>1471</v>
      </c>
      <c r="C2676" t="s">
        <v>4266</v>
      </c>
      <c r="D2676">
        <v>0.52</v>
      </c>
      <c r="E2676" t="s">
        <v>1720</v>
      </c>
      <c r="F2676" t="s">
        <v>1724</v>
      </c>
      <c r="G2676" t="s">
        <v>4402</v>
      </c>
      <c r="H2676" t="s">
        <v>4267</v>
      </c>
    </row>
    <row r="2677" spans="1:8" x14ac:dyDescent="0.35">
      <c r="A2677" t="s">
        <v>647</v>
      </c>
      <c r="B2677" t="s">
        <v>1471</v>
      </c>
      <c r="C2677" t="s">
        <v>4266</v>
      </c>
      <c r="D2677">
        <v>3.8E-3</v>
      </c>
      <c r="E2677" t="s">
        <v>1720</v>
      </c>
      <c r="F2677" t="s">
        <v>1721</v>
      </c>
      <c r="G2677" t="s">
        <v>4402</v>
      </c>
      <c r="H2677" t="s">
        <v>4267</v>
      </c>
    </row>
    <row r="2678" spans="1:8" x14ac:dyDescent="0.35">
      <c r="A2678" t="s">
        <v>647</v>
      </c>
      <c r="B2678" t="s">
        <v>1471</v>
      </c>
      <c r="C2678" t="s">
        <v>4268</v>
      </c>
      <c r="D2678">
        <v>0.52</v>
      </c>
      <c r="E2678" t="s">
        <v>1720</v>
      </c>
      <c r="F2678" t="s">
        <v>1724</v>
      </c>
      <c r="G2678" t="s">
        <v>4402</v>
      </c>
      <c r="H2678" t="s">
        <v>4269</v>
      </c>
    </row>
    <row r="2679" spans="1:8" x14ac:dyDescent="0.35">
      <c r="A2679" t="s">
        <v>647</v>
      </c>
      <c r="B2679" t="s">
        <v>1471</v>
      </c>
      <c r="C2679" t="s">
        <v>4268</v>
      </c>
      <c r="D2679">
        <v>3.8E-3</v>
      </c>
      <c r="E2679" t="s">
        <v>1720</v>
      </c>
      <c r="F2679" t="s">
        <v>1721</v>
      </c>
      <c r="G2679" t="s">
        <v>4402</v>
      </c>
      <c r="H2679" t="s">
        <v>4269</v>
      </c>
    </row>
    <row r="2680" spans="1:8" x14ac:dyDescent="0.35">
      <c r="A2680" t="s">
        <v>647</v>
      </c>
      <c r="B2680" t="s">
        <v>1471</v>
      </c>
      <c r="C2680" t="s">
        <v>4270</v>
      </c>
      <c r="D2680">
        <v>0.52</v>
      </c>
      <c r="E2680" t="s">
        <v>1720</v>
      </c>
      <c r="F2680" t="s">
        <v>1724</v>
      </c>
      <c r="G2680" t="s">
        <v>4411</v>
      </c>
      <c r="H2680" t="s">
        <v>4271</v>
      </c>
    </row>
    <row r="2681" spans="1:8" x14ac:dyDescent="0.35">
      <c r="A2681" t="s">
        <v>647</v>
      </c>
      <c r="B2681" t="s">
        <v>1471</v>
      </c>
      <c r="C2681" t="s">
        <v>4270</v>
      </c>
      <c r="D2681">
        <v>3.8E-3</v>
      </c>
      <c r="E2681" t="s">
        <v>1720</v>
      </c>
      <c r="F2681" t="s">
        <v>1721</v>
      </c>
      <c r="G2681" t="s">
        <v>4411</v>
      </c>
      <c r="H2681" t="s">
        <v>4271</v>
      </c>
    </row>
    <row r="2682" spans="1:8" x14ac:dyDescent="0.35">
      <c r="A2682" t="s">
        <v>647</v>
      </c>
      <c r="B2682" t="s">
        <v>1471</v>
      </c>
      <c r="C2682" t="s">
        <v>4272</v>
      </c>
      <c r="D2682">
        <v>0.52</v>
      </c>
      <c r="E2682" t="s">
        <v>1720</v>
      </c>
      <c r="F2682" t="s">
        <v>1724</v>
      </c>
      <c r="G2682" t="s">
        <v>4402</v>
      </c>
      <c r="H2682" t="s">
        <v>4273</v>
      </c>
    </row>
    <row r="2683" spans="1:8" x14ac:dyDescent="0.35">
      <c r="A2683" t="s">
        <v>647</v>
      </c>
      <c r="B2683" t="s">
        <v>1471</v>
      </c>
      <c r="C2683" t="s">
        <v>4272</v>
      </c>
      <c r="D2683">
        <v>3.8E-3</v>
      </c>
      <c r="E2683" t="s">
        <v>1720</v>
      </c>
      <c r="F2683" t="s">
        <v>1721</v>
      </c>
      <c r="G2683" t="s">
        <v>4402</v>
      </c>
      <c r="H2683" t="s">
        <v>4273</v>
      </c>
    </row>
    <row r="2684" spans="1:8" x14ac:dyDescent="0.35">
      <c r="A2684" t="s">
        <v>647</v>
      </c>
      <c r="B2684" t="s">
        <v>1471</v>
      </c>
      <c r="C2684" t="s">
        <v>4258</v>
      </c>
      <c r="D2684">
        <v>0.52</v>
      </c>
      <c r="E2684" t="s">
        <v>1720</v>
      </c>
      <c r="F2684" t="s">
        <v>1724</v>
      </c>
      <c r="G2684" t="s">
        <v>4408</v>
      </c>
      <c r="H2684" t="s">
        <v>4259</v>
      </c>
    </row>
    <row r="2685" spans="1:8" x14ac:dyDescent="0.35">
      <c r="A2685" t="s">
        <v>647</v>
      </c>
      <c r="B2685" t="s">
        <v>1471</v>
      </c>
      <c r="C2685" t="s">
        <v>4258</v>
      </c>
      <c r="D2685">
        <v>3.5999999999999999E-3</v>
      </c>
      <c r="E2685" t="s">
        <v>1720</v>
      </c>
      <c r="F2685" t="s">
        <v>1721</v>
      </c>
      <c r="G2685" t="s">
        <v>4408</v>
      </c>
      <c r="H2685" t="s">
        <v>4259</v>
      </c>
    </row>
    <row r="2686" spans="1:8" x14ac:dyDescent="0.35">
      <c r="A2686" t="s">
        <v>647</v>
      </c>
      <c r="B2686" t="s">
        <v>1471</v>
      </c>
      <c r="C2686" t="s">
        <v>4274</v>
      </c>
      <c r="D2686">
        <v>0.52</v>
      </c>
      <c r="E2686" t="s">
        <v>1720</v>
      </c>
      <c r="F2686" t="s">
        <v>1724</v>
      </c>
      <c r="G2686" t="s">
        <v>4412</v>
      </c>
      <c r="H2686" t="s">
        <v>4275</v>
      </c>
    </row>
    <row r="2687" spans="1:8" x14ac:dyDescent="0.35">
      <c r="A2687" t="s">
        <v>647</v>
      </c>
      <c r="B2687" t="s">
        <v>1471</v>
      </c>
      <c r="C2687" t="s">
        <v>4274</v>
      </c>
      <c r="D2687">
        <v>3.8E-3</v>
      </c>
      <c r="E2687" t="s">
        <v>1720</v>
      </c>
      <c r="F2687" t="s">
        <v>1721</v>
      </c>
      <c r="G2687" t="s">
        <v>4412</v>
      </c>
      <c r="H2687" t="s">
        <v>4275</v>
      </c>
    </row>
    <row r="2688" spans="1:8" x14ac:dyDescent="0.35">
      <c r="A2688" t="s">
        <v>647</v>
      </c>
      <c r="B2688" t="s">
        <v>1471</v>
      </c>
      <c r="C2688" t="s">
        <v>4276</v>
      </c>
      <c r="D2688">
        <v>0.52</v>
      </c>
      <c r="E2688" t="s">
        <v>1720</v>
      </c>
      <c r="F2688" t="s">
        <v>1724</v>
      </c>
      <c r="G2688" t="s">
        <v>4413</v>
      </c>
      <c r="H2688" t="s">
        <v>4277</v>
      </c>
    </row>
    <row r="2689" spans="1:8" x14ac:dyDescent="0.35">
      <c r="A2689" t="s">
        <v>647</v>
      </c>
      <c r="B2689" t="s">
        <v>1471</v>
      </c>
      <c r="C2689" t="s">
        <v>4276</v>
      </c>
      <c r="D2689">
        <v>3.8E-3</v>
      </c>
      <c r="E2689" t="s">
        <v>1720</v>
      </c>
      <c r="F2689" t="s">
        <v>1721</v>
      </c>
      <c r="G2689" t="s">
        <v>4413</v>
      </c>
      <c r="H2689" t="s">
        <v>4277</v>
      </c>
    </row>
    <row r="2690" spans="1:8" x14ac:dyDescent="0.35">
      <c r="A2690" t="s">
        <v>647</v>
      </c>
      <c r="B2690" t="s">
        <v>1471</v>
      </c>
      <c r="C2690" t="s">
        <v>4278</v>
      </c>
      <c r="D2690">
        <v>3.8E-3</v>
      </c>
      <c r="E2690" t="s">
        <v>1720</v>
      </c>
      <c r="F2690" t="s">
        <v>1724</v>
      </c>
      <c r="G2690" t="s">
        <v>4414</v>
      </c>
      <c r="H2690" t="s">
        <v>4279</v>
      </c>
    </row>
    <row r="2691" spans="1:8" x14ac:dyDescent="0.35">
      <c r="A2691" t="s">
        <v>647</v>
      </c>
      <c r="B2691" t="s">
        <v>1471</v>
      </c>
      <c r="C2691" t="s">
        <v>4278</v>
      </c>
      <c r="D2691">
        <v>0.52</v>
      </c>
      <c r="E2691" t="s">
        <v>1720</v>
      </c>
      <c r="F2691" t="s">
        <v>1721</v>
      </c>
      <c r="G2691" t="s">
        <v>4414</v>
      </c>
      <c r="H2691" t="s">
        <v>4279</v>
      </c>
    </row>
    <row r="2692" spans="1:8" x14ac:dyDescent="0.35">
      <c r="A2692" t="s">
        <v>647</v>
      </c>
      <c r="B2692" t="s">
        <v>1471</v>
      </c>
      <c r="C2692" t="s">
        <v>4280</v>
      </c>
      <c r="D2692">
        <v>3.8E-3</v>
      </c>
      <c r="E2692" t="s">
        <v>1720</v>
      </c>
      <c r="F2692" t="s">
        <v>1721</v>
      </c>
      <c r="G2692" t="s">
        <v>4415</v>
      </c>
      <c r="H2692" t="s">
        <v>4281</v>
      </c>
    </row>
    <row r="2693" spans="1:8" x14ac:dyDescent="0.35">
      <c r="A2693" t="s">
        <v>647</v>
      </c>
      <c r="B2693" t="s">
        <v>1471</v>
      </c>
      <c r="C2693" t="s">
        <v>4280</v>
      </c>
      <c r="D2693">
        <v>0.52</v>
      </c>
      <c r="E2693" t="s">
        <v>1720</v>
      </c>
      <c r="F2693" t="s">
        <v>1724</v>
      </c>
      <c r="G2693" t="s">
        <v>4415</v>
      </c>
      <c r="H2693" t="s">
        <v>4281</v>
      </c>
    </row>
    <row r="2694" spans="1:8" x14ac:dyDescent="0.35">
      <c r="A2694" t="s">
        <v>647</v>
      </c>
      <c r="B2694" t="s">
        <v>1471</v>
      </c>
      <c r="C2694" t="s">
        <v>4256</v>
      </c>
      <c r="D2694">
        <v>0.52</v>
      </c>
      <c r="E2694" t="s">
        <v>1720</v>
      </c>
      <c r="F2694" t="s">
        <v>1724</v>
      </c>
      <c r="G2694" t="s">
        <v>4402</v>
      </c>
      <c r="H2694" t="s">
        <v>4257</v>
      </c>
    </row>
    <row r="2695" spans="1:8" x14ac:dyDescent="0.35">
      <c r="A2695" t="s">
        <v>647</v>
      </c>
      <c r="B2695" t="s">
        <v>1471</v>
      </c>
      <c r="C2695" t="s">
        <v>4256</v>
      </c>
      <c r="D2695">
        <v>3.8E-3</v>
      </c>
      <c r="E2695" t="s">
        <v>1720</v>
      </c>
      <c r="F2695" t="s">
        <v>1721</v>
      </c>
      <c r="G2695" t="s">
        <v>4402</v>
      </c>
      <c r="H2695" t="s">
        <v>4257</v>
      </c>
    </row>
    <row r="2696" spans="1:8" x14ac:dyDescent="0.35">
      <c r="A2696" t="s">
        <v>647</v>
      </c>
      <c r="B2696" t="s">
        <v>1471</v>
      </c>
      <c r="C2696" t="s">
        <v>4282</v>
      </c>
      <c r="D2696">
        <v>0.52</v>
      </c>
      <c r="E2696" t="s">
        <v>1720</v>
      </c>
      <c r="F2696" t="s">
        <v>1724</v>
      </c>
      <c r="G2696" t="s">
        <v>4402</v>
      </c>
      <c r="H2696" t="s">
        <v>4283</v>
      </c>
    </row>
    <row r="2697" spans="1:8" x14ac:dyDescent="0.35">
      <c r="A2697" t="s">
        <v>647</v>
      </c>
      <c r="B2697" t="s">
        <v>1471</v>
      </c>
      <c r="C2697" t="s">
        <v>4282</v>
      </c>
      <c r="D2697">
        <v>3.8E-3</v>
      </c>
      <c r="E2697" t="s">
        <v>1720</v>
      </c>
      <c r="F2697" t="s">
        <v>1721</v>
      </c>
      <c r="G2697" t="s">
        <v>4402</v>
      </c>
      <c r="H2697" t="s">
        <v>4283</v>
      </c>
    </row>
    <row r="2698" spans="1:8" x14ac:dyDescent="0.35">
      <c r="A2698" t="s">
        <v>647</v>
      </c>
      <c r="B2698" t="s">
        <v>1471</v>
      </c>
      <c r="C2698" t="s">
        <v>4298</v>
      </c>
      <c r="D2698">
        <v>0.52</v>
      </c>
      <c r="E2698" t="s">
        <v>1720</v>
      </c>
      <c r="F2698" t="s">
        <v>1724</v>
      </c>
      <c r="G2698" t="s">
        <v>4419</v>
      </c>
      <c r="H2698" t="s">
        <v>4299</v>
      </c>
    </row>
    <row r="2699" spans="1:8" x14ac:dyDescent="0.35">
      <c r="A2699" t="s">
        <v>647</v>
      </c>
      <c r="B2699" t="s">
        <v>1471</v>
      </c>
      <c r="C2699" t="s">
        <v>4298</v>
      </c>
      <c r="D2699">
        <v>3.8E-3</v>
      </c>
      <c r="E2699" t="s">
        <v>1720</v>
      </c>
      <c r="F2699" t="s">
        <v>1721</v>
      </c>
      <c r="G2699" t="s">
        <v>4419</v>
      </c>
      <c r="H2699" t="s">
        <v>4299</v>
      </c>
    </row>
    <row r="2700" spans="1:8" x14ac:dyDescent="0.35">
      <c r="A2700" t="s">
        <v>647</v>
      </c>
      <c r="B2700" t="s">
        <v>1471</v>
      </c>
      <c r="C2700" t="s">
        <v>4290</v>
      </c>
      <c r="D2700">
        <v>0.52</v>
      </c>
      <c r="E2700" t="s">
        <v>1720</v>
      </c>
      <c r="F2700" t="s">
        <v>1724</v>
      </c>
      <c r="G2700" t="s">
        <v>4402</v>
      </c>
      <c r="H2700" t="s">
        <v>4291</v>
      </c>
    </row>
    <row r="2701" spans="1:8" x14ac:dyDescent="0.35">
      <c r="A2701" t="s">
        <v>647</v>
      </c>
      <c r="B2701" t="s">
        <v>1471</v>
      </c>
      <c r="C2701" t="s">
        <v>4290</v>
      </c>
      <c r="D2701">
        <v>3.8E-3</v>
      </c>
      <c r="E2701" t="s">
        <v>1720</v>
      </c>
      <c r="F2701" t="s">
        <v>1721</v>
      </c>
      <c r="G2701" t="s">
        <v>4402</v>
      </c>
      <c r="H2701" t="s">
        <v>4291</v>
      </c>
    </row>
    <row r="2702" spans="1:8" x14ac:dyDescent="0.35">
      <c r="A2702" t="s">
        <v>647</v>
      </c>
      <c r="B2702" t="s">
        <v>1471</v>
      </c>
      <c r="C2702" t="s">
        <v>4288</v>
      </c>
      <c r="D2702">
        <v>0.52</v>
      </c>
      <c r="E2702" t="s">
        <v>1720</v>
      </c>
      <c r="F2702" t="s">
        <v>1724</v>
      </c>
      <c r="G2702" t="s">
        <v>4415</v>
      </c>
      <c r="H2702" t="s">
        <v>4289</v>
      </c>
    </row>
    <row r="2703" spans="1:8" x14ac:dyDescent="0.35">
      <c r="A2703" t="s">
        <v>647</v>
      </c>
      <c r="B2703" t="s">
        <v>1471</v>
      </c>
      <c r="C2703" t="s">
        <v>4288</v>
      </c>
      <c r="D2703">
        <v>3.8E-3</v>
      </c>
      <c r="E2703" t="s">
        <v>1720</v>
      </c>
      <c r="F2703" t="s">
        <v>1721</v>
      </c>
      <c r="G2703" t="s">
        <v>4415</v>
      </c>
      <c r="H2703" t="s">
        <v>4289</v>
      </c>
    </row>
    <row r="2704" spans="1:8" x14ac:dyDescent="0.35">
      <c r="A2704" t="s">
        <v>647</v>
      </c>
      <c r="B2704" t="s">
        <v>1471</v>
      </c>
      <c r="C2704" t="s">
        <v>4292</v>
      </c>
      <c r="D2704">
        <v>0.52</v>
      </c>
      <c r="E2704" t="s">
        <v>1720</v>
      </c>
      <c r="F2704" t="s">
        <v>1724</v>
      </c>
      <c r="G2704" t="s">
        <v>4402</v>
      </c>
      <c r="H2704" t="s">
        <v>4293</v>
      </c>
    </row>
    <row r="2705" spans="1:8" x14ac:dyDescent="0.35">
      <c r="A2705" t="s">
        <v>647</v>
      </c>
      <c r="B2705" t="s">
        <v>1471</v>
      </c>
      <c r="C2705" t="s">
        <v>4292</v>
      </c>
      <c r="D2705">
        <v>3.8E-3</v>
      </c>
      <c r="E2705" t="s">
        <v>1720</v>
      </c>
      <c r="F2705" t="s">
        <v>1721</v>
      </c>
      <c r="G2705" t="s">
        <v>4402</v>
      </c>
      <c r="H2705" t="s">
        <v>4293</v>
      </c>
    </row>
    <row r="2706" spans="1:8" x14ac:dyDescent="0.35">
      <c r="A2706" t="s">
        <v>647</v>
      </c>
      <c r="B2706" t="s">
        <v>1471</v>
      </c>
      <c r="C2706" t="s">
        <v>4294</v>
      </c>
      <c r="D2706">
        <v>0.52</v>
      </c>
      <c r="E2706" t="s">
        <v>1720</v>
      </c>
      <c r="F2706" t="s">
        <v>1724</v>
      </c>
      <c r="G2706" t="s">
        <v>4418</v>
      </c>
      <c r="H2706" t="s">
        <v>4295</v>
      </c>
    </row>
    <row r="2707" spans="1:8" x14ac:dyDescent="0.35">
      <c r="A2707" t="s">
        <v>647</v>
      </c>
      <c r="B2707" t="s">
        <v>1471</v>
      </c>
      <c r="C2707" t="s">
        <v>4294</v>
      </c>
      <c r="D2707">
        <v>3.8E-3</v>
      </c>
      <c r="E2707" t="s">
        <v>1720</v>
      </c>
      <c r="F2707" t="s">
        <v>1721</v>
      </c>
      <c r="G2707" t="s">
        <v>4418</v>
      </c>
      <c r="H2707" t="s">
        <v>4295</v>
      </c>
    </row>
    <row r="2708" spans="1:8" x14ac:dyDescent="0.35">
      <c r="A2708" t="s">
        <v>647</v>
      </c>
      <c r="B2708" t="s">
        <v>1471</v>
      </c>
      <c r="C2708" t="s">
        <v>4286</v>
      </c>
      <c r="D2708">
        <v>0.52</v>
      </c>
      <c r="E2708" t="s">
        <v>1720</v>
      </c>
      <c r="F2708" t="s">
        <v>1724</v>
      </c>
      <c r="G2708" t="s">
        <v>4402</v>
      </c>
      <c r="H2708" t="s">
        <v>4287</v>
      </c>
    </row>
    <row r="2709" spans="1:8" x14ac:dyDescent="0.35">
      <c r="A2709" t="s">
        <v>647</v>
      </c>
      <c r="B2709" t="s">
        <v>1471</v>
      </c>
      <c r="C2709" t="s">
        <v>4286</v>
      </c>
      <c r="D2709">
        <v>3.8E-3</v>
      </c>
      <c r="E2709" t="s">
        <v>1720</v>
      </c>
      <c r="F2709" t="s">
        <v>1721</v>
      </c>
      <c r="G2709" t="s">
        <v>4402</v>
      </c>
      <c r="H2709" t="s">
        <v>4287</v>
      </c>
    </row>
    <row r="2710" spans="1:8" x14ac:dyDescent="0.35">
      <c r="A2710" t="s">
        <v>647</v>
      </c>
      <c r="B2710" t="s">
        <v>1471</v>
      </c>
      <c r="C2710" t="s">
        <v>4296</v>
      </c>
      <c r="D2710">
        <v>0.52</v>
      </c>
      <c r="E2710" t="s">
        <v>1720</v>
      </c>
      <c r="F2710" t="s">
        <v>1724</v>
      </c>
      <c r="G2710" t="s">
        <v>4402</v>
      </c>
      <c r="H2710" t="s">
        <v>4297</v>
      </c>
    </row>
    <row r="2711" spans="1:8" x14ac:dyDescent="0.35">
      <c r="A2711" t="s">
        <v>647</v>
      </c>
      <c r="B2711" t="s">
        <v>1471</v>
      </c>
      <c r="C2711" t="s">
        <v>4296</v>
      </c>
      <c r="D2711">
        <v>3.8E-3</v>
      </c>
      <c r="E2711" t="s">
        <v>1720</v>
      </c>
      <c r="F2711" t="s">
        <v>1721</v>
      </c>
      <c r="G2711" t="s">
        <v>4402</v>
      </c>
      <c r="H2711" t="s">
        <v>4297</v>
      </c>
    </row>
    <row r="2712" spans="1:8" x14ac:dyDescent="0.35">
      <c r="A2712" t="s">
        <v>763</v>
      </c>
      <c r="B2712" t="s">
        <v>1587</v>
      </c>
      <c r="C2712" t="s">
        <v>4179</v>
      </c>
      <c r="D2712">
        <v>3</v>
      </c>
      <c r="E2712" t="s">
        <v>1720</v>
      </c>
      <c r="F2712" t="s">
        <v>1724</v>
      </c>
      <c r="G2712" t="s">
        <v>4380</v>
      </c>
      <c r="H2712" t="s">
        <v>4180</v>
      </c>
    </row>
    <row r="2713" spans="1:8" x14ac:dyDescent="0.35">
      <c r="A2713" t="s">
        <v>763</v>
      </c>
      <c r="B2713" t="s">
        <v>1587</v>
      </c>
      <c r="C2713" t="s">
        <v>4181</v>
      </c>
      <c r="D2713">
        <v>1.5</v>
      </c>
      <c r="E2713" t="s">
        <v>1720</v>
      </c>
      <c r="F2713" t="s">
        <v>1724</v>
      </c>
      <c r="G2713" t="s">
        <v>4466</v>
      </c>
      <c r="H2713" t="s">
        <v>4182</v>
      </c>
    </row>
    <row r="2714" spans="1:8" x14ac:dyDescent="0.35">
      <c r="A2714" t="s">
        <v>763</v>
      </c>
      <c r="B2714" t="s">
        <v>1587</v>
      </c>
      <c r="C2714" t="s">
        <v>4183</v>
      </c>
      <c r="D2714">
        <v>3</v>
      </c>
      <c r="E2714" t="s">
        <v>1720</v>
      </c>
      <c r="G2714" t="s">
        <v>4382</v>
      </c>
      <c r="H2714" t="s">
        <v>4184</v>
      </c>
    </row>
    <row r="2715" spans="1:8" x14ac:dyDescent="0.35">
      <c r="A2715" t="s">
        <v>763</v>
      </c>
      <c r="B2715" t="s">
        <v>1587</v>
      </c>
      <c r="C2715" t="s">
        <v>4187</v>
      </c>
      <c r="D2715">
        <v>3</v>
      </c>
      <c r="E2715" t="s">
        <v>1720</v>
      </c>
      <c r="F2715" t="s">
        <v>1724</v>
      </c>
      <c r="G2715" t="s">
        <v>4384</v>
      </c>
      <c r="H2715" t="s">
        <v>4188</v>
      </c>
    </row>
    <row r="2716" spans="1:8" x14ac:dyDescent="0.35">
      <c r="A2716" t="s">
        <v>763</v>
      </c>
      <c r="B2716" t="s">
        <v>1587</v>
      </c>
      <c r="C2716" t="s">
        <v>4185</v>
      </c>
      <c r="D2716">
        <v>3</v>
      </c>
      <c r="E2716" t="s">
        <v>1720</v>
      </c>
      <c r="F2716" t="s">
        <v>1724</v>
      </c>
      <c r="G2716" t="s">
        <v>4383</v>
      </c>
      <c r="H2716" t="s">
        <v>4186</v>
      </c>
    </row>
    <row r="2717" spans="1:8" x14ac:dyDescent="0.35">
      <c r="A2717" t="s">
        <v>763</v>
      </c>
      <c r="B2717" t="s">
        <v>1587</v>
      </c>
      <c r="C2717" t="s">
        <v>4189</v>
      </c>
      <c r="D2717">
        <v>3</v>
      </c>
      <c r="E2717" t="s">
        <v>1720</v>
      </c>
      <c r="F2717" t="s">
        <v>1724</v>
      </c>
      <c r="G2717" t="s">
        <v>4385</v>
      </c>
      <c r="H2717" t="s">
        <v>4190</v>
      </c>
    </row>
    <row r="2718" spans="1:8" x14ac:dyDescent="0.35">
      <c r="A2718" t="s">
        <v>763</v>
      </c>
      <c r="B2718" t="s">
        <v>1587</v>
      </c>
      <c r="C2718" t="s">
        <v>4307</v>
      </c>
      <c r="D2718">
        <v>3</v>
      </c>
      <c r="E2718" t="s">
        <v>1720</v>
      </c>
      <c r="F2718" t="s">
        <v>1724</v>
      </c>
      <c r="G2718" t="s">
        <v>4431</v>
      </c>
      <c r="H2718" t="s">
        <v>4325</v>
      </c>
    </row>
    <row r="2719" spans="1:8" x14ac:dyDescent="0.35">
      <c r="A2719" t="s">
        <v>763</v>
      </c>
      <c r="B2719" t="s">
        <v>1587</v>
      </c>
      <c r="C2719" t="s">
        <v>4307</v>
      </c>
      <c r="D2719">
        <v>3</v>
      </c>
      <c r="E2719" t="s">
        <v>1720</v>
      </c>
      <c r="F2719" t="s">
        <v>1724</v>
      </c>
      <c r="G2719" t="s">
        <v>4422</v>
      </c>
      <c r="H2719" t="s">
        <v>4308</v>
      </c>
    </row>
    <row r="2720" spans="1:8" x14ac:dyDescent="0.35">
      <c r="A2720" t="s">
        <v>763</v>
      </c>
      <c r="B2720" t="s">
        <v>1587</v>
      </c>
      <c r="C2720" t="s">
        <v>4191</v>
      </c>
      <c r="D2720">
        <v>3</v>
      </c>
      <c r="E2720" t="s">
        <v>1720</v>
      </c>
      <c r="F2720" t="s">
        <v>1724</v>
      </c>
      <c r="G2720" t="s">
        <v>4383</v>
      </c>
      <c r="H2720" t="s">
        <v>4192</v>
      </c>
    </row>
    <row r="2721" spans="1:8" x14ac:dyDescent="0.35">
      <c r="A2721" t="s">
        <v>763</v>
      </c>
      <c r="B2721" t="s">
        <v>1587</v>
      </c>
      <c r="C2721" t="s">
        <v>4327</v>
      </c>
      <c r="D2721">
        <v>3</v>
      </c>
      <c r="E2721" t="s">
        <v>1720</v>
      </c>
      <c r="F2721" t="s">
        <v>1724</v>
      </c>
      <c r="G2721" t="s">
        <v>4434</v>
      </c>
      <c r="H2721" t="s">
        <v>4328</v>
      </c>
    </row>
    <row r="2722" spans="1:8" x14ac:dyDescent="0.35">
      <c r="A2722" t="s">
        <v>763</v>
      </c>
      <c r="B2722" t="s">
        <v>1587</v>
      </c>
      <c r="C2722" t="s">
        <v>4327</v>
      </c>
      <c r="D2722">
        <v>3</v>
      </c>
      <c r="E2722" t="s">
        <v>1720</v>
      </c>
      <c r="F2722" t="s">
        <v>1724</v>
      </c>
      <c r="G2722" t="s">
        <v>4435</v>
      </c>
      <c r="H2722" t="s">
        <v>4328</v>
      </c>
    </row>
    <row r="2723" spans="1:8" x14ac:dyDescent="0.35">
      <c r="A2723" t="s">
        <v>763</v>
      </c>
      <c r="B2723" t="s">
        <v>1587</v>
      </c>
      <c r="C2723" t="s">
        <v>4309</v>
      </c>
      <c r="D2723">
        <v>3</v>
      </c>
      <c r="E2723" t="s">
        <v>1720</v>
      </c>
      <c r="F2723" t="s">
        <v>1724</v>
      </c>
      <c r="G2723" t="s">
        <v>4396</v>
      </c>
      <c r="H2723" t="s">
        <v>4310</v>
      </c>
    </row>
    <row r="2724" spans="1:8" x14ac:dyDescent="0.35">
      <c r="A2724" t="s">
        <v>763</v>
      </c>
      <c r="B2724" t="s">
        <v>1587</v>
      </c>
      <c r="C2724" t="s">
        <v>4193</v>
      </c>
      <c r="D2724">
        <v>3</v>
      </c>
      <c r="E2724" t="s">
        <v>1720</v>
      </c>
      <c r="F2724" t="s">
        <v>1724</v>
      </c>
      <c r="G2724" t="s">
        <v>4386</v>
      </c>
      <c r="H2724" t="s">
        <v>4194</v>
      </c>
    </row>
    <row r="2725" spans="1:8" x14ac:dyDescent="0.35">
      <c r="A2725" t="s">
        <v>763</v>
      </c>
      <c r="B2725" t="s">
        <v>1587</v>
      </c>
      <c r="C2725" t="s">
        <v>4195</v>
      </c>
      <c r="D2725">
        <v>0.4</v>
      </c>
      <c r="E2725" t="s">
        <v>1720</v>
      </c>
      <c r="F2725" t="s">
        <v>1721</v>
      </c>
      <c r="G2725" t="s">
        <v>4387</v>
      </c>
      <c r="H2725" t="s">
        <v>4196</v>
      </c>
    </row>
    <row r="2726" spans="1:8" x14ac:dyDescent="0.35">
      <c r="A2726" t="s">
        <v>763</v>
      </c>
      <c r="B2726" t="s">
        <v>1587</v>
      </c>
      <c r="C2726" t="s">
        <v>4195</v>
      </c>
      <c r="D2726">
        <v>3</v>
      </c>
      <c r="E2726" t="s">
        <v>1720</v>
      </c>
      <c r="F2726" t="s">
        <v>1724</v>
      </c>
      <c r="G2726" t="s">
        <v>4387</v>
      </c>
      <c r="H2726" t="s">
        <v>4196</v>
      </c>
    </row>
    <row r="2727" spans="1:8" x14ac:dyDescent="0.35">
      <c r="A2727" t="s">
        <v>763</v>
      </c>
      <c r="B2727" t="s">
        <v>1587</v>
      </c>
      <c r="C2727" t="s">
        <v>4309</v>
      </c>
      <c r="D2727">
        <v>3</v>
      </c>
      <c r="E2727" t="s">
        <v>1720</v>
      </c>
      <c r="F2727" t="s">
        <v>1724</v>
      </c>
      <c r="G2727" t="s">
        <v>4436</v>
      </c>
      <c r="H2727" t="s">
        <v>4329</v>
      </c>
    </row>
    <row r="2728" spans="1:8" x14ac:dyDescent="0.35">
      <c r="A2728" t="s">
        <v>763</v>
      </c>
      <c r="B2728" t="s">
        <v>1587</v>
      </c>
      <c r="C2728" t="s">
        <v>4197</v>
      </c>
      <c r="D2728">
        <v>3</v>
      </c>
      <c r="E2728" t="s">
        <v>1720</v>
      </c>
      <c r="F2728" t="s">
        <v>1724</v>
      </c>
      <c r="G2728" t="s">
        <v>4433</v>
      </c>
      <c r="H2728" t="s">
        <v>4326</v>
      </c>
    </row>
    <row r="2729" spans="1:8" x14ac:dyDescent="0.35">
      <c r="A2729" t="s">
        <v>763</v>
      </c>
      <c r="B2729" t="s">
        <v>1587</v>
      </c>
      <c r="C2729" t="s">
        <v>4197</v>
      </c>
      <c r="D2729">
        <v>0.1</v>
      </c>
      <c r="E2729" t="s">
        <v>1720</v>
      </c>
      <c r="F2729" t="s">
        <v>1721</v>
      </c>
      <c r="G2729" t="s">
        <v>4388</v>
      </c>
      <c r="H2729" t="s">
        <v>4198</v>
      </c>
    </row>
    <row r="2730" spans="1:8" x14ac:dyDescent="0.35">
      <c r="A2730" t="s">
        <v>763</v>
      </c>
      <c r="B2730" t="s">
        <v>1587</v>
      </c>
      <c r="C2730" t="s">
        <v>4197</v>
      </c>
      <c r="D2730">
        <v>3</v>
      </c>
      <c r="E2730" t="s">
        <v>1720</v>
      </c>
      <c r="F2730" t="s">
        <v>1724</v>
      </c>
      <c r="G2730" t="s">
        <v>4388</v>
      </c>
      <c r="H2730" t="s">
        <v>4198</v>
      </c>
    </row>
    <row r="2731" spans="1:8" x14ac:dyDescent="0.35">
      <c r="A2731" t="s">
        <v>763</v>
      </c>
      <c r="B2731" t="s">
        <v>1587</v>
      </c>
      <c r="C2731" t="s">
        <v>4199</v>
      </c>
      <c r="D2731">
        <v>3</v>
      </c>
      <c r="E2731" t="s">
        <v>1720</v>
      </c>
      <c r="F2731" t="s">
        <v>1724</v>
      </c>
      <c r="G2731" t="s">
        <v>4388</v>
      </c>
      <c r="H2731" t="s">
        <v>4200</v>
      </c>
    </row>
    <row r="2732" spans="1:8" x14ac:dyDescent="0.35">
      <c r="A2732" t="s">
        <v>763</v>
      </c>
      <c r="B2732" t="s">
        <v>1587</v>
      </c>
      <c r="C2732" t="s">
        <v>4201</v>
      </c>
      <c r="D2732">
        <v>3</v>
      </c>
      <c r="E2732" t="s">
        <v>1720</v>
      </c>
      <c r="F2732" t="s">
        <v>1724</v>
      </c>
      <c r="G2732" t="s">
        <v>4389</v>
      </c>
      <c r="H2732" t="s">
        <v>4202</v>
      </c>
    </row>
    <row r="2733" spans="1:8" x14ac:dyDescent="0.35">
      <c r="A2733" t="s">
        <v>763</v>
      </c>
      <c r="B2733" t="s">
        <v>1587</v>
      </c>
      <c r="C2733" t="s">
        <v>4203</v>
      </c>
      <c r="D2733">
        <v>3</v>
      </c>
      <c r="E2733" t="s">
        <v>1720</v>
      </c>
      <c r="F2733" t="s">
        <v>1724</v>
      </c>
      <c r="G2733" t="s">
        <v>4390</v>
      </c>
      <c r="H2733" t="s">
        <v>4204</v>
      </c>
    </row>
    <row r="2734" spans="1:8" x14ac:dyDescent="0.35">
      <c r="A2734" t="s">
        <v>763</v>
      </c>
      <c r="B2734" t="s">
        <v>1587</v>
      </c>
      <c r="C2734" t="s">
        <v>4205</v>
      </c>
      <c r="D2734">
        <v>3</v>
      </c>
      <c r="E2734" t="s">
        <v>1720</v>
      </c>
      <c r="F2734" t="s">
        <v>1724</v>
      </c>
      <c r="G2734" t="s">
        <v>4391</v>
      </c>
      <c r="H2734" t="s">
        <v>4206</v>
      </c>
    </row>
    <row r="2735" spans="1:8" x14ac:dyDescent="0.35">
      <c r="A2735" t="s">
        <v>763</v>
      </c>
      <c r="B2735" t="s">
        <v>1587</v>
      </c>
      <c r="C2735" t="s">
        <v>4207</v>
      </c>
      <c r="D2735">
        <v>3</v>
      </c>
      <c r="E2735" t="s">
        <v>1720</v>
      </c>
      <c r="F2735" t="s">
        <v>1724</v>
      </c>
      <c r="G2735" t="s">
        <v>4383</v>
      </c>
      <c r="H2735" t="s">
        <v>4208</v>
      </c>
    </row>
    <row r="2736" spans="1:8" x14ac:dyDescent="0.35">
      <c r="A2736" t="s">
        <v>763</v>
      </c>
      <c r="B2736" t="s">
        <v>1587</v>
      </c>
      <c r="C2736" t="s">
        <v>4336</v>
      </c>
      <c r="D2736">
        <v>3</v>
      </c>
      <c r="E2736" t="s">
        <v>1720</v>
      </c>
      <c r="F2736" t="s">
        <v>1724</v>
      </c>
      <c r="G2736" t="s">
        <v>4445</v>
      </c>
      <c r="H2736" t="s">
        <v>4337</v>
      </c>
    </row>
    <row r="2737" spans="1:8" x14ac:dyDescent="0.35">
      <c r="A2737" t="s">
        <v>763</v>
      </c>
      <c r="B2737" t="s">
        <v>1587</v>
      </c>
      <c r="C2737" t="s">
        <v>4209</v>
      </c>
      <c r="D2737">
        <v>3</v>
      </c>
      <c r="E2737" t="s">
        <v>1720</v>
      </c>
      <c r="F2737" t="s">
        <v>1724</v>
      </c>
      <c r="G2737" t="s">
        <v>4383</v>
      </c>
      <c r="H2737" t="s">
        <v>4210</v>
      </c>
    </row>
    <row r="2738" spans="1:8" x14ac:dyDescent="0.35">
      <c r="A2738" t="s">
        <v>763</v>
      </c>
      <c r="B2738" t="s">
        <v>1587</v>
      </c>
      <c r="C2738" t="s">
        <v>4317</v>
      </c>
      <c r="D2738">
        <v>3</v>
      </c>
      <c r="E2738" t="s">
        <v>1720</v>
      </c>
      <c r="F2738" t="s">
        <v>1724</v>
      </c>
      <c r="G2738" t="s">
        <v>4426</v>
      </c>
      <c r="H2738" t="s">
        <v>4318</v>
      </c>
    </row>
    <row r="2739" spans="1:8" x14ac:dyDescent="0.35">
      <c r="A2739" t="s">
        <v>763</v>
      </c>
      <c r="B2739" t="s">
        <v>1587</v>
      </c>
      <c r="C2739" t="s">
        <v>4332</v>
      </c>
      <c r="D2739">
        <v>3</v>
      </c>
      <c r="E2739" t="s">
        <v>1720</v>
      </c>
      <c r="F2739" t="s">
        <v>1724</v>
      </c>
      <c r="G2739" t="s">
        <v>4440</v>
      </c>
      <c r="H2739" t="s">
        <v>4333</v>
      </c>
    </row>
    <row r="2740" spans="1:8" x14ac:dyDescent="0.35">
      <c r="A2740" t="s">
        <v>763</v>
      </c>
      <c r="B2740" t="s">
        <v>1587</v>
      </c>
      <c r="C2740" t="s">
        <v>4332</v>
      </c>
      <c r="D2740">
        <v>3</v>
      </c>
      <c r="E2740" t="s">
        <v>1720</v>
      </c>
      <c r="F2740" t="s">
        <v>1724</v>
      </c>
      <c r="G2740" t="s">
        <v>4441</v>
      </c>
      <c r="H2740" t="s">
        <v>4333</v>
      </c>
    </row>
    <row r="2741" spans="1:8" x14ac:dyDescent="0.35">
      <c r="A2741" t="s">
        <v>763</v>
      </c>
      <c r="B2741" t="s">
        <v>1587</v>
      </c>
      <c r="C2741" t="s">
        <v>4332</v>
      </c>
      <c r="D2741">
        <v>3</v>
      </c>
      <c r="E2741" t="s">
        <v>1720</v>
      </c>
      <c r="F2741" t="s">
        <v>1724</v>
      </c>
      <c r="G2741" t="s">
        <v>4442</v>
      </c>
      <c r="H2741" t="s">
        <v>4333</v>
      </c>
    </row>
    <row r="2742" spans="1:8" x14ac:dyDescent="0.35">
      <c r="A2742" t="s">
        <v>763</v>
      </c>
      <c r="B2742" t="s">
        <v>1587</v>
      </c>
      <c r="C2742" t="s">
        <v>4311</v>
      </c>
      <c r="D2742">
        <v>2E-3</v>
      </c>
      <c r="E2742" t="s">
        <v>1720</v>
      </c>
      <c r="G2742" t="s">
        <v>4387</v>
      </c>
      <c r="H2742" t="s">
        <v>4312</v>
      </c>
    </row>
    <row r="2743" spans="1:8" x14ac:dyDescent="0.35">
      <c r="A2743" t="s">
        <v>763</v>
      </c>
      <c r="B2743" t="s">
        <v>1587</v>
      </c>
      <c r="C2743" t="s">
        <v>4213</v>
      </c>
      <c r="D2743">
        <v>7.7000000000000008E-6</v>
      </c>
      <c r="E2743" t="s">
        <v>1720</v>
      </c>
      <c r="F2743" t="s">
        <v>1721</v>
      </c>
      <c r="G2743" t="s">
        <v>4393</v>
      </c>
      <c r="H2743" t="s">
        <v>4214</v>
      </c>
    </row>
    <row r="2744" spans="1:8" x14ac:dyDescent="0.35">
      <c r="A2744" t="s">
        <v>763</v>
      </c>
      <c r="B2744" t="s">
        <v>1587</v>
      </c>
      <c r="C2744" t="s">
        <v>4213</v>
      </c>
      <c r="D2744">
        <v>3</v>
      </c>
      <c r="E2744" t="s">
        <v>1720</v>
      </c>
      <c r="F2744" t="s">
        <v>1724</v>
      </c>
      <c r="G2744" t="s">
        <v>4393</v>
      </c>
      <c r="H2744" t="s">
        <v>4214</v>
      </c>
    </row>
    <row r="2745" spans="1:8" x14ac:dyDescent="0.35">
      <c r="A2745" t="s">
        <v>763</v>
      </c>
      <c r="B2745" t="s">
        <v>1587</v>
      </c>
      <c r="C2745" t="s">
        <v>4215</v>
      </c>
      <c r="D2745">
        <v>1.5</v>
      </c>
      <c r="E2745" t="s">
        <v>1720</v>
      </c>
      <c r="F2745" t="s">
        <v>1724</v>
      </c>
      <c r="G2745" t="s">
        <v>4394</v>
      </c>
      <c r="H2745" t="s">
        <v>4216</v>
      </c>
    </row>
    <row r="2746" spans="1:8" x14ac:dyDescent="0.35">
      <c r="A2746" t="s">
        <v>763</v>
      </c>
      <c r="B2746" t="s">
        <v>1587</v>
      </c>
      <c r="C2746" t="s">
        <v>4215</v>
      </c>
      <c r="D2746">
        <v>1.5</v>
      </c>
      <c r="E2746" t="s">
        <v>1720</v>
      </c>
      <c r="F2746" t="s">
        <v>1724</v>
      </c>
      <c r="G2746" t="s">
        <v>4395</v>
      </c>
      <c r="H2746" t="s">
        <v>4216</v>
      </c>
    </row>
    <row r="2747" spans="1:8" x14ac:dyDescent="0.35">
      <c r="A2747" t="s">
        <v>763</v>
      </c>
      <c r="B2747" t="s">
        <v>1587</v>
      </c>
      <c r="C2747" t="s">
        <v>4215</v>
      </c>
      <c r="D2747">
        <v>1.5</v>
      </c>
      <c r="E2747" t="s">
        <v>1720</v>
      </c>
      <c r="F2747" t="s">
        <v>1724</v>
      </c>
      <c r="G2747" t="s">
        <v>4397</v>
      </c>
      <c r="H2747" t="s">
        <v>4216</v>
      </c>
    </row>
    <row r="2748" spans="1:8" x14ac:dyDescent="0.35">
      <c r="A2748" t="s">
        <v>763</v>
      </c>
      <c r="B2748" t="s">
        <v>1587</v>
      </c>
      <c r="C2748" t="s">
        <v>4215</v>
      </c>
      <c r="D2748">
        <v>1.5</v>
      </c>
      <c r="E2748" t="s">
        <v>1720</v>
      </c>
      <c r="F2748" t="s">
        <v>1724</v>
      </c>
      <c r="G2748" t="s">
        <v>4398</v>
      </c>
      <c r="H2748" t="s">
        <v>4216</v>
      </c>
    </row>
    <row r="2749" spans="1:8" x14ac:dyDescent="0.35">
      <c r="A2749" t="s">
        <v>763</v>
      </c>
      <c r="B2749" t="s">
        <v>1587</v>
      </c>
      <c r="C2749" t="s">
        <v>4217</v>
      </c>
      <c r="D2749">
        <v>3</v>
      </c>
      <c r="E2749" t="s">
        <v>1720</v>
      </c>
      <c r="F2749" t="s">
        <v>1724</v>
      </c>
      <c r="G2749" t="s">
        <v>4396</v>
      </c>
      <c r="H2749" t="s">
        <v>4218</v>
      </c>
    </row>
    <row r="2750" spans="1:8" x14ac:dyDescent="0.35">
      <c r="A2750" t="s">
        <v>763</v>
      </c>
      <c r="B2750" t="s">
        <v>1587</v>
      </c>
      <c r="C2750" t="s">
        <v>4219</v>
      </c>
      <c r="D2750">
        <v>1.5</v>
      </c>
      <c r="E2750" t="s">
        <v>1720</v>
      </c>
      <c r="F2750" t="s">
        <v>1724</v>
      </c>
      <c r="G2750" t="s">
        <v>4380</v>
      </c>
      <c r="H2750" t="s">
        <v>4220</v>
      </c>
    </row>
    <row r="2751" spans="1:8" x14ac:dyDescent="0.35">
      <c r="A2751" t="s">
        <v>763</v>
      </c>
      <c r="B2751" t="s">
        <v>1587</v>
      </c>
      <c r="C2751" t="s">
        <v>4330</v>
      </c>
      <c r="D2751">
        <v>1.5</v>
      </c>
      <c r="E2751" t="s">
        <v>1720</v>
      </c>
      <c r="F2751" t="s">
        <v>1724</v>
      </c>
      <c r="G2751" t="s">
        <v>4437</v>
      </c>
      <c r="H2751" t="s">
        <v>4331</v>
      </c>
    </row>
    <row r="2752" spans="1:8" x14ac:dyDescent="0.35">
      <c r="A2752" t="s">
        <v>763</v>
      </c>
      <c r="B2752" t="s">
        <v>1587</v>
      </c>
      <c r="C2752" t="s">
        <v>4221</v>
      </c>
      <c r="D2752">
        <v>1.5</v>
      </c>
      <c r="E2752" t="s">
        <v>1720</v>
      </c>
      <c r="F2752" t="s">
        <v>1724</v>
      </c>
      <c r="G2752" t="s">
        <v>4383</v>
      </c>
      <c r="H2752" t="s">
        <v>4222</v>
      </c>
    </row>
    <row r="2753" spans="1:8" x14ac:dyDescent="0.35">
      <c r="A2753" t="s">
        <v>763</v>
      </c>
      <c r="B2753" t="s">
        <v>1587</v>
      </c>
      <c r="C2753" t="s">
        <v>4234</v>
      </c>
      <c r="D2753">
        <v>3</v>
      </c>
      <c r="E2753" t="s">
        <v>1720</v>
      </c>
      <c r="G2753" t="s">
        <v>4383</v>
      </c>
      <c r="H2753" t="s">
        <v>4235</v>
      </c>
    </row>
    <row r="2754" spans="1:8" x14ac:dyDescent="0.35">
      <c r="A2754" t="s">
        <v>763</v>
      </c>
      <c r="B2754" t="s">
        <v>1587</v>
      </c>
      <c r="C2754" t="s">
        <v>4211</v>
      </c>
      <c r="D2754">
        <v>1.5</v>
      </c>
      <c r="E2754" t="s">
        <v>1720</v>
      </c>
      <c r="F2754" t="s">
        <v>1724</v>
      </c>
      <c r="G2754" t="s">
        <v>4392</v>
      </c>
      <c r="H2754" t="s">
        <v>4212</v>
      </c>
    </row>
    <row r="2755" spans="1:8" x14ac:dyDescent="0.35">
      <c r="A2755" t="s">
        <v>763</v>
      </c>
      <c r="B2755" t="s">
        <v>1587</v>
      </c>
      <c r="C2755" t="s">
        <v>4315</v>
      </c>
      <c r="D2755">
        <v>3</v>
      </c>
      <c r="E2755" t="s">
        <v>1720</v>
      </c>
      <c r="F2755" t="s">
        <v>1724</v>
      </c>
      <c r="G2755" t="s">
        <v>4383</v>
      </c>
      <c r="H2755" t="s">
        <v>4316</v>
      </c>
    </row>
    <row r="2756" spans="1:8" x14ac:dyDescent="0.35">
      <c r="A2756" t="s">
        <v>763</v>
      </c>
      <c r="B2756" t="s">
        <v>1587</v>
      </c>
      <c r="C2756" t="s">
        <v>4338</v>
      </c>
      <c r="D2756">
        <v>1.9E-3</v>
      </c>
      <c r="E2756" t="s">
        <v>1720</v>
      </c>
      <c r="F2756" t="s">
        <v>1721</v>
      </c>
      <c r="G2756" t="s">
        <v>4383</v>
      </c>
      <c r="H2756" t="s">
        <v>4339</v>
      </c>
    </row>
    <row r="2757" spans="1:8" x14ac:dyDescent="0.35">
      <c r="A2757" t="s">
        <v>763</v>
      </c>
      <c r="B2757" t="s">
        <v>1587</v>
      </c>
      <c r="C2757" t="s">
        <v>4225</v>
      </c>
      <c r="D2757">
        <v>3</v>
      </c>
      <c r="E2757" t="s">
        <v>1720</v>
      </c>
      <c r="F2757" t="s">
        <v>1724</v>
      </c>
      <c r="G2757" t="s">
        <v>4400</v>
      </c>
      <c r="H2757" t="s">
        <v>4226</v>
      </c>
    </row>
    <row r="2758" spans="1:8" x14ac:dyDescent="0.35">
      <c r="A2758" t="s">
        <v>763</v>
      </c>
      <c r="B2758" t="s">
        <v>1587</v>
      </c>
      <c r="C2758" t="s">
        <v>4300</v>
      </c>
      <c r="D2758">
        <v>3</v>
      </c>
      <c r="E2758" t="s">
        <v>1720</v>
      </c>
      <c r="F2758" t="s">
        <v>1724</v>
      </c>
      <c r="G2758" t="s">
        <v>4389</v>
      </c>
      <c r="H2758" t="s">
        <v>4301</v>
      </c>
    </row>
    <row r="2759" spans="1:8" x14ac:dyDescent="0.35">
      <c r="A2759" t="s">
        <v>763</v>
      </c>
      <c r="B2759" t="s">
        <v>1587</v>
      </c>
      <c r="C2759" t="s">
        <v>4227</v>
      </c>
      <c r="D2759">
        <v>3</v>
      </c>
      <c r="E2759" t="s">
        <v>1720</v>
      </c>
      <c r="F2759" t="s">
        <v>1724</v>
      </c>
      <c r="G2759" t="s">
        <v>4401</v>
      </c>
      <c r="H2759" t="s">
        <v>4228</v>
      </c>
    </row>
    <row r="2760" spans="1:8" x14ac:dyDescent="0.35">
      <c r="A2760" t="s">
        <v>763</v>
      </c>
      <c r="B2760" t="s">
        <v>1587</v>
      </c>
      <c r="C2760" t="s">
        <v>4229</v>
      </c>
      <c r="D2760">
        <v>3</v>
      </c>
      <c r="E2760" t="s">
        <v>1720</v>
      </c>
      <c r="F2760" t="s">
        <v>1724</v>
      </c>
      <c r="G2760" t="s">
        <v>4399</v>
      </c>
      <c r="H2760" t="s">
        <v>1711</v>
      </c>
    </row>
    <row r="2761" spans="1:8" x14ac:dyDescent="0.35">
      <c r="A2761" t="s">
        <v>763</v>
      </c>
      <c r="B2761" t="s">
        <v>1587</v>
      </c>
      <c r="C2761" t="s">
        <v>4338</v>
      </c>
      <c r="D2761">
        <v>2.5</v>
      </c>
      <c r="E2761" t="s">
        <v>1720</v>
      </c>
      <c r="F2761" t="s">
        <v>1724</v>
      </c>
      <c r="G2761" t="s">
        <v>4383</v>
      </c>
      <c r="H2761" t="s">
        <v>4339</v>
      </c>
    </row>
    <row r="2762" spans="1:8" x14ac:dyDescent="0.35">
      <c r="A2762" t="s">
        <v>763</v>
      </c>
      <c r="B2762" t="s">
        <v>1587</v>
      </c>
      <c r="C2762" t="s">
        <v>4313</v>
      </c>
      <c r="D2762">
        <v>3</v>
      </c>
      <c r="E2762" t="s">
        <v>1720</v>
      </c>
      <c r="F2762" t="s">
        <v>1724</v>
      </c>
      <c r="G2762" t="s">
        <v>4423</v>
      </c>
      <c r="H2762" t="s">
        <v>4314</v>
      </c>
    </row>
    <row r="2763" spans="1:8" x14ac:dyDescent="0.35">
      <c r="A2763" t="s">
        <v>763</v>
      </c>
      <c r="B2763" t="s">
        <v>1587</v>
      </c>
      <c r="C2763" t="s">
        <v>4313</v>
      </c>
      <c r="D2763">
        <v>3</v>
      </c>
      <c r="E2763" t="s">
        <v>1720</v>
      </c>
      <c r="F2763" t="s">
        <v>1724</v>
      </c>
      <c r="G2763" t="s">
        <v>4424</v>
      </c>
      <c r="H2763" t="s">
        <v>4314</v>
      </c>
    </row>
    <row r="2764" spans="1:8" x14ac:dyDescent="0.35">
      <c r="A2764" t="s">
        <v>763</v>
      </c>
      <c r="B2764" t="s">
        <v>1587</v>
      </c>
      <c r="C2764" t="s">
        <v>4313</v>
      </c>
      <c r="D2764">
        <v>4.5</v>
      </c>
      <c r="E2764" t="s">
        <v>1720</v>
      </c>
      <c r="F2764" t="s">
        <v>1724</v>
      </c>
      <c r="G2764" t="s">
        <v>4444</v>
      </c>
      <c r="H2764" t="s">
        <v>4314</v>
      </c>
    </row>
    <row r="2765" spans="1:8" x14ac:dyDescent="0.35">
      <c r="A2765" t="s">
        <v>763</v>
      </c>
      <c r="B2765" t="s">
        <v>1587</v>
      </c>
      <c r="C2765" t="s">
        <v>4313</v>
      </c>
      <c r="D2765">
        <v>3</v>
      </c>
      <c r="E2765" t="s">
        <v>1720</v>
      </c>
      <c r="F2765" t="s">
        <v>1724</v>
      </c>
      <c r="G2765" t="s">
        <v>4425</v>
      </c>
      <c r="H2765" t="s">
        <v>4314</v>
      </c>
    </row>
    <row r="2766" spans="1:8" x14ac:dyDescent="0.35">
      <c r="A2766" t="s">
        <v>763</v>
      </c>
      <c r="B2766" t="s">
        <v>1587</v>
      </c>
      <c r="C2766" t="s">
        <v>4223</v>
      </c>
      <c r="D2766">
        <v>1E-3</v>
      </c>
      <c r="E2766" t="s">
        <v>1720</v>
      </c>
      <c r="F2766" t="s">
        <v>1721</v>
      </c>
      <c r="G2766" t="s">
        <v>4399</v>
      </c>
      <c r="H2766" t="s">
        <v>4224</v>
      </c>
    </row>
    <row r="2767" spans="1:8" x14ac:dyDescent="0.35">
      <c r="A2767" t="s">
        <v>763</v>
      </c>
      <c r="B2767" t="s">
        <v>1587</v>
      </c>
      <c r="C2767" t="s">
        <v>4223</v>
      </c>
      <c r="D2767">
        <v>3</v>
      </c>
      <c r="E2767" t="s">
        <v>1720</v>
      </c>
      <c r="F2767" t="s">
        <v>1724</v>
      </c>
      <c r="G2767" t="s">
        <v>4399</v>
      </c>
      <c r="H2767" t="s">
        <v>4224</v>
      </c>
    </row>
    <row r="2768" spans="1:8" x14ac:dyDescent="0.35">
      <c r="A2768" t="s">
        <v>763</v>
      </c>
      <c r="B2768" t="s">
        <v>1587</v>
      </c>
      <c r="C2768" t="s">
        <v>4302</v>
      </c>
      <c r="D2768">
        <v>3</v>
      </c>
      <c r="E2768" t="s">
        <v>1720</v>
      </c>
      <c r="F2768" t="s">
        <v>1724</v>
      </c>
      <c r="G2768" t="s">
        <v>4420</v>
      </c>
      <c r="H2768" t="s">
        <v>4303</v>
      </c>
    </row>
    <row r="2769" spans="1:8" x14ac:dyDescent="0.35">
      <c r="A2769" t="s">
        <v>763</v>
      </c>
      <c r="B2769" t="s">
        <v>1587</v>
      </c>
      <c r="C2769" t="s">
        <v>4232</v>
      </c>
      <c r="D2769">
        <v>1.5</v>
      </c>
      <c r="E2769" t="s">
        <v>1720</v>
      </c>
      <c r="F2769" t="s">
        <v>1724</v>
      </c>
      <c r="G2769" t="s">
        <v>4402</v>
      </c>
      <c r="H2769" t="s">
        <v>4233</v>
      </c>
    </row>
    <row r="2770" spans="1:8" x14ac:dyDescent="0.35">
      <c r="A2770" t="s">
        <v>763</v>
      </c>
      <c r="B2770" t="s">
        <v>1587</v>
      </c>
      <c r="C2770" t="s">
        <v>4334</v>
      </c>
      <c r="D2770">
        <v>3</v>
      </c>
      <c r="E2770" t="s">
        <v>1720</v>
      </c>
      <c r="F2770" t="s">
        <v>1724</v>
      </c>
      <c r="G2770" t="s">
        <v>4443</v>
      </c>
      <c r="H2770" t="s">
        <v>4335</v>
      </c>
    </row>
    <row r="2771" spans="1:8" x14ac:dyDescent="0.35">
      <c r="A2771" t="s">
        <v>763</v>
      </c>
      <c r="B2771" t="s">
        <v>1587</v>
      </c>
      <c r="C2771" t="s">
        <v>4236</v>
      </c>
      <c r="D2771">
        <v>3</v>
      </c>
      <c r="E2771" t="s">
        <v>1720</v>
      </c>
      <c r="F2771" t="s">
        <v>1724</v>
      </c>
      <c r="G2771" t="s">
        <v>4403</v>
      </c>
      <c r="H2771" t="s">
        <v>4237</v>
      </c>
    </row>
    <row r="2772" spans="1:8" x14ac:dyDescent="0.35">
      <c r="A2772" t="s">
        <v>763</v>
      </c>
      <c r="B2772" t="s">
        <v>1587</v>
      </c>
      <c r="C2772" t="s">
        <v>4230</v>
      </c>
      <c r="D2772">
        <v>3</v>
      </c>
      <c r="E2772" t="s">
        <v>1720</v>
      </c>
      <c r="F2772" t="s">
        <v>1724</v>
      </c>
      <c r="G2772" t="s">
        <v>4396</v>
      </c>
      <c r="H2772" t="s">
        <v>4231</v>
      </c>
    </row>
    <row r="2773" spans="1:8" x14ac:dyDescent="0.35">
      <c r="A2773" t="s">
        <v>763</v>
      </c>
      <c r="B2773" t="s">
        <v>1587</v>
      </c>
      <c r="C2773" t="s">
        <v>4238</v>
      </c>
      <c r="D2773">
        <v>3</v>
      </c>
      <c r="E2773" t="s">
        <v>1720</v>
      </c>
      <c r="F2773" t="s">
        <v>1724</v>
      </c>
      <c r="G2773" t="s">
        <v>4404</v>
      </c>
      <c r="H2773" t="s">
        <v>4239</v>
      </c>
    </row>
    <row r="2774" spans="1:8" x14ac:dyDescent="0.35">
      <c r="A2774" t="s">
        <v>763</v>
      </c>
      <c r="B2774" t="s">
        <v>1587</v>
      </c>
      <c r="C2774" t="s">
        <v>4250</v>
      </c>
      <c r="D2774">
        <v>3</v>
      </c>
      <c r="E2774" t="s">
        <v>1720</v>
      </c>
      <c r="F2774" t="s">
        <v>1724</v>
      </c>
      <c r="G2774" t="s">
        <v>4402</v>
      </c>
      <c r="H2774" t="s">
        <v>4251</v>
      </c>
    </row>
    <row r="2775" spans="1:8" x14ac:dyDescent="0.35">
      <c r="A2775" t="s">
        <v>763</v>
      </c>
      <c r="B2775" t="s">
        <v>1587</v>
      </c>
      <c r="C2775" t="s">
        <v>4240</v>
      </c>
      <c r="D2775">
        <v>3</v>
      </c>
      <c r="E2775" t="s">
        <v>1720</v>
      </c>
      <c r="F2775" t="s">
        <v>1724</v>
      </c>
      <c r="G2775" t="s">
        <v>4402</v>
      </c>
      <c r="H2775" t="s">
        <v>4241</v>
      </c>
    </row>
    <row r="2776" spans="1:8" x14ac:dyDescent="0.35">
      <c r="A2776" t="s">
        <v>763</v>
      </c>
      <c r="B2776" t="s">
        <v>1587</v>
      </c>
      <c r="C2776" t="s">
        <v>4252</v>
      </c>
      <c r="D2776">
        <v>3</v>
      </c>
      <c r="E2776" t="s">
        <v>1720</v>
      </c>
      <c r="F2776" t="s">
        <v>1724</v>
      </c>
      <c r="G2776" t="s">
        <v>4402</v>
      </c>
      <c r="H2776" t="s">
        <v>4253</v>
      </c>
    </row>
    <row r="2777" spans="1:8" x14ac:dyDescent="0.35">
      <c r="A2777" t="s">
        <v>763</v>
      </c>
      <c r="B2777" t="s">
        <v>1587</v>
      </c>
      <c r="C2777" t="s">
        <v>4244</v>
      </c>
      <c r="D2777">
        <v>3</v>
      </c>
      <c r="E2777" t="s">
        <v>1720</v>
      </c>
      <c r="F2777" t="s">
        <v>1724</v>
      </c>
      <c r="G2777" t="s">
        <v>4406</v>
      </c>
      <c r="H2777" t="s">
        <v>4245</v>
      </c>
    </row>
    <row r="2778" spans="1:8" x14ac:dyDescent="0.35">
      <c r="A2778" t="s">
        <v>763</v>
      </c>
      <c r="B2778" t="s">
        <v>1587</v>
      </c>
      <c r="C2778" t="s">
        <v>4244</v>
      </c>
      <c r="D2778">
        <v>4.5</v>
      </c>
      <c r="E2778" t="s">
        <v>1720</v>
      </c>
      <c r="F2778" t="s">
        <v>1724</v>
      </c>
      <c r="G2778" t="s">
        <v>4407</v>
      </c>
      <c r="H2778" t="s">
        <v>4245</v>
      </c>
    </row>
    <row r="2779" spans="1:8" x14ac:dyDescent="0.35">
      <c r="A2779" t="s">
        <v>763</v>
      </c>
      <c r="B2779" t="s">
        <v>1587</v>
      </c>
      <c r="C2779" t="s">
        <v>4298</v>
      </c>
      <c r="D2779">
        <v>3</v>
      </c>
      <c r="E2779" t="s">
        <v>1720</v>
      </c>
      <c r="F2779" t="s">
        <v>1724</v>
      </c>
      <c r="G2779" t="s">
        <v>4419</v>
      </c>
      <c r="H2779" t="s">
        <v>4299</v>
      </c>
    </row>
    <row r="2780" spans="1:8" x14ac:dyDescent="0.35">
      <c r="A2780" t="s">
        <v>763</v>
      </c>
      <c r="B2780" t="s">
        <v>1587</v>
      </c>
      <c r="C2780" t="s">
        <v>4323</v>
      </c>
      <c r="D2780">
        <v>2</v>
      </c>
      <c r="E2780" t="s">
        <v>1720</v>
      </c>
      <c r="F2780" t="s">
        <v>1724</v>
      </c>
      <c r="G2780" t="s">
        <v>4428</v>
      </c>
      <c r="H2780" t="s">
        <v>4324</v>
      </c>
    </row>
    <row r="2781" spans="1:8" x14ac:dyDescent="0.35">
      <c r="A2781" t="s">
        <v>763</v>
      </c>
      <c r="B2781" t="s">
        <v>1587</v>
      </c>
      <c r="C2781" t="s">
        <v>4323</v>
      </c>
      <c r="D2781">
        <v>2</v>
      </c>
      <c r="E2781" t="s">
        <v>1720</v>
      </c>
      <c r="F2781" t="s">
        <v>1724</v>
      </c>
      <c r="G2781" t="s">
        <v>4429</v>
      </c>
      <c r="H2781" t="s">
        <v>4324</v>
      </c>
    </row>
    <row r="2782" spans="1:8" x14ac:dyDescent="0.35">
      <c r="A2782" t="s">
        <v>763</v>
      </c>
      <c r="B2782" t="s">
        <v>1587</v>
      </c>
      <c r="C2782" t="s">
        <v>4323</v>
      </c>
      <c r="D2782">
        <v>2</v>
      </c>
      <c r="E2782" t="s">
        <v>1720</v>
      </c>
      <c r="F2782" t="s">
        <v>1724</v>
      </c>
      <c r="G2782" t="s">
        <v>4430</v>
      </c>
      <c r="H2782" t="s">
        <v>4324</v>
      </c>
    </row>
    <row r="2783" spans="1:8" x14ac:dyDescent="0.35">
      <c r="A2783" t="s">
        <v>763</v>
      </c>
      <c r="B2783" t="s">
        <v>1587</v>
      </c>
      <c r="C2783" t="s">
        <v>4323</v>
      </c>
      <c r="D2783">
        <v>4.5</v>
      </c>
      <c r="E2783" t="s">
        <v>1720</v>
      </c>
      <c r="F2783" t="s">
        <v>1724</v>
      </c>
      <c r="G2783" t="s">
        <v>4446</v>
      </c>
      <c r="H2783" t="s">
        <v>4324</v>
      </c>
    </row>
    <row r="2784" spans="1:8" x14ac:dyDescent="0.35">
      <c r="A2784" t="s">
        <v>763</v>
      </c>
      <c r="B2784" t="s">
        <v>1587</v>
      </c>
      <c r="C2784" t="s">
        <v>4242</v>
      </c>
      <c r="D2784">
        <v>3</v>
      </c>
      <c r="E2784" t="s">
        <v>1720</v>
      </c>
      <c r="F2784" t="s">
        <v>1724</v>
      </c>
      <c r="G2784" t="s">
        <v>4405</v>
      </c>
      <c r="H2784" t="s">
        <v>4243</v>
      </c>
    </row>
    <row r="2785" spans="1:8" x14ac:dyDescent="0.35">
      <c r="A2785" t="s">
        <v>763</v>
      </c>
      <c r="B2785" t="s">
        <v>1587</v>
      </c>
      <c r="C2785" t="s">
        <v>4248</v>
      </c>
      <c r="D2785">
        <v>1.5</v>
      </c>
      <c r="E2785" t="s">
        <v>1720</v>
      </c>
      <c r="F2785" t="s">
        <v>1724</v>
      </c>
      <c r="G2785" t="s">
        <v>4402</v>
      </c>
      <c r="H2785" t="s">
        <v>4249</v>
      </c>
    </row>
    <row r="2786" spans="1:8" x14ac:dyDescent="0.35">
      <c r="A2786" t="s">
        <v>763</v>
      </c>
      <c r="B2786" t="s">
        <v>1587</v>
      </c>
      <c r="C2786" t="s">
        <v>4246</v>
      </c>
      <c r="D2786">
        <v>3</v>
      </c>
      <c r="E2786" t="s">
        <v>1720</v>
      </c>
      <c r="F2786" t="s">
        <v>1724</v>
      </c>
      <c r="G2786" t="s">
        <v>4402</v>
      </c>
      <c r="H2786" t="s">
        <v>4247</v>
      </c>
    </row>
    <row r="2787" spans="1:8" x14ac:dyDescent="0.35">
      <c r="A2787" t="s">
        <v>763</v>
      </c>
      <c r="B2787" t="s">
        <v>1587</v>
      </c>
      <c r="C2787" t="s">
        <v>4254</v>
      </c>
      <c r="D2787">
        <v>3</v>
      </c>
      <c r="E2787" t="s">
        <v>1720</v>
      </c>
      <c r="F2787" t="s">
        <v>1724</v>
      </c>
      <c r="G2787" t="s">
        <v>4402</v>
      </c>
      <c r="H2787" t="s">
        <v>4255</v>
      </c>
    </row>
    <row r="2788" spans="1:8" x14ac:dyDescent="0.35">
      <c r="A2788" t="s">
        <v>763</v>
      </c>
      <c r="B2788" t="s">
        <v>1587</v>
      </c>
      <c r="C2788" t="s">
        <v>4256</v>
      </c>
      <c r="D2788">
        <v>3</v>
      </c>
      <c r="E2788" t="s">
        <v>1720</v>
      </c>
      <c r="F2788" t="s">
        <v>1724</v>
      </c>
      <c r="G2788" t="s">
        <v>4402</v>
      </c>
      <c r="H2788" t="s">
        <v>4257</v>
      </c>
    </row>
    <row r="2789" spans="1:8" x14ac:dyDescent="0.35">
      <c r="A2789" t="s">
        <v>763</v>
      </c>
      <c r="B2789" t="s">
        <v>1587</v>
      </c>
      <c r="C2789" t="s">
        <v>4319</v>
      </c>
      <c r="D2789">
        <v>3</v>
      </c>
      <c r="E2789" t="s">
        <v>1720</v>
      </c>
      <c r="F2789" t="s">
        <v>1724</v>
      </c>
      <c r="G2789" t="s">
        <v>4402</v>
      </c>
      <c r="H2789" t="s">
        <v>4320</v>
      </c>
    </row>
    <row r="2790" spans="1:8" x14ac:dyDescent="0.35">
      <c r="A2790" t="s">
        <v>763</v>
      </c>
      <c r="B2790" t="s">
        <v>1587</v>
      </c>
      <c r="C2790" t="s">
        <v>4258</v>
      </c>
      <c r="D2790">
        <v>3</v>
      </c>
      <c r="E2790" t="s">
        <v>1720</v>
      </c>
      <c r="F2790" t="s">
        <v>1724</v>
      </c>
      <c r="G2790" t="s">
        <v>4408</v>
      </c>
      <c r="H2790" t="s">
        <v>4259</v>
      </c>
    </row>
    <row r="2791" spans="1:8" x14ac:dyDescent="0.35">
      <c r="A2791" t="s">
        <v>763</v>
      </c>
      <c r="B2791" t="s">
        <v>1587</v>
      </c>
      <c r="C2791" t="s">
        <v>4262</v>
      </c>
      <c r="D2791">
        <v>3</v>
      </c>
      <c r="E2791" t="s">
        <v>1720</v>
      </c>
      <c r="F2791" t="s">
        <v>1724</v>
      </c>
      <c r="G2791" t="s">
        <v>4410</v>
      </c>
      <c r="H2791" t="s">
        <v>4263</v>
      </c>
    </row>
    <row r="2792" spans="1:8" x14ac:dyDescent="0.35">
      <c r="A2792" t="s">
        <v>763</v>
      </c>
      <c r="B2792" t="s">
        <v>1587</v>
      </c>
      <c r="C2792" t="s">
        <v>4260</v>
      </c>
      <c r="D2792">
        <v>3</v>
      </c>
      <c r="E2792" t="s">
        <v>1720</v>
      </c>
      <c r="F2792" t="s">
        <v>1724</v>
      </c>
      <c r="G2792" t="s">
        <v>4409</v>
      </c>
      <c r="H2792" t="s">
        <v>4261</v>
      </c>
    </row>
    <row r="2793" spans="1:8" x14ac:dyDescent="0.35">
      <c r="A2793" t="s">
        <v>763</v>
      </c>
      <c r="B2793" t="s">
        <v>1587</v>
      </c>
      <c r="C2793" t="s">
        <v>4268</v>
      </c>
      <c r="D2793">
        <v>3</v>
      </c>
      <c r="E2793" t="s">
        <v>1720</v>
      </c>
      <c r="F2793" t="s">
        <v>1724</v>
      </c>
      <c r="G2793" t="s">
        <v>4402</v>
      </c>
      <c r="H2793" t="s">
        <v>4269</v>
      </c>
    </row>
    <row r="2794" spans="1:8" x14ac:dyDescent="0.35">
      <c r="A2794" t="s">
        <v>763</v>
      </c>
      <c r="B2794" t="s">
        <v>1587</v>
      </c>
      <c r="C2794" t="s">
        <v>4264</v>
      </c>
      <c r="D2794">
        <v>3</v>
      </c>
      <c r="E2794" t="s">
        <v>1720</v>
      </c>
      <c r="F2794" t="s">
        <v>1724</v>
      </c>
      <c r="G2794" t="s">
        <v>4402</v>
      </c>
      <c r="H2794" t="s">
        <v>4265</v>
      </c>
    </row>
    <row r="2795" spans="1:8" x14ac:dyDescent="0.35">
      <c r="A2795" t="s">
        <v>763</v>
      </c>
      <c r="B2795" t="s">
        <v>1587</v>
      </c>
      <c r="C2795" t="s">
        <v>4266</v>
      </c>
      <c r="D2795">
        <v>3</v>
      </c>
      <c r="E2795" t="s">
        <v>1720</v>
      </c>
      <c r="F2795" t="s">
        <v>1724</v>
      </c>
      <c r="G2795" t="s">
        <v>4402</v>
      </c>
      <c r="H2795" t="s">
        <v>4267</v>
      </c>
    </row>
    <row r="2796" spans="1:8" x14ac:dyDescent="0.35">
      <c r="A2796" t="s">
        <v>763</v>
      </c>
      <c r="B2796" t="s">
        <v>1587</v>
      </c>
      <c r="C2796" t="s">
        <v>4272</v>
      </c>
      <c r="D2796">
        <v>3</v>
      </c>
      <c r="E2796" t="s">
        <v>1720</v>
      </c>
      <c r="F2796" t="s">
        <v>1724</v>
      </c>
      <c r="G2796" t="s">
        <v>4402</v>
      </c>
      <c r="H2796" t="s">
        <v>4304</v>
      </c>
    </row>
    <row r="2797" spans="1:8" x14ac:dyDescent="0.35">
      <c r="A2797" t="s">
        <v>763</v>
      </c>
      <c r="B2797" t="s">
        <v>1587</v>
      </c>
      <c r="C2797" t="s">
        <v>4276</v>
      </c>
      <c r="D2797">
        <v>3</v>
      </c>
      <c r="E2797" t="s">
        <v>1720</v>
      </c>
      <c r="F2797" t="s">
        <v>1724</v>
      </c>
      <c r="G2797" t="s">
        <v>4413</v>
      </c>
      <c r="H2797" t="s">
        <v>4277</v>
      </c>
    </row>
    <row r="2798" spans="1:8" x14ac:dyDescent="0.35">
      <c r="A2798" t="s">
        <v>763</v>
      </c>
      <c r="B2798" t="s">
        <v>1587</v>
      </c>
      <c r="C2798" t="s">
        <v>4278</v>
      </c>
      <c r="D2798">
        <v>3</v>
      </c>
      <c r="E2798" t="s">
        <v>1720</v>
      </c>
      <c r="F2798" t="s">
        <v>1721</v>
      </c>
      <c r="G2798" t="s">
        <v>4414</v>
      </c>
      <c r="H2798" t="s">
        <v>4279</v>
      </c>
    </row>
    <row r="2799" spans="1:8" x14ac:dyDescent="0.35">
      <c r="A2799" t="s">
        <v>763</v>
      </c>
      <c r="B2799" t="s">
        <v>1587</v>
      </c>
      <c r="C2799" t="s">
        <v>4280</v>
      </c>
      <c r="D2799">
        <v>3</v>
      </c>
      <c r="E2799" t="s">
        <v>1720</v>
      </c>
      <c r="F2799" t="s">
        <v>1724</v>
      </c>
      <c r="G2799" t="s">
        <v>4415</v>
      </c>
      <c r="H2799" t="s">
        <v>4281</v>
      </c>
    </row>
    <row r="2800" spans="1:8" x14ac:dyDescent="0.35">
      <c r="A2800" t="s">
        <v>763</v>
      </c>
      <c r="B2800" t="s">
        <v>1587</v>
      </c>
      <c r="C2800" t="s">
        <v>4282</v>
      </c>
      <c r="D2800">
        <v>3</v>
      </c>
      <c r="E2800" t="s">
        <v>1720</v>
      </c>
      <c r="F2800" t="s">
        <v>1724</v>
      </c>
      <c r="G2800" t="s">
        <v>4402</v>
      </c>
      <c r="H2800" t="s">
        <v>4283</v>
      </c>
    </row>
    <row r="2801" spans="1:8" x14ac:dyDescent="0.35">
      <c r="A2801" t="s">
        <v>763</v>
      </c>
      <c r="B2801" t="s">
        <v>1587</v>
      </c>
      <c r="C2801" t="s">
        <v>4274</v>
      </c>
      <c r="D2801">
        <v>3</v>
      </c>
      <c r="E2801" t="s">
        <v>1720</v>
      </c>
      <c r="F2801" t="s">
        <v>1724</v>
      </c>
      <c r="G2801" t="s">
        <v>4412</v>
      </c>
      <c r="H2801" t="s">
        <v>4275</v>
      </c>
    </row>
    <row r="2802" spans="1:8" x14ac:dyDescent="0.35">
      <c r="A2802" t="s">
        <v>763</v>
      </c>
      <c r="B2802" t="s">
        <v>1587</v>
      </c>
      <c r="C2802" t="s">
        <v>4286</v>
      </c>
      <c r="D2802">
        <v>3</v>
      </c>
      <c r="E2802" t="s">
        <v>1720</v>
      </c>
      <c r="F2802" t="s">
        <v>1724</v>
      </c>
      <c r="G2802" t="s">
        <v>4402</v>
      </c>
      <c r="H2802" t="s">
        <v>4287</v>
      </c>
    </row>
    <row r="2803" spans="1:8" x14ac:dyDescent="0.35">
      <c r="A2803" t="s">
        <v>763</v>
      </c>
      <c r="B2803" t="s">
        <v>1587</v>
      </c>
      <c r="C2803" t="s">
        <v>4290</v>
      </c>
      <c r="D2803">
        <v>3</v>
      </c>
      <c r="E2803" t="s">
        <v>1720</v>
      </c>
      <c r="F2803" t="s">
        <v>1724</v>
      </c>
      <c r="G2803" t="s">
        <v>4402</v>
      </c>
      <c r="H2803" t="s">
        <v>4291</v>
      </c>
    </row>
    <row r="2804" spans="1:8" x14ac:dyDescent="0.35">
      <c r="A2804" t="s">
        <v>763</v>
      </c>
      <c r="B2804" t="s">
        <v>1587</v>
      </c>
      <c r="C2804" t="s">
        <v>4290</v>
      </c>
      <c r="D2804">
        <v>1.9E-3</v>
      </c>
      <c r="E2804" t="s">
        <v>1720</v>
      </c>
      <c r="F2804" t="s">
        <v>1721</v>
      </c>
      <c r="G2804" t="s">
        <v>4402</v>
      </c>
      <c r="H2804" t="s">
        <v>4291</v>
      </c>
    </row>
    <row r="2805" spans="1:8" x14ac:dyDescent="0.35">
      <c r="A2805" t="s">
        <v>763</v>
      </c>
      <c r="B2805" t="s">
        <v>1587</v>
      </c>
      <c r="C2805" t="s">
        <v>4288</v>
      </c>
      <c r="D2805">
        <v>3</v>
      </c>
      <c r="E2805" t="s">
        <v>1720</v>
      </c>
      <c r="F2805" t="s">
        <v>1724</v>
      </c>
      <c r="G2805" t="s">
        <v>4415</v>
      </c>
      <c r="H2805" t="s">
        <v>4289</v>
      </c>
    </row>
    <row r="2806" spans="1:8" x14ac:dyDescent="0.35">
      <c r="A2806" t="s">
        <v>763</v>
      </c>
      <c r="B2806" t="s">
        <v>1587</v>
      </c>
      <c r="C2806" t="s">
        <v>4292</v>
      </c>
      <c r="D2806">
        <v>3</v>
      </c>
      <c r="E2806" t="s">
        <v>1720</v>
      </c>
      <c r="F2806" t="s">
        <v>1724</v>
      </c>
      <c r="G2806" t="s">
        <v>4402</v>
      </c>
      <c r="H2806" t="s">
        <v>4293</v>
      </c>
    </row>
    <row r="2807" spans="1:8" x14ac:dyDescent="0.35">
      <c r="A2807" t="s">
        <v>763</v>
      </c>
      <c r="B2807" t="s">
        <v>1587</v>
      </c>
      <c r="C2807" t="s">
        <v>4294</v>
      </c>
      <c r="D2807">
        <v>3</v>
      </c>
      <c r="E2807" t="s">
        <v>1720</v>
      </c>
      <c r="F2807" t="s">
        <v>1724</v>
      </c>
      <c r="G2807" t="s">
        <v>4418</v>
      </c>
      <c r="H2807" t="s">
        <v>4295</v>
      </c>
    </row>
    <row r="2808" spans="1:8" x14ac:dyDescent="0.35">
      <c r="A2808" t="s">
        <v>763</v>
      </c>
      <c r="B2808" t="s">
        <v>1587</v>
      </c>
      <c r="C2808" t="s">
        <v>4296</v>
      </c>
      <c r="D2808">
        <v>3</v>
      </c>
      <c r="E2808" t="s">
        <v>1720</v>
      </c>
      <c r="F2808" t="s">
        <v>1724</v>
      </c>
      <c r="G2808" t="s">
        <v>4402</v>
      </c>
      <c r="H2808" t="s">
        <v>4297</v>
      </c>
    </row>
    <row r="2809" spans="1:8" x14ac:dyDescent="0.35">
      <c r="A2809" t="s">
        <v>451</v>
      </c>
      <c r="B2809" t="s">
        <v>1603</v>
      </c>
      <c r="C2809" t="s">
        <v>4213</v>
      </c>
      <c r="D2809">
        <v>1.2999999999999999E-3</v>
      </c>
      <c r="E2809" t="s">
        <v>1720</v>
      </c>
      <c r="F2809" t="s">
        <v>1721</v>
      </c>
      <c r="G2809" t="s">
        <v>4393</v>
      </c>
      <c r="H2809" t="s">
        <v>4214</v>
      </c>
    </row>
    <row r="2810" spans="1:8" x14ac:dyDescent="0.35">
      <c r="A2810" t="s">
        <v>451</v>
      </c>
      <c r="B2810" t="s">
        <v>1603</v>
      </c>
      <c r="C2810" t="s">
        <v>4332</v>
      </c>
      <c r="D2810">
        <v>0.03</v>
      </c>
      <c r="E2810" t="s">
        <v>1720</v>
      </c>
      <c r="F2810" t="s">
        <v>1721</v>
      </c>
      <c r="G2810" t="s">
        <v>4438</v>
      </c>
      <c r="H2810" t="s">
        <v>4333</v>
      </c>
    </row>
    <row r="2811" spans="1:8" x14ac:dyDescent="0.35">
      <c r="A2811" t="s">
        <v>451</v>
      </c>
      <c r="B2811" t="s">
        <v>1603</v>
      </c>
      <c r="C2811" t="s">
        <v>4332</v>
      </c>
      <c r="D2811">
        <v>30</v>
      </c>
      <c r="E2811" t="s">
        <v>1720</v>
      </c>
      <c r="F2811" t="s">
        <v>1724</v>
      </c>
      <c r="G2811" t="s">
        <v>4438</v>
      </c>
      <c r="H2811" t="s">
        <v>4333</v>
      </c>
    </row>
    <row r="2812" spans="1:8" x14ac:dyDescent="0.35">
      <c r="A2812" t="s">
        <v>451</v>
      </c>
      <c r="B2812" t="s">
        <v>1603</v>
      </c>
      <c r="C2812" t="s">
        <v>4332</v>
      </c>
      <c r="D2812">
        <v>0.03</v>
      </c>
      <c r="E2812" t="s">
        <v>1720</v>
      </c>
      <c r="F2812" t="s">
        <v>1721</v>
      </c>
      <c r="G2812" t="s">
        <v>4439</v>
      </c>
      <c r="H2812" t="s">
        <v>4333</v>
      </c>
    </row>
    <row r="2813" spans="1:8" x14ac:dyDescent="0.35">
      <c r="A2813" t="s">
        <v>451</v>
      </c>
      <c r="B2813" t="s">
        <v>1603</v>
      </c>
      <c r="C2813" t="s">
        <v>4332</v>
      </c>
      <c r="D2813">
        <v>30</v>
      </c>
      <c r="E2813" t="s">
        <v>1720</v>
      </c>
      <c r="F2813" t="s">
        <v>1724</v>
      </c>
      <c r="G2813" t="s">
        <v>4439</v>
      </c>
      <c r="H2813" t="s">
        <v>4333</v>
      </c>
    </row>
    <row r="2814" spans="1:8" x14ac:dyDescent="0.35">
      <c r="A2814" t="s">
        <v>451</v>
      </c>
      <c r="B2814" t="s">
        <v>1603</v>
      </c>
      <c r="C2814" t="s">
        <v>4332</v>
      </c>
      <c r="D2814">
        <v>0.03</v>
      </c>
      <c r="E2814" t="s">
        <v>1720</v>
      </c>
      <c r="F2814" t="s">
        <v>1721</v>
      </c>
      <c r="G2814" t="s">
        <v>4440</v>
      </c>
      <c r="H2814" t="s">
        <v>4333</v>
      </c>
    </row>
    <row r="2815" spans="1:8" x14ac:dyDescent="0.35">
      <c r="A2815" t="s">
        <v>451</v>
      </c>
      <c r="B2815" t="s">
        <v>1603</v>
      </c>
      <c r="C2815" t="s">
        <v>4332</v>
      </c>
      <c r="D2815">
        <v>30</v>
      </c>
      <c r="E2815" t="s">
        <v>1720</v>
      </c>
      <c r="F2815" t="s">
        <v>1724</v>
      </c>
      <c r="G2815" t="s">
        <v>4440</v>
      </c>
      <c r="H2815" t="s">
        <v>4333</v>
      </c>
    </row>
    <row r="2816" spans="1:8" x14ac:dyDescent="0.35">
      <c r="A2816" t="s">
        <v>451</v>
      </c>
      <c r="B2816" t="s">
        <v>1603</v>
      </c>
      <c r="C2816" t="s">
        <v>4332</v>
      </c>
      <c r="D2816">
        <v>3</v>
      </c>
      <c r="E2816" t="s">
        <v>1720</v>
      </c>
      <c r="F2816" t="s">
        <v>1721</v>
      </c>
      <c r="G2816" t="s">
        <v>4441</v>
      </c>
      <c r="H2816" t="s">
        <v>4333</v>
      </c>
    </row>
    <row r="2817" spans="1:8" x14ac:dyDescent="0.35">
      <c r="A2817" t="s">
        <v>451</v>
      </c>
      <c r="B2817" t="s">
        <v>1603</v>
      </c>
      <c r="C2817" t="s">
        <v>4332</v>
      </c>
      <c r="D2817">
        <v>30</v>
      </c>
      <c r="E2817" t="s">
        <v>1720</v>
      </c>
      <c r="F2817" t="s">
        <v>1724</v>
      </c>
      <c r="G2817" t="s">
        <v>4441</v>
      </c>
      <c r="H2817" t="s">
        <v>4333</v>
      </c>
    </row>
    <row r="2818" spans="1:8" x14ac:dyDescent="0.35">
      <c r="A2818" t="s">
        <v>451</v>
      </c>
      <c r="B2818" t="s">
        <v>1603</v>
      </c>
      <c r="C2818" t="s">
        <v>4332</v>
      </c>
      <c r="D2818">
        <v>3</v>
      </c>
      <c r="E2818" t="s">
        <v>1720</v>
      </c>
      <c r="F2818" t="s">
        <v>1721</v>
      </c>
      <c r="G2818" t="s">
        <v>4442</v>
      </c>
      <c r="H2818" t="s">
        <v>4333</v>
      </c>
    </row>
    <row r="2819" spans="1:8" x14ac:dyDescent="0.35">
      <c r="A2819" t="s">
        <v>451</v>
      </c>
      <c r="B2819" t="s">
        <v>1603</v>
      </c>
      <c r="C2819" t="s">
        <v>4332</v>
      </c>
      <c r="D2819">
        <v>30</v>
      </c>
      <c r="E2819" t="s">
        <v>1720</v>
      </c>
      <c r="F2819" t="s">
        <v>1724</v>
      </c>
      <c r="G2819" t="s">
        <v>4442</v>
      </c>
      <c r="H2819" t="s">
        <v>4333</v>
      </c>
    </row>
    <row r="2820" spans="1:8" x14ac:dyDescent="0.35">
      <c r="A2820" t="s">
        <v>59</v>
      </c>
      <c r="B2820" t="s">
        <v>888</v>
      </c>
      <c r="C2820" t="s">
        <v>4197</v>
      </c>
      <c r="D2820">
        <v>1</v>
      </c>
      <c r="E2820" t="s">
        <v>1720</v>
      </c>
      <c r="F2820" t="s">
        <v>1721</v>
      </c>
      <c r="G2820" t="s">
        <v>4388</v>
      </c>
      <c r="H2820" t="s">
        <v>4198</v>
      </c>
    </row>
    <row r="2821" spans="1:8" x14ac:dyDescent="0.35">
      <c r="A2821" t="s">
        <v>59</v>
      </c>
      <c r="B2821" t="s">
        <v>888</v>
      </c>
      <c r="C2821" t="s">
        <v>4197</v>
      </c>
      <c r="D2821">
        <v>5</v>
      </c>
      <c r="E2821" t="s">
        <v>1720</v>
      </c>
      <c r="F2821" t="s">
        <v>1724</v>
      </c>
      <c r="G2821" t="s">
        <v>4388</v>
      </c>
      <c r="H2821" t="s">
        <v>4198</v>
      </c>
    </row>
    <row r="2822" spans="1:8" x14ac:dyDescent="0.35">
      <c r="A2822" t="s">
        <v>59</v>
      </c>
      <c r="B2822" t="s">
        <v>888</v>
      </c>
      <c r="C2822" t="s">
        <v>4217</v>
      </c>
      <c r="D2822">
        <v>30</v>
      </c>
      <c r="E2822" t="s">
        <v>1720</v>
      </c>
      <c r="F2822" t="s">
        <v>1724</v>
      </c>
      <c r="G2822" t="s">
        <v>4396</v>
      </c>
      <c r="H2822" t="s">
        <v>4218</v>
      </c>
    </row>
    <row r="2823" spans="1:8" x14ac:dyDescent="0.35">
      <c r="A2823" t="s">
        <v>59</v>
      </c>
      <c r="B2823" t="s">
        <v>888</v>
      </c>
      <c r="C2823" t="s">
        <v>4217</v>
      </c>
      <c r="D2823">
        <v>30</v>
      </c>
      <c r="E2823" t="s">
        <v>1720</v>
      </c>
      <c r="F2823" t="s">
        <v>1721</v>
      </c>
      <c r="G2823" t="s">
        <v>4396</v>
      </c>
      <c r="H2823" t="s">
        <v>4218</v>
      </c>
    </row>
    <row r="2824" spans="1:8" x14ac:dyDescent="0.35">
      <c r="A2824" t="s">
        <v>59</v>
      </c>
      <c r="B2824" t="s">
        <v>888</v>
      </c>
      <c r="C2824" t="s">
        <v>4213</v>
      </c>
      <c r="D2824">
        <v>6.3</v>
      </c>
      <c r="E2824" t="s">
        <v>1720</v>
      </c>
      <c r="F2824" t="s">
        <v>1721</v>
      </c>
      <c r="G2824" t="s">
        <v>4393</v>
      </c>
      <c r="H2824" t="s">
        <v>4214</v>
      </c>
    </row>
    <row r="2825" spans="1:8" x14ac:dyDescent="0.35">
      <c r="A2825" t="s">
        <v>59</v>
      </c>
      <c r="B2825" t="s">
        <v>888</v>
      </c>
      <c r="C2825" t="s">
        <v>4213</v>
      </c>
      <c r="D2825">
        <v>30</v>
      </c>
      <c r="E2825" t="s">
        <v>1720</v>
      </c>
      <c r="F2825" t="s">
        <v>1724</v>
      </c>
      <c r="G2825" t="s">
        <v>4393</v>
      </c>
      <c r="H2825" t="s">
        <v>4214</v>
      </c>
    </row>
    <row r="2826" spans="1:8" x14ac:dyDescent="0.35">
      <c r="A2826" t="s">
        <v>59</v>
      </c>
      <c r="B2826" t="s">
        <v>888</v>
      </c>
      <c r="C2826" t="s">
        <v>4313</v>
      </c>
      <c r="D2826">
        <v>6.3</v>
      </c>
      <c r="E2826" t="s">
        <v>1720</v>
      </c>
      <c r="F2826" t="s">
        <v>1721</v>
      </c>
      <c r="G2826" t="s">
        <v>4423</v>
      </c>
      <c r="H2826" t="s">
        <v>4314</v>
      </c>
    </row>
    <row r="2827" spans="1:8" x14ac:dyDescent="0.35">
      <c r="A2827" t="s">
        <v>59</v>
      </c>
      <c r="B2827" t="s">
        <v>888</v>
      </c>
      <c r="C2827" t="s">
        <v>4313</v>
      </c>
      <c r="D2827">
        <v>30</v>
      </c>
      <c r="E2827" t="s">
        <v>1720</v>
      </c>
      <c r="F2827" t="s">
        <v>1724</v>
      </c>
      <c r="G2827" t="s">
        <v>4423</v>
      </c>
      <c r="H2827" t="s">
        <v>4314</v>
      </c>
    </row>
    <row r="2828" spans="1:8" x14ac:dyDescent="0.35">
      <c r="A2828" t="s">
        <v>59</v>
      </c>
      <c r="B2828" t="s">
        <v>888</v>
      </c>
      <c r="C2828" t="s">
        <v>4313</v>
      </c>
      <c r="D2828">
        <v>6.3</v>
      </c>
      <c r="E2828" t="s">
        <v>1720</v>
      </c>
      <c r="F2828" t="s">
        <v>1721</v>
      </c>
      <c r="G2828" t="s">
        <v>4424</v>
      </c>
      <c r="H2828" t="s">
        <v>4314</v>
      </c>
    </row>
    <row r="2829" spans="1:8" x14ac:dyDescent="0.35">
      <c r="A2829" t="s">
        <v>59</v>
      </c>
      <c r="B2829" t="s">
        <v>888</v>
      </c>
      <c r="C2829" t="s">
        <v>4313</v>
      </c>
      <c r="D2829">
        <v>30</v>
      </c>
      <c r="E2829" t="s">
        <v>1720</v>
      </c>
      <c r="F2829" t="s">
        <v>1724</v>
      </c>
      <c r="G2829" t="s">
        <v>4424</v>
      </c>
      <c r="H2829" t="s">
        <v>4314</v>
      </c>
    </row>
    <row r="2830" spans="1:8" x14ac:dyDescent="0.35">
      <c r="A2830" t="s">
        <v>59</v>
      </c>
      <c r="B2830" t="s">
        <v>888</v>
      </c>
      <c r="C2830" t="s">
        <v>4313</v>
      </c>
      <c r="D2830">
        <v>6.3</v>
      </c>
      <c r="E2830" t="s">
        <v>1720</v>
      </c>
      <c r="F2830" t="s">
        <v>1721</v>
      </c>
      <c r="G2830" t="s">
        <v>4425</v>
      </c>
      <c r="H2830" t="s">
        <v>4314</v>
      </c>
    </row>
    <row r="2831" spans="1:8" x14ac:dyDescent="0.35">
      <c r="A2831" t="s">
        <v>59</v>
      </c>
      <c r="B2831" t="s">
        <v>888</v>
      </c>
      <c r="C2831" t="s">
        <v>4313</v>
      </c>
      <c r="D2831">
        <v>30</v>
      </c>
      <c r="E2831" t="s">
        <v>1720</v>
      </c>
      <c r="F2831" t="s">
        <v>1724</v>
      </c>
      <c r="G2831" t="s">
        <v>4425</v>
      </c>
      <c r="H2831" t="s">
        <v>4314</v>
      </c>
    </row>
    <row r="2832" spans="1:8" x14ac:dyDescent="0.35">
      <c r="A2832" t="s">
        <v>59</v>
      </c>
      <c r="B2832" t="s">
        <v>888</v>
      </c>
      <c r="C2832" t="s">
        <v>4223</v>
      </c>
      <c r="D2832">
        <v>6.3</v>
      </c>
      <c r="E2832" t="s">
        <v>1720</v>
      </c>
      <c r="F2832" t="s">
        <v>1721</v>
      </c>
      <c r="G2832" t="s">
        <v>4399</v>
      </c>
      <c r="H2832" t="s">
        <v>4224</v>
      </c>
    </row>
    <row r="2833" spans="1:8" x14ac:dyDescent="0.35">
      <c r="A2833" t="s">
        <v>59</v>
      </c>
      <c r="B2833" t="s">
        <v>888</v>
      </c>
      <c r="C2833" t="s">
        <v>4223</v>
      </c>
      <c r="D2833">
        <v>30</v>
      </c>
      <c r="E2833" t="s">
        <v>1720</v>
      </c>
      <c r="F2833" t="s">
        <v>1724</v>
      </c>
      <c r="G2833" t="s">
        <v>4399</v>
      </c>
      <c r="H2833" t="s">
        <v>4224</v>
      </c>
    </row>
    <row r="2834" spans="1:8" x14ac:dyDescent="0.35">
      <c r="A2834" t="s">
        <v>59</v>
      </c>
      <c r="B2834" t="s">
        <v>888</v>
      </c>
      <c r="C2834" t="s">
        <v>4244</v>
      </c>
      <c r="D2834">
        <v>30</v>
      </c>
      <c r="E2834" t="s">
        <v>1720</v>
      </c>
      <c r="F2834" t="s">
        <v>1724</v>
      </c>
      <c r="G2834" t="s">
        <v>4406</v>
      </c>
      <c r="H2834" t="s">
        <v>4245</v>
      </c>
    </row>
    <row r="2835" spans="1:8" x14ac:dyDescent="0.35">
      <c r="A2835" t="s">
        <v>59</v>
      </c>
      <c r="B2835" t="s">
        <v>888</v>
      </c>
      <c r="C2835" t="s">
        <v>4244</v>
      </c>
      <c r="D2835">
        <v>6</v>
      </c>
      <c r="E2835" t="s">
        <v>1720</v>
      </c>
      <c r="F2835" t="s">
        <v>1721</v>
      </c>
      <c r="G2835" t="s">
        <v>4406</v>
      </c>
      <c r="H2835" t="s">
        <v>4245</v>
      </c>
    </row>
    <row r="2836" spans="1:8" x14ac:dyDescent="0.35">
      <c r="A2836" t="s">
        <v>59</v>
      </c>
      <c r="B2836" t="s">
        <v>888</v>
      </c>
      <c r="C2836" t="s">
        <v>4323</v>
      </c>
      <c r="D2836">
        <v>30</v>
      </c>
      <c r="E2836" t="s">
        <v>1720</v>
      </c>
      <c r="F2836" t="s">
        <v>1724</v>
      </c>
      <c r="G2836" t="s">
        <v>4428</v>
      </c>
      <c r="H2836" t="s">
        <v>4324</v>
      </c>
    </row>
    <row r="2837" spans="1:8" x14ac:dyDescent="0.35">
      <c r="A2837" t="s">
        <v>59</v>
      </c>
      <c r="B2837" t="s">
        <v>888</v>
      </c>
      <c r="C2837" t="s">
        <v>4323</v>
      </c>
      <c r="D2837">
        <v>6.3</v>
      </c>
      <c r="E2837" t="s">
        <v>1720</v>
      </c>
      <c r="F2837" t="s">
        <v>1721</v>
      </c>
      <c r="G2837" t="s">
        <v>4428</v>
      </c>
      <c r="H2837" t="s">
        <v>4324</v>
      </c>
    </row>
    <row r="2838" spans="1:8" x14ac:dyDescent="0.35">
      <c r="A2838" t="s">
        <v>59</v>
      </c>
      <c r="B2838" t="s">
        <v>888</v>
      </c>
      <c r="C2838" t="s">
        <v>4323</v>
      </c>
      <c r="D2838">
        <v>30</v>
      </c>
      <c r="E2838" t="s">
        <v>1720</v>
      </c>
      <c r="F2838" t="s">
        <v>1724</v>
      </c>
      <c r="G2838" t="s">
        <v>4429</v>
      </c>
      <c r="H2838" t="s">
        <v>4324</v>
      </c>
    </row>
    <row r="2839" spans="1:8" x14ac:dyDescent="0.35">
      <c r="A2839" t="s">
        <v>59</v>
      </c>
      <c r="B2839" t="s">
        <v>888</v>
      </c>
      <c r="C2839" t="s">
        <v>4323</v>
      </c>
      <c r="D2839">
        <v>6.3</v>
      </c>
      <c r="E2839" t="s">
        <v>1720</v>
      </c>
      <c r="F2839" t="s">
        <v>1721</v>
      </c>
      <c r="G2839" t="s">
        <v>4429</v>
      </c>
      <c r="H2839" t="s">
        <v>4324</v>
      </c>
    </row>
    <row r="2840" spans="1:8" x14ac:dyDescent="0.35">
      <c r="A2840" t="s">
        <v>59</v>
      </c>
      <c r="B2840" t="s">
        <v>888</v>
      </c>
      <c r="C2840" t="s">
        <v>4323</v>
      </c>
      <c r="D2840">
        <v>54</v>
      </c>
      <c r="E2840" t="s">
        <v>1720</v>
      </c>
      <c r="F2840" t="s">
        <v>1724</v>
      </c>
      <c r="G2840" t="s">
        <v>4430</v>
      </c>
      <c r="H2840" t="s">
        <v>4324</v>
      </c>
    </row>
    <row r="2841" spans="1:8" x14ac:dyDescent="0.35">
      <c r="A2841" t="s">
        <v>59</v>
      </c>
      <c r="B2841" t="s">
        <v>888</v>
      </c>
      <c r="C2841" t="s">
        <v>4323</v>
      </c>
      <c r="D2841">
        <v>6.3</v>
      </c>
      <c r="E2841" t="s">
        <v>1720</v>
      </c>
      <c r="F2841" t="s">
        <v>1721</v>
      </c>
      <c r="G2841" t="s">
        <v>4430</v>
      </c>
      <c r="H2841" t="s">
        <v>4324</v>
      </c>
    </row>
    <row r="2842" spans="1:8" x14ac:dyDescent="0.35">
      <c r="A2842" t="s">
        <v>59</v>
      </c>
      <c r="B2842" t="s">
        <v>888</v>
      </c>
      <c r="C2842" t="s">
        <v>4258</v>
      </c>
      <c r="D2842">
        <v>30</v>
      </c>
      <c r="E2842" t="s">
        <v>1720</v>
      </c>
      <c r="F2842" t="s">
        <v>1724</v>
      </c>
      <c r="G2842" t="s">
        <v>4408</v>
      </c>
      <c r="H2842" t="s">
        <v>4259</v>
      </c>
    </row>
    <row r="2843" spans="1:8" x14ac:dyDescent="0.35">
      <c r="A2843" t="s">
        <v>59</v>
      </c>
      <c r="B2843" t="s">
        <v>888</v>
      </c>
      <c r="C2843" t="s">
        <v>4258</v>
      </c>
      <c r="D2843">
        <v>6.3</v>
      </c>
      <c r="E2843" t="s">
        <v>1720</v>
      </c>
      <c r="F2843" t="s">
        <v>1721</v>
      </c>
      <c r="G2843" t="s">
        <v>4408</v>
      </c>
      <c r="H2843" t="s">
        <v>4259</v>
      </c>
    </row>
    <row r="2844" spans="1:8" x14ac:dyDescent="0.35">
      <c r="A2844" t="s">
        <v>577</v>
      </c>
      <c r="B2844" t="s">
        <v>1401</v>
      </c>
      <c r="C2844" t="s">
        <v>4213</v>
      </c>
      <c r="D2844">
        <v>30</v>
      </c>
      <c r="E2844" t="s">
        <v>1720</v>
      </c>
      <c r="F2844" t="s">
        <v>1721</v>
      </c>
      <c r="G2844" t="s">
        <v>4393</v>
      </c>
      <c r="H2844" t="s">
        <v>4214</v>
      </c>
    </row>
    <row r="2845" spans="1:8" x14ac:dyDescent="0.35">
      <c r="A2845" t="s">
        <v>3326</v>
      </c>
      <c r="B2845" t="s">
        <v>3327</v>
      </c>
      <c r="C2845" t="s">
        <v>4179</v>
      </c>
      <c r="D2845">
        <v>6.6</v>
      </c>
      <c r="E2845" t="s">
        <v>1720</v>
      </c>
      <c r="F2845" t="s">
        <v>1721</v>
      </c>
      <c r="G2845" t="s">
        <v>4380</v>
      </c>
      <c r="H2845" t="s">
        <v>4180</v>
      </c>
    </row>
    <row r="2846" spans="1:8" x14ac:dyDescent="0.35">
      <c r="A2846" t="s">
        <v>3326</v>
      </c>
      <c r="B2846" t="s">
        <v>3327</v>
      </c>
      <c r="C2846" t="s">
        <v>4179</v>
      </c>
      <c r="D2846">
        <v>28</v>
      </c>
      <c r="E2846" t="s">
        <v>1720</v>
      </c>
      <c r="F2846" t="s">
        <v>1724</v>
      </c>
      <c r="G2846" t="s">
        <v>4380</v>
      </c>
      <c r="H2846" t="s">
        <v>4180</v>
      </c>
    </row>
    <row r="2847" spans="1:8" x14ac:dyDescent="0.35">
      <c r="A2847" t="s">
        <v>3326</v>
      </c>
      <c r="B2847" t="s">
        <v>3327</v>
      </c>
      <c r="C2847" t="s">
        <v>4197</v>
      </c>
      <c r="D2847">
        <v>28</v>
      </c>
      <c r="E2847" t="s">
        <v>1720</v>
      </c>
      <c r="F2847" t="s">
        <v>1724</v>
      </c>
      <c r="G2847" t="s">
        <v>4388</v>
      </c>
      <c r="H2847" t="s">
        <v>4198</v>
      </c>
    </row>
    <row r="2848" spans="1:8" x14ac:dyDescent="0.35">
      <c r="A2848" t="s">
        <v>3326</v>
      </c>
      <c r="B2848" t="s">
        <v>3327</v>
      </c>
      <c r="C2848" t="s">
        <v>4189</v>
      </c>
      <c r="D2848">
        <v>28</v>
      </c>
      <c r="E2848" t="s">
        <v>1720</v>
      </c>
      <c r="F2848" t="s">
        <v>1724</v>
      </c>
      <c r="G2848" t="s">
        <v>4385</v>
      </c>
      <c r="H2848" t="s">
        <v>4190</v>
      </c>
    </row>
    <row r="2849" spans="1:8" x14ac:dyDescent="0.35">
      <c r="A2849" t="s">
        <v>3326</v>
      </c>
      <c r="B2849" t="s">
        <v>3327</v>
      </c>
      <c r="C2849" t="s">
        <v>4189</v>
      </c>
      <c r="D2849">
        <v>6.6</v>
      </c>
      <c r="E2849" t="s">
        <v>1720</v>
      </c>
      <c r="F2849" t="s">
        <v>1721</v>
      </c>
      <c r="G2849" t="s">
        <v>4385</v>
      </c>
      <c r="H2849" t="s">
        <v>4190</v>
      </c>
    </row>
    <row r="2850" spans="1:8" x14ac:dyDescent="0.35">
      <c r="A2850" t="s">
        <v>3326</v>
      </c>
      <c r="B2850" t="s">
        <v>3327</v>
      </c>
      <c r="C2850" t="s">
        <v>4191</v>
      </c>
      <c r="D2850">
        <v>6.6</v>
      </c>
      <c r="E2850" t="s">
        <v>1720</v>
      </c>
      <c r="F2850" t="s">
        <v>1721</v>
      </c>
      <c r="G2850" t="s">
        <v>4383</v>
      </c>
      <c r="H2850" t="s">
        <v>4192</v>
      </c>
    </row>
    <row r="2851" spans="1:8" x14ac:dyDescent="0.35">
      <c r="A2851" t="s">
        <v>3326</v>
      </c>
      <c r="B2851" t="s">
        <v>3327</v>
      </c>
      <c r="C2851" t="s">
        <v>4191</v>
      </c>
      <c r="D2851">
        <v>28</v>
      </c>
      <c r="E2851" t="s">
        <v>1720</v>
      </c>
      <c r="F2851" t="s">
        <v>1724</v>
      </c>
      <c r="G2851" t="s">
        <v>4383</v>
      </c>
      <c r="H2851" t="s">
        <v>4192</v>
      </c>
    </row>
    <row r="2852" spans="1:8" x14ac:dyDescent="0.35">
      <c r="A2852" t="s">
        <v>3326</v>
      </c>
      <c r="B2852" t="s">
        <v>3327</v>
      </c>
      <c r="C2852" t="s">
        <v>4195</v>
      </c>
      <c r="D2852">
        <v>6.6</v>
      </c>
      <c r="E2852" t="s">
        <v>1720</v>
      </c>
      <c r="F2852" t="s">
        <v>1721</v>
      </c>
      <c r="G2852" t="s">
        <v>4387</v>
      </c>
      <c r="H2852" t="s">
        <v>4196</v>
      </c>
    </row>
    <row r="2853" spans="1:8" x14ac:dyDescent="0.35">
      <c r="A2853" t="s">
        <v>3326</v>
      </c>
      <c r="B2853" t="s">
        <v>3327</v>
      </c>
      <c r="C2853" t="s">
        <v>4195</v>
      </c>
      <c r="D2853">
        <v>28</v>
      </c>
      <c r="E2853" t="s">
        <v>1720</v>
      </c>
      <c r="F2853" t="s">
        <v>1724</v>
      </c>
      <c r="G2853" t="s">
        <v>4387</v>
      </c>
      <c r="H2853" t="s">
        <v>4196</v>
      </c>
    </row>
    <row r="2854" spans="1:8" x14ac:dyDescent="0.35">
      <c r="A2854" t="s">
        <v>3326</v>
      </c>
      <c r="B2854" t="s">
        <v>3327</v>
      </c>
      <c r="C2854" t="s">
        <v>4205</v>
      </c>
      <c r="D2854">
        <v>6.6</v>
      </c>
      <c r="E2854" t="s">
        <v>1720</v>
      </c>
      <c r="F2854" t="s">
        <v>1721</v>
      </c>
      <c r="G2854" t="s">
        <v>4391</v>
      </c>
      <c r="H2854" t="s">
        <v>4206</v>
      </c>
    </row>
    <row r="2855" spans="1:8" x14ac:dyDescent="0.35">
      <c r="A2855" t="s">
        <v>3326</v>
      </c>
      <c r="B2855" t="s">
        <v>3327</v>
      </c>
      <c r="C2855" t="s">
        <v>4205</v>
      </c>
      <c r="D2855">
        <v>28</v>
      </c>
      <c r="E2855" t="s">
        <v>1720</v>
      </c>
      <c r="F2855" t="s">
        <v>1724</v>
      </c>
      <c r="G2855" t="s">
        <v>4391</v>
      </c>
      <c r="H2855" t="s">
        <v>4206</v>
      </c>
    </row>
    <row r="2856" spans="1:8" x14ac:dyDescent="0.35">
      <c r="A2856" t="s">
        <v>3326</v>
      </c>
      <c r="B2856" t="s">
        <v>3327</v>
      </c>
      <c r="C2856" t="s">
        <v>4207</v>
      </c>
      <c r="D2856">
        <v>6.6</v>
      </c>
      <c r="E2856" t="s">
        <v>1720</v>
      </c>
      <c r="F2856" t="s">
        <v>1721</v>
      </c>
      <c r="G2856" t="s">
        <v>4383</v>
      </c>
      <c r="H2856" t="s">
        <v>4208</v>
      </c>
    </row>
    <row r="2857" spans="1:8" x14ac:dyDescent="0.35">
      <c r="A2857" t="s">
        <v>3326</v>
      </c>
      <c r="B2857" t="s">
        <v>3327</v>
      </c>
      <c r="C2857" t="s">
        <v>4207</v>
      </c>
      <c r="D2857">
        <v>28</v>
      </c>
      <c r="E2857" t="s">
        <v>1720</v>
      </c>
      <c r="F2857" t="s">
        <v>1724</v>
      </c>
      <c r="G2857" t="s">
        <v>4383</v>
      </c>
      <c r="H2857" t="s">
        <v>4208</v>
      </c>
    </row>
    <row r="2858" spans="1:8" x14ac:dyDescent="0.35">
      <c r="A2858" t="s">
        <v>3326</v>
      </c>
      <c r="B2858" t="s">
        <v>3327</v>
      </c>
      <c r="C2858" t="s">
        <v>4217</v>
      </c>
      <c r="D2858">
        <v>6.6</v>
      </c>
      <c r="E2858" t="s">
        <v>1720</v>
      </c>
      <c r="F2858" t="s">
        <v>1721</v>
      </c>
      <c r="G2858" t="s">
        <v>4396</v>
      </c>
      <c r="H2858" t="s">
        <v>4218</v>
      </c>
    </row>
    <row r="2859" spans="1:8" x14ac:dyDescent="0.35">
      <c r="A2859" t="s">
        <v>3326</v>
      </c>
      <c r="B2859" t="s">
        <v>3327</v>
      </c>
      <c r="C2859" t="s">
        <v>4217</v>
      </c>
      <c r="D2859">
        <v>28</v>
      </c>
      <c r="E2859" t="s">
        <v>1720</v>
      </c>
      <c r="F2859" t="s">
        <v>1724</v>
      </c>
      <c r="G2859" t="s">
        <v>4396</v>
      </c>
      <c r="H2859" t="s">
        <v>4218</v>
      </c>
    </row>
    <row r="2860" spans="1:8" x14ac:dyDescent="0.35">
      <c r="A2860" t="s">
        <v>3326</v>
      </c>
      <c r="B2860" t="s">
        <v>3327</v>
      </c>
      <c r="C2860" t="s">
        <v>4215</v>
      </c>
      <c r="D2860">
        <v>6.6</v>
      </c>
      <c r="E2860" t="s">
        <v>1720</v>
      </c>
      <c r="G2860" t="s">
        <v>4395</v>
      </c>
      <c r="H2860" t="s">
        <v>4216</v>
      </c>
    </row>
    <row r="2861" spans="1:8" x14ac:dyDescent="0.35">
      <c r="A2861" t="s">
        <v>3326</v>
      </c>
      <c r="B2861" t="s">
        <v>3327</v>
      </c>
      <c r="C2861" t="s">
        <v>4215</v>
      </c>
      <c r="D2861">
        <v>28</v>
      </c>
      <c r="E2861" t="s">
        <v>1720</v>
      </c>
      <c r="G2861" t="s">
        <v>4395</v>
      </c>
      <c r="H2861" t="s">
        <v>4216</v>
      </c>
    </row>
    <row r="2862" spans="1:8" x14ac:dyDescent="0.35">
      <c r="A2862" t="s">
        <v>3326</v>
      </c>
      <c r="B2862" t="s">
        <v>3327</v>
      </c>
      <c r="C2862" t="s">
        <v>4215</v>
      </c>
      <c r="D2862">
        <v>6.6</v>
      </c>
      <c r="E2862" t="s">
        <v>1720</v>
      </c>
      <c r="G2862" t="s">
        <v>4397</v>
      </c>
      <c r="H2862" t="s">
        <v>4216</v>
      </c>
    </row>
    <row r="2863" spans="1:8" x14ac:dyDescent="0.35">
      <c r="A2863" t="s">
        <v>3326</v>
      </c>
      <c r="B2863" t="s">
        <v>3327</v>
      </c>
      <c r="C2863" t="s">
        <v>4215</v>
      </c>
      <c r="D2863">
        <v>28</v>
      </c>
      <c r="E2863" t="s">
        <v>1720</v>
      </c>
      <c r="G2863" t="s">
        <v>4397</v>
      </c>
      <c r="H2863" t="s">
        <v>4216</v>
      </c>
    </row>
    <row r="2864" spans="1:8" x14ac:dyDescent="0.35">
      <c r="A2864" t="s">
        <v>3326</v>
      </c>
      <c r="B2864" t="s">
        <v>3327</v>
      </c>
      <c r="C2864" t="s">
        <v>4215</v>
      </c>
      <c r="D2864">
        <v>6.6</v>
      </c>
      <c r="E2864" t="s">
        <v>1720</v>
      </c>
      <c r="G2864" t="s">
        <v>4398</v>
      </c>
      <c r="H2864" t="s">
        <v>4216</v>
      </c>
    </row>
    <row r="2865" spans="1:8" x14ac:dyDescent="0.35">
      <c r="A2865" t="s">
        <v>3326</v>
      </c>
      <c r="B2865" t="s">
        <v>3327</v>
      </c>
      <c r="C2865" t="s">
        <v>4215</v>
      </c>
      <c r="D2865">
        <v>28</v>
      </c>
      <c r="E2865" t="s">
        <v>1720</v>
      </c>
      <c r="G2865" t="s">
        <v>4398</v>
      </c>
      <c r="H2865" t="s">
        <v>4216</v>
      </c>
    </row>
    <row r="2866" spans="1:8" x14ac:dyDescent="0.35">
      <c r="A2866" t="s">
        <v>3326</v>
      </c>
      <c r="B2866" t="s">
        <v>3327</v>
      </c>
      <c r="C2866" t="s">
        <v>4317</v>
      </c>
      <c r="D2866">
        <v>6.6</v>
      </c>
      <c r="E2866" t="s">
        <v>1720</v>
      </c>
      <c r="F2866" t="s">
        <v>1721</v>
      </c>
      <c r="G2866" t="s">
        <v>4426</v>
      </c>
      <c r="H2866" t="s">
        <v>4318</v>
      </c>
    </row>
    <row r="2867" spans="1:8" x14ac:dyDescent="0.35">
      <c r="A2867" t="s">
        <v>3326</v>
      </c>
      <c r="B2867" t="s">
        <v>3327</v>
      </c>
      <c r="C2867" t="s">
        <v>4317</v>
      </c>
      <c r="D2867">
        <v>28</v>
      </c>
      <c r="E2867" t="s">
        <v>1720</v>
      </c>
      <c r="F2867" t="s">
        <v>1724</v>
      </c>
      <c r="G2867" t="s">
        <v>4426</v>
      </c>
      <c r="H2867" t="s">
        <v>4318</v>
      </c>
    </row>
    <row r="2868" spans="1:8" x14ac:dyDescent="0.35">
      <c r="A2868" t="s">
        <v>3326</v>
      </c>
      <c r="B2868" t="s">
        <v>3327</v>
      </c>
      <c r="C2868" t="s">
        <v>4213</v>
      </c>
      <c r="D2868">
        <v>6.6</v>
      </c>
      <c r="E2868" t="s">
        <v>1720</v>
      </c>
      <c r="F2868" t="s">
        <v>1721</v>
      </c>
      <c r="G2868" t="s">
        <v>4393</v>
      </c>
      <c r="H2868" t="s">
        <v>4214</v>
      </c>
    </row>
    <row r="2869" spans="1:8" x14ac:dyDescent="0.35">
      <c r="A2869" t="s">
        <v>3326</v>
      </c>
      <c r="B2869" t="s">
        <v>3327</v>
      </c>
      <c r="C2869" t="s">
        <v>4213</v>
      </c>
      <c r="D2869">
        <v>28</v>
      </c>
      <c r="E2869" t="s">
        <v>1720</v>
      </c>
      <c r="F2869" t="s">
        <v>1724</v>
      </c>
      <c r="G2869" t="s">
        <v>4393</v>
      </c>
      <c r="H2869" t="s">
        <v>4214</v>
      </c>
    </row>
    <row r="2870" spans="1:8" x14ac:dyDescent="0.35">
      <c r="A2870" t="s">
        <v>3326</v>
      </c>
      <c r="B2870" t="s">
        <v>3327</v>
      </c>
      <c r="C2870" t="s">
        <v>4199</v>
      </c>
      <c r="D2870">
        <v>6.6</v>
      </c>
      <c r="E2870" t="s">
        <v>1720</v>
      </c>
      <c r="F2870" t="s">
        <v>1721</v>
      </c>
      <c r="G2870" t="s">
        <v>4388</v>
      </c>
      <c r="H2870" t="s">
        <v>4200</v>
      </c>
    </row>
    <row r="2871" spans="1:8" x14ac:dyDescent="0.35">
      <c r="A2871" t="s">
        <v>3326</v>
      </c>
      <c r="B2871" t="s">
        <v>3327</v>
      </c>
      <c r="C2871" t="s">
        <v>4199</v>
      </c>
      <c r="D2871">
        <v>28</v>
      </c>
      <c r="E2871" t="s">
        <v>1720</v>
      </c>
      <c r="F2871" t="s">
        <v>1724</v>
      </c>
      <c r="G2871" t="s">
        <v>4388</v>
      </c>
      <c r="H2871" t="s">
        <v>4200</v>
      </c>
    </row>
    <row r="2872" spans="1:8" x14ac:dyDescent="0.35">
      <c r="A2872" t="s">
        <v>3326</v>
      </c>
      <c r="B2872" t="s">
        <v>3327</v>
      </c>
      <c r="C2872" t="s">
        <v>4209</v>
      </c>
      <c r="D2872">
        <v>6.6</v>
      </c>
      <c r="E2872" t="s">
        <v>1720</v>
      </c>
      <c r="F2872" t="s">
        <v>1721</v>
      </c>
      <c r="G2872" t="s">
        <v>4383</v>
      </c>
      <c r="H2872" t="s">
        <v>4210</v>
      </c>
    </row>
    <row r="2873" spans="1:8" x14ac:dyDescent="0.35">
      <c r="A2873" t="s">
        <v>3326</v>
      </c>
      <c r="B2873" t="s">
        <v>3327</v>
      </c>
      <c r="C2873" t="s">
        <v>4209</v>
      </c>
      <c r="D2873">
        <v>28</v>
      </c>
      <c r="E2873" t="s">
        <v>1720</v>
      </c>
      <c r="F2873" t="s">
        <v>1724</v>
      </c>
      <c r="G2873" t="s">
        <v>4383</v>
      </c>
      <c r="H2873" t="s">
        <v>4210</v>
      </c>
    </row>
    <row r="2874" spans="1:8" x14ac:dyDescent="0.35">
      <c r="A2874" t="s">
        <v>3326</v>
      </c>
      <c r="B2874" t="s">
        <v>3327</v>
      </c>
      <c r="C2874" t="s">
        <v>4221</v>
      </c>
      <c r="D2874">
        <v>28</v>
      </c>
      <c r="E2874" t="s">
        <v>1720</v>
      </c>
      <c r="F2874" t="s">
        <v>1724</v>
      </c>
      <c r="G2874" t="s">
        <v>4383</v>
      </c>
      <c r="H2874" t="s">
        <v>4222</v>
      </c>
    </row>
    <row r="2875" spans="1:8" x14ac:dyDescent="0.35">
      <c r="A2875" t="s">
        <v>3326</v>
      </c>
      <c r="B2875" t="s">
        <v>3327</v>
      </c>
      <c r="C2875" t="s">
        <v>4221</v>
      </c>
      <c r="D2875">
        <v>6.6</v>
      </c>
      <c r="E2875" t="s">
        <v>1720</v>
      </c>
      <c r="F2875" t="s">
        <v>1721</v>
      </c>
      <c r="G2875" t="s">
        <v>4383</v>
      </c>
      <c r="H2875" t="s">
        <v>4222</v>
      </c>
    </row>
    <row r="2876" spans="1:8" x14ac:dyDescent="0.35">
      <c r="A2876" t="s">
        <v>3326</v>
      </c>
      <c r="B2876" t="s">
        <v>3327</v>
      </c>
      <c r="C2876" t="s">
        <v>4215</v>
      </c>
      <c r="D2876">
        <v>6.6</v>
      </c>
      <c r="E2876" t="s">
        <v>1720</v>
      </c>
      <c r="G2876" t="s">
        <v>4394</v>
      </c>
      <c r="H2876" t="s">
        <v>4216</v>
      </c>
    </row>
    <row r="2877" spans="1:8" x14ac:dyDescent="0.35">
      <c r="A2877" t="s">
        <v>3326</v>
      </c>
      <c r="B2877" t="s">
        <v>3327</v>
      </c>
      <c r="C2877" t="s">
        <v>4215</v>
      </c>
      <c r="D2877">
        <v>28</v>
      </c>
      <c r="E2877" t="s">
        <v>1720</v>
      </c>
      <c r="G2877" t="s">
        <v>4394</v>
      </c>
      <c r="H2877" t="s">
        <v>4216</v>
      </c>
    </row>
    <row r="2878" spans="1:8" x14ac:dyDescent="0.35">
      <c r="A2878" t="s">
        <v>3326</v>
      </c>
      <c r="B2878" t="s">
        <v>3327</v>
      </c>
      <c r="C2878" t="s">
        <v>4232</v>
      </c>
      <c r="D2878">
        <v>6.6</v>
      </c>
      <c r="E2878" t="s">
        <v>1720</v>
      </c>
      <c r="F2878" t="s">
        <v>1721</v>
      </c>
      <c r="G2878" t="s">
        <v>4402</v>
      </c>
      <c r="H2878" t="s">
        <v>4233</v>
      </c>
    </row>
    <row r="2879" spans="1:8" x14ac:dyDescent="0.35">
      <c r="A2879" t="s">
        <v>3326</v>
      </c>
      <c r="B2879" t="s">
        <v>3327</v>
      </c>
      <c r="C2879" t="s">
        <v>4232</v>
      </c>
      <c r="D2879">
        <v>28</v>
      </c>
      <c r="E2879" t="s">
        <v>1720</v>
      </c>
      <c r="F2879" t="s">
        <v>1724</v>
      </c>
      <c r="G2879" t="s">
        <v>4402</v>
      </c>
      <c r="H2879" t="s">
        <v>4233</v>
      </c>
    </row>
    <row r="2880" spans="1:8" x14ac:dyDescent="0.35">
      <c r="A2880" t="s">
        <v>3326</v>
      </c>
      <c r="B2880" t="s">
        <v>3327</v>
      </c>
      <c r="C2880" t="s">
        <v>4197</v>
      </c>
      <c r="D2880">
        <v>6.6</v>
      </c>
      <c r="E2880" t="s">
        <v>1720</v>
      </c>
      <c r="F2880" t="s">
        <v>1721</v>
      </c>
      <c r="G2880" t="s">
        <v>4388</v>
      </c>
      <c r="H2880" t="s">
        <v>4198</v>
      </c>
    </row>
    <row r="2881" spans="1:8" x14ac:dyDescent="0.35">
      <c r="A2881" t="s">
        <v>3326</v>
      </c>
      <c r="B2881" t="s">
        <v>3327</v>
      </c>
      <c r="C2881" t="s">
        <v>4234</v>
      </c>
      <c r="D2881">
        <v>28</v>
      </c>
      <c r="E2881" t="s">
        <v>1720</v>
      </c>
      <c r="G2881" t="s">
        <v>4383</v>
      </c>
      <c r="H2881" t="s">
        <v>4235</v>
      </c>
    </row>
    <row r="2882" spans="1:8" x14ac:dyDescent="0.35">
      <c r="A2882" t="s">
        <v>3326</v>
      </c>
      <c r="B2882" t="s">
        <v>3327</v>
      </c>
      <c r="C2882" t="s">
        <v>4234</v>
      </c>
      <c r="D2882">
        <v>6.6</v>
      </c>
      <c r="E2882" t="s">
        <v>1720</v>
      </c>
      <c r="G2882" t="s">
        <v>4383</v>
      </c>
      <c r="H2882" t="s">
        <v>4235</v>
      </c>
    </row>
    <row r="2883" spans="1:8" x14ac:dyDescent="0.35">
      <c r="A2883" t="s">
        <v>3326</v>
      </c>
      <c r="B2883" t="s">
        <v>3327</v>
      </c>
      <c r="C2883" t="s">
        <v>4211</v>
      </c>
      <c r="D2883">
        <v>6.6</v>
      </c>
      <c r="E2883" t="s">
        <v>1720</v>
      </c>
      <c r="F2883" t="s">
        <v>1721</v>
      </c>
      <c r="G2883" t="s">
        <v>4392</v>
      </c>
      <c r="H2883" t="s">
        <v>4212</v>
      </c>
    </row>
    <row r="2884" spans="1:8" x14ac:dyDescent="0.35">
      <c r="A2884" t="s">
        <v>3326</v>
      </c>
      <c r="B2884" t="s">
        <v>3327</v>
      </c>
      <c r="C2884" t="s">
        <v>4211</v>
      </c>
      <c r="D2884">
        <v>28</v>
      </c>
      <c r="E2884" t="s">
        <v>1720</v>
      </c>
      <c r="F2884" t="s">
        <v>1724</v>
      </c>
      <c r="G2884" t="s">
        <v>4392</v>
      </c>
      <c r="H2884" t="s">
        <v>4212</v>
      </c>
    </row>
    <row r="2885" spans="1:8" x14ac:dyDescent="0.35">
      <c r="A2885" t="s">
        <v>3326</v>
      </c>
      <c r="B2885" t="s">
        <v>3327</v>
      </c>
      <c r="C2885" t="s">
        <v>4229</v>
      </c>
      <c r="D2885">
        <v>28</v>
      </c>
      <c r="E2885" t="s">
        <v>1720</v>
      </c>
      <c r="F2885" t="s">
        <v>1724</v>
      </c>
      <c r="G2885" t="s">
        <v>4399</v>
      </c>
      <c r="H2885" t="s">
        <v>1711</v>
      </c>
    </row>
    <row r="2886" spans="1:8" x14ac:dyDescent="0.35">
      <c r="A2886" t="s">
        <v>3326</v>
      </c>
      <c r="B2886" t="s">
        <v>3327</v>
      </c>
      <c r="C2886" t="s">
        <v>4229</v>
      </c>
      <c r="D2886">
        <v>6.6</v>
      </c>
      <c r="E2886" t="s">
        <v>1720</v>
      </c>
      <c r="F2886" t="s">
        <v>1721</v>
      </c>
      <c r="G2886" t="s">
        <v>4399</v>
      </c>
      <c r="H2886" t="s">
        <v>1711</v>
      </c>
    </row>
    <row r="2887" spans="1:8" x14ac:dyDescent="0.35">
      <c r="A2887" t="s">
        <v>3326</v>
      </c>
      <c r="B2887" t="s">
        <v>3327</v>
      </c>
      <c r="C2887" t="s">
        <v>4302</v>
      </c>
      <c r="D2887">
        <v>28</v>
      </c>
      <c r="E2887" t="s">
        <v>1720</v>
      </c>
      <c r="F2887" t="s">
        <v>1724</v>
      </c>
      <c r="G2887" t="s">
        <v>4420</v>
      </c>
      <c r="H2887" t="s">
        <v>4303</v>
      </c>
    </row>
    <row r="2888" spans="1:8" x14ac:dyDescent="0.35">
      <c r="A2888" t="s">
        <v>3326</v>
      </c>
      <c r="B2888" t="s">
        <v>3327</v>
      </c>
      <c r="C2888" t="s">
        <v>4302</v>
      </c>
      <c r="D2888">
        <v>6.6</v>
      </c>
      <c r="E2888" t="s">
        <v>1720</v>
      </c>
      <c r="F2888" t="s">
        <v>1721</v>
      </c>
      <c r="G2888" t="s">
        <v>4420</v>
      </c>
      <c r="H2888" t="s">
        <v>4303</v>
      </c>
    </row>
    <row r="2889" spans="1:8" x14ac:dyDescent="0.35">
      <c r="A2889" t="s">
        <v>3326</v>
      </c>
      <c r="B2889" t="s">
        <v>3327</v>
      </c>
      <c r="C2889" t="s">
        <v>4240</v>
      </c>
      <c r="D2889">
        <v>28</v>
      </c>
      <c r="E2889" t="s">
        <v>1720</v>
      </c>
      <c r="F2889" t="s">
        <v>1724</v>
      </c>
      <c r="G2889" t="s">
        <v>4402</v>
      </c>
      <c r="H2889" t="s">
        <v>4241</v>
      </c>
    </row>
    <row r="2890" spans="1:8" x14ac:dyDescent="0.35">
      <c r="A2890" t="s">
        <v>3326</v>
      </c>
      <c r="B2890" t="s">
        <v>3327</v>
      </c>
      <c r="C2890" t="s">
        <v>4240</v>
      </c>
      <c r="D2890">
        <v>6.6</v>
      </c>
      <c r="E2890" t="s">
        <v>1720</v>
      </c>
      <c r="F2890" t="s">
        <v>1721</v>
      </c>
      <c r="G2890" t="s">
        <v>4402</v>
      </c>
      <c r="H2890" t="s">
        <v>4241</v>
      </c>
    </row>
    <row r="2891" spans="1:8" x14ac:dyDescent="0.35">
      <c r="A2891" t="s">
        <v>3326</v>
      </c>
      <c r="B2891" t="s">
        <v>3327</v>
      </c>
      <c r="C2891" t="s">
        <v>4360</v>
      </c>
      <c r="D2891">
        <v>28</v>
      </c>
      <c r="E2891" t="s">
        <v>1720</v>
      </c>
      <c r="F2891" t="s">
        <v>1724</v>
      </c>
      <c r="G2891" t="s">
        <v>4383</v>
      </c>
      <c r="H2891" t="s">
        <v>4361</v>
      </c>
    </row>
    <row r="2892" spans="1:8" x14ac:dyDescent="0.35">
      <c r="A2892" t="s">
        <v>3326</v>
      </c>
      <c r="B2892" t="s">
        <v>3327</v>
      </c>
      <c r="C2892" t="s">
        <v>4360</v>
      </c>
      <c r="D2892">
        <v>6.6</v>
      </c>
      <c r="E2892" t="s">
        <v>1720</v>
      </c>
      <c r="F2892" t="s">
        <v>1721</v>
      </c>
      <c r="G2892" t="s">
        <v>4383</v>
      </c>
      <c r="H2892" t="s">
        <v>4361</v>
      </c>
    </row>
    <row r="2893" spans="1:8" x14ac:dyDescent="0.35">
      <c r="A2893" t="s">
        <v>3326</v>
      </c>
      <c r="B2893" t="s">
        <v>3327</v>
      </c>
      <c r="C2893" t="s">
        <v>4242</v>
      </c>
      <c r="D2893">
        <v>28</v>
      </c>
      <c r="E2893" t="s">
        <v>1720</v>
      </c>
      <c r="F2893" t="s">
        <v>1724</v>
      </c>
      <c r="G2893" t="s">
        <v>4405</v>
      </c>
      <c r="H2893" t="s">
        <v>4243</v>
      </c>
    </row>
    <row r="2894" spans="1:8" x14ac:dyDescent="0.35">
      <c r="A2894" t="s">
        <v>3326</v>
      </c>
      <c r="B2894" t="s">
        <v>3327</v>
      </c>
      <c r="C2894" t="s">
        <v>4242</v>
      </c>
      <c r="D2894">
        <v>6.6</v>
      </c>
      <c r="E2894" t="s">
        <v>1720</v>
      </c>
      <c r="F2894" t="s">
        <v>1721</v>
      </c>
      <c r="G2894" t="s">
        <v>4405</v>
      </c>
      <c r="H2894" t="s">
        <v>4243</v>
      </c>
    </row>
    <row r="2895" spans="1:8" x14ac:dyDescent="0.35">
      <c r="A2895" t="s">
        <v>3326</v>
      </c>
      <c r="B2895" t="s">
        <v>3327</v>
      </c>
      <c r="C2895" t="s">
        <v>4244</v>
      </c>
      <c r="D2895">
        <v>28</v>
      </c>
      <c r="E2895" t="s">
        <v>1720</v>
      </c>
      <c r="F2895" t="s">
        <v>1724</v>
      </c>
      <c r="G2895" t="s">
        <v>4406</v>
      </c>
      <c r="H2895" t="s">
        <v>4245</v>
      </c>
    </row>
    <row r="2896" spans="1:8" x14ac:dyDescent="0.35">
      <c r="A2896" t="s">
        <v>3326</v>
      </c>
      <c r="B2896" t="s">
        <v>3327</v>
      </c>
      <c r="C2896" t="s">
        <v>4244</v>
      </c>
      <c r="D2896">
        <v>6.6</v>
      </c>
      <c r="E2896" t="s">
        <v>1720</v>
      </c>
      <c r="F2896" t="s">
        <v>1721</v>
      </c>
      <c r="G2896" t="s">
        <v>4406</v>
      </c>
      <c r="H2896" t="s">
        <v>4245</v>
      </c>
    </row>
    <row r="2897" spans="1:8" x14ac:dyDescent="0.35">
      <c r="A2897" t="s">
        <v>3326</v>
      </c>
      <c r="B2897" t="s">
        <v>3327</v>
      </c>
      <c r="C2897" t="s">
        <v>4246</v>
      </c>
      <c r="D2897">
        <v>6.6</v>
      </c>
      <c r="E2897" t="s">
        <v>1720</v>
      </c>
      <c r="F2897" t="s">
        <v>1721</v>
      </c>
      <c r="G2897" t="s">
        <v>4402</v>
      </c>
      <c r="H2897" t="s">
        <v>4247</v>
      </c>
    </row>
    <row r="2898" spans="1:8" x14ac:dyDescent="0.35">
      <c r="A2898" t="s">
        <v>3326</v>
      </c>
      <c r="B2898" t="s">
        <v>3327</v>
      </c>
      <c r="C2898" t="s">
        <v>4246</v>
      </c>
      <c r="D2898">
        <v>28</v>
      </c>
      <c r="E2898" t="s">
        <v>1720</v>
      </c>
      <c r="F2898" t="s">
        <v>1724</v>
      </c>
      <c r="G2898" t="s">
        <v>4402</v>
      </c>
      <c r="H2898" t="s">
        <v>4247</v>
      </c>
    </row>
    <row r="2899" spans="1:8" x14ac:dyDescent="0.35">
      <c r="A2899" t="s">
        <v>3326</v>
      </c>
      <c r="B2899" t="s">
        <v>3327</v>
      </c>
      <c r="C2899" t="s">
        <v>4248</v>
      </c>
      <c r="D2899">
        <v>28</v>
      </c>
      <c r="E2899" t="s">
        <v>1720</v>
      </c>
      <c r="F2899" t="s">
        <v>1724</v>
      </c>
      <c r="G2899" t="s">
        <v>4402</v>
      </c>
      <c r="H2899" t="s">
        <v>4249</v>
      </c>
    </row>
    <row r="2900" spans="1:8" x14ac:dyDescent="0.35">
      <c r="A2900" t="s">
        <v>3326</v>
      </c>
      <c r="B2900" t="s">
        <v>3327</v>
      </c>
      <c r="C2900" t="s">
        <v>4248</v>
      </c>
      <c r="D2900">
        <v>6.6</v>
      </c>
      <c r="E2900" t="s">
        <v>1720</v>
      </c>
      <c r="F2900" t="s">
        <v>1721</v>
      </c>
      <c r="G2900" t="s">
        <v>4402</v>
      </c>
      <c r="H2900" t="s">
        <v>4249</v>
      </c>
    </row>
    <row r="2901" spans="1:8" x14ac:dyDescent="0.35">
      <c r="A2901" t="s">
        <v>3326</v>
      </c>
      <c r="B2901" t="s">
        <v>3327</v>
      </c>
      <c r="C2901" t="s">
        <v>4319</v>
      </c>
      <c r="D2901">
        <v>28</v>
      </c>
      <c r="E2901" t="s">
        <v>1720</v>
      </c>
      <c r="F2901" t="s">
        <v>1721</v>
      </c>
      <c r="G2901" t="s">
        <v>4402</v>
      </c>
      <c r="H2901" t="s">
        <v>4320</v>
      </c>
    </row>
    <row r="2902" spans="1:8" x14ac:dyDescent="0.35">
      <c r="A2902" t="s">
        <v>3326</v>
      </c>
      <c r="B2902" t="s">
        <v>3327</v>
      </c>
      <c r="C2902" t="s">
        <v>4319</v>
      </c>
      <c r="D2902">
        <v>6.6</v>
      </c>
      <c r="E2902" t="s">
        <v>1720</v>
      </c>
      <c r="F2902" t="s">
        <v>1724</v>
      </c>
      <c r="G2902" t="s">
        <v>4402</v>
      </c>
      <c r="H2902" t="s">
        <v>4320</v>
      </c>
    </row>
    <row r="2903" spans="1:8" x14ac:dyDescent="0.35">
      <c r="A2903" t="s">
        <v>3326</v>
      </c>
      <c r="B2903" t="s">
        <v>3327</v>
      </c>
      <c r="C2903" t="s">
        <v>4256</v>
      </c>
      <c r="D2903">
        <v>28</v>
      </c>
      <c r="E2903" t="s">
        <v>1720</v>
      </c>
      <c r="F2903" t="s">
        <v>1724</v>
      </c>
      <c r="G2903" t="s">
        <v>4402</v>
      </c>
      <c r="H2903" t="s">
        <v>4257</v>
      </c>
    </row>
    <row r="2904" spans="1:8" x14ac:dyDescent="0.35">
      <c r="A2904" t="s">
        <v>3326</v>
      </c>
      <c r="B2904" t="s">
        <v>3327</v>
      </c>
      <c r="C2904" t="s">
        <v>4256</v>
      </c>
      <c r="D2904">
        <v>6.6</v>
      </c>
      <c r="E2904" t="s">
        <v>1720</v>
      </c>
      <c r="F2904" t="s">
        <v>1721</v>
      </c>
      <c r="G2904" t="s">
        <v>4402</v>
      </c>
      <c r="H2904" t="s">
        <v>4257</v>
      </c>
    </row>
    <row r="2905" spans="1:8" x14ac:dyDescent="0.35">
      <c r="A2905" t="s">
        <v>3326</v>
      </c>
      <c r="B2905" t="s">
        <v>3327</v>
      </c>
      <c r="C2905" t="s">
        <v>4276</v>
      </c>
      <c r="D2905">
        <v>28</v>
      </c>
      <c r="E2905" t="s">
        <v>1720</v>
      </c>
      <c r="F2905" t="s">
        <v>1724</v>
      </c>
      <c r="G2905" t="s">
        <v>4413</v>
      </c>
      <c r="H2905" t="s">
        <v>4277</v>
      </c>
    </row>
    <row r="2906" spans="1:8" x14ac:dyDescent="0.35">
      <c r="A2906" t="s">
        <v>3326</v>
      </c>
      <c r="B2906" t="s">
        <v>3327</v>
      </c>
      <c r="C2906" t="s">
        <v>4276</v>
      </c>
      <c r="D2906">
        <v>6.6</v>
      </c>
      <c r="E2906" t="s">
        <v>1720</v>
      </c>
      <c r="F2906" t="s">
        <v>1721</v>
      </c>
      <c r="G2906" t="s">
        <v>4413</v>
      </c>
      <c r="H2906" t="s">
        <v>4277</v>
      </c>
    </row>
    <row r="2907" spans="1:8" x14ac:dyDescent="0.35">
      <c r="A2907" t="s">
        <v>3326</v>
      </c>
      <c r="B2907" t="s">
        <v>3327</v>
      </c>
      <c r="C2907" t="s">
        <v>4280</v>
      </c>
      <c r="D2907">
        <v>6.6</v>
      </c>
      <c r="E2907" t="s">
        <v>1720</v>
      </c>
      <c r="F2907" t="s">
        <v>1721</v>
      </c>
      <c r="G2907" t="s">
        <v>4415</v>
      </c>
      <c r="H2907" t="s">
        <v>4281</v>
      </c>
    </row>
    <row r="2908" spans="1:8" x14ac:dyDescent="0.35">
      <c r="A2908" t="s">
        <v>3326</v>
      </c>
      <c r="B2908" t="s">
        <v>3327</v>
      </c>
      <c r="C2908" t="s">
        <v>4280</v>
      </c>
      <c r="D2908">
        <v>28</v>
      </c>
      <c r="E2908" t="s">
        <v>1720</v>
      </c>
      <c r="F2908" t="s">
        <v>1724</v>
      </c>
      <c r="G2908" t="s">
        <v>4415</v>
      </c>
      <c r="H2908" t="s">
        <v>4281</v>
      </c>
    </row>
    <row r="2909" spans="1:8" x14ac:dyDescent="0.35">
      <c r="A2909" t="s">
        <v>3326</v>
      </c>
      <c r="B2909" t="s">
        <v>3327</v>
      </c>
      <c r="C2909" t="s">
        <v>4225</v>
      </c>
      <c r="D2909">
        <v>28</v>
      </c>
      <c r="E2909" t="s">
        <v>1720</v>
      </c>
      <c r="F2909" t="s">
        <v>1724</v>
      </c>
      <c r="G2909" t="s">
        <v>4400</v>
      </c>
      <c r="H2909" t="s">
        <v>4226</v>
      </c>
    </row>
    <row r="2910" spans="1:8" x14ac:dyDescent="0.35">
      <c r="A2910" t="s">
        <v>3326</v>
      </c>
      <c r="B2910" t="s">
        <v>3327</v>
      </c>
      <c r="C2910" t="s">
        <v>4225</v>
      </c>
      <c r="D2910">
        <v>6.6</v>
      </c>
      <c r="E2910" t="s">
        <v>1720</v>
      </c>
      <c r="F2910" t="s">
        <v>1721</v>
      </c>
      <c r="G2910" t="s">
        <v>4400</v>
      </c>
      <c r="H2910" t="s">
        <v>4226</v>
      </c>
    </row>
    <row r="2911" spans="1:8" x14ac:dyDescent="0.35">
      <c r="A2911" t="s">
        <v>3326</v>
      </c>
      <c r="B2911" t="s">
        <v>3327</v>
      </c>
      <c r="C2911" t="s">
        <v>4298</v>
      </c>
      <c r="D2911">
        <v>28</v>
      </c>
      <c r="E2911" t="s">
        <v>1720</v>
      </c>
      <c r="F2911" t="s">
        <v>1724</v>
      </c>
      <c r="G2911" t="s">
        <v>4419</v>
      </c>
      <c r="H2911" t="s">
        <v>4299</v>
      </c>
    </row>
    <row r="2912" spans="1:8" x14ac:dyDescent="0.35">
      <c r="A2912" t="s">
        <v>3326</v>
      </c>
      <c r="B2912" t="s">
        <v>3327</v>
      </c>
      <c r="C2912" t="s">
        <v>4298</v>
      </c>
      <c r="D2912">
        <v>6.6</v>
      </c>
      <c r="E2912" t="s">
        <v>1720</v>
      </c>
      <c r="F2912" t="s">
        <v>1721</v>
      </c>
      <c r="G2912" t="s">
        <v>4419</v>
      </c>
      <c r="H2912" t="s">
        <v>4299</v>
      </c>
    </row>
    <row r="2913" spans="1:8" x14ac:dyDescent="0.35">
      <c r="A2913" t="s">
        <v>3326</v>
      </c>
      <c r="B2913" t="s">
        <v>3327</v>
      </c>
      <c r="C2913" t="s">
        <v>4292</v>
      </c>
      <c r="D2913">
        <v>28</v>
      </c>
      <c r="E2913" t="s">
        <v>1720</v>
      </c>
      <c r="F2913" t="s">
        <v>1724</v>
      </c>
      <c r="G2913" t="s">
        <v>4402</v>
      </c>
      <c r="H2913" t="s">
        <v>4293</v>
      </c>
    </row>
    <row r="2914" spans="1:8" x14ac:dyDescent="0.35">
      <c r="A2914" t="s">
        <v>3326</v>
      </c>
      <c r="B2914" t="s">
        <v>3327</v>
      </c>
      <c r="C2914" t="s">
        <v>4292</v>
      </c>
      <c r="D2914">
        <v>6.6</v>
      </c>
      <c r="E2914" t="s">
        <v>1720</v>
      </c>
      <c r="F2914" t="s">
        <v>1721</v>
      </c>
      <c r="G2914" t="s">
        <v>4402</v>
      </c>
      <c r="H2914" t="s">
        <v>4293</v>
      </c>
    </row>
    <row r="2915" spans="1:8" x14ac:dyDescent="0.35">
      <c r="A2915" t="s">
        <v>3326</v>
      </c>
      <c r="B2915" t="s">
        <v>3327</v>
      </c>
      <c r="C2915" t="s">
        <v>4286</v>
      </c>
      <c r="D2915">
        <v>28</v>
      </c>
      <c r="E2915" t="s">
        <v>1720</v>
      </c>
      <c r="F2915" t="s">
        <v>1724</v>
      </c>
      <c r="G2915" t="s">
        <v>4402</v>
      </c>
      <c r="H2915" t="s">
        <v>4287</v>
      </c>
    </row>
    <row r="2916" spans="1:8" x14ac:dyDescent="0.35">
      <c r="A2916" t="s">
        <v>3326</v>
      </c>
      <c r="B2916" t="s">
        <v>3327</v>
      </c>
      <c r="C2916" t="s">
        <v>4286</v>
      </c>
      <c r="D2916">
        <v>6.6</v>
      </c>
      <c r="E2916" t="s">
        <v>1720</v>
      </c>
      <c r="F2916" t="s">
        <v>1721</v>
      </c>
      <c r="G2916" t="s">
        <v>4402</v>
      </c>
      <c r="H2916" t="s">
        <v>4287</v>
      </c>
    </row>
    <row r="2917" spans="1:8" x14ac:dyDescent="0.35">
      <c r="A2917" t="s">
        <v>1879</v>
      </c>
      <c r="B2917" t="s">
        <v>3344</v>
      </c>
      <c r="C2917" t="s">
        <v>4179</v>
      </c>
      <c r="D2917">
        <v>20000</v>
      </c>
      <c r="E2917" t="s">
        <v>1720</v>
      </c>
      <c r="F2917" t="s">
        <v>1721</v>
      </c>
      <c r="G2917" t="s">
        <v>4380</v>
      </c>
      <c r="H2917" t="s">
        <v>4180</v>
      </c>
    </row>
    <row r="2918" spans="1:8" x14ac:dyDescent="0.35">
      <c r="A2918" t="s">
        <v>1879</v>
      </c>
      <c r="B2918" t="s">
        <v>3344</v>
      </c>
      <c r="C2918" t="s">
        <v>4187</v>
      </c>
      <c r="D2918">
        <v>122</v>
      </c>
      <c r="E2918" t="s">
        <v>1720</v>
      </c>
      <c r="F2918" t="s">
        <v>1721</v>
      </c>
      <c r="G2918" t="s">
        <v>4384</v>
      </c>
      <c r="H2918" t="s">
        <v>4188</v>
      </c>
    </row>
    <row r="2919" spans="1:8" x14ac:dyDescent="0.35">
      <c r="A2919" t="s">
        <v>1879</v>
      </c>
      <c r="B2919" t="s">
        <v>3344</v>
      </c>
      <c r="C2919" t="s">
        <v>4187</v>
      </c>
      <c r="D2919">
        <v>360</v>
      </c>
      <c r="E2919" t="s">
        <v>1720</v>
      </c>
      <c r="F2919" t="s">
        <v>1724</v>
      </c>
      <c r="G2919" t="s">
        <v>4384</v>
      </c>
      <c r="H2919" t="s">
        <v>4188</v>
      </c>
    </row>
    <row r="2920" spans="1:8" x14ac:dyDescent="0.35">
      <c r="A2920" t="s">
        <v>1879</v>
      </c>
      <c r="B2920" t="s">
        <v>3344</v>
      </c>
      <c r="C2920" t="s">
        <v>4187</v>
      </c>
      <c r="D2920">
        <v>20000</v>
      </c>
      <c r="E2920" t="s">
        <v>1720</v>
      </c>
      <c r="F2920" t="s">
        <v>1721</v>
      </c>
      <c r="G2920" t="s">
        <v>4384</v>
      </c>
      <c r="H2920" t="s">
        <v>4188</v>
      </c>
    </row>
    <row r="2921" spans="1:8" x14ac:dyDescent="0.35">
      <c r="A2921" t="s">
        <v>1879</v>
      </c>
      <c r="B2921" t="s">
        <v>3344</v>
      </c>
      <c r="C2921" t="s">
        <v>4179</v>
      </c>
      <c r="D2921">
        <v>1.4E-2</v>
      </c>
      <c r="E2921" t="s">
        <v>1720</v>
      </c>
      <c r="G2921" t="s">
        <v>4473</v>
      </c>
      <c r="H2921" t="s">
        <v>4180</v>
      </c>
    </row>
    <row r="2922" spans="1:8" x14ac:dyDescent="0.35">
      <c r="A2922" t="s">
        <v>1879</v>
      </c>
      <c r="B2922" t="s">
        <v>3344</v>
      </c>
      <c r="C2922" t="s">
        <v>4179</v>
      </c>
      <c r="D2922">
        <v>1.4999999999999999E-2</v>
      </c>
      <c r="E2922" t="s">
        <v>1720</v>
      </c>
      <c r="G2922" t="s">
        <v>4474</v>
      </c>
      <c r="H2922" t="s">
        <v>4180</v>
      </c>
    </row>
    <row r="2923" spans="1:8" x14ac:dyDescent="0.35">
      <c r="A2923" t="s">
        <v>1879</v>
      </c>
      <c r="B2923" t="s">
        <v>3344</v>
      </c>
      <c r="C2923" t="s">
        <v>4179</v>
      </c>
      <c r="D2923">
        <v>1.4999999999999999E-2</v>
      </c>
      <c r="E2923" t="s">
        <v>1720</v>
      </c>
      <c r="G2923" t="s">
        <v>4475</v>
      </c>
      <c r="H2923" t="s">
        <v>4180</v>
      </c>
    </row>
    <row r="2924" spans="1:8" x14ac:dyDescent="0.35">
      <c r="A2924" t="s">
        <v>1879</v>
      </c>
      <c r="B2924" t="s">
        <v>3344</v>
      </c>
      <c r="C2924" t="s">
        <v>4179</v>
      </c>
      <c r="D2924">
        <v>1.4999999999999999E-2</v>
      </c>
      <c r="E2924" t="s">
        <v>1720</v>
      </c>
      <c r="G2924" t="s">
        <v>4476</v>
      </c>
      <c r="H2924" t="s">
        <v>4180</v>
      </c>
    </row>
    <row r="2925" spans="1:8" x14ac:dyDescent="0.35">
      <c r="A2925" t="s">
        <v>1879</v>
      </c>
      <c r="B2925" t="s">
        <v>3344</v>
      </c>
      <c r="C2925" t="s">
        <v>4179</v>
      </c>
      <c r="D2925">
        <v>1.4999999999999999E-2</v>
      </c>
      <c r="E2925" t="s">
        <v>1720</v>
      </c>
      <c r="G2925" t="s">
        <v>4477</v>
      </c>
      <c r="H2925" t="s">
        <v>4180</v>
      </c>
    </row>
    <row r="2926" spans="1:8" x14ac:dyDescent="0.35">
      <c r="A2926" t="s">
        <v>1879</v>
      </c>
      <c r="B2926" t="s">
        <v>3344</v>
      </c>
      <c r="C2926" t="s">
        <v>4179</v>
      </c>
      <c r="D2926">
        <v>1.35E-2</v>
      </c>
      <c r="E2926" t="s">
        <v>1720</v>
      </c>
      <c r="G2926" t="s">
        <v>4478</v>
      </c>
      <c r="H2926" t="s">
        <v>4180</v>
      </c>
    </row>
    <row r="2927" spans="1:8" x14ac:dyDescent="0.35">
      <c r="A2927" t="s">
        <v>1879</v>
      </c>
      <c r="B2927" t="s">
        <v>3344</v>
      </c>
      <c r="C2927" t="s">
        <v>4179</v>
      </c>
      <c r="D2927">
        <v>0.02</v>
      </c>
      <c r="E2927" t="s">
        <v>1720</v>
      </c>
      <c r="G2927" t="s">
        <v>4479</v>
      </c>
      <c r="H2927" t="s">
        <v>4180</v>
      </c>
    </row>
    <row r="2928" spans="1:8" x14ac:dyDescent="0.35">
      <c r="A2928" t="s">
        <v>1879</v>
      </c>
      <c r="B2928" t="s">
        <v>3344</v>
      </c>
      <c r="C2928" t="s">
        <v>4179</v>
      </c>
      <c r="D2928">
        <v>1.4999999999999999E-2</v>
      </c>
      <c r="E2928" t="s">
        <v>1720</v>
      </c>
      <c r="G2928" t="s">
        <v>4480</v>
      </c>
      <c r="H2928" t="s">
        <v>4180</v>
      </c>
    </row>
    <row r="2929" spans="1:8" x14ac:dyDescent="0.35">
      <c r="A2929" t="s">
        <v>1879</v>
      </c>
      <c r="B2929" t="s">
        <v>3344</v>
      </c>
      <c r="C2929" t="s">
        <v>4179</v>
      </c>
      <c r="D2929">
        <v>0.01</v>
      </c>
      <c r="E2929" t="s">
        <v>1720</v>
      </c>
      <c r="G2929" t="s">
        <v>4481</v>
      </c>
      <c r="H2929" t="s">
        <v>4180</v>
      </c>
    </row>
    <row r="2930" spans="1:8" x14ac:dyDescent="0.35">
      <c r="A2930" t="s">
        <v>1879</v>
      </c>
      <c r="B2930" t="s">
        <v>3344</v>
      </c>
      <c r="C2930" t="s">
        <v>4179</v>
      </c>
      <c r="D2930">
        <v>0.02</v>
      </c>
      <c r="E2930" t="s">
        <v>1720</v>
      </c>
      <c r="G2930" t="s">
        <v>4482</v>
      </c>
      <c r="H2930" t="s">
        <v>4180</v>
      </c>
    </row>
    <row r="2931" spans="1:8" x14ac:dyDescent="0.35">
      <c r="A2931" t="s">
        <v>1879</v>
      </c>
      <c r="B2931" t="s">
        <v>3344</v>
      </c>
      <c r="C2931" t="s">
        <v>4179</v>
      </c>
      <c r="D2931">
        <v>1.4999999999999999E-2</v>
      </c>
      <c r="E2931" t="s">
        <v>1720</v>
      </c>
      <c r="G2931" t="s">
        <v>4483</v>
      </c>
      <c r="H2931" t="s">
        <v>4180</v>
      </c>
    </row>
    <row r="2932" spans="1:8" x14ac:dyDescent="0.35">
      <c r="A2932" t="s">
        <v>1879</v>
      </c>
      <c r="B2932" t="s">
        <v>3344</v>
      </c>
      <c r="C2932" t="s">
        <v>4179</v>
      </c>
      <c r="D2932">
        <v>2.5000000000000001E-2</v>
      </c>
      <c r="E2932" t="s">
        <v>1720</v>
      </c>
      <c r="G2932" t="s">
        <v>4484</v>
      </c>
      <c r="H2932" t="s">
        <v>4180</v>
      </c>
    </row>
    <row r="2933" spans="1:8" x14ac:dyDescent="0.35">
      <c r="A2933" t="s">
        <v>1879</v>
      </c>
      <c r="B2933" t="s">
        <v>3344</v>
      </c>
      <c r="C2933" t="s">
        <v>4179</v>
      </c>
      <c r="D2933">
        <v>1.4999999999999999E-2</v>
      </c>
      <c r="E2933" t="s">
        <v>1720</v>
      </c>
      <c r="G2933" t="s">
        <v>4485</v>
      </c>
      <c r="H2933" t="s">
        <v>4180</v>
      </c>
    </row>
    <row r="2934" spans="1:8" x14ac:dyDescent="0.35">
      <c r="A2934" t="s">
        <v>1879</v>
      </c>
      <c r="B2934" t="s">
        <v>3344</v>
      </c>
      <c r="C2934" t="s">
        <v>4179</v>
      </c>
      <c r="D2934">
        <v>2.5000000000000001E-2</v>
      </c>
      <c r="E2934" t="s">
        <v>1720</v>
      </c>
      <c r="G2934" t="s">
        <v>4486</v>
      </c>
      <c r="H2934" t="s">
        <v>4180</v>
      </c>
    </row>
    <row r="2935" spans="1:8" x14ac:dyDescent="0.35">
      <c r="A2935" t="s">
        <v>1879</v>
      </c>
      <c r="B2935" t="s">
        <v>3344</v>
      </c>
      <c r="C2935" t="s">
        <v>4179</v>
      </c>
      <c r="D2935">
        <v>1.4E-2</v>
      </c>
      <c r="E2935" t="s">
        <v>1720</v>
      </c>
      <c r="G2935" t="s">
        <v>4487</v>
      </c>
      <c r="H2935" t="s">
        <v>4180</v>
      </c>
    </row>
    <row r="2936" spans="1:8" x14ac:dyDescent="0.35">
      <c r="A2936" t="s">
        <v>1879</v>
      </c>
      <c r="B2936" t="s">
        <v>3344</v>
      </c>
      <c r="C2936" t="s">
        <v>4179</v>
      </c>
      <c r="D2936">
        <v>1.37E-2</v>
      </c>
      <c r="E2936" t="s">
        <v>1720</v>
      </c>
      <c r="G2936" t="s">
        <v>4488</v>
      </c>
      <c r="H2936" t="s">
        <v>4180</v>
      </c>
    </row>
    <row r="2937" spans="1:8" x14ac:dyDescent="0.35">
      <c r="A2937" t="s">
        <v>1879</v>
      </c>
      <c r="B2937" t="s">
        <v>3344</v>
      </c>
      <c r="C2937" t="s">
        <v>4187</v>
      </c>
      <c r="D2937">
        <v>250</v>
      </c>
      <c r="E2937" t="s">
        <v>1720</v>
      </c>
      <c r="F2937" t="s">
        <v>1724</v>
      </c>
      <c r="G2937" t="s">
        <v>4384</v>
      </c>
      <c r="H2937" t="s">
        <v>4188</v>
      </c>
    </row>
    <row r="2938" spans="1:8" x14ac:dyDescent="0.35">
      <c r="A2938" t="s">
        <v>1879</v>
      </c>
      <c r="B2938" t="s">
        <v>3344</v>
      </c>
      <c r="C2938" t="s">
        <v>4187</v>
      </c>
      <c r="D2938">
        <v>1600</v>
      </c>
      <c r="E2938" t="s">
        <v>1720</v>
      </c>
      <c r="F2938" t="s">
        <v>1724</v>
      </c>
      <c r="G2938" t="s">
        <v>4384</v>
      </c>
      <c r="H2938" t="s">
        <v>4188</v>
      </c>
    </row>
    <row r="2939" spans="1:8" x14ac:dyDescent="0.35">
      <c r="A2939" t="s">
        <v>1879</v>
      </c>
      <c r="B2939" t="s">
        <v>3344</v>
      </c>
      <c r="C2939" t="s">
        <v>4187</v>
      </c>
      <c r="D2939">
        <v>238000</v>
      </c>
      <c r="E2939" t="s">
        <v>1720</v>
      </c>
      <c r="F2939" t="s">
        <v>1724</v>
      </c>
      <c r="G2939" t="s">
        <v>4384</v>
      </c>
      <c r="H2939" t="s">
        <v>4188</v>
      </c>
    </row>
    <row r="2940" spans="1:8" x14ac:dyDescent="0.35">
      <c r="A2940" t="s">
        <v>1879</v>
      </c>
      <c r="B2940" t="s">
        <v>3344</v>
      </c>
      <c r="C2940" t="s">
        <v>4187</v>
      </c>
      <c r="D2940">
        <v>940</v>
      </c>
      <c r="E2940" t="s">
        <v>1720</v>
      </c>
      <c r="F2940" t="s">
        <v>1724</v>
      </c>
      <c r="G2940" t="s">
        <v>4384</v>
      </c>
      <c r="H2940" t="s">
        <v>4188</v>
      </c>
    </row>
    <row r="2941" spans="1:8" x14ac:dyDescent="0.35">
      <c r="A2941" t="s">
        <v>1879</v>
      </c>
      <c r="B2941" t="s">
        <v>3344</v>
      </c>
      <c r="C2941" t="s">
        <v>4187</v>
      </c>
      <c r="D2941">
        <v>150</v>
      </c>
      <c r="E2941" t="s">
        <v>1720</v>
      </c>
      <c r="F2941" t="s">
        <v>1721</v>
      </c>
      <c r="G2941" t="s">
        <v>4384</v>
      </c>
      <c r="H2941" t="s">
        <v>4188</v>
      </c>
    </row>
    <row r="2942" spans="1:8" x14ac:dyDescent="0.35">
      <c r="A2942" t="s">
        <v>1879</v>
      </c>
      <c r="B2942" t="s">
        <v>3344</v>
      </c>
      <c r="C2942" t="s">
        <v>4187</v>
      </c>
      <c r="D2942">
        <v>230</v>
      </c>
      <c r="E2942" t="s">
        <v>1720</v>
      </c>
      <c r="F2942" t="s">
        <v>1724</v>
      </c>
      <c r="G2942" t="s">
        <v>4384</v>
      </c>
      <c r="H2942" t="s">
        <v>4188</v>
      </c>
    </row>
    <row r="2943" spans="1:8" x14ac:dyDescent="0.35">
      <c r="A2943" t="s">
        <v>1879</v>
      </c>
      <c r="B2943" t="s">
        <v>3344</v>
      </c>
      <c r="C2943" t="s">
        <v>4187</v>
      </c>
      <c r="D2943">
        <v>1100</v>
      </c>
      <c r="E2943" t="s">
        <v>1720</v>
      </c>
      <c r="F2943" t="s">
        <v>1721</v>
      </c>
      <c r="G2943" t="s">
        <v>4384</v>
      </c>
      <c r="H2943" t="s">
        <v>4188</v>
      </c>
    </row>
    <row r="2944" spans="1:8" x14ac:dyDescent="0.35">
      <c r="A2944" t="s">
        <v>1879</v>
      </c>
      <c r="B2944" t="s">
        <v>3344</v>
      </c>
      <c r="C2944" t="s">
        <v>4187</v>
      </c>
      <c r="D2944">
        <v>7240</v>
      </c>
      <c r="E2944" t="s">
        <v>1720</v>
      </c>
      <c r="F2944" t="s">
        <v>1724</v>
      </c>
      <c r="G2944" t="s">
        <v>4384</v>
      </c>
      <c r="H2944" t="s">
        <v>4188</v>
      </c>
    </row>
    <row r="2945" spans="1:8" x14ac:dyDescent="0.35">
      <c r="A2945" t="s">
        <v>1879</v>
      </c>
      <c r="B2945" t="s">
        <v>3344</v>
      </c>
      <c r="C2945" t="s">
        <v>4187</v>
      </c>
      <c r="D2945">
        <v>50</v>
      </c>
      <c r="E2945" t="s">
        <v>1720</v>
      </c>
      <c r="F2945" t="s">
        <v>1721</v>
      </c>
      <c r="G2945" t="s">
        <v>4384</v>
      </c>
      <c r="H2945" t="s">
        <v>4188</v>
      </c>
    </row>
    <row r="2946" spans="1:8" x14ac:dyDescent="0.35">
      <c r="A2946" t="s">
        <v>1879</v>
      </c>
      <c r="B2946" t="s">
        <v>3344</v>
      </c>
      <c r="C2946" t="s">
        <v>4187</v>
      </c>
      <c r="D2946">
        <v>11000</v>
      </c>
      <c r="E2946" t="s">
        <v>1720</v>
      </c>
      <c r="F2946" t="s">
        <v>1724</v>
      </c>
      <c r="G2946" t="s">
        <v>4384</v>
      </c>
      <c r="H2946" t="s">
        <v>4188</v>
      </c>
    </row>
    <row r="2947" spans="1:8" x14ac:dyDescent="0.35">
      <c r="A2947" t="s">
        <v>1879</v>
      </c>
      <c r="B2947" t="s">
        <v>3344</v>
      </c>
      <c r="C2947" t="s">
        <v>4185</v>
      </c>
      <c r="D2947">
        <v>2.5000000000000001E-2</v>
      </c>
      <c r="E2947" t="s">
        <v>1720</v>
      </c>
      <c r="G2947" t="s">
        <v>4489</v>
      </c>
      <c r="H2947" t="s">
        <v>4186</v>
      </c>
    </row>
    <row r="2948" spans="1:8" x14ac:dyDescent="0.35">
      <c r="A2948" t="s">
        <v>1879</v>
      </c>
      <c r="B2948" t="s">
        <v>3344</v>
      </c>
      <c r="C2948" t="s">
        <v>4185</v>
      </c>
      <c r="D2948">
        <v>0.26</v>
      </c>
      <c r="E2948" t="s">
        <v>1720</v>
      </c>
      <c r="F2948" t="s">
        <v>1721</v>
      </c>
      <c r="G2948" t="s">
        <v>4383</v>
      </c>
      <c r="H2948" t="s">
        <v>4186</v>
      </c>
    </row>
    <row r="2949" spans="1:8" x14ac:dyDescent="0.35">
      <c r="A2949" t="s">
        <v>1879</v>
      </c>
      <c r="B2949" t="s">
        <v>3344</v>
      </c>
      <c r="C2949" t="s">
        <v>4185</v>
      </c>
      <c r="D2949">
        <v>12</v>
      </c>
      <c r="E2949" t="s">
        <v>1720</v>
      </c>
      <c r="F2949" t="s">
        <v>1724</v>
      </c>
      <c r="G2949" t="s">
        <v>4383</v>
      </c>
      <c r="H2949" t="s">
        <v>4186</v>
      </c>
    </row>
    <row r="2950" spans="1:8" x14ac:dyDescent="0.35">
      <c r="A2950" t="s">
        <v>1879</v>
      </c>
      <c r="B2950" t="s">
        <v>3344</v>
      </c>
      <c r="C2950" t="s">
        <v>4189</v>
      </c>
      <c r="D2950">
        <v>1.4E-2</v>
      </c>
      <c r="E2950" t="s">
        <v>1720</v>
      </c>
      <c r="F2950" t="s">
        <v>1721</v>
      </c>
      <c r="G2950" t="s">
        <v>4385</v>
      </c>
      <c r="H2950" t="s">
        <v>4190</v>
      </c>
    </row>
    <row r="2951" spans="1:8" x14ac:dyDescent="0.35">
      <c r="A2951" t="s">
        <v>1879</v>
      </c>
      <c r="B2951" t="s">
        <v>3344</v>
      </c>
      <c r="C2951" t="s">
        <v>4185</v>
      </c>
      <c r="D2951">
        <v>0.32</v>
      </c>
      <c r="E2951" t="s">
        <v>1720</v>
      </c>
      <c r="F2951" t="s">
        <v>1721</v>
      </c>
      <c r="G2951" t="s">
        <v>4383</v>
      </c>
      <c r="H2951" t="s">
        <v>4186</v>
      </c>
    </row>
    <row r="2952" spans="1:8" x14ac:dyDescent="0.35">
      <c r="A2952" t="s">
        <v>1879</v>
      </c>
      <c r="B2952" t="s">
        <v>3344</v>
      </c>
      <c r="C2952" t="s">
        <v>4185</v>
      </c>
      <c r="D2952">
        <v>15</v>
      </c>
      <c r="E2952" t="s">
        <v>1720</v>
      </c>
      <c r="F2952" t="s">
        <v>1724</v>
      </c>
      <c r="G2952" t="s">
        <v>4383</v>
      </c>
      <c r="H2952" t="s">
        <v>4186</v>
      </c>
    </row>
    <row r="2953" spans="1:8" x14ac:dyDescent="0.35">
      <c r="A2953" t="s">
        <v>1879</v>
      </c>
      <c r="B2953" t="s">
        <v>3344</v>
      </c>
      <c r="C2953" t="s">
        <v>4187</v>
      </c>
      <c r="D2953">
        <v>3</v>
      </c>
      <c r="E2953" t="s">
        <v>1720</v>
      </c>
      <c r="F2953" t="s">
        <v>1721</v>
      </c>
      <c r="G2953" t="s">
        <v>4384</v>
      </c>
      <c r="H2953" t="s">
        <v>4188</v>
      </c>
    </row>
    <row r="2954" spans="1:8" x14ac:dyDescent="0.35">
      <c r="A2954" t="s">
        <v>1879</v>
      </c>
      <c r="B2954" t="s">
        <v>3344</v>
      </c>
      <c r="C2954" t="s">
        <v>4305</v>
      </c>
      <c r="D2954">
        <v>200</v>
      </c>
      <c r="E2954" t="s">
        <v>1720</v>
      </c>
      <c r="F2954" t="s">
        <v>1721</v>
      </c>
      <c r="G2954" t="s">
        <v>4421</v>
      </c>
      <c r="H2954" t="s">
        <v>4306</v>
      </c>
    </row>
    <row r="2955" spans="1:8" x14ac:dyDescent="0.35">
      <c r="A2955" t="s">
        <v>1879</v>
      </c>
      <c r="B2955" t="s">
        <v>3344</v>
      </c>
      <c r="C2955" t="s">
        <v>4305</v>
      </c>
      <c r="D2955">
        <v>100</v>
      </c>
      <c r="E2955" t="s">
        <v>1720</v>
      </c>
      <c r="F2955" t="s">
        <v>1721</v>
      </c>
      <c r="G2955" t="s">
        <v>4421</v>
      </c>
      <c r="H2955" t="s">
        <v>4306</v>
      </c>
    </row>
    <row r="2956" spans="1:8" x14ac:dyDescent="0.35">
      <c r="A2956" t="s">
        <v>1879</v>
      </c>
      <c r="B2956" t="s">
        <v>3344</v>
      </c>
      <c r="C2956" t="s">
        <v>4305</v>
      </c>
      <c r="D2956">
        <v>5</v>
      </c>
      <c r="E2956" t="s">
        <v>1720</v>
      </c>
      <c r="F2956" t="s">
        <v>1721</v>
      </c>
      <c r="G2956" t="s">
        <v>4490</v>
      </c>
      <c r="H2956" t="s">
        <v>4306</v>
      </c>
    </row>
    <row r="2957" spans="1:8" x14ac:dyDescent="0.35">
      <c r="A2957" t="s">
        <v>1879</v>
      </c>
      <c r="B2957" t="s">
        <v>3344</v>
      </c>
      <c r="C2957" t="s">
        <v>4327</v>
      </c>
      <c r="D2957">
        <v>3</v>
      </c>
      <c r="E2957" t="s">
        <v>1720</v>
      </c>
      <c r="F2957" t="s">
        <v>1721</v>
      </c>
      <c r="G2957" t="s">
        <v>4434</v>
      </c>
      <c r="H2957" t="s">
        <v>4328</v>
      </c>
    </row>
    <row r="2958" spans="1:8" x14ac:dyDescent="0.35">
      <c r="A2958" t="s">
        <v>1879</v>
      </c>
      <c r="B2958" t="s">
        <v>3344</v>
      </c>
      <c r="C2958" t="s">
        <v>4327</v>
      </c>
      <c r="D2958">
        <v>3</v>
      </c>
      <c r="E2958" t="s">
        <v>1720</v>
      </c>
      <c r="F2958" t="s">
        <v>1721</v>
      </c>
      <c r="G2958" t="s">
        <v>4435</v>
      </c>
      <c r="H2958" t="s">
        <v>4328</v>
      </c>
    </row>
    <row r="2959" spans="1:8" x14ac:dyDescent="0.35">
      <c r="A2959" t="s">
        <v>1879</v>
      </c>
      <c r="B2959" t="s">
        <v>3344</v>
      </c>
      <c r="C2959" t="s">
        <v>4327</v>
      </c>
      <c r="D2959">
        <v>150</v>
      </c>
      <c r="E2959" t="s">
        <v>1720</v>
      </c>
      <c r="F2959" t="s">
        <v>1721</v>
      </c>
      <c r="G2959" t="s">
        <v>4434</v>
      </c>
      <c r="H2959" t="s">
        <v>4328</v>
      </c>
    </row>
    <row r="2960" spans="1:8" x14ac:dyDescent="0.35">
      <c r="A2960" t="s">
        <v>1879</v>
      </c>
      <c r="B2960" t="s">
        <v>3344</v>
      </c>
      <c r="C2960" t="s">
        <v>4327</v>
      </c>
      <c r="D2960">
        <v>340</v>
      </c>
      <c r="E2960" t="s">
        <v>1720</v>
      </c>
      <c r="F2960" t="s">
        <v>1724</v>
      </c>
      <c r="G2960" t="s">
        <v>4434</v>
      </c>
      <c r="H2960" t="s">
        <v>4328</v>
      </c>
    </row>
    <row r="2961" spans="1:8" x14ac:dyDescent="0.35">
      <c r="A2961" t="s">
        <v>1879</v>
      </c>
      <c r="B2961" t="s">
        <v>3344</v>
      </c>
      <c r="C2961" t="s">
        <v>4327</v>
      </c>
      <c r="D2961">
        <v>150</v>
      </c>
      <c r="E2961" t="s">
        <v>1720</v>
      </c>
      <c r="F2961" t="s">
        <v>1721</v>
      </c>
      <c r="G2961" t="s">
        <v>4435</v>
      </c>
      <c r="H2961" t="s">
        <v>4328</v>
      </c>
    </row>
    <row r="2962" spans="1:8" x14ac:dyDescent="0.35">
      <c r="A2962" t="s">
        <v>1879</v>
      </c>
      <c r="B2962" t="s">
        <v>3344</v>
      </c>
      <c r="C2962" t="s">
        <v>4327</v>
      </c>
      <c r="D2962">
        <v>340</v>
      </c>
      <c r="E2962" t="s">
        <v>1720</v>
      </c>
      <c r="F2962" t="s">
        <v>1724</v>
      </c>
      <c r="G2962" t="s">
        <v>4435</v>
      </c>
      <c r="H2962" t="s">
        <v>4328</v>
      </c>
    </row>
    <row r="2963" spans="1:8" x14ac:dyDescent="0.35">
      <c r="A2963" t="s">
        <v>1879</v>
      </c>
      <c r="B2963" t="s">
        <v>3344</v>
      </c>
      <c r="C2963" t="s">
        <v>4327</v>
      </c>
      <c r="D2963">
        <v>11</v>
      </c>
      <c r="E2963" t="s">
        <v>1720</v>
      </c>
      <c r="F2963" t="s">
        <v>1721</v>
      </c>
      <c r="G2963" t="s">
        <v>4434</v>
      </c>
      <c r="H2963" t="s">
        <v>4328</v>
      </c>
    </row>
    <row r="2964" spans="1:8" x14ac:dyDescent="0.35">
      <c r="A2964" t="s">
        <v>1879</v>
      </c>
      <c r="B2964" t="s">
        <v>3344</v>
      </c>
      <c r="C2964" t="s">
        <v>4327</v>
      </c>
      <c r="D2964">
        <v>19</v>
      </c>
      <c r="E2964" t="s">
        <v>1720</v>
      </c>
      <c r="F2964" t="s">
        <v>1724</v>
      </c>
      <c r="G2964" t="s">
        <v>4434</v>
      </c>
      <c r="H2964" t="s">
        <v>4328</v>
      </c>
    </row>
    <row r="2965" spans="1:8" x14ac:dyDescent="0.35">
      <c r="A2965" t="s">
        <v>1879</v>
      </c>
      <c r="B2965" t="s">
        <v>3344</v>
      </c>
      <c r="C2965" t="s">
        <v>4305</v>
      </c>
      <c r="D2965">
        <v>10</v>
      </c>
      <c r="E2965" t="s">
        <v>1720</v>
      </c>
      <c r="F2965" t="s">
        <v>1721</v>
      </c>
      <c r="G2965" t="s">
        <v>4421</v>
      </c>
      <c r="H2965" t="s">
        <v>4306</v>
      </c>
    </row>
    <row r="2966" spans="1:8" x14ac:dyDescent="0.35">
      <c r="A2966" t="s">
        <v>1879</v>
      </c>
      <c r="B2966" t="s">
        <v>3344</v>
      </c>
      <c r="C2966" t="s">
        <v>4305</v>
      </c>
      <c r="D2966">
        <v>1</v>
      </c>
      <c r="E2966" t="s">
        <v>1720</v>
      </c>
      <c r="F2966" t="s">
        <v>1721</v>
      </c>
      <c r="G2966" t="s">
        <v>4421</v>
      </c>
      <c r="H2966" t="s">
        <v>4306</v>
      </c>
    </row>
    <row r="2967" spans="1:8" x14ac:dyDescent="0.35">
      <c r="A2967" t="s">
        <v>1879</v>
      </c>
      <c r="B2967" t="s">
        <v>3344</v>
      </c>
      <c r="C2967" t="s">
        <v>4305</v>
      </c>
      <c r="D2967">
        <v>10</v>
      </c>
      <c r="E2967" t="s">
        <v>1720</v>
      </c>
      <c r="F2967" t="s">
        <v>1724</v>
      </c>
      <c r="G2967" t="s">
        <v>4471</v>
      </c>
      <c r="H2967" t="s">
        <v>4306</v>
      </c>
    </row>
    <row r="2968" spans="1:8" x14ac:dyDescent="0.35">
      <c r="A2968" t="s">
        <v>1879</v>
      </c>
      <c r="B2968" t="s">
        <v>3344</v>
      </c>
      <c r="C2968" t="s">
        <v>4305</v>
      </c>
      <c r="D2968">
        <v>40</v>
      </c>
      <c r="E2968" t="s">
        <v>1720</v>
      </c>
      <c r="F2968" t="s">
        <v>1721</v>
      </c>
      <c r="G2968" t="s">
        <v>4421</v>
      </c>
      <c r="H2968" t="s">
        <v>4306</v>
      </c>
    </row>
    <row r="2969" spans="1:8" x14ac:dyDescent="0.35">
      <c r="A2969" t="s">
        <v>1879</v>
      </c>
      <c r="B2969" t="s">
        <v>3344</v>
      </c>
      <c r="C2969" t="s">
        <v>4305</v>
      </c>
      <c r="D2969">
        <v>8.0000000000000002E-3</v>
      </c>
      <c r="E2969" t="s">
        <v>1720</v>
      </c>
      <c r="F2969" t="s">
        <v>1721</v>
      </c>
      <c r="G2969" t="s">
        <v>4421</v>
      </c>
      <c r="H2969" t="s">
        <v>4306</v>
      </c>
    </row>
    <row r="2970" spans="1:8" x14ac:dyDescent="0.35">
      <c r="A2970" t="s">
        <v>1879</v>
      </c>
      <c r="B2970" t="s">
        <v>3344</v>
      </c>
      <c r="C2970" t="s">
        <v>4195</v>
      </c>
      <c r="D2970">
        <v>1000</v>
      </c>
      <c r="E2970" t="s">
        <v>1720</v>
      </c>
      <c r="F2970" t="s">
        <v>1721</v>
      </c>
      <c r="G2970" t="s">
        <v>4387</v>
      </c>
      <c r="H2970" t="s">
        <v>4196</v>
      </c>
    </row>
    <row r="2971" spans="1:8" x14ac:dyDescent="0.35">
      <c r="A2971" t="s">
        <v>1879</v>
      </c>
      <c r="B2971" t="s">
        <v>3344</v>
      </c>
      <c r="C2971" t="s">
        <v>4195</v>
      </c>
      <c r="D2971">
        <v>25</v>
      </c>
      <c r="E2971" t="s">
        <v>1720</v>
      </c>
      <c r="F2971" t="s">
        <v>1721</v>
      </c>
      <c r="G2971" t="s">
        <v>4387</v>
      </c>
      <c r="H2971" t="s">
        <v>4196</v>
      </c>
    </row>
    <row r="2972" spans="1:8" x14ac:dyDescent="0.35">
      <c r="A2972" t="s">
        <v>1879</v>
      </c>
      <c r="B2972" t="s">
        <v>3344</v>
      </c>
      <c r="C2972" t="s">
        <v>4195</v>
      </c>
      <c r="D2972">
        <v>50</v>
      </c>
      <c r="E2972" t="s">
        <v>1720</v>
      </c>
      <c r="F2972" t="s">
        <v>1721</v>
      </c>
      <c r="G2972" t="s">
        <v>4387</v>
      </c>
      <c r="H2972" t="s">
        <v>4196</v>
      </c>
    </row>
    <row r="2973" spans="1:8" x14ac:dyDescent="0.35">
      <c r="A2973" t="s">
        <v>1879</v>
      </c>
      <c r="B2973" t="s">
        <v>3344</v>
      </c>
      <c r="C2973" t="s">
        <v>4195</v>
      </c>
      <c r="D2973">
        <v>20</v>
      </c>
      <c r="E2973" t="s">
        <v>1720</v>
      </c>
      <c r="F2973" t="s">
        <v>1721</v>
      </c>
      <c r="G2973" t="s">
        <v>4387</v>
      </c>
      <c r="H2973" t="s">
        <v>4196</v>
      </c>
    </row>
    <row r="2974" spans="1:8" x14ac:dyDescent="0.35">
      <c r="A2974" t="s">
        <v>1879</v>
      </c>
      <c r="B2974" t="s">
        <v>3344</v>
      </c>
      <c r="C2974" t="s">
        <v>4195</v>
      </c>
      <c r="D2974">
        <v>100</v>
      </c>
      <c r="E2974" t="s">
        <v>1720</v>
      </c>
      <c r="F2974" t="s">
        <v>1721</v>
      </c>
      <c r="G2974" t="s">
        <v>4387</v>
      </c>
      <c r="H2974" t="s">
        <v>4196</v>
      </c>
    </row>
    <row r="2975" spans="1:8" x14ac:dyDescent="0.35">
      <c r="A2975" t="s">
        <v>1879</v>
      </c>
      <c r="B2975" t="s">
        <v>3344</v>
      </c>
      <c r="C2975" t="s">
        <v>4205</v>
      </c>
      <c r="D2975">
        <v>19</v>
      </c>
      <c r="E2975" t="s">
        <v>1720</v>
      </c>
      <c r="F2975" t="s">
        <v>1724</v>
      </c>
      <c r="G2975" t="s">
        <v>4391</v>
      </c>
      <c r="H2975" t="s">
        <v>4206</v>
      </c>
    </row>
    <row r="2976" spans="1:8" x14ac:dyDescent="0.35">
      <c r="A2976" t="s">
        <v>1879</v>
      </c>
      <c r="B2976" t="s">
        <v>3344</v>
      </c>
      <c r="C2976" t="s">
        <v>4205</v>
      </c>
      <c r="D2976">
        <v>11</v>
      </c>
      <c r="E2976" t="s">
        <v>1720</v>
      </c>
      <c r="F2976" t="s">
        <v>1721</v>
      </c>
      <c r="G2976" t="s">
        <v>4391</v>
      </c>
      <c r="H2976" t="s">
        <v>4206</v>
      </c>
    </row>
    <row r="2977" spans="1:8" x14ac:dyDescent="0.35">
      <c r="A2977" t="s">
        <v>1879</v>
      </c>
      <c r="B2977" t="s">
        <v>3344</v>
      </c>
      <c r="C2977" t="s">
        <v>4201</v>
      </c>
      <c r="D2977">
        <v>750</v>
      </c>
      <c r="E2977" t="s">
        <v>1720</v>
      </c>
      <c r="G2977" t="s">
        <v>4491</v>
      </c>
      <c r="H2977" t="s">
        <v>4202</v>
      </c>
    </row>
    <row r="2978" spans="1:8" x14ac:dyDescent="0.35">
      <c r="A2978" t="s">
        <v>1879</v>
      </c>
      <c r="B2978" t="s">
        <v>3344</v>
      </c>
      <c r="C2978" t="s">
        <v>4201</v>
      </c>
      <c r="D2978">
        <v>1500</v>
      </c>
      <c r="E2978" t="s">
        <v>1720</v>
      </c>
      <c r="G2978" t="s">
        <v>4491</v>
      </c>
      <c r="H2978" t="s">
        <v>4202</v>
      </c>
    </row>
    <row r="2979" spans="1:8" x14ac:dyDescent="0.35">
      <c r="A2979" t="s">
        <v>1879</v>
      </c>
      <c r="B2979" t="s">
        <v>3344</v>
      </c>
      <c r="C2979" t="s">
        <v>4311</v>
      </c>
      <c r="D2979">
        <v>7.0000000000000007E-2</v>
      </c>
      <c r="E2979" t="s">
        <v>1720</v>
      </c>
      <c r="G2979" t="s">
        <v>4387</v>
      </c>
      <c r="H2979" t="s">
        <v>4312</v>
      </c>
    </row>
    <row r="2980" spans="1:8" x14ac:dyDescent="0.35">
      <c r="A2980" t="s">
        <v>1879</v>
      </c>
      <c r="B2980" t="s">
        <v>3344</v>
      </c>
      <c r="C2980" t="s">
        <v>4344</v>
      </c>
      <c r="D2980">
        <v>1500</v>
      </c>
      <c r="E2980" t="s">
        <v>1720</v>
      </c>
      <c r="G2980" t="s">
        <v>4451</v>
      </c>
      <c r="H2980" t="s">
        <v>4345</v>
      </c>
    </row>
    <row r="2981" spans="1:8" x14ac:dyDescent="0.35">
      <c r="A2981" t="s">
        <v>1879</v>
      </c>
      <c r="B2981" t="s">
        <v>3344</v>
      </c>
      <c r="C2981" t="s">
        <v>4342</v>
      </c>
      <c r="D2981">
        <v>3</v>
      </c>
      <c r="E2981" t="s">
        <v>1720</v>
      </c>
      <c r="F2981" t="s">
        <v>1721</v>
      </c>
      <c r="G2981" t="s">
        <v>4492</v>
      </c>
      <c r="H2981" t="s">
        <v>4364</v>
      </c>
    </row>
    <row r="2982" spans="1:8" x14ac:dyDescent="0.35">
      <c r="A2982" t="s">
        <v>1879</v>
      </c>
      <c r="B2982" t="s">
        <v>3344</v>
      </c>
      <c r="C2982" t="s">
        <v>4342</v>
      </c>
      <c r="D2982">
        <v>6</v>
      </c>
      <c r="E2982" t="s">
        <v>1720</v>
      </c>
      <c r="F2982" t="s">
        <v>1721</v>
      </c>
      <c r="G2982" t="s">
        <v>4493</v>
      </c>
      <c r="H2982" t="s">
        <v>4364</v>
      </c>
    </row>
    <row r="2983" spans="1:8" x14ac:dyDescent="0.35">
      <c r="A2983" t="s">
        <v>1879</v>
      </c>
      <c r="B2983" t="s">
        <v>3344</v>
      </c>
      <c r="C2983" t="s">
        <v>4342</v>
      </c>
      <c r="D2983">
        <v>14</v>
      </c>
      <c r="E2983" t="s">
        <v>1720</v>
      </c>
      <c r="F2983" t="s">
        <v>1721</v>
      </c>
      <c r="G2983" t="s">
        <v>4494</v>
      </c>
      <c r="H2983" t="s">
        <v>4364</v>
      </c>
    </row>
    <row r="2984" spans="1:8" x14ac:dyDescent="0.35">
      <c r="A2984" t="s">
        <v>1879</v>
      </c>
      <c r="B2984" t="s">
        <v>3344</v>
      </c>
      <c r="C2984" t="s">
        <v>4342</v>
      </c>
      <c r="D2984">
        <v>22</v>
      </c>
      <c r="E2984" t="s">
        <v>1720</v>
      </c>
      <c r="F2984" t="s">
        <v>1721</v>
      </c>
      <c r="G2984" t="s">
        <v>4495</v>
      </c>
      <c r="H2984" t="s">
        <v>4364</v>
      </c>
    </row>
    <row r="2985" spans="1:8" x14ac:dyDescent="0.35">
      <c r="A2985" t="s">
        <v>1879</v>
      </c>
      <c r="B2985" t="s">
        <v>3344</v>
      </c>
      <c r="C2985" t="s">
        <v>4342</v>
      </c>
      <c r="D2985">
        <v>9</v>
      </c>
      <c r="E2985" t="s">
        <v>1720</v>
      </c>
      <c r="F2985" t="s">
        <v>1721</v>
      </c>
      <c r="G2985" t="s">
        <v>4496</v>
      </c>
      <c r="H2985" t="s">
        <v>4364</v>
      </c>
    </row>
    <row r="2986" spans="1:8" x14ac:dyDescent="0.35">
      <c r="A2986" t="s">
        <v>1879</v>
      </c>
      <c r="B2986" t="s">
        <v>3344</v>
      </c>
      <c r="C2986" t="s">
        <v>4342</v>
      </c>
      <c r="D2986">
        <v>20</v>
      </c>
      <c r="E2986" t="s">
        <v>1720</v>
      </c>
      <c r="F2986" t="s">
        <v>1721</v>
      </c>
      <c r="G2986" t="s">
        <v>4497</v>
      </c>
      <c r="H2986" t="s">
        <v>4364</v>
      </c>
    </row>
    <row r="2987" spans="1:8" x14ac:dyDescent="0.35">
      <c r="A2987" t="s">
        <v>1879</v>
      </c>
      <c r="B2987" t="s">
        <v>3344</v>
      </c>
      <c r="C2987" t="s">
        <v>4342</v>
      </c>
      <c r="D2987">
        <v>30</v>
      </c>
      <c r="E2987" t="s">
        <v>1720</v>
      </c>
      <c r="F2987" t="s">
        <v>1721</v>
      </c>
      <c r="G2987" t="s">
        <v>4498</v>
      </c>
      <c r="H2987" t="s">
        <v>4364</v>
      </c>
    </row>
    <row r="2988" spans="1:8" x14ac:dyDescent="0.35">
      <c r="A2988" t="s">
        <v>1879</v>
      </c>
      <c r="B2988" t="s">
        <v>3344</v>
      </c>
      <c r="C2988" t="s">
        <v>4342</v>
      </c>
      <c r="D2988">
        <v>12</v>
      </c>
      <c r="E2988" t="s">
        <v>1720</v>
      </c>
      <c r="F2988" t="s">
        <v>1721</v>
      </c>
      <c r="G2988" t="s">
        <v>4492</v>
      </c>
      <c r="H2988" t="s">
        <v>4364</v>
      </c>
    </row>
    <row r="2989" spans="1:8" x14ac:dyDescent="0.35">
      <c r="A2989" t="s">
        <v>1879</v>
      </c>
      <c r="B2989" t="s">
        <v>3344</v>
      </c>
      <c r="C2989" t="s">
        <v>4342</v>
      </c>
      <c r="D2989">
        <v>20</v>
      </c>
      <c r="E2989" t="s">
        <v>1720</v>
      </c>
      <c r="F2989" t="s">
        <v>1721</v>
      </c>
      <c r="G2989" t="s">
        <v>4493</v>
      </c>
      <c r="H2989" t="s">
        <v>4364</v>
      </c>
    </row>
    <row r="2990" spans="1:8" x14ac:dyDescent="0.35">
      <c r="A2990" t="s">
        <v>1879</v>
      </c>
      <c r="B2990" t="s">
        <v>3344</v>
      </c>
      <c r="C2990" t="s">
        <v>4342</v>
      </c>
      <c r="D2990">
        <v>40</v>
      </c>
      <c r="E2990" t="s">
        <v>1720</v>
      </c>
      <c r="F2990" t="s">
        <v>1721</v>
      </c>
      <c r="G2990" t="s">
        <v>4494</v>
      </c>
      <c r="H2990" t="s">
        <v>4364</v>
      </c>
    </row>
    <row r="2991" spans="1:8" x14ac:dyDescent="0.35">
      <c r="A2991" t="s">
        <v>1879</v>
      </c>
      <c r="B2991" t="s">
        <v>3344</v>
      </c>
      <c r="C2991" t="s">
        <v>4342</v>
      </c>
      <c r="D2991">
        <v>65</v>
      </c>
      <c r="E2991" t="s">
        <v>1720</v>
      </c>
      <c r="F2991" t="s">
        <v>1721</v>
      </c>
      <c r="G2991" t="s">
        <v>4495</v>
      </c>
      <c r="H2991" t="s">
        <v>4364</v>
      </c>
    </row>
    <row r="2992" spans="1:8" x14ac:dyDescent="0.35">
      <c r="A2992" t="s">
        <v>1879</v>
      </c>
      <c r="B2992" t="s">
        <v>3344</v>
      </c>
      <c r="C2992" t="s">
        <v>4342</v>
      </c>
      <c r="D2992">
        <v>30</v>
      </c>
      <c r="E2992" t="s">
        <v>1720</v>
      </c>
      <c r="F2992" t="s">
        <v>1721</v>
      </c>
      <c r="G2992" t="s">
        <v>4496</v>
      </c>
      <c r="H2992" t="s">
        <v>4364</v>
      </c>
    </row>
    <row r="2993" spans="1:8" x14ac:dyDescent="0.35">
      <c r="A2993" t="s">
        <v>1879</v>
      </c>
      <c r="B2993" t="s">
        <v>3344</v>
      </c>
      <c r="C2993" t="s">
        <v>4342</v>
      </c>
      <c r="D2993">
        <v>60</v>
      </c>
      <c r="E2993" t="s">
        <v>1720</v>
      </c>
      <c r="F2993" t="s">
        <v>1721</v>
      </c>
      <c r="G2993" t="s">
        <v>4497</v>
      </c>
      <c r="H2993" t="s">
        <v>4364</v>
      </c>
    </row>
    <row r="2994" spans="1:8" x14ac:dyDescent="0.35">
      <c r="A2994" t="s">
        <v>1879</v>
      </c>
      <c r="B2994" t="s">
        <v>3344</v>
      </c>
      <c r="C2994" t="s">
        <v>4342</v>
      </c>
      <c r="D2994">
        <v>90</v>
      </c>
      <c r="E2994" t="s">
        <v>1720</v>
      </c>
      <c r="F2994" t="s">
        <v>1721</v>
      </c>
      <c r="G2994" t="s">
        <v>4498</v>
      </c>
      <c r="H2994" t="s">
        <v>4364</v>
      </c>
    </row>
    <row r="2995" spans="1:8" x14ac:dyDescent="0.35">
      <c r="A2995" t="s">
        <v>1879</v>
      </c>
      <c r="B2995" t="s">
        <v>3344</v>
      </c>
      <c r="C2995" t="s">
        <v>4348</v>
      </c>
      <c r="D2995">
        <v>19</v>
      </c>
      <c r="E2995" t="s">
        <v>1720</v>
      </c>
      <c r="F2995" t="s">
        <v>1724</v>
      </c>
      <c r="G2995" t="s">
        <v>4499</v>
      </c>
      <c r="H2995" t="s">
        <v>4349</v>
      </c>
    </row>
    <row r="2996" spans="1:8" x14ac:dyDescent="0.35">
      <c r="A2996" t="s">
        <v>1879</v>
      </c>
      <c r="B2996" t="s">
        <v>3344</v>
      </c>
      <c r="C2996" t="s">
        <v>4348</v>
      </c>
      <c r="D2996">
        <v>11</v>
      </c>
      <c r="E2996" t="s">
        <v>1720</v>
      </c>
      <c r="F2996" t="s">
        <v>1721</v>
      </c>
      <c r="G2996" t="s">
        <v>4499</v>
      </c>
      <c r="H2996" t="s">
        <v>4349</v>
      </c>
    </row>
    <row r="2997" spans="1:8" x14ac:dyDescent="0.35">
      <c r="A2997" t="s">
        <v>1879</v>
      </c>
      <c r="B2997" t="s">
        <v>3344</v>
      </c>
      <c r="C2997" t="s">
        <v>4215</v>
      </c>
      <c r="D2997">
        <v>0.05</v>
      </c>
      <c r="E2997" t="s">
        <v>1720</v>
      </c>
      <c r="G2997" t="s">
        <v>4394</v>
      </c>
      <c r="H2997" t="s">
        <v>4216</v>
      </c>
    </row>
    <row r="2998" spans="1:8" x14ac:dyDescent="0.35">
      <c r="A2998" t="s">
        <v>1879</v>
      </c>
      <c r="B2998" t="s">
        <v>3344</v>
      </c>
      <c r="C2998" t="s">
        <v>4215</v>
      </c>
      <c r="D2998">
        <v>0.05</v>
      </c>
      <c r="E2998" t="s">
        <v>1720</v>
      </c>
      <c r="G2998" t="s">
        <v>4395</v>
      </c>
      <c r="H2998" t="s">
        <v>4216</v>
      </c>
    </row>
    <row r="2999" spans="1:8" x14ac:dyDescent="0.35">
      <c r="A2999" t="s">
        <v>1879</v>
      </c>
      <c r="B2999" t="s">
        <v>3344</v>
      </c>
      <c r="C2999" t="s">
        <v>4317</v>
      </c>
      <c r="D2999">
        <v>1E-3</v>
      </c>
      <c r="E2999" t="s">
        <v>1720</v>
      </c>
      <c r="F2999" t="s">
        <v>1721</v>
      </c>
      <c r="G2999" t="s">
        <v>4426</v>
      </c>
      <c r="H2999" t="s">
        <v>4318</v>
      </c>
    </row>
    <row r="3000" spans="1:8" x14ac:dyDescent="0.35">
      <c r="A3000" t="s">
        <v>1879</v>
      </c>
      <c r="B3000" t="s">
        <v>3344</v>
      </c>
      <c r="C3000" t="s">
        <v>4348</v>
      </c>
      <c r="D3000">
        <v>11</v>
      </c>
      <c r="E3000" t="s">
        <v>1720</v>
      </c>
      <c r="F3000" t="s">
        <v>1721</v>
      </c>
      <c r="G3000" t="s">
        <v>4500</v>
      </c>
      <c r="H3000" t="s">
        <v>4349</v>
      </c>
    </row>
    <row r="3001" spans="1:8" x14ac:dyDescent="0.35">
      <c r="A3001" t="s">
        <v>1879</v>
      </c>
      <c r="B3001" t="s">
        <v>3344</v>
      </c>
      <c r="C3001" t="s">
        <v>4348</v>
      </c>
      <c r="D3001">
        <v>11</v>
      </c>
      <c r="E3001" t="s">
        <v>1720</v>
      </c>
      <c r="F3001" t="s">
        <v>1721</v>
      </c>
      <c r="G3001" t="s">
        <v>4458</v>
      </c>
      <c r="H3001" t="s">
        <v>4349</v>
      </c>
    </row>
    <row r="3002" spans="1:8" x14ac:dyDescent="0.35">
      <c r="A3002" t="s">
        <v>1879</v>
      </c>
      <c r="B3002" t="s">
        <v>3344</v>
      </c>
      <c r="C3002" t="s">
        <v>4348</v>
      </c>
      <c r="D3002">
        <v>19</v>
      </c>
      <c r="E3002" t="s">
        <v>1720</v>
      </c>
      <c r="F3002" t="s">
        <v>1724</v>
      </c>
      <c r="G3002" t="s">
        <v>4500</v>
      </c>
      <c r="H3002" t="s">
        <v>4349</v>
      </c>
    </row>
    <row r="3003" spans="1:8" x14ac:dyDescent="0.35">
      <c r="A3003" t="s">
        <v>1879</v>
      </c>
      <c r="B3003" t="s">
        <v>3344</v>
      </c>
      <c r="C3003" t="s">
        <v>4348</v>
      </c>
      <c r="D3003">
        <v>19</v>
      </c>
      <c r="E3003" t="s">
        <v>1720</v>
      </c>
      <c r="F3003" t="s">
        <v>1724</v>
      </c>
      <c r="G3003" t="s">
        <v>4458</v>
      </c>
      <c r="H3003" t="s">
        <v>4349</v>
      </c>
    </row>
    <row r="3004" spans="1:8" x14ac:dyDescent="0.35">
      <c r="A3004" t="s">
        <v>1879</v>
      </c>
      <c r="B3004" t="s">
        <v>3344</v>
      </c>
      <c r="C3004" t="s">
        <v>4213</v>
      </c>
      <c r="D3004">
        <v>50</v>
      </c>
      <c r="E3004" t="s">
        <v>1720</v>
      </c>
      <c r="F3004" t="s">
        <v>1721</v>
      </c>
      <c r="G3004" t="s">
        <v>4393</v>
      </c>
      <c r="H3004" t="s">
        <v>4214</v>
      </c>
    </row>
    <row r="3005" spans="1:8" x14ac:dyDescent="0.35">
      <c r="A3005" t="s">
        <v>1879</v>
      </c>
      <c r="B3005" t="s">
        <v>3344</v>
      </c>
      <c r="C3005" t="s">
        <v>4213</v>
      </c>
      <c r="D3005">
        <v>250</v>
      </c>
      <c r="E3005" t="s">
        <v>1720</v>
      </c>
      <c r="F3005" t="s">
        <v>1724</v>
      </c>
      <c r="G3005" t="s">
        <v>4393</v>
      </c>
      <c r="H3005" t="s">
        <v>4214</v>
      </c>
    </row>
    <row r="3006" spans="1:8" x14ac:dyDescent="0.35">
      <c r="A3006" t="s">
        <v>1879</v>
      </c>
      <c r="B3006" t="s">
        <v>3344</v>
      </c>
      <c r="C3006" t="s">
        <v>4213</v>
      </c>
      <c r="D3006">
        <v>1600</v>
      </c>
      <c r="E3006" t="s">
        <v>1720</v>
      </c>
      <c r="F3006" t="s">
        <v>1724</v>
      </c>
      <c r="G3006" t="s">
        <v>4393</v>
      </c>
      <c r="H3006" t="s">
        <v>4214</v>
      </c>
    </row>
    <row r="3007" spans="1:8" x14ac:dyDescent="0.35">
      <c r="A3007" t="s">
        <v>1879</v>
      </c>
      <c r="B3007" t="s">
        <v>3344</v>
      </c>
      <c r="C3007" t="s">
        <v>4213</v>
      </c>
      <c r="D3007">
        <v>43000</v>
      </c>
      <c r="E3007" t="s">
        <v>1720</v>
      </c>
      <c r="F3007" t="s">
        <v>1721</v>
      </c>
      <c r="G3007" t="s">
        <v>4393</v>
      </c>
      <c r="H3007" t="s">
        <v>4214</v>
      </c>
    </row>
    <row r="3008" spans="1:8" x14ac:dyDescent="0.35">
      <c r="A3008" t="s">
        <v>1879</v>
      </c>
      <c r="B3008" t="s">
        <v>3344</v>
      </c>
      <c r="C3008" t="s">
        <v>4213</v>
      </c>
      <c r="D3008">
        <v>238000</v>
      </c>
      <c r="E3008" t="s">
        <v>1720</v>
      </c>
      <c r="F3008" t="s">
        <v>1724</v>
      </c>
      <c r="G3008" t="s">
        <v>4393</v>
      </c>
      <c r="H3008" t="s">
        <v>4214</v>
      </c>
    </row>
    <row r="3009" spans="1:8" x14ac:dyDescent="0.35">
      <c r="A3009" t="s">
        <v>1879</v>
      </c>
      <c r="B3009" t="s">
        <v>3344</v>
      </c>
      <c r="C3009" t="s">
        <v>4311</v>
      </c>
      <c r="D3009">
        <v>40</v>
      </c>
      <c r="E3009" t="s">
        <v>1720</v>
      </c>
      <c r="G3009" t="s">
        <v>4501</v>
      </c>
      <c r="H3009" t="s">
        <v>4312</v>
      </c>
    </row>
    <row r="3010" spans="1:8" x14ac:dyDescent="0.35">
      <c r="A3010" t="s">
        <v>1879</v>
      </c>
      <c r="B3010" t="s">
        <v>3344</v>
      </c>
      <c r="C3010" t="s">
        <v>4311</v>
      </c>
      <c r="D3010">
        <v>15</v>
      </c>
      <c r="E3010" t="s">
        <v>1720</v>
      </c>
      <c r="G3010" t="s">
        <v>4502</v>
      </c>
      <c r="H3010" t="s">
        <v>4312</v>
      </c>
    </row>
    <row r="3011" spans="1:8" x14ac:dyDescent="0.35">
      <c r="A3011" t="s">
        <v>1879</v>
      </c>
      <c r="B3011" t="s">
        <v>3344</v>
      </c>
      <c r="C3011" t="s">
        <v>4213</v>
      </c>
      <c r="D3011">
        <v>150</v>
      </c>
      <c r="E3011" t="s">
        <v>1720</v>
      </c>
      <c r="F3011" t="s">
        <v>1721</v>
      </c>
      <c r="G3011" t="s">
        <v>4393</v>
      </c>
      <c r="H3011" t="s">
        <v>4214</v>
      </c>
    </row>
    <row r="3012" spans="1:8" x14ac:dyDescent="0.35">
      <c r="A3012" t="s">
        <v>1879</v>
      </c>
      <c r="B3012" t="s">
        <v>3344</v>
      </c>
      <c r="C3012" t="s">
        <v>4213</v>
      </c>
      <c r="D3012">
        <v>230</v>
      </c>
      <c r="E3012" t="s">
        <v>1720</v>
      </c>
      <c r="F3012" t="s">
        <v>1724</v>
      </c>
      <c r="G3012" t="s">
        <v>4393</v>
      </c>
      <c r="H3012" t="s">
        <v>4214</v>
      </c>
    </row>
    <row r="3013" spans="1:8" x14ac:dyDescent="0.35">
      <c r="A3013" t="s">
        <v>1879</v>
      </c>
      <c r="B3013" t="s">
        <v>3344</v>
      </c>
      <c r="C3013" t="s">
        <v>4213</v>
      </c>
      <c r="D3013">
        <v>10</v>
      </c>
      <c r="E3013" t="s">
        <v>1720</v>
      </c>
      <c r="G3013" t="s">
        <v>4503</v>
      </c>
      <c r="H3013" t="s">
        <v>4214</v>
      </c>
    </row>
    <row r="3014" spans="1:8" x14ac:dyDescent="0.35">
      <c r="A3014" t="s">
        <v>1879</v>
      </c>
      <c r="B3014" t="s">
        <v>3344</v>
      </c>
      <c r="C3014" t="s">
        <v>4213</v>
      </c>
      <c r="D3014">
        <v>8</v>
      </c>
      <c r="E3014" t="s">
        <v>1720</v>
      </c>
      <c r="G3014" t="s">
        <v>4504</v>
      </c>
      <c r="H3014" t="s">
        <v>4214</v>
      </c>
    </row>
    <row r="3015" spans="1:8" x14ac:dyDescent="0.35">
      <c r="A3015" t="s">
        <v>1879</v>
      </c>
      <c r="B3015" t="s">
        <v>3344</v>
      </c>
      <c r="C3015" t="s">
        <v>4213</v>
      </c>
      <c r="D3015">
        <v>1000</v>
      </c>
      <c r="E3015" t="s">
        <v>1720</v>
      </c>
      <c r="G3015" t="s">
        <v>4503</v>
      </c>
      <c r="H3015" t="s">
        <v>4214</v>
      </c>
    </row>
    <row r="3016" spans="1:8" x14ac:dyDescent="0.35">
      <c r="A3016" t="s">
        <v>1879</v>
      </c>
      <c r="B3016" t="s">
        <v>3344</v>
      </c>
      <c r="C3016" t="s">
        <v>4213</v>
      </c>
      <c r="D3016">
        <v>800</v>
      </c>
      <c r="E3016" t="s">
        <v>1720</v>
      </c>
      <c r="G3016" t="s">
        <v>4504</v>
      </c>
      <c r="H3016" t="s">
        <v>4214</v>
      </c>
    </row>
    <row r="3017" spans="1:8" x14ac:dyDescent="0.35">
      <c r="A3017" t="s">
        <v>1879</v>
      </c>
      <c r="B3017" t="s">
        <v>3344</v>
      </c>
      <c r="C3017" t="s">
        <v>4213</v>
      </c>
      <c r="D3017">
        <v>50</v>
      </c>
      <c r="E3017" t="s">
        <v>1720</v>
      </c>
      <c r="G3017" t="s">
        <v>4503</v>
      </c>
      <c r="H3017" t="s">
        <v>4214</v>
      </c>
    </row>
    <row r="3018" spans="1:8" x14ac:dyDescent="0.35">
      <c r="A3018" t="s">
        <v>1879</v>
      </c>
      <c r="B3018" t="s">
        <v>3344</v>
      </c>
      <c r="C3018" t="s">
        <v>4213</v>
      </c>
      <c r="D3018">
        <v>40</v>
      </c>
      <c r="E3018" t="s">
        <v>1720</v>
      </c>
      <c r="G3018" t="s">
        <v>4504</v>
      </c>
      <c r="H3018" t="s">
        <v>4214</v>
      </c>
    </row>
    <row r="3019" spans="1:8" x14ac:dyDescent="0.35">
      <c r="A3019" t="s">
        <v>1879</v>
      </c>
      <c r="B3019" t="s">
        <v>3344</v>
      </c>
      <c r="C3019" t="s">
        <v>4348</v>
      </c>
      <c r="D3019">
        <v>360</v>
      </c>
      <c r="E3019" t="s">
        <v>1720</v>
      </c>
      <c r="F3019" t="s">
        <v>1724</v>
      </c>
      <c r="G3019" t="s">
        <v>4500</v>
      </c>
      <c r="H3019" t="s">
        <v>4349</v>
      </c>
    </row>
    <row r="3020" spans="1:8" x14ac:dyDescent="0.35">
      <c r="A3020" t="s">
        <v>1879</v>
      </c>
      <c r="B3020" t="s">
        <v>3344</v>
      </c>
      <c r="C3020" t="s">
        <v>4223</v>
      </c>
      <c r="D3020">
        <v>11000</v>
      </c>
      <c r="E3020" t="s">
        <v>1720</v>
      </c>
      <c r="F3020" t="s">
        <v>1724</v>
      </c>
      <c r="G3020" t="s">
        <v>4399</v>
      </c>
      <c r="H3020" t="s">
        <v>4224</v>
      </c>
    </row>
    <row r="3021" spans="1:8" x14ac:dyDescent="0.35">
      <c r="A3021" t="s">
        <v>1879</v>
      </c>
      <c r="B3021" t="s">
        <v>3344</v>
      </c>
      <c r="C3021" t="s">
        <v>4223</v>
      </c>
      <c r="D3021">
        <v>120</v>
      </c>
      <c r="E3021" t="s">
        <v>1720</v>
      </c>
      <c r="F3021" t="s">
        <v>1721</v>
      </c>
      <c r="G3021" t="s">
        <v>4399</v>
      </c>
      <c r="H3021" t="s">
        <v>4224</v>
      </c>
    </row>
    <row r="3022" spans="1:8" x14ac:dyDescent="0.35">
      <c r="A3022" t="s">
        <v>1879</v>
      </c>
      <c r="B3022" t="s">
        <v>3344</v>
      </c>
      <c r="C3022" t="s">
        <v>4223</v>
      </c>
      <c r="D3022">
        <v>1E-3</v>
      </c>
      <c r="E3022" t="s">
        <v>1720</v>
      </c>
      <c r="F3022" t="s">
        <v>1721</v>
      </c>
      <c r="G3022" t="s">
        <v>4399</v>
      </c>
      <c r="H3022" t="s">
        <v>4224</v>
      </c>
    </row>
    <row r="3023" spans="1:8" x14ac:dyDescent="0.35">
      <c r="A3023" t="s">
        <v>1879</v>
      </c>
      <c r="B3023" t="s">
        <v>3344</v>
      </c>
      <c r="C3023" t="s">
        <v>4213</v>
      </c>
      <c r="D3023">
        <v>122</v>
      </c>
      <c r="E3023" t="s">
        <v>1720</v>
      </c>
      <c r="F3023" t="s">
        <v>1721</v>
      </c>
      <c r="G3023" t="s">
        <v>4393</v>
      </c>
      <c r="H3023" t="s">
        <v>4214</v>
      </c>
    </row>
    <row r="3024" spans="1:8" x14ac:dyDescent="0.35">
      <c r="A3024" t="s">
        <v>1879</v>
      </c>
      <c r="B3024" t="s">
        <v>3344</v>
      </c>
      <c r="C3024" t="s">
        <v>4213</v>
      </c>
      <c r="D3024">
        <v>360</v>
      </c>
      <c r="E3024" t="s">
        <v>1720</v>
      </c>
      <c r="F3024" t="s">
        <v>1724</v>
      </c>
      <c r="G3024" t="s">
        <v>4393</v>
      </c>
      <c r="H3024" t="s">
        <v>4214</v>
      </c>
    </row>
    <row r="3025" spans="1:8" x14ac:dyDescent="0.35">
      <c r="A3025" t="s">
        <v>1879</v>
      </c>
      <c r="B3025" t="s">
        <v>3344</v>
      </c>
      <c r="C3025" t="s">
        <v>4213</v>
      </c>
      <c r="D3025">
        <v>157</v>
      </c>
      <c r="E3025" t="s">
        <v>1720</v>
      </c>
      <c r="F3025" t="s">
        <v>1721</v>
      </c>
      <c r="G3025" t="s">
        <v>4393</v>
      </c>
      <c r="H3025" t="s">
        <v>4214</v>
      </c>
    </row>
    <row r="3026" spans="1:8" x14ac:dyDescent="0.35">
      <c r="A3026" t="s">
        <v>1879</v>
      </c>
      <c r="B3026" t="s">
        <v>3344</v>
      </c>
      <c r="C3026" t="s">
        <v>4213</v>
      </c>
      <c r="D3026">
        <v>11000</v>
      </c>
      <c r="E3026" t="s">
        <v>1720</v>
      </c>
      <c r="F3026" t="s">
        <v>1724</v>
      </c>
      <c r="G3026" t="s">
        <v>4393</v>
      </c>
      <c r="H3026" t="s">
        <v>4214</v>
      </c>
    </row>
    <row r="3027" spans="1:8" x14ac:dyDescent="0.35">
      <c r="A3027" t="s">
        <v>1879</v>
      </c>
      <c r="B3027" t="s">
        <v>3344</v>
      </c>
      <c r="C3027" t="s">
        <v>4223</v>
      </c>
      <c r="D3027">
        <v>238000</v>
      </c>
      <c r="E3027" t="s">
        <v>1720</v>
      </c>
      <c r="F3027" t="s">
        <v>1724</v>
      </c>
      <c r="G3027" t="s">
        <v>4399</v>
      </c>
      <c r="H3027" t="s">
        <v>4224</v>
      </c>
    </row>
    <row r="3028" spans="1:8" x14ac:dyDescent="0.35">
      <c r="A3028" t="s">
        <v>1879</v>
      </c>
      <c r="B3028" t="s">
        <v>3344</v>
      </c>
      <c r="C3028" t="s">
        <v>4230</v>
      </c>
      <c r="D3028">
        <v>220</v>
      </c>
      <c r="E3028" t="s">
        <v>1720</v>
      </c>
      <c r="G3028" t="s">
        <v>4505</v>
      </c>
      <c r="H3028" t="s">
        <v>4231</v>
      </c>
    </row>
    <row r="3029" spans="1:8" x14ac:dyDescent="0.35">
      <c r="A3029" t="s">
        <v>1879</v>
      </c>
      <c r="B3029" t="s">
        <v>3344</v>
      </c>
      <c r="C3029" t="s">
        <v>4230</v>
      </c>
      <c r="D3029">
        <v>229</v>
      </c>
      <c r="E3029" t="s">
        <v>1720</v>
      </c>
      <c r="G3029" t="s">
        <v>4506</v>
      </c>
      <c r="H3029" t="s">
        <v>4231</v>
      </c>
    </row>
    <row r="3030" spans="1:8" x14ac:dyDescent="0.35">
      <c r="A3030" t="s">
        <v>1879</v>
      </c>
      <c r="B3030" t="s">
        <v>3344</v>
      </c>
      <c r="C3030" t="s">
        <v>4230</v>
      </c>
      <c r="D3030">
        <v>240</v>
      </c>
      <c r="E3030" t="s">
        <v>1720</v>
      </c>
      <c r="G3030" t="s">
        <v>4507</v>
      </c>
      <c r="H3030" t="s">
        <v>4231</v>
      </c>
    </row>
    <row r="3031" spans="1:8" x14ac:dyDescent="0.35">
      <c r="A3031" t="s">
        <v>1879</v>
      </c>
      <c r="B3031" t="s">
        <v>3344</v>
      </c>
      <c r="C3031" t="s">
        <v>4230</v>
      </c>
      <c r="D3031">
        <v>236</v>
      </c>
      <c r="E3031" t="s">
        <v>1720</v>
      </c>
      <c r="G3031" t="s">
        <v>4508</v>
      </c>
      <c r="H3031" t="s">
        <v>4231</v>
      </c>
    </row>
    <row r="3032" spans="1:8" x14ac:dyDescent="0.35">
      <c r="A3032" t="s">
        <v>1879</v>
      </c>
      <c r="B3032" t="s">
        <v>3344</v>
      </c>
      <c r="C3032" t="s">
        <v>4230</v>
      </c>
      <c r="D3032">
        <v>200</v>
      </c>
      <c r="E3032" t="s">
        <v>1720</v>
      </c>
      <c r="G3032" t="s">
        <v>4509</v>
      </c>
      <c r="H3032" t="s">
        <v>4231</v>
      </c>
    </row>
    <row r="3033" spans="1:8" x14ac:dyDescent="0.35">
      <c r="A3033" t="s">
        <v>1879</v>
      </c>
      <c r="B3033" t="s">
        <v>3344</v>
      </c>
      <c r="C3033" t="s">
        <v>4230</v>
      </c>
      <c r="D3033">
        <v>203</v>
      </c>
      <c r="E3033" t="s">
        <v>1720</v>
      </c>
      <c r="G3033" t="s">
        <v>4510</v>
      </c>
      <c r="H3033" t="s">
        <v>4231</v>
      </c>
    </row>
    <row r="3034" spans="1:8" x14ac:dyDescent="0.35">
      <c r="A3034" t="s">
        <v>1879</v>
      </c>
      <c r="B3034" t="s">
        <v>3344</v>
      </c>
      <c r="C3034" t="s">
        <v>4230</v>
      </c>
      <c r="D3034">
        <v>211</v>
      </c>
      <c r="E3034" t="s">
        <v>1720</v>
      </c>
      <c r="G3034" t="s">
        <v>4511</v>
      </c>
      <c r="H3034" t="s">
        <v>4231</v>
      </c>
    </row>
    <row r="3035" spans="1:8" x14ac:dyDescent="0.35">
      <c r="A3035" t="s">
        <v>1879</v>
      </c>
      <c r="B3035" t="s">
        <v>3344</v>
      </c>
      <c r="C3035" t="s">
        <v>4230</v>
      </c>
      <c r="D3035">
        <v>253</v>
      </c>
      <c r="E3035" t="s">
        <v>1720</v>
      </c>
      <c r="G3035" t="s">
        <v>4512</v>
      </c>
      <c r="H3035" t="s">
        <v>4231</v>
      </c>
    </row>
    <row r="3036" spans="1:8" x14ac:dyDescent="0.35">
      <c r="A3036" t="s">
        <v>1879</v>
      </c>
      <c r="B3036" t="s">
        <v>3344</v>
      </c>
      <c r="C3036" t="s">
        <v>4230</v>
      </c>
      <c r="D3036">
        <v>274</v>
      </c>
      <c r="E3036" t="s">
        <v>1720</v>
      </c>
      <c r="G3036" t="s">
        <v>4513</v>
      </c>
      <c r="H3036" t="s">
        <v>4231</v>
      </c>
    </row>
    <row r="3037" spans="1:8" x14ac:dyDescent="0.35">
      <c r="A3037" t="s">
        <v>1879</v>
      </c>
      <c r="B3037" t="s">
        <v>3344</v>
      </c>
      <c r="C3037" t="s">
        <v>4230</v>
      </c>
      <c r="D3037">
        <v>253</v>
      </c>
      <c r="E3037" t="s">
        <v>1720</v>
      </c>
      <c r="G3037" t="s">
        <v>4514</v>
      </c>
      <c r="H3037" t="s">
        <v>4231</v>
      </c>
    </row>
    <row r="3038" spans="1:8" x14ac:dyDescent="0.35">
      <c r="A3038" t="s">
        <v>1879</v>
      </c>
      <c r="B3038" t="s">
        <v>3344</v>
      </c>
      <c r="C3038" t="s">
        <v>4230</v>
      </c>
      <c r="D3038">
        <v>284</v>
      </c>
      <c r="E3038" t="s">
        <v>1720</v>
      </c>
      <c r="G3038" t="s">
        <v>4515</v>
      </c>
      <c r="H3038" t="s">
        <v>4231</v>
      </c>
    </row>
    <row r="3039" spans="1:8" x14ac:dyDescent="0.35">
      <c r="A3039" t="s">
        <v>1879</v>
      </c>
      <c r="B3039" t="s">
        <v>3344</v>
      </c>
      <c r="C3039" t="s">
        <v>4230</v>
      </c>
      <c r="D3039">
        <v>276</v>
      </c>
      <c r="E3039" t="s">
        <v>1720</v>
      </c>
      <c r="G3039" t="s">
        <v>4516</v>
      </c>
      <c r="H3039" t="s">
        <v>4231</v>
      </c>
    </row>
    <row r="3040" spans="1:8" x14ac:dyDescent="0.35">
      <c r="A3040" t="s">
        <v>1879</v>
      </c>
      <c r="B3040" t="s">
        <v>3344</v>
      </c>
      <c r="C3040" t="s">
        <v>4230</v>
      </c>
      <c r="D3040">
        <v>502</v>
      </c>
      <c r="E3040" t="s">
        <v>1720</v>
      </c>
      <c r="G3040" t="s">
        <v>4517</v>
      </c>
      <c r="H3040" t="s">
        <v>4231</v>
      </c>
    </row>
    <row r="3041" spans="1:8" x14ac:dyDescent="0.35">
      <c r="A3041" t="s">
        <v>1879</v>
      </c>
      <c r="B3041" t="s">
        <v>3344</v>
      </c>
      <c r="C3041" t="s">
        <v>4230</v>
      </c>
      <c r="D3041">
        <v>506</v>
      </c>
      <c r="E3041" t="s">
        <v>1720</v>
      </c>
      <c r="G3041" t="s">
        <v>4518</v>
      </c>
      <c r="H3041" t="s">
        <v>4231</v>
      </c>
    </row>
    <row r="3042" spans="1:8" x14ac:dyDescent="0.35">
      <c r="A3042" t="s">
        <v>1879</v>
      </c>
      <c r="B3042" t="s">
        <v>3344</v>
      </c>
      <c r="C3042" t="s">
        <v>4230</v>
      </c>
      <c r="D3042">
        <v>412</v>
      </c>
      <c r="E3042" t="s">
        <v>1720</v>
      </c>
      <c r="G3042" t="s">
        <v>4519</v>
      </c>
      <c r="H3042" t="s">
        <v>4231</v>
      </c>
    </row>
    <row r="3043" spans="1:8" x14ac:dyDescent="0.35">
      <c r="A3043" t="s">
        <v>1879</v>
      </c>
      <c r="B3043" t="s">
        <v>3344</v>
      </c>
      <c r="C3043" t="s">
        <v>4230</v>
      </c>
      <c r="D3043">
        <v>581</v>
      </c>
      <c r="E3043" t="s">
        <v>1720</v>
      </c>
      <c r="G3043" t="s">
        <v>4520</v>
      </c>
      <c r="H3043" t="s">
        <v>4231</v>
      </c>
    </row>
    <row r="3044" spans="1:8" x14ac:dyDescent="0.35">
      <c r="A3044" t="s">
        <v>1879</v>
      </c>
      <c r="B3044" t="s">
        <v>3344</v>
      </c>
      <c r="C3044" t="s">
        <v>4230</v>
      </c>
      <c r="D3044">
        <v>616</v>
      </c>
      <c r="E3044" t="s">
        <v>1720</v>
      </c>
      <c r="G3044" t="s">
        <v>4521</v>
      </c>
      <c r="H3044" t="s">
        <v>4231</v>
      </c>
    </row>
    <row r="3045" spans="1:8" x14ac:dyDescent="0.35">
      <c r="A3045" t="s">
        <v>1879</v>
      </c>
      <c r="B3045" t="s">
        <v>3344</v>
      </c>
      <c r="C3045" t="s">
        <v>4230</v>
      </c>
      <c r="D3045">
        <v>413</v>
      </c>
      <c r="E3045" t="s">
        <v>1720</v>
      </c>
      <c r="G3045" t="s">
        <v>4522</v>
      </c>
      <c r="H3045" t="s">
        <v>4231</v>
      </c>
    </row>
    <row r="3046" spans="1:8" x14ac:dyDescent="0.35">
      <c r="A3046" t="s">
        <v>1879</v>
      </c>
      <c r="B3046" t="s">
        <v>3344</v>
      </c>
      <c r="C3046" t="s">
        <v>4230</v>
      </c>
      <c r="D3046">
        <v>444</v>
      </c>
      <c r="E3046" t="s">
        <v>1720</v>
      </c>
      <c r="G3046" t="s">
        <v>4523</v>
      </c>
      <c r="H3046" t="s">
        <v>4231</v>
      </c>
    </row>
    <row r="3047" spans="1:8" x14ac:dyDescent="0.35">
      <c r="A3047" t="s">
        <v>1879</v>
      </c>
      <c r="B3047" t="s">
        <v>3344</v>
      </c>
      <c r="C3047" t="s">
        <v>4230</v>
      </c>
      <c r="D3047">
        <v>418</v>
      </c>
      <c r="E3047" t="s">
        <v>1720</v>
      </c>
      <c r="G3047" t="s">
        <v>4524</v>
      </c>
      <c r="H3047" t="s">
        <v>4231</v>
      </c>
    </row>
    <row r="3048" spans="1:8" x14ac:dyDescent="0.35">
      <c r="A3048" t="s">
        <v>1879</v>
      </c>
      <c r="B3048" t="s">
        <v>3344</v>
      </c>
      <c r="C3048" t="s">
        <v>4230</v>
      </c>
      <c r="D3048">
        <v>509</v>
      </c>
      <c r="E3048" t="s">
        <v>1720</v>
      </c>
      <c r="G3048" t="s">
        <v>4525</v>
      </c>
      <c r="H3048" t="s">
        <v>4231</v>
      </c>
    </row>
    <row r="3049" spans="1:8" x14ac:dyDescent="0.35">
      <c r="A3049" t="s">
        <v>1879</v>
      </c>
      <c r="B3049" t="s">
        <v>3344</v>
      </c>
      <c r="C3049" t="s">
        <v>4223</v>
      </c>
      <c r="D3049">
        <v>1.1000000000000001</v>
      </c>
      <c r="E3049" t="s">
        <v>1720</v>
      </c>
      <c r="F3049" t="s">
        <v>1724</v>
      </c>
      <c r="G3049" t="s">
        <v>4399</v>
      </c>
      <c r="H3049" t="s">
        <v>4224</v>
      </c>
    </row>
    <row r="3050" spans="1:8" x14ac:dyDescent="0.35">
      <c r="A3050" t="s">
        <v>1879</v>
      </c>
      <c r="B3050" t="s">
        <v>3344</v>
      </c>
      <c r="C3050" t="s">
        <v>4213</v>
      </c>
      <c r="D3050">
        <v>10</v>
      </c>
      <c r="E3050" t="s">
        <v>1720</v>
      </c>
      <c r="G3050" t="s">
        <v>4393</v>
      </c>
      <c r="H3050" t="s">
        <v>4214</v>
      </c>
    </row>
    <row r="3051" spans="1:8" x14ac:dyDescent="0.35">
      <c r="A3051" t="s">
        <v>1879</v>
      </c>
      <c r="B3051" t="s">
        <v>3344</v>
      </c>
      <c r="C3051" t="s">
        <v>4213</v>
      </c>
      <c r="D3051">
        <v>3</v>
      </c>
      <c r="E3051" t="s">
        <v>1720</v>
      </c>
      <c r="F3051" t="s">
        <v>1721</v>
      </c>
      <c r="G3051" t="s">
        <v>4393</v>
      </c>
      <c r="H3051" t="s">
        <v>4214</v>
      </c>
    </row>
    <row r="3052" spans="1:8" x14ac:dyDescent="0.35">
      <c r="A3052" t="s">
        <v>1879</v>
      </c>
      <c r="B3052" t="s">
        <v>3344</v>
      </c>
      <c r="C3052" t="s">
        <v>4213</v>
      </c>
      <c r="D3052">
        <v>940</v>
      </c>
      <c r="E3052" t="s">
        <v>1720</v>
      </c>
      <c r="F3052" t="s">
        <v>1724</v>
      </c>
      <c r="G3052" t="s">
        <v>4393</v>
      </c>
      <c r="H3052" t="s">
        <v>4214</v>
      </c>
    </row>
    <row r="3053" spans="1:8" x14ac:dyDescent="0.35">
      <c r="A3053" t="s">
        <v>1879</v>
      </c>
      <c r="B3053" t="s">
        <v>3344</v>
      </c>
      <c r="C3053" t="s">
        <v>4213</v>
      </c>
      <c r="D3053">
        <v>11</v>
      </c>
      <c r="E3053" t="s">
        <v>1720</v>
      </c>
      <c r="F3053" t="s">
        <v>1721</v>
      </c>
      <c r="G3053" t="s">
        <v>4393</v>
      </c>
      <c r="H3053" t="s">
        <v>4214</v>
      </c>
    </row>
    <row r="3054" spans="1:8" x14ac:dyDescent="0.35">
      <c r="A3054" t="s">
        <v>1879</v>
      </c>
      <c r="B3054" t="s">
        <v>3344</v>
      </c>
      <c r="C3054" t="s">
        <v>4213</v>
      </c>
      <c r="D3054">
        <v>19</v>
      </c>
      <c r="E3054" t="s">
        <v>1720</v>
      </c>
      <c r="F3054" t="s">
        <v>1724</v>
      </c>
      <c r="G3054" t="s">
        <v>4393</v>
      </c>
      <c r="H3054" t="s">
        <v>4214</v>
      </c>
    </row>
    <row r="3055" spans="1:8" x14ac:dyDescent="0.35">
      <c r="A3055" t="s">
        <v>1879</v>
      </c>
      <c r="B3055" t="s">
        <v>3344</v>
      </c>
      <c r="C3055" t="s">
        <v>4213</v>
      </c>
      <c r="D3055">
        <v>20</v>
      </c>
      <c r="E3055" t="s">
        <v>1720</v>
      </c>
      <c r="G3055" t="s">
        <v>4393</v>
      </c>
      <c r="H3055" t="s">
        <v>4214</v>
      </c>
    </row>
    <row r="3056" spans="1:8" x14ac:dyDescent="0.35">
      <c r="A3056" t="s">
        <v>1879</v>
      </c>
      <c r="B3056" t="s">
        <v>3344</v>
      </c>
      <c r="C3056" t="s">
        <v>4348</v>
      </c>
      <c r="D3056">
        <v>360</v>
      </c>
      <c r="E3056" t="s">
        <v>1720</v>
      </c>
      <c r="F3056" t="s">
        <v>1721</v>
      </c>
      <c r="G3056" t="s">
        <v>4500</v>
      </c>
      <c r="H3056" t="s">
        <v>4349</v>
      </c>
    </row>
    <row r="3057" spans="1:8" x14ac:dyDescent="0.35">
      <c r="A3057" t="s">
        <v>1879</v>
      </c>
      <c r="B3057" t="s">
        <v>3344</v>
      </c>
      <c r="C3057" t="s">
        <v>4230</v>
      </c>
      <c r="D3057">
        <v>3.2</v>
      </c>
      <c r="E3057" t="s">
        <v>1720</v>
      </c>
      <c r="G3057" t="s">
        <v>4526</v>
      </c>
      <c r="H3057" t="s">
        <v>4231</v>
      </c>
    </row>
    <row r="3058" spans="1:8" x14ac:dyDescent="0.35">
      <c r="A3058" t="s">
        <v>1879</v>
      </c>
      <c r="B3058" t="s">
        <v>3344</v>
      </c>
      <c r="C3058" t="s">
        <v>4230</v>
      </c>
      <c r="D3058">
        <v>6.1</v>
      </c>
      <c r="E3058" t="s">
        <v>1720</v>
      </c>
      <c r="G3058" t="s">
        <v>4527</v>
      </c>
      <c r="H3058" t="s">
        <v>4231</v>
      </c>
    </row>
    <row r="3059" spans="1:8" x14ac:dyDescent="0.35">
      <c r="A3059" t="s">
        <v>1879</v>
      </c>
      <c r="B3059" t="s">
        <v>3344</v>
      </c>
      <c r="C3059" t="s">
        <v>4230</v>
      </c>
      <c r="D3059">
        <v>2.6</v>
      </c>
      <c r="E3059" t="s">
        <v>1720</v>
      </c>
      <c r="G3059" t="s">
        <v>4505</v>
      </c>
      <c r="H3059" t="s">
        <v>4231</v>
      </c>
    </row>
    <row r="3060" spans="1:8" x14ac:dyDescent="0.35">
      <c r="A3060" t="s">
        <v>1879</v>
      </c>
      <c r="B3060" t="s">
        <v>3344</v>
      </c>
      <c r="C3060" t="s">
        <v>4230</v>
      </c>
      <c r="D3060">
        <v>2.1</v>
      </c>
      <c r="E3060" t="s">
        <v>1720</v>
      </c>
      <c r="G3060" t="s">
        <v>4506</v>
      </c>
      <c r="H3060" t="s">
        <v>4231</v>
      </c>
    </row>
    <row r="3061" spans="1:8" x14ac:dyDescent="0.35">
      <c r="A3061" t="s">
        <v>1879</v>
      </c>
      <c r="B3061" t="s">
        <v>3344</v>
      </c>
      <c r="C3061" t="s">
        <v>4230</v>
      </c>
      <c r="D3061">
        <v>2.6</v>
      </c>
      <c r="E3061" t="s">
        <v>1720</v>
      </c>
      <c r="G3061" t="s">
        <v>4507</v>
      </c>
      <c r="H3061" t="s">
        <v>4231</v>
      </c>
    </row>
    <row r="3062" spans="1:8" x14ac:dyDescent="0.35">
      <c r="A3062" t="s">
        <v>1879</v>
      </c>
      <c r="B3062" t="s">
        <v>3344</v>
      </c>
      <c r="C3062" t="s">
        <v>4230</v>
      </c>
      <c r="D3062">
        <v>2.1</v>
      </c>
      <c r="E3062" t="s">
        <v>1720</v>
      </c>
      <c r="G3062" t="s">
        <v>4508</v>
      </c>
      <c r="H3062" t="s">
        <v>4231</v>
      </c>
    </row>
    <row r="3063" spans="1:8" x14ac:dyDescent="0.35">
      <c r="A3063" t="s">
        <v>1879</v>
      </c>
      <c r="B3063" t="s">
        <v>3344</v>
      </c>
      <c r="C3063" t="s">
        <v>4230</v>
      </c>
      <c r="D3063">
        <v>2.6</v>
      </c>
      <c r="E3063" t="s">
        <v>1720</v>
      </c>
      <c r="G3063" t="s">
        <v>4509</v>
      </c>
      <c r="H3063" t="s">
        <v>4231</v>
      </c>
    </row>
    <row r="3064" spans="1:8" x14ac:dyDescent="0.35">
      <c r="A3064" t="s">
        <v>1879</v>
      </c>
      <c r="B3064" t="s">
        <v>3344</v>
      </c>
      <c r="C3064" t="s">
        <v>4223</v>
      </c>
      <c r="D3064">
        <v>360</v>
      </c>
      <c r="E3064" t="s">
        <v>1720</v>
      </c>
      <c r="F3064" t="s">
        <v>1724</v>
      </c>
      <c r="G3064" t="s">
        <v>4399</v>
      </c>
      <c r="H3064" t="s">
        <v>4224</v>
      </c>
    </row>
    <row r="3065" spans="1:8" x14ac:dyDescent="0.35">
      <c r="A3065" t="s">
        <v>1879</v>
      </c>
      <c r="B3065" t="s">
        <v>3344</v>
      </c>
      <c r="C3065" t="s">
        <v>4230</v>
      </c>
      <c r="D3065">
        <v>553</v>
      </c>
      <c r="E3065" t="s">
        <v>1720</v>
      </c>
      <c r="G3065" t="s">
        <v>4528</v>
      </c>
      <c r="H3065" t="s">
        <v>4231</v>
      </c>
    </row>
    <row r="3066" spans="1:8" x14ac:dyDescent="0.35">
      <c r="A3066" t="s">
        <v>1879</v>
      </c>
      <c r="B3066" t="s">
        <v>3344</v>
      </c>
      <c r="C3066" t="s">
        <v>4230</v>
      </c>
      <c r="D3066">
        <v>363</v>
      </c>
      <c r="E3066" t="s">
        <v>1720</v>
      </c>
      <c r="G3066" t="s">
        <v>4529</v>
      </c>
      <c r="H3066" t="s">
        <v>4231</v>
      </c>
    </row>
    <row r="3067" spans="1:8" x14ac:dyDescent="0.35">
      <c r="A3067" t="s">
        <v>1879</v>
      </c>
      <c r="B3067" t="s">
        <v>3344</v>
      </c>
      <c r="C3067" t="s">
        <v>4230</v>
      </c>
      <c r="D3067">
        <v>12</v>
      </c>
      <c r="E3067" t="s">
        <v>1720</v>
      </c>
      <c r="G3067" t="s">
        <v>4526</v>
      </c>
      <c r="H3067" t="s">
        <v>4231</v>
      </c>
    </row>
    <row r="3068" spans="1:8" x14ac:dyDescent="0.35">
      <c r="A3068" t="s">
        <v>1879</v>
      </c>
      <c r="B3068" t="s">
        <v>3344</v>
      </c>
      <c r="C3068" t="s">
        <v>4230</v>
      </c>
      <c r="D3068">
        <v>12</v>
      </c>
      <c r="E3068" t="s">
        <v>1720</v>
      </c>
      <c r="G3068" t="s">
        <v>4527</v>
      </c>
      <c r="H3068" t="s">
        <v>4231</v>
      </c>
    </row>
    <row r="3069" spans="1:8" x14ac:dyDescent="0.35">
      <c r="A3069" t="s">
        <v>1879</v>
      </c>
      <c r="B3069" t="s">
        <v>3344</v>
      </c>
      <c r="C3069" t="s">
        <v>4230</v>
      </c>
      <c r="D3069">
        <v>40</v>
      </c>
      <c r="E3069" t="s">
        <v>1720</v>
      </c>
      <c r="G3069" t="s">
        <v>4530</v>
      </c>
      <c r="H3069" t="s">
        <v>4231</v>
      </c>
    </row>
    <row r="3070" spans="1:8" x14ac:dyDescent="0.35">
      <c r="A3070" t="s">
        <v>1879</v>
      </c>
      <c r="B3070" t="s">
        <v>3344</v>
      </c>
      <c r="C3070" t="s">
        <v>4230</v>
      </c>
      <c r="D3070">
        <v>16</v>
      </c>
      <c r="E3070" t="s">
        <v>1720</v>
      </c>
      <c r="G3070" t="s">
        <v>4531</v>
      </c>
      <c r="H3070" t="s">
        <v>4231</v>
      </c>
    </row>
    <row r="3071" spans="1:8" x14ac:dyDescent="0.35">
      <c r="A3071" t="s">
        <v>1879</v>
      </c>
      <c r="B3071" t="s">
        <v>3344</v>
      </c>
      <c r="C3071" t="s">
        <v>4230</v>
      </c>
      <c r="D3071">
        <v>13</v>
      </c>
      <c r="E3071" t="s">
        <v>1720</v>
      </c>
      <c r="G3071" t="s">
        <v>4505</v>
      </c>
      <c r="H3071" t="s">
        <v>4231</v>
      </c>
    </row>
    <row r="3072" spans="1:8" x14ac:dyDescent="0.35">
      <c r="A3072" t="s">
        <v>1879</v>
      </c>
      <c r="B3072" t="s">
        <v>3344</v>
      </c>
      <c r="C3072" t="s">
        <v>4230</v>
      </c>
      <c r="D3072">
        <v>7</v>
      </c>
      <c r="E3072" t="s">
        <v>1720</v>
      </c>
      <c r="G3072" t="s">
        <v>4506</v>
      </c>
      <c r="H3072" t="s">
        <v>4231</v>
      </c>
    </row>
    <row r="3073" spans="1:8" x14ac:dyDescent="0.35">
      <c r="A3073" t="s">
        <v>1879</v>
      </c>
      <c r="B3073" t="s">
        <v>3344</v>
      </c>
      <c r="C3073" t="s">
        <v>4230</v>
      </c>
      <c r="D3073">
        <v>9</v>
      </c>
      <c r="E3073" t="s">
        <v>1720</v>
      </c>
      <c r="G3073" t="s">
        <v>4507</v>
      </c>
      <c r="H3073" t="s">
        <v>4231</v>
      </c>
    </row>
    <row r="3074" spans="1:8" x14ac:dyDescent="0.35">
      <c r="A3074" t="s">
        <v>1879</v>
      </c>
      <c r="B3074" t="s">
        <v>3344</v>
      </c>
      <c r="C3074" t="s">
        <v>4223</v>
      </c>
      <c r="D3074">
        <v>50</v>
      </c>
      <c r="E3074" t="s">
        <v>1720</v>
      </c>
      <c r="F3074" t="s">
        <v>1721</v>
      </c>
      <c r="G3074" t="s">
        <v>4399</v>
      </c>
      <c r="H3074" t="s">
        <v>4224</v>
      </c>
    </row>
    <row r="3075" spans="1:8" x14ac:dyDescent="0.35">
      <c r="A3075" t="s">
        <v>1879</v>
      </c>
      <c r="B3075" t="s">
        <v>3344</v>
      </c>
      <c r="C3075" t="s">
        <v>4223</v>
      </c>
      <c r="D3075">
        <v>250</v>
      </c>
      <c r="E3075" t="s">
        <v>1720</v>
      </c>
      <c r="F3075" t="s">
        <v>1724</v>
      </c>
      <c r="G3075" t="s">
        <v>4399</v>
      </c>
      <c r="H3075" t="s">
        <v>4224</v>
      </c>
    </row>
    <row r="3076" spans="1:8" x14ac:dyDescent="0.35">
      <c r="A3076" t="s">
        <v>1879</v>
      </c>
      <c r="B3076" t="s">
        <v>3344</v>
      </c>
      <c r="C3076" t="s">
        <v>4300</v>
      </c>
      <c r="D3076">
        <v>77</v>
      </c>
      <c r="E3076" t="s">
        <v>1720</v>
      </c>
      <c r="F3076" t="s">
        <v>1724</v>
      </c>
      <c r="G3076" t="s">
        <v>4389</v>
      </c>
      <c r="H3076" t="s">
        <v>4301</v>
      </c>
    </row>
    <row r="3077" spans="1:8" x14ac:dyDescent="0.35">
      <c r="A3077" t="s">
        <v>1879</v>
      </c>
      <c r="B3077" t="s">
        <v>3344</v>
      </c>
      <c r="C3077" t="s">
        <v>4223</v>
      </c>
      <c r="D3077">
        <v>3</v>
      </c>
      <c r="E3077" t="s">
        <v>1720</v>
      </c>
      <c r="F3077" t="s">
        <v>1721</v>
      </c>
      <c r="G3077" t="s">
        <v>4399</v>
      </c>
      <c r="H3077" t="s">
        <v>4224</v>
      </c>
    </row>
    <row r="3078" spans="1:8" x14ac:dyDescent="0.35">
      <c r="A3078" t="s">
        <v>1879</v>
      </c>
      <c r="B3078" t="s">
        <v>3344</v>
      </c>
      <c r="C3078" t="s">
        <v>4223</v>
      </c>
      <c r="D3078">
        <v>940</v>
      </c>
      <c r="E3078" t="s">
        <v>1720</v>
      </c>
      <c r="F3078" t="s">
        <v>1724</v>
      </c>
      <c r="G3078" t="s">
        <v>4399</v>
      </c>
      <c r="H3078" t="s">
        <v>4224</v>
      </c>
    </row>
    <row r="3079" spans="1:8" x14ac:dyDescent="0.35">
      <c r="A3079" t="s">
        <v>1879</v>
      </c>
      <c r="B3079" t="s">
        <v>3344</v>
      </c>
      <c r="C3079" t="s">
        <v>4315</v>
      </c>
      <c r="D3079">
        <v>20000</v>
      </c>
      <c r="E3079" t="s">
        <v>1720</v>
      </c>
      <c r="F3079" t="s">
        <v>1721</v>
      </c>
      <c r="G3079" t="s">
        <v>4383</v>
      </c>
      <c r="H3079" t="s">
        <v>4316</v>
      </c>
    </row>
    <row r="3080" spans="1:8" x14ac:dyDescent="0.35">
      <c r="A3080" t="s">
        <v>1879</v>
      </c>
      <c r="B3080" t="s">
        <v>3344</v>
      </c>
      <c r="C3080" t="s">
        <v>4223</v>
      </c>
      <c r="D3080">
        <v>11.2</v>
      </c>
      <c r="E3080" t="s">
        <v>1720</v>
      </c>
      <c r="F3080" t="s">
        <v>1724</v>
      </c>
      <c r="G3080" t="s">
        <v>4399</v>
      </c>
      <c r="H3080" t="s">
        <v>4224</v>
      </c>
    </row>
    <row r="3081" spans="1:8" x14ac:dyDescent="0.35">
      <c r="A3081" t="s">
        <v>1879</v>
      </c>
      <c r="B3081" t="s">
        <v>3344</v>
      </c>
      <c r="C3081" t="s">
        <v>4223</v>
      </c>
      <c r="D3081">
        <v>122</v>
      </c>
      <c r="E3081" t="s">
        <v>1720</v>
      </c>
      <c r="F3081" t="s">
        <v>1721</v>
      </c>
      <c r="G3081" t="s">
        <v>4399</v>
      </c>
      <c r="H3081" t="s">
        <v>4224</v>
      </c>
    </row>
    <row r="3082" spans="1:8" x14ac:dyDescent="0.35">
      <c r="A3082" t="s">
        <v>1879</v>
      </c>
      <c r="B3082" t="s">
        <v>3344</v>
      </c>
      <c r="C3082" t="s">
        <v>4223</v>
      </c>
      <c r="D3082">
        <v>6.7</v>
      </c>
      <c r="E3082" t="s">
        <v>1720</v>
      </c>
      <c r="F3082" t="s">
        <v>1721</v>
      </c>
      <c r="G3082" t="s">
        <v>4399</v>
      </c>
      <c r="H3082" t="s">
        <v>4224</v>
      </c>
    </row>
    <row r="3083" spans="1:8" x14ac:dyDescent="0.35">
      <c r="A3083" t="s">
        <v>1879</v>
      </c>
      <c r="B3083" t="s">
        <v>3344</v>
      </c>
      <c r="C3083" t="s">
        <v>4223</v>
      </c>
      <c r="D3083">
        <v>14</v>
      </c>
      <c r="E3083" t="s">
        <v>1720</v>
      </c>
      <c r="F3083" t="s">
        <v>1724</v>
      </c>
      <c r="G3083" t="s">
        <v>4399</v>
      </c>
      <c r="H3083" t="s">
        <v>4224</v>
      </c>
    </row>
    <row r="3084" spans="1:8" x14ac:dyDescent="0.35">
      <c r="A3084" t="s">
        <v>1879</v>
      </c>
      <c r="B3084" t="s">
        <v>3344</v>
      </c>
      <c r="C3084" t="s">
        <v>4300</v>
      </c>
      <c r="D3084">
        <v>2400</v>
      </c>
      <c r="E3084" t="s">
        <v>1720</v>
      </c>
      <c r="F3084" t="s">
        <v>1724</v>
      </c>
      <c r="G3084" t="s">
        <v>4389</v>
      </c>
      <c r="H3084" t="s">
        <v>4301</v>
      </c>
    </row>
    <row r="3085" spans="1:8" x14ac:dyDescent="0.35">
      <c r="A3085" t="s">
        <v>1879</v>
      </c>
      <c r="B3085" t="s">
        <v>3344</v>
      </c>
      <c r="C3085" t="s">
        <v>4230</v>
      </c>
      <c r="D3085">
        <v>2.6</v>
      </c>
      <c r="E3085" t="s">
        <v>1720</v>
      </c>
      <c r="G3085" t="s">
        <v>4510</v>
      </c>
      <c r="H3085" t="s">
        <v>4231</v>
      </c>
    </row>
    <row r="3086" spans="1:8" x14ac:dyDescent="0.35">
      <c r="A3086" t="s">
        <v>1879</v>
      </c>
      <c r="B3086" t="s">
        <v>3344</v>
      </c>
      <c r="C3086" t="s">
        <v>4230</v>
      </c>
      <c r="D3086">
        <v>2</v>
      </c>
      <c r="E3086" t="s">
        <v>1720</v>
      </c>
      <c r="G3086" t="s">
        <v>4511</v>
      </c>
      <c r="H3086" t="s">
        <v>4231</v>
      </c>
    </row>
    <row r="3087" spans="1:8" x14ac:dyDescent="0.35">
      <c r="A3087" t="s">
        <v>1879</v>
      </c>
      <c r="B3087" t="s">
        <v>3344</v>
      </c>
      <c r="C3087" t="s">
        <v>4230</v>
      </c>
      <c r="D3087">
        <v>2</v>
      </c>
      <c r="E3087" t="s">
        <v>1720</v>
      </c>
      <c r="G3087" t="s">
        <v>4512</v>
      </c>
      <c r="H3087" t="s">
        <v>4231</v>
      </c>
    </row>
    <row r="3088" spans="1:8" x14ac:dyDescent="0.35">
      <c r="A3088" t="s">
        <v>1879</v>
      </c>
      <c r="B3088" t="s">
        <v>3344</v>
      </c>
      <c r="C3088" t="s">
        <v>4230</v>
      </c>
      <c r="D3088">
        <v>2.6</v>
      </c>
      <c r="E3088" t="s">
        <v>1720</v>
      </c>
      <c r="G3088" t="s">
        <v>4513</v>
      </c>
      <c r="H3088" t="s">
        <v>4231</v>
      </c>
    </row>
    <row r="3089" spans="1:8" x14ac:dyDescent="0.35">
      <c r="A3089" t="s">
        <v>1879</v>
      </c>
      <c r="B3089" t="s">
        <v>3344</v>
      </c>
      <c r="C3089" t="s">
        <v>4230</v>
      </c>
      <c r="D3089">
        <v>2.6</v>
      </c>
      <c r="E3089" t="s">
        <v>1720</v>
      </c>
      <c r="G3089" t="s">
        <v>4514</v>
      </c>
      <c r="H3089" t="s">
        <v>4231</v>
      </c>
    </row>
    <row r="3090" spans="1:8" x14ac:dyDescent="0.35">
      <c r="A3090" t="s">
        <v>1879</v>
      </c>
      <c r="B3090" t="s">
        <v>3344</v>
      </c>
      <c r="C3090" t="s">
        <v>4230</v>
      </c>
      <c r="D3090">
        <v>1.7</v>
      </c>
      <c r="E3090" t="s">
        <v>1720</v>
      </c>
      <c r="G3090" t="s">
        <v>4515</v>
      </c>
      <c r="H3090" t="s">
        <v>4231</v>
      </c>
    </row>
    <row r="3091" spans="1:8" x14ac:dyDescent="0.35">
      <c r="A3091" t="s">
        <v>1879</v>
      </c>
      <c r="B3091" t="s">
        <v>3344</v>
      </c>
      <c r="C3091" t="s">
        <v>4230</v>
      </c>
      <c r="D3091">
        <v>1.5</v>
      </c>
      <c r="E3091" t="s">
        <v>1720</v>
      </c>
      <c r="G3091" t="s">
        <v>4516</v>
      </c>
      <c r="H3091" t="s">
        <v>4231</v>
      </c>
    </row>
    <row r="3092" spans="1:8" x14ac:dyDescent="0.35">
      <c r="A3092" t="s">
        <v>1879</v>
      </c>
      <c r="B3092" t="s">
        <v>3344</v>
      </c>
      <c r="C3092" t="s">
        <v>4230</v>
      </c>
      <c r="D3092">
        <v>6.5</v>
      </c>
      <c r="E3092" t="s">
        <v>1720</v>
      </c>
      <c r="G3092" t="s">
        <v>4517</v>
      </c>
      <c r="H3092" t="s">
        <v>4231</v>
      </c>
    </row>
    <row r="3093" spans="1:8" x14ac:dyDescent="0.35">
      <c r="A3093" t="s">
        <v>1879</v>
      </c>
      <c r="B3093" t="s">
        <v>3344</v>
      </c>
      <c r="C3093" t="s">
        <v>4230</v>
      </c>
      <c r="D3093">
        <v>5</v>
      </c>
      <c r="E3093" t="s">
        <v>1720</v>
      </c>
      <c r="G3093" t="s">
        <v>4518</v>
      </c>
      <c r="H3093" t="s">
        <v>4231</v>
      </c>
    </row>
    <row r="3094" spans="1:8" x14ac:dyDescent="0.35">
      <c r="A3094" t="s">
        <v>1879</v>
      </c>
      <c r="B3094" t="s">
        <v>3344</v>
      </c>
      <c r="C3094" t="s">
        <v>4230</v>
      </c>
      <c r="D3094">
        <v>4.3</v>
      </c>
      <c r="E3094" t="s">
        <v>1720</v>
      </c>
      <c r="G3094" t="s">
        <v>4519</v>
      </c>
      <c r="H3094" t="s">
        <v>4231</v>
      </c>
    </row>
    <row r="3095" spans="1:8" x14ac:dyDescent="0.35">
      <c r="A3095" t="s">
        <v>1879</v>
      </c>
      <c r="B3095" t="s">
        <v>3344</v>
      </c>
      <c r="C3095" t="s">
        <v>4230</v>
      </c>
      <c r="D3095">
        <v>6.3</v>
      </c>
      <c r="E3095" t="s">
        <v>1720</v>
      </c>
      <c r="G3095" t="s">
        <v>4520</v>
      </c>
      <c r="H3095" t="s">
        <v>4231</v>
      </c>
    </row>
    <row r="3096" spans="1:8" x14ac:dyDescent="0.35">
      <c r="A3096" t="s">
        <v>1879</v>
      </c>
      <c r="B3096" t="s">
        <v>3344</v>
      </c>
      <c r="C3096" t="s">
        <v>4230</v>
      </c>
      <c r="D3096">
        <v>6.9</v>
      </c>
      <c r="E3096" t="s">
        <v>1720</v>
      </c>
      <c r="G3096" t="s">
        <v>4521</v>
      </c>
      <c r="H3096" t="s">
        <v>4231</v>
      </c>
    </row>
    <row r="3097" spans="1:8" x14ac:dyDescent="0.35">
      <c r="A3097" t="s">
        <v>1879</v>
      </c>
      <c r="B3097" t="s">
        <v>3344</v>
      </c>
      <c r="C3097" t="s">
        <v>4230</v>
      </c>
      <c r="D3097">
        <v>4.3</v>
      </c>
      <c r="E3097" t="s">
        <v>1720</v>
      </c>
      <c r="G3097" t="s">
        <v>4522</v>
      </c>
      <c r="H3097" t="s">
        <v>4231</v>
      </c>
    </row>
    <row r="3098" spans="1:8" x14ac:dyDescent="0.35">
      <c r="A3098" t="s">
        <v>1879</v>
      </c>
      <c r="B3098" t="s">
        <v>3344</v>
      </c>
      <c r="C3098" t="s">
        <v>4230</v>
      </c>
      <c r="D3098">
        <v>3.6</v>
      </c>
      <c r="E3098" t="s">
        <v>1720</v>
      </c>
      <c r="G3098" t="s">
        <v>4523</v>
      </c>
      <c r="H3098" t="s">
        <v>4231</v>
      </c>
    </row>
    <row r="3099" spans="1:8" x14ac:dyDescent="0.35">
      <c r="A3099" t="s">
        <v>1879</v>
      </c>
      <c r="B3099" t="s">
        <v>3344</v>
      </c>
      <c r="C3099" t="s">
        <v>4230</v>
      </c>
      <c r="D3099">
        <v>2.7</v>
      </c>
      <c r="E3099" t="s">
        <v>1720</v>
      </c>
      <c r="G3099" t="s">
        <v>4524</v>
      </c>
      <c r="H3099" t="s">
        <v>4231</v>
      </c>
    </row>
    <row r="3100" spans="1:8" x14ac:dyDescent="0.35">
      <c r="A3100" t="s">
        <v>1879</v>
      </c>
      <c r="B3100" t="s">
        <v>3344</v>
      </c>
      <c r="C3100" t="s">
        <v>4365</v>
      </c>
      <c r="D3100">
        <v>125</v>
      </c>
      <c r="E3100" t="s">
        <v>1720</v>
      </c>
      <c r="G3100" t="s">
        <v>4532</v>
      </c>
      <c r="H3100" t="s">
        <v>4366</v>
      </c>
    </row>
    <row r="3101" spans="1:8" x14ac:dyDescent="0.35">
      <c r="A3101" t="s">
        <v>1879</v>
      </c>
      <c r="B3101" t="s">
        <v>3344</v>
      </c>
      <c r="C3101" t="s">
        <v>4365</v>
      </c>
      <c r="D3101">
        <v>100</v>
      </c>
      <c r="E3101" t="s">
        <v>1720</v>
      </c>
      <c r="G3101" t="s">
        <v>4533</v>
      </c>
      <c r="H3101" t="s">
        <v>4366</v>
      </c>
    </row>
    <row r="3102" spans="1:8" x14ac:dyDescent="0.35">
      <c r="A3102" t="s">
        <v>1879</v>
      </c>
      <c r="B3102" t="s">
        <v>3344</v>
      </c>
      <c r="C3102" t="s">
        <v>4229</v>
      </c>
      <c r="D3102">
        <v>20000</v>
      </c>
      <c r="E3102" t="s">
        <v>1720</v>
      </c>
      <c r="F3102" t="s">
        <v>1721</v>
      </c>
      <c r="G3102" t="s">
        <v>4399</v>
      </c>
      <c r="H3102" t="s">
        <v>1711</v>
      </c>
    </row>
    <row r="3103" spans="1:8" x14ac:dyDescent="0.35">
      <c r="A3103" t="s">
        <v>1879</v>
      </c>
      <c r="B3103" t="s">
        <v>3344</v>
      </c>
      <c r="C3103" t="s">
        <v>4300</v>
      </c>
      <c r="D3103">
        <v>0.03</v>
      </c>
      <c r="E3103" t="s">
        <v>1720</v>
      </c>
      <c r="F3103" t="s">
        <v>1724</v>
      </c>
      <c r="G3103" t="s">
        <v>4389</v>
      </c>
      <c r="H3103" t="s">
        <v>4301</v>
      </c>
    </row>
    <row r="3104" spans="1:8" x14ac:dyDescent="0.35">
      <c r="A3104" t="s">
        <v>1879</v>
      </c>
      <c r="B3104" t="s">
        <v>3344</v>
      </c>
      <c r="C3104" t="s">
        <v>4230</v>
      </c>
      <c r="D3104">
        <v>16</v>
      </c>
      <c r="E3104" t="s">
        <v>1720</v>
      </c>
      <c r="G3104" t="s">
        <v>4529</v>
      </c>
      <c r="H3104" t="s">
        <v>4231</v>
      </c>
    </row>
    <row r="3105" spans="1:8" x14ac:dyDescent="0.35">
      <c r="A3105" t="s">
        <v>1879</v>
      </c>
      <c r="B3105" t="s">
        <v>3344</v>
      </c>
      <c r="C3105" t="s">
        <v>4230</v>
      </c>
      <c r="D3105">
        <v>49</v>
      </c>
      <c r="E3105" t="s">
        <v>1720</v>
      </c>
      <c r="G3105" t="s">
        <v>4534</v>
      </c>
      <c r="H3105" t="s">
        <v>4231</v>
      </c>
    </row>
    <row r="3106" spans="1:8" x14ac:dyDescent="0.35">
      <c r="A3106" t="s">
        <v>1879</v>
      </c>
      <c r="B3106" t="s">
        <v>3344</v>
      </c>
      <c r="C3106" t="s">
        <v>4367</v>
      </c>
      <c r="D3106">
        <v>35000</v>
      </c>
      <c r="E3106" t="s">
        <v>1720</v>
      </c>
      <c r="G3106" t="s">
        <v>4535</v>
      </c>
      <c r="H3106" t="s">
        <v>4368</v>
      </c>
    </row>
    <row r="3107" spans="1:8" x14ac:dyDescent="0.35">
      <c r="A3107" t="s">
        <v>1879</v>
      </c>
      <c r="B3107" t="s">
        <v>3344</v>
      </c>
      <c r="C3107" t="s">
        <v>4223</v>
      </c>
      <c r="D3107">
        <v>48</v>
      </c>
      <c r="E3107" t="s">
        <v>1720</v>
      </c>
      <c r="F3107" t="s">
        <v>1721</v>
      </c>
      <c r="G3107" t="s">
        <v>4399</v>
      </c>
      <c r="H3107" t="s">
        <v>4224</v>
      </c>
    </row>
    <row r="3108" spans="1:8" x14ac:dyDescent="0.35">
      <c r="A3108" t="s">
        <v>1879</v>
      </c>
      <c r="B3108" t="s">
        <v>3344</v>
      </c>
      <c r="C3108" t="s">
        <v>4223</v>
      </c>
      <c r="D3108">
        <v>850</v>
      </c>
      <c r="E3108" t="s">
        <v>1720</v>
      </c>
      <c r="F3108" t="s">
        <v>1724</v>
      </c>
      <c r="G3108" t="s">
        <v>4399</v>
      </c>
      <c r="H3108" t="s">
        <v>4224</v>
      </c>
    </row>
    <row r="3109" spans="1:8" x14ac:dyDescent="0.35">
      <c r="A3109" t="s">
        <v>1879</v>
      </c>
      <c r="B3109" t="s">
        <v>3344</v>
      </c>
      <c r="C3109" t="s">
        <v>4223</v>
      </c>
      <c r="D3109">
        <v>150</v>
      </c>
      <c r="E3109" t="s">
        <v>1720</v>
      </c>
      <c r="F3109" t="s">
        <v>1721</v>
      </c>
      <c r="G3109" t="s">
        <v>4399</v>
      </c>
      <c r="H3109" t="s">
        <v>4224</v>
      </c>
    </row>
    <row r="3110" spans="1:8" x14ac:dyDescent="0.35">
      <c r="A3110" t="s">
        <v>1879</v>
      </c>
      <c r="B3110" t="s">
        <v>3344</v>
      </c>
      <c r="C3110" t="s">
        <v>4223</v>
      </c>
      <c r="D3110">
        <v>230</v>
      </c>
      <c r="E3110" t="s">
        <v>1720</v>
      </c>
      <c r="F3110" t="s">
        <v>1724</v>
      </c>
      <c r="G3110" t="s">
        <v>4399</v>
      </c>
      <c r="H3110" t="s">
        <v>4224</v>
      </c>
    </row>
    <row r="3111" spans="1:8" x14ac:dyDescent="0.35">
      <c r="A3111" t="s">
        <v>1879</v>
      </c>
      <c r="B3111" t="s">
        <v>3344</v>
      </c>
      <c r="C3111" t="s">
        <v>4225</v>
      </c>
      <c r="D3111">
        <v>20000</v>
      </c>
      <c r="E3111" t="s">
        <v>1720</v>
      </c>
      <c r="F3111" t="s">
        <v>1721</v>
      </c>
      <c r="G3111" t="s">
        <v>4400</v>
      </c>
      <c r="H3111" t="s">
        <v>4226</v>
      </c>
    </row>
    <row r="3112" spans="1:8" x14ac:dyDescent="0.35">
      <c r="A3112" t="s">
        <v>1879</v>
      </c>
      <c r="B3112" t="s">
        <v>3344</v>
      </c>
      <c r="C3112" t="s">
        <v>4230</v>
      </c>
      <c r="D3112">
        <v>9</v>
      </c>
      <c r="E3112" t="s">
        <v>1720</v>
      </c>
      <c r="G3112" t="s">
        <v>4508</v>
      </c>
      <c r="H3112" t="s">
        <v>4231</v>
      </c>
    </row>
    <row r="3113" spans="1:8" x14ac:dyDescent="0.35">
      <c r="A3113" t="s">
        <v>1879</v>
      </c>
      <c r="B3113" t="s">
        <v>3344</v>
      </c>
      <c r="C3113" t="s">
        <v>4230</v>
      </c>
      <c r="D3113">
        <v>9</v>
      </c>
      <c r="E3113" t="s">
        <v>1720</v>
      </c>
      <c r="G3113" t="s">
        <v>4509</v>
      </c>
      <c r="H3113" t="s">
        <v>4231</v>
      </c>
    </row>
    <row r="3114" spans="1:8" x14ac:dyDescent="0.35">
      <c r="A3114" t="s">
        <v>1879</v>
      </c>
      <c r="B3114" t="s">
        <v>3344</v>
      </c>
      <c r="C3114" t="s">
        <v>4230</v>
      </c>
      <c r="D3114">
        <v>9</v>
      </c>
      <c r="E3114" t="s">
        <v>1720</v>
      </c>
      <c r="G3114" t="s">
        <v>4510</v>
      </c>
      <c r="H3114" t="s">
        <v>4231</v>
      </c>
    </row>
    <row r="3115" spans="1:8" x14ac:dyDescent="0.35">
      <c r="A3115" t="s">
        <v>1879</v>
      </c>
      <c r="B3115" t="s">
        <v>3344</v>
      </c>
      <c r="C3115" t="s">
        <v>4230</v>
      </c>
      <c r="D3115">
        <v>7.8</v>
      </c>
      <c r="E3115" t="s">
        <v>1720</v>
      </c>
      <c r="G3115" t="s">
        <v>4525</v>
      </c>
      <c r="H3115" t="s">
        <v>4231</v>
      </c>
    </row>
    <row r="3116" spans="1:8" x14ac:dyDescent="0.35">
      <c r="A3116" t="s">
        <v>1879</v>
      </c>
      <c r="B3116" t="s">
        <v>3344</v>
      </c>
      <c r="C3116" t="s">
        <v>4230</v>
      </c>
      <c r="D3116">
        <v>11</v>
      </c>
      <c r="E3116" t="s">
        <v>1720</v>
      </c>
      <c r="G3116" t="s">
        <v>4528</v>
      </c>
      <c r="H3116" t="s">
        <v>4231</v>
      </c>
    </row>
    <row r="3117" spans="1:8" x14ac:dyDescent="0.35">
      <c r="A3117" t="s">
        <v>1879</v>
      </c>
      <c r="B3117" t="s">
        <v>3344</v>
      </c>
      <c r="C3117" t="s">
        <v>4230</v>
      </c>
      <c r="D3117">
        <v>5.0999999999999996</v>
      </c>
      <c r="E3117" t="s">
        <v>1720</v>
      </c>
      <c r="G3117" t="s">
        <v>4529</v>
      </c>
      <c r="H3117" t="s">
        <v>4231</v>
      </c>
    </row>
    <row r="3118" spans="1:8" x14ac:dyDescent="0.35">
      <c r="A3118" t="s">
        <v>1879</v>
      </c>
      <c r="B3118" t="s">
        <v>3344</v>
      </c>
      <c r="C3118" t="s">
        <v>4230</v>
      </c>
      <c r="D3118">
        <v>383</v>
      </c>
      <c r="E3118" t="s">
        <v>1720</v>
      </c>
      <c r="G3118" t="s">
        <v>4526</v>
      </c>
      <c r="H3118" t="s">
        <v>4231</v>
      </c>
    </row>
    <row r="3119" spans="1:8" x14ac:dyDescent="0.35">
      <c r="A3119" t="s">
        <v>1879</v>
      </c>
      <c r="B3119" t="s">
        <v>3344</v>
      </c>
      <c r="C3119" t="s">
        <v>4230</v>
      </c>
      <c r="D3119">
        <v>384</v>
      </c>
      <c r="E3119" t="s">
        <v>1720</v>
      </c>
      <c r="G3119" t="s">
        <v>4527</v>
      </c>
      <c r="H3119" t="s">
        <v>4231</v>
      </c>
    </row>
    <row r="3120" spans="1:8" x14ac:dyDescent="0.35">
      <c r="A3120" t="s">
        <v>1879</v>
      </c>
      <c r="B3120" t="s">
        <v>3344</v>
      </c>
      <c r="C3120" t="s">
        <v>4230</v>
      </c>
      <c r="D3120">
        <v>9</v>
      </c>
      <c r="E3120" t="s">
        <v>1720</v>
      </c>
      <c r="G3120" t="s">
        <v>4513</v>
      </c>
      <c r="H3120" t="s">
        <v>4231</v>
      </c>
    </row>
    <row r="3121" spans="1:8" x14ac:dyDescent="0.35">
      <c r="A3121" t="s">
        <v>1879</v>
      </c>
      <c r="B3121" t="s">
        <v>3344</v>
      </c>
      <c r="C3121" t="s">
        <v>4230</v>
      </c>
      <c r="D3121">
        <v>9</v>
      </c>
      <c r="E3121" t="s">
        <v>1720</v>
      </c>
      <c r="G3121" t="s">
        <v>4514</v>
      </c>
      <c r="H3121" t="s">
        <v>4231</v>
      </c>
    </row>
    <row r="3122" spans="1:8" x14ac:dyDescent="0.35">
      <c r="A3122" t="s">
        <v>1879</v>
      </c>
      <c r="B3122" t="s">
        <v>3344</v>
      </c>
      <c r="C3122" t="s">
        <v>4230</v>
      </c>
      <c r="D3122">
        <v>9</v>
      </c>
      <c r="E3122" t="s">
        <v>1720</v>
      </c>
      <c r="G3122" t="s">
        <v>4515</v>
      </c>
      <c r="H3122" t="s">
        <v>4231</v>
      </c>
    </row>
    <row r="3123" spans="1:8" x14ac:dyDescent="0.35">
      <c r="A3123" t="s">
        <v>1879</v>
      </c>
      <c r="B3123" t="s">
        <v>3344</v>
      </c>
      <c r="C3123" t="s">
        <v>4230</v>
      </c>
      <c r="D3123">
        <v>8</v>
      </c>
      <c r="E3123" t="s">
        <v>1720</v>
      </c>
      <c r="G3123" t="s">
        <v>4516</v>
      </c>
      <c r="H3123" t="s">
        <v>4231</v>
      </c>
    </row>
    <row r="3124" spans="1:8" x14ac:dyDescent="0.35">
      <c r="A3124" t="s">
        <v>1879</v>
      </c>
      <c r="B3124" t="s">
        <v>3344</v>
      </c>
      <c r="C3124" t="s">
        <v>4230</v>
      </c>
      <c r="D3124">
        <v>21</v>
      </c>
      <c r="E3124" t="s">
        <v>1720</v>
      </c>
      <c r="G3124" t="s">
        <v>4517</v>
      </c>
      <c r="H3124" t="s">
        <v>4231</v>
      </c>
    </row>
    <row r="3125" spans="1:8" x14ac:dyDescent="0.35">
      <c r="A3125" t="s">
        <v>1879</v>
      </c>
      <c r="B3125" t="s">
        <v>3344</v>
      </c>
      <c r="C3125" t="s">
        <v>4230</v>
      </c>
      <c r="D3125">
        <v>31</v>
      </c>
      <c r="E3125" t="s">
        <v>1720</v>
      </c>
      <c r="G3125" t="s">
        <v>4518</v>
      </c>
      <c r="H3125" t="s">
        <v>4231</v>
      </c>
    </row>
    <row r="3126" spans="1:8" x14ac:dyDescent="0.35">
      <c r="A3126" t="s">
        <v>1879</v>
      </c>
      <c r="B3126" t="s">
        <v>3344</v>
      </c>
      <c r="C3126" t="s">
        <v>4230</v>
      </c>
      <c r="D3126">
        <v>21</v>
      </c>
      <c r="E3126" t="s">
        <v>1720</v>
      </c>
      <c r="G3126" t="s">
        <v>4519</v>
      </c>
      <c r="H3126" t="s">
        <v>4231</v>
      </c>
    </row>
    <row r="3127" spans="1:8" x14ac:dyDescent="0.35">
      <c r="A3127" t="s">
        <v>1879</v>
      </c>
      <c r="B3127" t="s">
        <v>3344</v>
      </c>
      <c r="C3127" t="s">
        <v>4230</v>
      </c>
      <c r="D3127">
        <v>17</v>
      </c>
      <c r="E3127" t="s">
        <v>1720</v>
      </c>
      <c r="G3127" t="s">
        <v>4520</v>
      </c>
      <c r="H3127" t="s">
        <v>4231</v>
      </c>
    </row>
    <row r="3128" spans="1:8" x14ac:dyDescent="0.35">
      <c r="A3128" t="s">
        <v>1879</v>
      </c>
      <c r="B3128" t="s">
        <v>3344</v>
      </c>
      <c r="C3128" t="s">
        <v>4230</v>
      </c>
      <c r="D3128">
        <v>27</v>
      </c>
      <c r="E3128" t="s">
        <v>1720</v>
      </c>
      <c r="G3128" t="s">
        <v>4521</v>
      </c>
      <c r="H3128" t="s">
        <v>4231</v>
      </c>
    </row>
    <row r="3129" spans="1:8" x14ac:dyDescent="0.35">
      <c r="A3129" t="s">
        <v>1879</v>
      </c>
      <c r="B3129" t="s">
        <v>3344</v>
      </c>
      <c r="C3129" t="s">
        <v>4230</v>
      </c>
      <c r="D3129">
        <v>16</v>
      </c>
      <c r="E3129" t="s">
        <v>1720</v>
      </c>
      <c r="G3129" t="s">
        <v>4522</v>
      </c>
      <c r="H3129" t="s">
        <v>4231</v>
      </c>
    </row>
    <row r="3130" spans="1:8" x14ac:dyDescent="0.35">
      <c r="A3130" t="s">
        <v>1879</v>
      </c>
      <c r="B3130" t="s">
        <v>3344</v>
      </c>
      <c r="C3130" t="s">
        <v>4230</v>
      </c>
      <c r="D3130">
        <v>14</v>
      </c>
      <c r="E3130" t="s">
        <v>1720</v>
      </c>
      <c r="G3130" t="s">
        <v>4523</v>
      </c>
      <c r="H3130" t="s">
        <v>4231</v>
      </c>
    </row>
    <row r="3131" spans="1:8" x14ac:dyDescent="0.35">
      <c r="A3131" t="s">
        <v>1879</v>
      </c>
      <c r="B3131" t="s">
        <v>3344</v>
      </c>
      <c r="C3131" t="s">
        <v>4230</v>
      </c>
      <c r="D3131">
        <v>15</v>
      </c>
      <c r="E3131" t="s">
        <v>1720</v>
      </c>
      <c r="G3131" t="s">
        <v>4524</v>
      </c>
      <c r="H3131" t="s">
        <v>4231</v>
      </c>
    </row>
    <row r="3132" spans="1:8" x14ac:dyDescent="0.35">
      <c r="A3132" t="s">
        <v>1879</v>
      </c>
      <c r="B3132" t="s">
        <v>3344</v>
      </c>
      <c r="C3132" t="s">
        <v>4230</v>
      </c>
      <c r="D3132">
        <v>25</v>
      </c>
      <c r="E3132" t="s">
        <v>1720</v>
      </c>
      <c r="G3132" t="s">
        <v>4525</v>
      </c>
      <c r="H3132" t="s">
        <v>4231</v>
      </c>
    </row>
    <row r="3133" spans="1:8" x14ac:dyDescent="0.35">
      <c r="A3133" t="s">
        <v>1879</v>
      </c>
      <c r="B3133" t="s">
        <v>3344</v>
      </c>
      <c r="C3133" t="s">
        <v>4230</v>
      </c>
      <c r="D3133">
        <v>25</v>
      </c>
      <c r="E3133" t="s">
        <v>1720</v>
      </c>
      <c r="G3133" t="s">
        <v>4528</v>
      </c>
      <c r="H3133" t="s">
        <v>4231</v>
      </c>
    </row>
    <row r="3134" spans="1:8" x14ac:dyDescent="0.35">
      <c r="A3134" t="s">
        <v>1879</v>
      </c>
      <c r="B3134" t="s">
        <v>3344</v>
      </c>
      <c r="C3134" t="s">
        <v>4230</v>
      </c>
      <c r="D3134">
        <v>9</v>
      </c>
      <c r="E3134" t="s">
        <v>1720</v>
      </c>
      <c r="G3134" t="s">
        <v>4511</v>
      </c>
      <c r="H3134" t="s">
        <v>4231</v>
      </c>
    </row>
    <row r="3135" spans="1:8" x14ac:dyDescent="0.35">
      <c r="A3135" t="s">
        <v>1879</v>
      </c>
      <c r="B3135" t="s">
        <v>3344</v>
      </c>
      <c r="C3135" t="s">
        <v>4230</v>
      </c>
      <c r="D3135">
        <v>9</v>
      </c>
      <c r="E3135" t="s">
        <v>1720</v>
      </c>
      <c r="G3135" t="s">
        <v>4512</v>
      </c>
      <c r="H3135" t="s">
        <v>4231</v>
      </c>
    </row>
    <row r="3136" spans="1:8" x14ac:dyDescent="0.35">
      <c r="A3136" t="s">
        <v>1879</v>
      </c>
      <c r="B3136" t="s">
        <v>3344</v>
      </c>
      <c r="C3136" t="s">
        <v>4234</v>
      </c>
      <c r="D3136">
        <v>2</v>
      </c>
      <c r="E3136" t="s">
        <v>1720</v>
      </c>
      <c r="G3136" t="s">
        <v>4383</v>
      </c>
      <c r="H3136" t="s">
        <v>4235</v>
      </c>
    </row>
    <row r="3137" spans="1:8" x14ac:dyDescent="0.35">
      <c r="A3137" t="s">
        <v>1879</v>
      </c>
      <c r="B3137" t="s">
        <v>3344</v>
      </c>
      <c r="C3137" t="s">
        <v>4197</v>
      </c>
      <c r="D3137">
        <v>1.0999999999999999E-2</v>
      </c>
      <c r="E3137" t="s">
        <v>1720</v>
      </c>
      <c r="G3137" t="s">
        <v>4536</v>
      </c>
      <c r="H3137" t="s">
        <v>4198</v>
      </c>
    </row>
    <row r="3138" spans="1:8" x14ac:dyDescent="0.35">
      <c r="A3138" t="s">
        <v>1879</v>
      </c>
      <c r="B3138" t="s">
        <v>3344</v>
      </c>
      <c r="C3138" t="s">
        <v>4197</v>
      </c>
      <c r="D3138">
        <v>1.9E-2</v>
      </c>
      <c r="E3138" t="s">
        <v>1720</v>
      </c>
      <c r="G3138" t="s">
        <v>4536</v>
      </c>
      <c r="H3138" t="s">
        <v>4198</v>
      </c>
    </row>
    <row r="3139" spans="1:8" x14ac:dyDescent="0.35">
      <c r="A3139" t="s">
        <v>1879</v>
      </c>
      <c r="B3139" t="s">
        <v>3344</v>
      </c>
      <c r="C3139" t="s">
        <v>4197</v>
      </c>
      <c r="D3139">
        <v>20</v>
      </c>
      <c r="E3139" t="s">
        <v>1720</v>
      </c>
      <c r="G3139" t="s">
        <v>4536</v>
      </c>
      <c r="H3139" t="s">
        <v>4198</v>
      </c>
    </row>
    <row r="3140" spans="1:8" x14ac:dyDescent="0.35">
      <c r="A3140" t="s">
        <v>1879</v>
      </c>
      <c r="B3140" t="s">
        <v>3344</v>
      </c>
      <c r="C3140" t="s">
        <v>4240</v>
      </c>
      <c r="D3140">
        <v>20000</v>
      </c>
      <c r="E3140" t="s">
        <v>1720</v>
      </c>
      <c r="F3140" t="s">
        <v>1721</v>
      </c>
      <c r="G3140" t="s">
        <v>4402</v>
      </c>
      <c r="H3140" t="s">
        <v>4241</v>
      </c>
    </row>
    <row r="3141" spans="1:8" x14ac:dyDescent="0.35">
      <c r="A3141" t="s">
        <v>1879</v>
      </c>
      <c r="B3141" t="s">
        <v>3344</v>
      </c>
      <c r="C3141" t="s">
        <v>4244</v>
      </c>
      <c r="D3141">
        <v>250</v>
      </c>
      <c r="E3141" t="s">
        <v>1720</v>
      </c>
      <c r="G3141" t="s">
        <v>4406</v>
      </c>
      <c r="H3141" t="s">
        <v>4245</v>
      </c>
    </row>
    <row r="3142" spans="1:8" x14ac:dyDescent="0.35">
      <c r="A3142" t="s">
        <v>1879</v>
      </c>
      <c r="B3142" t="s">
        <v>3344</v>
      </c>
      <c r="C3142" t="s">
        <v>4244</v>
      </c>
      <c r="D3142">
        <v>250</v>
      </c>
      <c r="E3142" t="s">
        <v>1720</v>
      </c>
      <c r="G3142" t="s">
        <v>4407</v>
      </c>
      <c r="H3142" t="s">
        <v>4245</v>
      </c>
    </row>
    <row r="3143" spans="1:8" x14ac:dyDescent="0.35">
      <c r="A3143" t="s">
        <v>1879</v>
      </c>
      <c r="B3143" t="s">
        <v>3344</v>
      </c>
      <c r="C3143" t="s">
        <v>4244</v>
      </c>
      <c r="D3143">
        <v>500</v>
      </c>
      <c r="E3143" t="s">
        <v>1720</v>
      </c>
      <c r="G3143" t="s">
        <v>4406</v>
      </c>
      <c r="H3143" t="s">
        <v>4245</v>
      </c>
    </row>
    <row r="3144" spans="1:8" x14ac:dyDescent="0.35">
      <c r="A3144" t="s">
        <v>1879</v>
      </c>
      <c r="B3144" t="s">
        <v>3344</v>
      </c>
      <c r="C3144" t="s">
        <v>4244</v>
      </c>
      <c r="D3144">
        <v>500</v>
      </c>
      <c r="E3144" t="s">
        <v>1720</v>
      </c>
      <c r="G3144" t="s">
        <v>4407</v>
      </c>
      <c r="H3144" t="s">
        <v>4245</v>
      </c>
    </row>
    <row r="3145" spans="1:8" x14ac:dyDescent="0.35">
      <c r="A3145" t="s">
        <v>1879</v>
      </c>
      <c r="B3145" t="s">
        <v>3344</v>
      </c>
      <c r="C3145" t="s">
        <v>4323</v>
      </c>
      <c r="D3145">
        <v>100</v>
      </c>
      <c r="E3145" t="s">
        <v>1720</v>
      </c>
      <c r="F3145" t="s">
        <v>1724</v>
      </c>
      <c r="G3145" t="s">
        <v>4428</v>
      </c>
      <c r="H3145" t="s">
        <v>4324</v>
      </c>
    </row>
    <row r="3146" spans="1:8" x14ac:dyDescent="0.35">
      <c r="A3146" t="s">
        <v>1879</v>
      </c>
      <c r="B3146" t="s">
        <v>3344</v>
      </c>
      <c r="C3146" t="s">
        <v>4323</v>
      </c>
      <c r="D3146">
        <v>100</v>
      </c>
      <c r="E3146" t="s">
        <v>1720</v>
      </c>
      <c r="F3146" t="s">
        <v>1724</v>
      </c>
      <c r="G3146" t="s">
        <v>4429</v>
      </c>
      <c r="H3146" t="s">
        <v>4324</v>
      </c>
    </row>
    <row r="3147" spans="1:8" x14ac:dyDescent="0.35">
      <c r="A3147" t="s">
        <v>1879</v>
      </c>
      <c r="B3147" t="s">
        <v>3344</v>
      </c>
      <c r="C3147" t="s">
        <v>4323</v>
      </c>
      <c r="D3147">
        <v>100</v>
      </c>
      <c r="E3147" t="s">
        <v>1720</v>
      </c>
      <c r="F3147" t="s">
        <v>1724</v>
      </c>
      <c r="G3147" t="s">
        <v>4430</v>
      </c>
      <c r="H3147" t="s">
        <v>4324</v>
      </c>
    </row>
    <row r="3148" spans="1:8" x14ac:dyDescent="0.35">
      <c r="A3148" t="s">
        <v>1879</v>
      </c>
      <c r="B3148" t="s">
        <v>3344</v>
      </c>
      <c r="C3148" t="s">
        <v>4323</v>
      </c>
      <c r="D3148">
        <v>100</v>
      </c>
      <c r="E3148" t="s">
        <v>1720</v>
      </c>
      <c r="F3148" t="s">
        <v>1724</v>
      </c>
      <c r="G3148" t="s">
        <v>4446</v>
      </c>
      <c r="H3148" t="s">
        <v>4324</v>
      </c>
    </row>
    <row r="3149" spans="1:8" x14ac:dyDescent="0.35">
      <c r="A3149" t="s">
        <v>1879</v>
      </c>
      <c r="B3149" t="s">
        <v>3344</v>
      </c>
      <c r="C3149" t="s">
        <v>4340</v>
      </c>
      <c r="D3149">
        <v>2.5</v>
      </c>
      <c r="E3149" t="s">
        <v>1720</v>
      </c>
      <c r="F3149" t="s">
        <v>1724</v>
      </c>
      <c r="G3149" t="s">
        <v>4402</v>
      </c>
      <c r="H3149" t="s">
        <v>4341</v>
      </c>
    </row>
    <row r="3150" spans="1:8" x14ac:dyDescent="0.35">
      <c r="A3150" t="s">
        <v>1879</v>
      </c>
      <c r="B3150" t="s">
        <v>3344</v>
      </c>
      <c r="C3150" t="s">
        <v>4340</v>
      </c>
      <c r="D3150">
        <v>1.9E-3</v>
      </c>
      <c r="E3150" t="s">
        <v>1720</v>
      </c>
      <c r="F3150" t="s">
        <v>1721</v>
      </c>
      <c r="G3150" t="s">
        <v>4402</v>
      </c>
      <c r="H3150" t="s">
        <v>4341</v>
      </c>
    </row>
    <row r="3151" spans="1:8" x14ac:dyDescent="0.35">
      <c r="A3151" t="s">
        <v>1879</v>
      </c>
      <c r="B3151" t="s">
        <v>3344</v>
      </c>
      <c r="C3151" t="s">
        <v>4340</v>
      </c>
      <c r="D3151">
        <v>19</v>
      </c>
      <c r="E3151" t="s">
        <v>1720</v>
      </c>
      <c r="F3151" t="s">
        <v>1724</v>
      </c>
      <c r="G3151" t="s">
        <v>4402</v>
      </c>
      <c r="H3151" t="s">
        <v>4341</v>
      </c>
    </row>
    <row r="3152" spans="1:8" x14ac:dyDescent="0.35">
      <c r="A3152" t="s">
        <v>1879</v>
      </c>
      <c r="B3152" t="s">
        <v>3344</v>
      </c>
      <c r="C3152" t="s">
        <v>4252</v>
      </c>
      <c r="D3152">
        <v>0.01</v>
      </c>
      <c r="E3152" t="s">
        <v>1720</v>
      </c>
      <c r="F3152" t="s">
        <v>1721</v>
      </c>
      <c r="G3152" t="s">
        <v>4402</v>
      </c>
      <c r="H3152" t="s">
        <v>4253</v>
      </c>
    </row>
    <row r="3153" spans="1:8" x14ac:dyDescent="0.35">
      <c r="A3153" t="s">
        <v>1879</v>
      </c>
      <c r="B3153" t="s">
        <v>3344</v>
      </c>
      <c r="C3153" t="s">
        <v>4340</v>
      </c>
      <c r="D3153">
        <v>11</v>
      </c>
      <c r="E3153" t="s">
        <v>1720</v>
      </c>
      <c r="F3153" t="s">
        <v>1721</v>
      </c>
      <c r="G3153" t="s">
        <v>4402</v>
      </c>
      <c r="H3153" t="s">
        <v>4341</v>
      </c>
    </row>
    <row r="3154" spans="1:8" x14ac:dyDescent="0.35">
      <c r="A3154" t="s">
        <v>1879</v>
      </c>
      <c r="B3154" t="s">
        <v>3344</v>
      </c>
      <c r="C3154" t="s">
        <v>4244</v>
      </c>
      <c r="D3154">
        <v>19</v>
      </c>
      <c r="E3154" t="s">
        <v>1720</v>
      </c>
      <c r="F3154" t="s">
        <v>1724</v>
      </c>
      <c r="G3154" t="s">
        <v>4406</v>
      </c>
      <c r="H3154" t="s">
        <v>4245</v>
      </c>
    </row>
    <row r="3155" spans="1:8" x14ac:dyDescent="0.35">
      <c r="A3155" t="s">
        <v>1879</v>
      </c>
      <c r="B3155" t="s">
        <v>3344</v>
      </c>
      <c r="C3155" t="s">
        <v>4244</v>
      </c>
      <c r="D3155">
        <v>11</v>
      </c>
      <c r="E3155" t="s">
        <v>1720</v>
      </c>
      <c r="F3155" t="s">
        <v>1721</v>
      </c>
      <c r="G3155" t="s">
        <v>4406</v>
      </c>
      <c r="H3155" t="s">
        <v>4245</v>
      </c>
    </row>
    <row r="3156" spans="1:8" x14ac:dyDescent="0.35">
      <c r="A3156" t="s">
        <v>1879</v>
      </c>
      <c r="B3156" t="s">
        <v>3344</v>
      </c>
      <c r="C3156" t="s">
        <v>4323</v>
      </c>
      <c r="D3156">
        <v>11</v>
      </c>
      <c r="E3156" t="s">
        <v>1720</v>
      </c>
      <c r="F3156" t="s">
        <v>1724</v>
      </c>
      <c r="G3156" t="s">
        <v>4537</v>
      </c>
      <c r="H3156" t="s">
        <v>4324</v>
      </c>
    </row>
    <row r="3157" spans="1:8" x14ac:dyDescent="0.35">
      <c r="A3157" t="s">
        <v>1879</v>
      </c>
      <c r="B3157" t="s">
        <v>3344</v>
      </c>
      <c r="C3157" t="s">
        <v>4323</v>
      </c>
      <c r="D3157">
        <v>5</v>
      </c>
      <c r="E3157" t="s">
        <v>1720</v>
      </c>
      <c r="F3157" t="s">
        <v>1721</v>
      </c>
      <c r="G3157" t="s">
        <v>4537</v>
      </c>
      <c r="H3157" t="s">
        <v>4324</v>
      </c>
    </row>
    <row r="3158" spans="1:8" x14ac:dyDescent="0.35">
      <c r="A3158" t="s">
        <v>1879</v>
      </c>
      <c r="B3158" t="s">
        <v>3344</v>
      </c>
      <c r="C3158" t="s">
        <v>4360</v>
      </c>
      <c r="D3158">
        <v>19</v>
      </c>
      <c r="E3158" t="s">
        <v>1720</v>
      </c>
      <c r="F3158" t="s">
        <v>1724</v>
      </c>
      <c r="G3158" t="s">
        <v>4383</v>
      </c>
      <c r="H3158" t="s">
        <v>4361</v>
      </c>
    </row>
    <row r="3159" spans="1:8" x14ac:dyDescent="0.35">
      <c r="A3159" t="s">
        <v>1879</v>
      </c>
      <c r="B3159" t="s">
        <v>3344</v>
      </c>
      <c r="C3159" t="s">
        <v>4360</v>
      </c>
      <c r="D3159">
        <v>11</v>
      </c>
      <c r="E3159" t="s">
        <v>1720</v>
      </c>
      <c r="F3159" t="s">
        <v>1721</v>
      </c>
      <c r="G3159" t="s">
        <v>4383</v>
      </c>
      <c r="H3159" t="s">
        <v>4361</v>
      </c>
    </row>
    <row r="3160" spans="1:8" x14ac:dyDescent="0.35">
      <c r="A3160" t="s">
        <v>1879</v>
      </c>
      <c r="B3160" t="s">
        <v>3344</v>
      </c>
      <c r="C3160" t="s">
        <v>4369</v>
      </c>
      <c r="D3160">
        <v>0.1</v>
      </c>
      <c r="E3160" t="s">
        <v>1720</v>
      </c>
      <c r="G3160" t="s">
        <v>4538</v>
      </c>
      <c r="H3160" t="s">
        <v>4370</v>
      </c>
    </row>
    <row r="3161" spans="1:8" x14ac:dyDescent="0.35">
      <c r="A3161" t="s">
        <v>1879</v>
      </c>
      <c r="B3161" t="s">
        <v>3344</v>
      </c>
      <c r="C3161" t="s">
        <v>4369</v>
      </c>
      <c r="D3161">
        <v>7</v>
      </c>
      <c r="E3161" t="s">
        <v>1720</v>
      </c>
      <c r="G3161" t="s">
        <v>4538</v>
      </c>
      <c r="H3161" t="s">
        <v>4370</v>
      </c>
    </row>
    <row r="3162" spans="1:8" x14ac:dyDescent="0.35">
      <c r="A3162" t="s">
        <v>1879</v>
      </c>
      <c r="B3162" t="s">
        <v>3344</v>
      </c>
      <c r="C3162" t="s">
        <v>4369</v>
      </c>
      <c r="D3162">
        <v>2E-3</v>
      </c>
      <c r="E3162" t="s">
        <v>1720</v>
      </c>
      <c r="G3162" t="s">
        <v>4538</v>
      </c>
      <c r="H3162" t="s">
        <v>4370</v>
      </c>
    </row>
    <row r="3163" spans="1:8" x14ac:dyDescent="0.35">
      <c r="A3163" t="s">
        <v>1879</v>
      </c>
      <c r="B3163" t="s">
        <v>3344</v>
      </c>
      <c r="C3163" t="s">
        <v>4242</v>
      </c>
      <c r="D3163">
        <v>20000</v>
      </c>
      <c r="E3163" t="s">
        <v>1720</v>
      </c>
      <c r="F3163" t="s">
        <v>1721</v>
      </c>
      <c r="G3163" t="s">
        <v>4405</v>
      </c>
      <c r="H3163" t="s">
        <v>4243</v>
      </c>
    </row>
    <row r="3164" spans="1:8" x14ac:dyDescent="0.35">
      <c r="A3164" t="s">
        <v>1879</v>
      </c>
      <c r="B3164" t="s">
        <v>3344</v>
      </c>
      <c r="C3164" t="s">
        <v>4369</v>
      </c>
      <c r="D3164">
        <v>1</v>
      </c>
      <c r="E3164" t="s">
        <v>1720</v>
      </c>
      <c r="G3164" t="s">
        <v>4538</v>
      </c>
      <c r="H3164" t="s">
        <v>4370</v>
      </c>
    </row>
    <row r="3165" spans="1:8" x14ac:dyDescent="0.35">
      <c r="A3165" t="s">
        <v>1879</v>
      </c>
      <c r="B3165" t="s">
        <v>3344</v>
      </c>
      <c r="C3165" t="s">
        <v>4369</v>
      </c>
      <c r="D3165">
        <v>3.0000000000000001E-3</v>
      </c>
      <c r="E3165" t="s">
        <v>1720</v>
      </c>
      <c r="G3165" t="s">
        <v>4539</v>
      </c>
      <c r="H3165" t="s">
        <v>4370</v>
      </c>
    </row>
    <row r="3166" spans="1:8" x14ac:dyDescent="0.35">
      <c r="A3166" t="s">
        <v>1879</v>
      </c>
      <c r="B3166" t="s">
        <v>3344</v>
      </c>
      <c r="C3166" t="s">
        <v>4369</v>
      </c>
      <c r="D3166">
        <v>19</v>
      </c>
      <c r="E3166" t="s">
        <v>1720</v>
      </c>
      <c r="F3166" t="s">
        <v>1724</v>
      </c>
      <c r="G3166" t="s">
        <v>4538</v>
      </c>
      <c r="H3166" t="s">
        <v>4370</v>
      </c>
    </row>
    <row r="3167" spans="1:8" x14ac:dyDescent="0.35">
      <c r="A3167" t="s">
        <v>1879</v>
      </c>
      <c r="B3167" t="s">
        <v>3344</v>
      </c>
      <c r="C3167" t="s">
        <v>4369</v>
      </c>
      <c r="D3167">
        <v>19</v>
      </c>
      <c r="E3167" t="s">
        <v>1720</v>
      </c>
      <c r="F3167" t="s">
        <v>1724</v>
      </c>
      <c r="G3167" t="s">
        <v>4539</v>
      </c>
      <c r="H3167" t="s">
        <v>4370</v>
      </c>
    </row>
    <row r="3168" spans="1:8" x14ac:dyDescent="0.35">
      <c r="A3168" t="s">
        <v>1879</v>
      </c>
      <c r="B3168" t="s">
        <v>3344</v>
      </c>
      <c r="C3168" t="s">
        <v>4369</v>
      </c>
      <c r="D3168">
        <v>11</v>
      </c>
      <c r="E3168" t="s">
        <v>1720</v>
      </c>
      <c r="F3168" t="s">
        <v>1721</v>
      </c>
      <c r="G3168" t="s">
        <v>4538</v>
      </c>
      <c r="H3168" t="s">
        <v>4370</v>
      </c>
    </row>
    <row r="3169" spans="1:8" x14ac:dyDescent="0.35">
      <c r="A3169" t="s">
        <v>1879</v>
      </c>
      <c r="B3169" t="s">
        <v>3344</v>
      </c>
      <c r="C3169" t="s">
        <v>4369</v>
      </c>
      <c r="D3169">
        <v>11</v>
      </c>
      <c r="E3169" t="s">
        <v>1720</v>
      </c>
      <c r="F3169" t="s">
        <v>1721</v>
      </c>
      <c r="G3169" t="s">
        <v>4539</v>
      </c>
      <c r="H3169" t="s">
        <v>4370</v>
      </c>
    </row>
    <row r="3170" spans="1:8" x14ac:dyDescent="0.35">
      <c r="A3170" t="s">
        <v>1879</v>
      </c>
      <c r="B3170" t="s">
        <v>3344</v>
      </c>
      <c r="C3170" t="s">
        <v>4248</v>
      </c>
      <c r="D3170">
        <v>1.4E-2</v>
      </c>
      <c r="E3170" t="s">
        <v>1720</v>
      </c>
      <c r="F3170" t="s">
        <v>1721</v>
      </c>
      <c r="G3170" t="s">
        <v>4402</v>
      </c>
      <c r="H3170" t="s">
        <v>4249</v>
      </c>
    </row>
    <row r="3171" spans="1:8" x14ac:dyDescent="0.35">
      <c r="A3171" t="s">
        <v>1879</v>
      </c>
      <c r="B3171" t="s">
        <v>3344</v>
      </c>
      <c r="C3171" t="s">
        <v>4248</v>
      </c>
      <c r="D3171">
        <v>2.4</v>
      </c>
      <c r="E3171" t="s">
        <v>1720</v>
      </c>
      <c r="F3171" t="s">
        <v>1724</v>
      </c>
      <c r="G3171" t="s">
        <v>4402</v>
      </c>
      <c r="H3171" t="s">
        <v>4249</v>
      </c>
    </row>
    <row r="3172" spans="1:8" x14ac:dyDescent="0.35">
      <c r="A3172" t="s">
        <v>1879</v>
      </c>
      <c r="B3172" t="s">
        <v>3344</v>
      </c>
      <c r="C3172" t="s">
        <v>4248</v>
      </c>
      <c r="D3172">
        <v>4.3E-3</v>
      </c>
      <c r="E3172" t="s">
        <v>1720</v>
      </c>
      <c r="F3172" t="s">
        <v>1721</v>
      </c>
      <c r="G3172" t="s">
        <v>4402</v>
      </c>
      <c r="H3172" t="s">
        <v>4249</v>
      </c>
    </row>
    <row r="3173" spans="1:8" x14ac:dyDescent="0.35">
      <c r="A3173" t="s">
        <v>1879</v>
      </c>
      <c r="B3173" t="s">
        <v>3344</v>
      </c>
      <c r="C3173" t="s">
        <v>4248</v>
      </c>
      <c r="D3173">
        <v>19</v>
      </c>
      <c r="E3173" t="s">
        <v>1720</v>
      </c>
      <c r="F3173" t="s">
        <v>1724</v>
      </c>
      <c r="G3173" t="s">
        <v>4402</v>
      </c>
      <c r="H3173" t="s">
        <v>4249</v>
      </c>
    </row>
    <row r="3174" spans="1:8" x14ac:dyDescent="0.35">
      <c r="A3174" t="s">
        <v>1879</v>
      </c>
      <c r="B3174" t="s">
        <v>3344</v>
      </c>
      <c r="C3174" t="s">
        <v>4248</v>
      </c>
      <c r="D3174">
        <v>11</v>
      </c>
      <c r="E3174" t="s">
        <v>1720</v>
      </c>
      <c r="F3174" t="s">
        <v>1721</v>
      </c>
      <c r="G3174" t="s">
        <v>4402</v>
      </c>
      <c r="H3174" t="s">
        <v>4249</v>
      </c>
    </row>
    <row r="3175" spans="1:8" x14ac:dyDescent="0.35">
      <c r="A3175" t="s">
        <v>1879</v>
      </c>
      <c r="B3175" t="s">
        <v>3344</v>
      </c>
      <c r="C3175" t="s">
        <v>4323</v>
      </c>
      <c r="D3175">
        <v>11</v>
      </c>
      <c r="E3175" t="s">
        <v>1720</v>
      </c>
      <c r="F3175" t="s">
        <v>1724</v>
      </c>
      <c r="G3175" t="s">
        <v>4428</v>
      </c>
      <c r="H3175" t="s">
        <v>4324</v>
      </c>
    </row>
    <row r="3176" spans="1:8" x14ac:dyDescent="0.35">
      <c r="A3176" t="s">
        <v>1879</v>
      </c>
      <c r="B3176" t="s">
        <v>3344</v>
      </c>
      <c r="C3176" t="s">
        <v>4323</v>
      </c>
      <c r="D3176">
        <v>5</v>
      </c>
      <c r="E3176" t="s">
        <v>1720</v>
      </c>
      <c r="F3176" t="s">
        <v>1721</v>
      </c>
      <c r="G3176" t="s">
        <v>4428</v>
      </c>
      <c r="H3176" t="s">
        <v>4324</v>
      </c>
    </row>
    <row r="3177" spans="1:8" x14ac:dyDescent="0.35">
      <c r="A3177" t="s">
        <v>1879</v>
      </c>
      <c r="B3177" t="s">
        <v>3344</v>
      </c>
      <c r="C3177" t="s">
        <v>4323</v>
      </c>
      <c r="D3177">
        <v>11</v>
      </c>
      <c r="E3177" t="s">
        <v>1720</v>
      </c>
      <c r="F3177" t="s">
        <v>1724</v>
      </c>
      <c r="G3177" t="s">
        <v>4429</v>
      </c>
      <c r="H3177" t="s">
        <v>4324</v>
      </c>
    </row>
    <row r="3178" spans="1:8" x14ac:dyDescent="0.35">
      <c r="A3178" t="s">
        <v>1879</v>
      </c>
      <c r="B3178" t="s">
        <v>3344</v>
      </c>
      <c r="C3178" t="s">
        <v>4323</v>
      </c>
      <c r="D3178">
        <v>5</v>
      </c>
      <c r="E3178" t="s">
        <v>1720</v>
      </c>
      <c r="F3178" t="s">
        <v>1721</v>
      </c>
      <c r="G3178" t="s">
        <v>4429</v>
      </c>
      <c r="H3178" t="s">
        <v>4324</v>
      </c>
    </row>
    <row r="3179" spans="1:8" x14ac:dyDescent="0.35">
      <c r="A3179" t="s">
        <v>1879</v>
      </c>
      <c r="B3179" t="s">
        <v>3344</v>
      </c>
      <c r="C3179" t="s">
        <v>4323</v>
      </c>
      <c r="D3179">
        <v>11</v>
      </c>
      <c r="E3179" t="s">
        <v>1720</v>
      </c>
      <c r="F3179" t="s">
        <v>1724</v>
      </c>
      <c r="G3179" t="s">
        <v>4430</v>
      </c>
      <c r="H3179" t="s">
        <v>4324</v>
      </c>
    </row>
    <row r="3180" spans="1:8" x14ac:dyDescent="0.35">
      <c r="A3180" t="s">
        <v>1879</v>
      </c>
      <c r="B3180" t="s">
        <v>3344</v>
      </c>
      <c r="C3180" t="s">
        <v>4323</v>
      </c>
      <c r="D3180">
        <v>5</v>
      </c>
      <c r="E3180" t="s">
        <v>1720</v>
      </c>
      <c r="F3180" t="s">
        <v>1721</v>
      </c>
      <c r="G3180" t="s">
        <v>4430</v>
      </c>
      <c r="H3180" t="s">
        <v>4324</v>
      </c>
    </row>
    <row r="3181" spans="1:8" x14ac:dyDescent="0.35">
      <c r="A3181" t="s">
        <v>1879</v>
      </c>
      <c r="B3181" t="s">
        <v>3344</v>
      </c>
      <c r="C3181" t="s">
        <v>4371</v>
      </c>
      <c r="D3181">
        <v>0.1</v>
      </c>
      <c r="E3181" t="s">
        <v>1720</v>
      </c>
      <c r="G3181" t="s">
        <v>4538</v>
      </c>
      <c r="H3181" t="s">
        <v>4372</v>
      </c>
    </row>
    <row r="3182" spans="1:8" x14ac:dyDescent="0.35">
      <c r="A3182" t="s">
        <v>1879</v>
      </c>
      <c r="B3182" t="s">
        <v>3344</v>
      </c>
      <c r="C3182" t="s">
        <v>4371</v>
      </c>
      <c r="D3182">
        <v>7</v>
      </c>
      <c r="E3182" t="s">
        <v>1720</v>
      </c>
      <c r="G3182" t="s">
        <v>4538</v>
      </c>
      <c r="H3182" t="s">
        <v>4372</v>
      </c>
    </row>
    <row r="3183" spans="1:8" x14ac:dyDescent="0.35">
      <c r="A3183" t="s">
        <v>1879</v>
      </c>
      <c r="B3183" t="s">
        <v>3344</v>
      </c>
      <c r="C3183" t="s">
        <v>4371</v>
      </c>
      <c r="D3183">
        <v>2E-3</v>
      </c>
      <c r="E3183" t="s">
        <v>1720</v>
      </c>
      <c r="G3183" t="s">
        <v>4538</v>
      </c>
      <c r="H3183" t="s">
        <v>4372</v>
      </c>
    </row>
    <row r="3184" spans="1:8" x14ac:dyDescent="0.35">
      <c r="A3184" t="s">
        <v>1879</v>
      </c>
      <c r="B3184" t="s">
        <v>3344</v>
      </c>
      <c r="C3184" t="s">
        <v>4371</v>
      </c>
      <c r="D3184">
        <v>1</v>
      </c>
      <c r="E3184" t="s">
        <v>1720</v>
      </c>
      <c r="G3184" t="s">
        <v>4538</v>
      </c>
      <c r="H3184" t="s">
        <v>4372</v>
      </c>
    </row>
    <row r="3185" spans="1:8" x14ac:dyDescent="0.35">
      <c r="A3185" t="s">
        <v>1879</v>
      </c>
      <c r="B3185" t="s">
        <v>3344</v>
      </c>
      <c r="C3185" t="s">
        <v>4371</v>
      </c>
      <c r="D3185">
        <v>3</v>
      </c>
      <c r="E3185" t="s">
        <v>1720</v>
      </c>
      <c r="G3185" t="s">
        <v>4540</v>
      </c>
      <c r="H3185" t="s">
        <v>4372</v>
      </c>
    </row>
    <row r="3186" spans="1:8" x14ac:dyDescent="0.35">
      <c r="A3186" t="s">
        <v>1879</v>
      </c>
      <c r="B3186" t="s">
        <v>3344</v>
      </c>
      <c r="C3186" t="s">
        <v>4371</v>
      </c>
      <c r="D3186">
        <v>3</v>
      </c>
      <c r="E3186" t="s">
        <v>1720</v>
      </c>
      <c r="G3186" t="s">
        <v>4541</v>
      </c>
      <c r="H3186" t="s">
        <v>4372</v>
      </c>
    </row>
    <row r="3187" spans="1:8" x14ac:dyDescent="0.35">
      <c r="A3187" t="s">
        <v>1879</v>
      </c>
      <c r="B3187" t="s">
        <v>3344</v>
      </c>
      <c r="C3187" t="s">
        <v>4244</v>
      </c>
      <c r="D3187">
        <v>80</v>
      </c>
      <c r="E3187" t="s">
        <v>1720</v>
      </c>
      <c r="F3187" t="s">
        <v>1724</v>
      </c>
      <c r="G3187" t="s">
        <v>4406</v>
      </c>
      <c r="H3187" t="s">
        <v>4245</v>
      </c>
    </row>
    <row r="3188" spans="1:8" x14ac:dyDescent="0.35">
      <c r="A3188" t="s">
        <v>1879</v>
      </c>
      <c r="B3188" t="s">
        <v>3344</v>
      </c>
      <c r="C3188" t="s">
        <v>4244</v>
      </c>
      <c r="D3188">
        <v>100</v>
      </c>
      <c r="E3188" t="s">
        <v>1720</v>
      </c>
      <c r="F3188" t="s">
        <v>1724</v>
      </c>
      <c r="G3188" t="s">
        <v>4407</v>
      </c>
      <c r="H3188" t="s">
        <v>4245</v>
      </c>
    </row>
    <row r="3189" spans="1:8" x14ac:dyDescent="0.35">
      <c r="A3189" t="s">
        <v>1879</v>
      </c>
      <c r="B3189" t="s">
        <v>3344</v>
      </c>
      <c r="C3189" t="s">
        <v>4246</v>
      </c>
      <c r="D3189">
        <v>11</v>
      </c>
      <c r="E3189" t="s">
        <v>1720</v>
      </c>
      <c r="F3189" t="s">
        <v>1721</v>
      </c>
      <c r="G3189" t="s">
        <v>4402</v>
      </c>
      <c r="H3189" t="s">
        <v>4247</v>
      </c>
    </row>
    <row r="3190" spans="1:8" x14ac:dyDescent="0.35">
      <c r="A3190" t="s">
        <v>1879</v>
      </c>
      <c r="B3190" t="s">
        <v>3344</v>
      </c>
      <c r="C3190" t="s">
        <v>4246</v>
      </c>
      <c r="D3190">
        <v>19</v>
      </c>
      <c r="E3190" t="s">
        <v>1720</v>
      </c>
      <c r="F3190" t="s">
        <v>1724</v>
      </c>
      <c r="G3190" t="s">
        <v>4402</v>
      </c>
      <c r="H3190" t="s">
        <v>4247</v>
      </c>
    </row>
    <row r="3191" spans="1:8" x14ac:dyDescent="0.35">
      <c r="A3191" t="s">
        <v>1879</v>
      </c>
      <c r="B3191" t="s">
        <v>3344</v>
      </c>
      <c r="C3191" t="s">
        <v>4371</v>
      </c>
      <c r="D3191">
        <v>19</v>
      </c>
      <c r="E3191" t="s">
        <v>1720</v>
      </c>
      <c r="F3191" t="s">
        <v>1724</v>
      </c>
      <c r="G3191" t="s">
        <v>4542</v>
      </c>
      <c r="H3191" t="s">
        <v>4372</v>
      </c>
    </row>
    <row r="3192" spans="1:8" x14ac:dyDescent="0.35">
      <c r="A3192" t="s">
        <v>1879</v>
      </c>
      <c r="B3192" t="s">
        <v>3344</v>
      </c>
      <c r="C3192" t="s">
        <v>4371</v>
      </c>
      <c r="D3192">
        <v>11</v>
      </c>
      <c r="E3192" t="s">
        <v>1720</v>
      </c>
      <c r="F3192" t="s">
        <v>1721</v>
      </c>
      <c r="G3192" t="s">
        <v>4542</v>
      </c>
      <c r="H3192" t="s">
        <v>4372</v>
      </c>
    </row>
    <row r="3193" spans="1:8" x14ac:dyDescent="0.35">
      <c r="A3193" t="s">
        <v>1879</v>
      </c>
      <c r="B3193" t="s">
        <v>3344</v>
      </c>
      <c r="C3193" t="s">
        <v>4373</v>
      </c>
      <c r="D3193">
        <v>3.0000000000000001E-3</v>
      </c>
      <c r="E3193" t="s">
        <v>1720</v>
      </c>
      <c r="G3193" t="s">
        <v>4543</v>
      </c>
      <c r="H3193" t="s">
        <v>4374</v>
      </c>
    </row>
    <row r="3194" spans="1:8" x14ac:dyDescent="0.35">
      <c r="A3194" t="s">
        <v>1879</v>
      </c>
      <c r="B3194" t="s">
        <v>3344</v>
      </c>
      <c r="C3194" t="s">
        <v>4250</v>
      </c>
      <c r="D3194">
        <v>3</v>
      </c>
      <c r="E3194" t="s">
        <v>1720</v>
      </c>
      <c r="G3194" t="s">
        <v>4541</v>
      </c>
      <c r="H3194" t="s">
        <v>4251</v>
      </c>
    </row>
    <row r="3195" spans="1:8" x14ac:dyDescent="0.35">
      <c r="A3195" t="s">
        <v>1879</v>
      </c>
      <c r="B3195" t="s">
        <v>3344</v>
      </c>
      <c r="C3195" t="s">
        <v>4250</v>
      </c>
      <c r="D3195">
        <v>3</v>
      </c>
      <c r="E3195" t="s">
        <v>1720</v>
      </c>
      <c r="G3195" t="s">
        <v>4544</v>
      </c>
      <c r="H3195" t="s">
        <v>4251</v>
      </c>
    </row>
    <row r="3196" spans="1:8" x14ac:dyDescent="0.35">
      <c r="A3196" t="s">
        <v>1879</v>
      </c>
      <c r="B3196" t="s">
        <v>3344</v>
      </c>
      <c r="C3196" t="s">
        <v>4250</v>
      </c>
      <c r="D3196">
        <v>2</v>
      </c>
      <c r="E3196" t="s">
        <v>1720</v>
      </c>
      <c r="G3196" t="s">
        <v>4545</v>
      </c>
      <c r="H3196" t="s">
        <v>4251</v>
      </c>
    </row>
    <row r="3197" spans="1:8" x14ac:dyDescent="0.35">
      <c r="A3197" t="s">
        <v>1879</v>
      </c>
      <c r="B3197" t="s">
        <v>3344</v>
      </c>
      <c r="C3197" t="s">
        <v>4250</v>
      </c>
      <c r="D3197">
        <v>19</v>
      </c>
      <c r="E3197" t="s">
        <v>1720</v>
      </c>
      <c r="F3197" t="s">
        <v>1724</v>
      </c>
      <c r="G3197" t="s">
        <v>4402</v>
      </c>
      <c r="H3197" t="s">
        <v>4251</v>
      </c>
    </row>
    <row r="3198" spans="1:8" x14ac:dyDescent="0.35">
      <c r="A3198" t="s">
        <v>1879</v>
      </c>
      <c r="B3198" t="s">
        <v>3344</v>
      </c>
      <c r="C3198" t="s">
        <v>4250</v>
      </c>
      <c r="D3198">
        <v>11</v>
      </c>
      <c r="E3198" t="s">
        <v>1720</v>
      </c>
      <c r="F3198" t="s">
        <v>1721</v>
      </c>
      <c r="G3198" t="s">
        <v>4402</v>
      </c>
      <c r="H3198" t="s">
        <v>4251</v>
      </c>
    </row>
    <row r="3199" spans="1:8" x14ac:dyDescent="0.35">
      <c r="A3199" t="s">
        <v>1879</v>
      </c>
      <c r="B3199" t="s">
        <v>3344</v>
      </c>
      <c r="C3199" t="s">
        <v>4250</v>
      </c>
      <c r="D3199">
        <v>0.1</v>
      </c>
      <c r="E3199" t="s">
        <v>1720</v>
      </c>
      <c r="G3199" t="s">
        <v>4545</v>
      </c>
      <c r="H3199" t="s">
        <v>4251</v>
      </c>
    </row>
    <row r="3200" spans="1:8" x14ac:dyDescent="0.35">
      <c r="A3200" t="s">
        <v>1879</v>
      </c>
      <c r="B3200" t="s">
        <v>3344</v>
      </c>
      <c r="C3200" t="s">
        <v>4250</v>
      </c>
      <c r="D3200">
        <v>0.1</v>
      </c>
      <c r="E3200" t="s">
        <v>1720</v>
      </c>
      <c r="G3200" t="s">
        <v>4544</v>
      </c>
      <c r="H3200" t="s">
        <v>4251</v>
      </c>
    </row>
    <row r="3201" spans="1:8" x14ac:dyDescent="0.35">
      <c r="A3201" t="s">
        <v>1879</v>
      </c>
      <c r="B3201" t="s">
        <v>3344</v>
      </c>
      <c r="C3201" t="s">
        <v>4254</v>
      </c>
      <c r="D3201">
        <v>20000</v>
      </c>
      <c r="E3201" t="s">
        <v>1720</v>
      </c>
      <c r="F3201" t="s">
        <v>1721</v>
      </c>
      <c r="G3201" t="s">
        <v>4402</v>
      </c>
      <c r="H3201" t="s">
        <v>4255</v>
      </c>
    </row>
    <row r="3202" spans="1:8" x14ac:dyDescent="0.35">
      <c r="A3202" t="s">
        <v>1879</v>
      </c>
      <c r="B3202" t="s">
        <v>3344</v>
      </c>
      <c r="C3202" t="s">
        <v>4358</v>
      </c>
      <c r="D3202">
        <v>11</v>
      </c>
      <c r="E3202" t="s">
        <v>1720</v>
      </c>
      <c r="G3202" t="s">
        <v>4546</v>
      </c>
      <c r="H3202" t="s">
        <v>4359</v>
      </c>
    </row>
    <row r="3203" spans="1:8" x14ac:dyDescent="0.35">
      <c r="A3203" t="s">
        <v>1879</v>
      </c>
      <c r="B3203" t="s">
        <v>3344</v>
      </c>
      <c r="C3203" t="s">
        <v>4358</v>
      </c>
      <c r="D3203">
        <v>11</v>
      </c>
      <c r="E3203" t="s">
        <v>1720</v>
      </c>
      <c r="G3203" t="s">
        <v>4547</v>
      </c>
      <c r="H3203" t="s">
        <v>4359</v>
      </c>
    </row>
    <row r="3204" spans="1:8" x14ac:dyDescent="0.35">
      <c r="A3204" t="s">
        <v>1879</v>
      </c>
      <c r="B3204" t="s">
        <v>3344</v>
      </c>
      <c r="C3204" t="s">
        <v>4358</v>
      </c>
      <c r="D3204">
        <v>11</v>
      </c>
      <c r="E3204" t="s">
        <v>1720</v>
      </c>
      <c r="G3204" t="s">
        <v>4548</v>
      </c>
      <c r="H3204" t="s">
        <v>4359</v>
      </c>
    </row>
    <row r="3205" spans="1:8" x14ac:dyDescent="0.35">
      <c r="A3205" t="s">
        <v>1879</v>
      </c>
      <c r="B3205" t="s">
        <v>3344</v>
      </c>
      <c r="C3205" t="s">
        <v>4262</v>
      </c>
      <c r="D3205">
        <v>19</v>
      </c>
      <c r="E3205" t="s">
        <v>1720</v>
      </c>
      <c r="F3205" t="s">
        <v>1724</v>
      </c>
      <c r="G3205" t="s">
        <v>4410</v>
      </c>
      <c r="H3205" t="s">
        <v>4263</v>
      </c>
    </row>
    <row r="3206" spans="1:8" x14ac:dyDescent="0.35">
      <c r="A3206" t="s">
        <v>1879</v>
      </c>
      <c r="B3206" t="s">
        <v>3344</v>
      </c>
      <c r="C3206" t="s">
        <v>4262</v>
      </c>
      <c r="D3206">
        <v>11</v>
      </c>
      <c r="E3206" t="s">
        <v>1720</v>
      </c>
      <c r="F3206" t="s">
        <v>1721</v>
      </c>
      <c r="G3206" t="s">
        <v>4410</v>
      </c>
      <c r="H3206" t="s">
        <v>4263</v>
      </c>
    </row>
    <row r="3207" spans="1:8" x14ac:dyDescent="0.35">
      <c r="A3207" t="s">
        <v>1879</v>
      </c>
      <c r="B3207" t="s">
        <v>3344</v>
      </c>
      <c r="C3207" t="s">
        <v>4358</v>
      </c>
      <c r="D3207">
        <v>11</v>
      </c>
      <c r="E3207" t="s">
        <v>1720</v>
      </c>
      <c r="F3207" t="s">
        <v>1721</v>
      </c>
      <c r="G3207" t="s">
        <v>4402</v>
      </c>
      <c r="H3207" t="s">
        <v>4359</v>
      </c>
    </row>
    <row r="3208" spans="1:8" x14ac:dyDescent="0.35">
      <c r="A3208" t="s">
        <v>1879</v>
      </c>
      <c r="B3208" t="s">
        <v>3344</v>
      </c>
      <c r="C3208" t="s">
        <v>4358</v>
      </c>
      <c r="D3208">
        <v>19</v>
      </c>
      <c r="E3208" t="s">
        <v>1720</v>
      </c>
      <c r="F3208" t="s">
        <v>1724</v>
      </c>
      <c r="G3208" t="s">
        <v>4402</v>
      </c>
      <c r="H3208" t="s">
        <v>4359</v>
      </c>
    </row>
    <row r="3209" spans="1:8" x14ac:dyDescent="0.35">
      <c r="A3209" t="s">
        <v>1879</v>
      </c>
      <c r="B3209" t="s">
        <v>3344</v>
      </c>
      <c r="C3209" t="s">
        <v>4358</v>
      </c>
      <c r="D3209">
        <v>1.4E-2</v>
      </c>
      <c r="E3209" t="s">
        <v>1720</v>
      </c>
      <c r="F3209" t="s">
        <v>1721</v>
      </c>
      <c r="G3209" t="s">
        <v>4402</v>
      </c>
      <c r="H3209" t="s">
        <v>4359</v>
      </c>
    </row>
    <row r="3210" spans="1:8" x14ac:dyDescent="0.35">
      <c r="A3210" t="s">
        <v>1879</v>
      </c>
      <c r="B3210" t="s">
        <v>3344</v>
      </c>
      <c r="C3210" t="s">
        <v>4319</v>
      </c>
      <c r="D3210">
        <v>150</v>
      </c>
      <c r="E3210" t="s">
        <v>1720</v>
      </c>
      <c r="F3210" t="s">
        <v>1721</v>
      </c>
      <c r="G3210" t="s">
        <v>4402</v>
      </c>
      <c r="H3210" t="s">
        <v>4320</v>
      </c>
    </row>
    <row r="3211" spans="1:8" x14ac:dyDescent="0.35">
      <c r="A3211" t="s">
        <v>1879</v>
      </c>
      <c r="B3211" t="s">
        <v>3344</v>
      </c>
      <c r="C3211" t="s">
        <v>4319</v>
      </c>
      <c r="D3211">
        <v>340</v>
      </c>
      <c r="E3211" t="s">
        <v>1720</v>
      </c>
      <c r="F3211" t="s">
        <v>1724</v>
      </c>
      <c r="G3211" t="s">
        <v>4402</v>
      </c>
      <c r="H3211" t="s">
        <v>4320</v>
      </c>
    </row>
    <row r="3212" spans="1:8" x14ac:dyDescent="0.35">
      <c r="A3212" t="s">
        <v>1879</v>
      </c>
      <c r="B3212" t="s">
        <v>3344</v>
      </c>
      <c r="C3212" t="s">
        <v>4319</v>
      </c>
      <c r="D3212">
        <v>3</v>
      </c>
      <c r="E3212" t="s">
        <v>1720</v>
      </c>
      <c r="F3212" t="s">
        <v>1721</v>
      </c>
      <c r="G3212" t="s">
        <v>4402</v>
      </c>
      <c r="H3212" t="s">
        <v>4320</v>
      </c>
    </row>
    <row r="3213" spans="1:8" x14ac:dyDescent="0.35">
      <c r="A3213" t="s">
        <v>1879</v>
      </c>
      <c r="B3213" t="s">
        <v>3344</v>
      </c>
      <c r="C3213" t="s">
        <v>4319</v>
      </c>
      <c r="D3213">
        <v>19</v>
      </c>
      <c r="E3213" t="s">
        <v>1720</v>
      </c>
      <c r="F3213" t="s">
        <v>1724</v>
      </c>
      <c r="G3213" t="s">
        <v>4402</v>
      </c>
      <c r="H3213" t="s">
        <v>4320</v>
      </c>
    </row>
    <row r="3214" spans="1:8" x14ac:dyDescent="0.35">
      <c r="A3214" t="s">
        <v>1879</v>
      </c>
      <c r="B3214" t="s">
        <v>3344</v>
      </c>
      <c r="C3214" t="s">
        <v>4352</v>
      </c>
      <c r="D3214">
        <v>339.8</v>
      </c>
      <c r="E3214" t="s">
        <v>1720</v>
      </c>
      <c r="F3214" t="s">
        <v>1724</v>
      </c>
      <c r="G3214" t="s">
        <v>4462</v>
      </c>
      <c r="H3214" t="s">
        <v>4353</v>
      </c>
    </row>
    <row r="3215" spans="1:8" x14ac:dyDescent="0.35">
      <c r="A3215" t="s">
        <v>1879</v>
      </c>
      <c r="B3215" t="s">
        <v>3344</v>
      </c>
      <c r="C3215" t="s">
        <v>4352</v>
      </c>
      <c r="D3215">
        <v>1.694</v>
      </c>
      <c r="E3215" t="s">
        <v>1720</v>
      </c>
      <c r="F3215" t="s">
        <v>1724</v>
      </c>
      <c r="G3215" t="s">
        <v>4462</v>
      </c>
      <c r="H3215" t="s">
        <v>4353</v>
      </c>
    </row>
    <row r="3216" spans="1:8" x14ac:dyDescent="0.35">
      <c r="A3216" t="s">
        <v>1879</v>
      </c>
      <c r="B3216" t="s">
        <v>3344</v>
      </c>
      <c r="C3216" t="s">
        <v>4352</v>
      </c>
      <c r="D3216">
        <v>147.9</v>
      </c>
      <c r="E3216" t="s">
        <v>1720</v>
      </c>
      <c r="F3216" t="s">
        <v>1721</v>
      </c>
      <c r="G3216" t="s">
        <v>4462</v>
      </c>
      <c r="H3216" t="s">
        <v>4353</v>
      </c>
    </row>
    <row r="3217" spans="1:8" x14ac:dyDescent="0.35">
      <c r="A3217" t="s">
        <v>1879</v>
      </c>
      <c r="B3217" t="s">
        <v>3344</v>
      </c>
      <c r="C3217" t="s">
        <v>4352</v>
      </c>
      <c r="D3217">
        <v>0.90810000000000002</v>
      </c>
      <c r="E3217" t="s">
        <v>1720</v>
      </c>
      <c r="F3217" t="s">
        <v>1721</v>
      </c>
      <c r="G3217" t="s">
        <v>4462</v>
      </c>
      <c r="H3217" t="s">
        <v>4353</v>
      </c>
    </row>
    <row r="3218" spans="1:8" x14ac:dyDescent="0.35">
      <c r="A3218" t="s">
        <v>1879</v>
      </c>
      <c r="B3218" t="s">
        <v>3344</v>
      </c>
      <c r="C3218" t="s">
        <v>4319</v>
      </c>
      <c r="D3218">
        <v>3.0000000000000001E-3</v>
      </c>
      <c r="E3218" t="s">
        <v>1720</v>
      </c>
      <c r="G3218" t="s">
        <v>4549</v>
      </c>
      <c r="H3218" t="s">
        <v>4320</v>
      </c>
    </row>
    <row r="3219" spans="1:8" x14ac:dyDescent="0.35">
      <c r="A3219" t="s">
        <v>1879</v>
      </c>
      <c r="B3219" t="s">
        <v>3344</v>
      </c>
      <c r="C3219" t="s">
        <v>4319</v>
      </c>
      <c r="D3219">
        <v>3.0000000000000001E-3</v>
      </c>
      <c r="E3219" t="s">
        <v>1720</v>
      </c>
      <c r="G3219" t="s">
        <v>4550</v>
      </c>
      <c r="H3219" t="s">
        <v>4320</v>
      </c>
    </row>
    <row r="3220" spans="1:8" x14ac:dyDescent="0.35">
      <c r="A3220" t="s">
        <v>1879</v>
      </c>
      <c r="B3220" t="s">
        <v>3344</v>
      </c>
      <c r="C3220" t="s">
        <v>4319</v>
      </c>
      <c r="D3220">
        <v>3.0000000000000001E-3</v>
      </c>
      <c r="E3220" t="s">
        <v>1720</v>
      </c>
      <c r="G3220" t="s">
        <v>4551</v>
      </c>
      <c r="H3220" t="s">
        <v>4320</v>
      </c>
    </row>
    <row r="3221" spans="1:8" x14ac:dyDescent="0.35">
      <c r="A3221" t="s">
        <v>1879</v>
      </c>
      <c r="B3221" t="s">
        <v>3344</v>
      </c>
      <c r="C3221" t="s">
        <v>4258</v>
      </c>
      <c r="D3221">
        <v>19</v>
      </c>
      <c r="E3221" t="s">
        <v>1720</v>
      </c>
      <c r="F3221" t="s">
        <v>1724</v>
      </c>
      <c r="G3221" t="s">
        <v>4408</v>
      </c>
      <c r="H3221" t="s">
        <v>4259</v>
      </c>
    </row>
    <row r="3222" spans="1:8" x14ac:dyDescent="0.35">
      <c r="A3222" t="s">
        <v>1879</v>
      </c>
      <c r="B3222" t="s">
        <v>3344</v>
      </c>
      <c r="C3222" t="s">
        <v>4258</v>
      </c>
      <c r="D3222">
        <v>11</v>
      </c>
      <c r="E3222" t="s">
        <v>1720</v>
      </c>
      <c r="F3222" t="s">
        <v>1721</v>
      </c>
      <c r="G3222" t="s">
        <v>4408</v>
      </c>
      <c r="H3222" t="s">
        <v>4259</v>
      </c>
    </row>
    <row r="3223" spans="1:8" x14ac:dyDescent="0.35">
      <c r="A3223" t="s">
        <v>1879</v>
      </c>
      <c r="B3223" t="s">
        <v>3344</v>
      </c>
      <c r="C3223" t="s">
        <v>4375</v>
      </c>
      <c r="D3223">
        <v>0.1</v>
      </c>
      <c r="E3223" t="s">
        <v>1720</v>
      </c>
      <c r="G3223" t="s">
        <v>4552</v>
      </c>
      <c r="H3223" t="s">
        <v>4376</v>
      </c>
    </row>
    <row r="3224" spans="1:8" x14ac:dyDescent="0.35">
      <c r="A3224" t="s">
        <v>1879</v>
      </c>
      <c r="B3224" t="s">
        <v>3344</v>
      </c>
      <c r="C3224" t="s">
        <v>4375</v>
      </c>
      <c r="D3224">
        <v>7</v>
      </c>
      <c r="E3224" t="s">
        <v>1720</v>
      </c>
      <c r="G3224" t="s">
        <v>4552</v>
      </c>
      <c r="H3224" t="s">
        <v>4376</v>
      </c>
    </row>
    <row r="3225" spans="1:8" x14ac:dyDescent="0.35">
      <c r="A3225" t="s">
        <v>1879</v>
      </c>
      <c r="B3225" t="s">
        <v>3344</v>
      </c>
      <c r="C3225" t="s">
        <v>4375</v>
      </c>
      <c r="D3225">
        <v>0.1</v>
      </c>
      <c r="E3225" t="s">
        <v>1720</v>
      </c>
      <c r="G3225" t="s">
        <v>4553</v>
      </c>
      <c r="H3225" t="s">
        <v>4376</v>
      </c>
    </row>
    <row r="3226" spans="1:8" x14ac:dyDescent="0.35">
      <c r="A3226" t="s">
        <v>1879</v>
      </c>
      <c r="B3226" t="s">
        <v>3344</v>
      </c>
      <c r="C3226" t="s">
        <v>4375</v>
      </c>
      <c r="D3226">
        <v>7</v>
      </c>
      <c r="E3226" t="s">
        <v>1720</v>
      </c>
      <c r="G3226" t="s">
        <v>4553</v>
      </c>
      <c r="H3226" t="s">
        <v>4376</v>
      </c>
    </row>
    <row r="3227" spans="1:8" x14ac:dyDescent="0.35">
      <c r="A3227" t="s">
        <v>1879</v>
      </c>
      <c r="B3227" t="s">
        <v>3344</v>
      </c>
      <c r="C3227" t="s">
        <v>4270</v>
      </c>
      <c r="D3227">
        <v>2</v>
      </c>
      <c r="E3227" t="s">
        <v>1720</v>
      </c>
      <c r="F3227" t="s">
        <v>1721</v>
      </c>
      <c r="G3227" t="s">
        <v>4554</v>
      </c>
      <c r="H3227" t="s">
        <v>4271</v>
      </c>
    </row>
    <row r="3228" spans="1:8" x14ac:dyDescent="0.35">
      <c r="A3228" t="s">
        <v>1879</v>
      </c>
      <c r="B3228" t="s">
        <v>3344</v>
      </c>
      <c r="C3228" t="s">
        <v>4270</v>
      </c>
      <c r="D3228">
        <v>2</v>
      </c>
      <c r="E3228" t="s">
        <v>1720</v>
      </c>
      <c r="F3228" t="s">
        <v>1721</v>
      </c>
      <c r="G3228" t="s">
        <v>4555</v>
      </c>
      <c r="H3228" t="s">
        <v>4271</v>
      </c>
    </row>
    <row r="3229" spans="1:8" x14ac:dyDescent="0.35">
      <c r="A3229" t="s">
        <v>1879</v>
      </c>
      <c r="B3229" t="s">
        <v>3344</v>
      </c>
      <c r="C3229" t="s">
        <v>4256</v>
      </c>
      <c r="D3229">
        <v>20000</v>
      </c>
      <c r="E3229" t="s">
        <v>1720</v>
      </c>
      <c r="F3229" t="s">
        <v>1721</v>
      </c>
      <c r="G3229" t="s">
        <v>4402</v>
      </c>
      <c r="H3229" t="s">
        <v>4257</v>
      </c>
    </row>
    <row r="3230" spans="1:8" x14ac:dyDescent="0.35">
      <c r="A3230" t="s">
        <v>1879</v>
      </c>
      <c r="B3230" t="s">
        <v>3344</v>
      </c>
      <c r="C3230" t="s">
        <v>4274</v>
      </c>
      <c r="D3230">
        <v>600</v>
      </c>
      <c r="E3230" t="s">
        <v>1720</v>
      </c>
      <c r="G3230" t="s">
        <v>4412</v>
      </c>
      <c r="H3230" t="s">
        <v>4275</v>
      </c>
    </row>
    <row r="3231" spans="1:8" x14ac:dyDescent="0.35">
      <c r="A3231" t="s">
        <v>1879</v>
      </c>
      <c r="B3231" t="s">
        <v>3344</v>
      </c>
      <c r="C3231" t="s">
        <v>4274</v>
      </c>
      <c r="D3231">
        <v>1000</v>
      </c>
      <c r="E3231" t="s">
        <v>1720</v>
      </c>
      <c r="G3231" t="s">
        <v>4412</v>
      </c>
      <c r="H3231" t="s">
        <v>4275</v>
      </c>
    </row>
    <row r="3232" spans="1:8" x14ac:dyDescent="0.35">
      <c r="A3232" t="s">
        <v>1879</v>
      </c>
      <c r="B3232" t="s">
        <v>3344</v>
      </c>
      <c r="C3232" t="s">
        <v>4274</v>
      </c>
      <c r="D3232">
        <v>3.0000000000000001E-3</v>
      </c>
      <c r="E3232" t="s">
        <v>1720</v>
      </c>
      <c r="G3232" t="s">
        <v>4412</v>
      </c>
      <c r="H3232" t="s">
        <v>4275</v>
      </c>
    </row>
    <row r="3233" spans="1:8" x14ac:dyDescent="0.35">
      <c r="A3233" t="s">
        <v>1879</v>
      </c>
      <c r="B3233" t="s">
        <v>3344</v>
      </c>
      <c r="C3233" t="s">
        <v>4377</v>
      </c>
      <c r="D3233">
        <v>2E-3</v>
      </c>
      <c r="E3233" t="s">
        <v>1720</v>
      </c>
      <c r="G3233" t="s">
        <v>4402</v>
      </c>
      <c r="H3233" t="s">
        <v>4378</v>
      </c>
    </row>
    <row r="3234" spans="1:8" x14ac:dyDescent="0.35">
      <c r="A3234" t="s">
        <v>1879</v>
      </c>
      <c r="B3234" t="s">
        <v>3344</v>
      </c>
      <c r="C3234" t="s">
        <v>4377</v>
      </c>
      <c r="D3234">
        <v>3.0000000000000001E-3</v>
      </c>
      <c r="E3234" t="s">
        <v>1720</v>
      </c>
      <c r="G3234" t="s">
        <v>4402</v>
      </c>
      <c r="H3234" t="s">
        <v>4378</v>
      </c>
    </row>
    <row r="3235" spans="1:8" x14ac:dyDescent="0.35">
      <c r="A3235" t="s">
        <v>1879</v>
      </c>
      <c r="B3235" t="s">
        <v>3344</v>
      </c>
      <c r="C3235" t="s">
        <v>4280</v>
      </c>
      <c r="D3235">
        <v>11</v>
      </c>
      <c r="E3235" t="s">
        <v>1720</v>
      </c>
      <c r="G3235" t="s">
        <v>4556</v>
      </c>
      <c r="H3235" t="s">
        <v>4281</v>
      </c>
    </row>
    <row r="3236" spans="1:8" x14ac:dyDescent="0.35">
      <c r="A3236" t="s">
        <v>1879</v>
      </c>
      <c r="B3236" t="s">
        <v>3344</v>
      </c>
      <c r="C3236" t="s">
        <v>4280</v>
      </c>
      <c r="D3236">
        <v>11</v>
      </c>
      <c r="E3236" t="s">
        <v>1720</v>
      </c>
      <c r="G3236" t="s">
        <v>4557</v>
      </c>
      <c r="H3236" t="s">
        <v>4281</v>
      </c>
    </row>
    <row r="3237" spans="1:8" x14ac:dyDescent="0.35">
      <c r="A3237" t="s">
        <v>1879</v>
      </c>
      <c r="B3237" t="s">
        <v>3344</v>
      </c>
      <c r="C3237" t="s">
        <v>4278</v>
      </c>
      <c r="D3237">
        <v>20</v>
      </c>
      <c r="E3237" t="s">
        <v>1720</v>
      </c>
      <c r="G3237" t="s">
        <v>4558</v>
      </c>
      <c r="H3237" t="s">
        <v>4279</v>
      </c>
    </row>
    <row r="3238" spans="1:8" x14ac:dyDescent="0.35">
      <c r="A3238" t="s">
        <v>1879</v>
      </c>
      <c r="B3238" t="s">
        <v>3344</v>
      </c>
      <c r="C3238" t="s">
        <v>4278</v>
      </c>
      <c r="D3238">
        <v>5</v>
      </c>
      <c r="E3238" t="s">
        <v>1720</v>
      </c>
      <c r="G3238" t="s">
        <v>4558</v>
      </c>
      <c r="H3238" t="s">
        <v>4279</v>
      </c>
    </row>
    <row r="3239" spans="1:8" x14ac:dyDescent="0.35">
      <c r="A3239" t="s">
        <v>1879</v>
      </c>
      <c r="B3239" t="s">
        <v>3344</v>
      </c>
      <c r="C3239" t="s">
        <v>4278</v>
      </c>
      <c r="D3239">
        <v>9.5000000000000001E-2</v>
      </c>
      <c r="E3239" t="s">
        <v>1720</v>
      </c>
      <c r="G3239" t="s">
        <v>4559</v>
      </c>
      <c r="H3239" t="s">
        <v>4279</v>
      </c>
    </row>
    <row r="3240" spans="1:8" x14ac:dyDescent="0.35">
      <c r="A3240" t="s">
        <v>1879</v>
      </c>
      <c r="B3240" t="s">
        <v>3344</v>
      </c>
      <c r="C3240" t="s">
        <v>4278</v>
      </c>
      <c r="D3240">
        <v>0.115</v>
      </c>
      <c r="E3240" t="s">
        <v>1720</v>
      </c>
      <c r="G3240" t="s">
        <v>4559</v>
      </c>
      <c r="H3240" t="s">
        <v>4279</v>
      </c>
    </row>
    <row r="3241" spans="1:8" x14ac:dyDescent="0.35">
      <c r="A3241" t="s">
        <v>1879</v>
      </c>
      <c r="B3241" t="s">
        <v>3344</v>
      </c>
      <c r="C3241" t="s">
        <v>4278</v>
      </c>
      <c r="D3241">
        <v>0.12</v>
      </c>
      <c r="E3241" t="s">
        <v>1720</v>
      </c>
      <c r="G3241" t="s">
        <v>4559</v>
      </c>
      <c r="H3241" t="s">
        <v>4279</v>
      </c>
    </row>
    <row r="3242" spans="1:8" x14ac:dyDescent="0.35">
      <c r="A3242" t="s">
        <v>1879</v>
      </c>
      <c r="B3242" t="s">
        <v>3344</v>
      </c>
      <c r="C3242" t="s">
        <v>4278</v>
      </c>
      <c r="D3242">
        <v>0.14000000000000001</v>
      </c>
      <c r="E3242" t="s">
        <v>1720</v>
      </c>
      <c r="G3242" t="s">
        <v>4559</v>
      </c>
      <c r="H3242" t="s">
        <v>4279</v>
      </c>
    </row>
    <row r="3243" spans="1:8" x14ac:dyDescent="0.35">
      <c r="A3243" t="s">
        <v>1879</v>
      </c>
      <c r="B3243" t="s">
        <v>3344</v>
      </c>
      <c r="C3243" t="s">
        <v>4278</v>
      </c>
      <c r="D3243">
        <v>1.4999999999999999E-2</v>
      </c>
      <c r="E3243" t="s">
        <v>1720</v>
      </c>
      <c r="G3243" t="s">
        <v>4560</v>
      </c>
      <c r="H3243" t="s">
        <v>4279</v>
      </c>
    </row>
    <row r="3244" spans="1:8" x14ac:dyDescent="0.35">
      <c r="A3244" t="s">
        <v>1879</v>
      </c>
      <c r="B3244" t="s">
        <v>3344</v>
      </c>
      <c r="C3244" t="s">
        <v>4278</v>
      </c>
      <c r="D3244">
        <v>4.4999999999999998E-2</v>
      </c>
      <c r="E3244" t="s">
        <v>1720</v>
      </c>
      <c r="G3244" t="s">
        <v>4560</v>
      </c>
      <c r="H3244" t="s">
        <v>4279</v>
      </c>
    </row>
    <row r="3245" spans="1:8" x14ac:dyDescent="0.35">
      <c r="A3245" t="s">
        <v>1879</v>
      </c>
      <c r="B3245" t="s">
        <v>3344</v>
      </c>
      <c r="C3245" t="s">
        <v>4278</v>
      </c>
      <c r="D3245">
        <v>9.5000000000000001E-2</v>
      </c>
      <c r="E3245" t="s">
        <v>1720</v>
      </c>
      <c r="G3245" t="s">
        <v>4560</v>
      </c>
      <c r="H3245" t="s">
        <v>4279</v>
      </c>
    </row>
    <row r="3246" spans="1:8" x14ac:dyDescent="0.35">
      <c r="A3246" t="s">
        <v>1879</v>
      </c>
      <c r="B3246" t="s">
        <v>3344</v>
      </c>
      <c r="C3246" t="s">
        <v>4278</v>
      </c>
      <c r="D3246">
        <v>0.9</v>
      </c>
      <c r="E3246" t="s">
        <v>1720</v>
      </c>
      <c r="G3246" t="s">
        <v>4560</v>
      </c>
      <c r="H3246" t="s">
        <v>4279</v>
      </c>
    </row>
    <row r="3247" spans="1:8" x14ac:dyDescent="0.35">
      <c r="A3247" t="s">
        <v>1879</v>
      </c>
      <c r="B3247" t="s">
        <v>3344</v>
      </c>
      <c r="C3247" t="s">
        <v>4278</v>
      </c>
      <c r="D3247">
        <v>1</v>
      </c>
      <c r="E3247" t="s">
        <v>1720</v>
      </c>
      <c r="G3247" t="s">
        <v>4560</v>
      </c>
      <c r="H3247" t="s">
        <v>4279</v>
      </c>
    </row>
    <row r="3248" spans="1:8" x14ac:dyDescent="0.35">
      <c r="A3248" t="s">
        <v>1879</v>
      </c>
      <c r="B3248" t="s">
        <v>3344</v>
      </c>
      <c r="C3248" t="s">
        <v>4278</v>
      </c>
      <c r="D3248">
        <v>2.1999999999999999E-2</v>
      </c>
      <c r="E3248" t="s">
        <v>1720</v>
      </c>
      <c r="G3248" t="s">
        <v>4561</v>
      </c>
      <c r="H3248" t="s">
        <v>4279</v>
      </c>
    </row>
    <row r="3249" spans="1:8" x14ac:dyDescent="0.35">
      <c r="A3249" t="s">
        <v>1879</v>
      </c>
      <c r="B3249" t="s">
        <v>3344</v>
      </c>
      <c r="C3249" t="s">
        <v>4278</v>
      </c>
      <c r="D3249">
        <v>0.75</v>
      </c>
      <c r="E3249" t="s">
        <v>1720</v>
      </c>
      <c r="G3249" t="s">
        <v>4562</v>
      </c>
      <c r="H3249" t="s">
        <v>4279</v>
      </c>
    </row>
    <row r="3250" spans="1:8" x14ac:dyDescent="0.35">
      <c r="A3250" t="s">
        <v>1879</v>
      </c>
      <c r="B3250" t="s">
        <v>3344</v>
      </c>
      <c r="C3250" t="s">
        <v>4278</v>
      </c>
      <c r="D3250">
        <v>1.2</v>
      </c>
      <c r="E3250" t="s">
        <v>1720</v>
      </c>
      <c r="G3250" t="s">
        <v>4562</v>
      </c>
      <c r="H3250" t="s">
        <v>4279</v>
      </c>
    </row>
    <row r="3251" spans="1:8" x14ac:dyDescent="0.35">
      <c r="A3251" t="s">
        <v>1879</v>
      </c>
      <c r="B3251" t="s">
        <v>3344</v>
      </c>
      <c r="C3251" t="s">
        <v>4278</v>
      </c>
      <c r="D3251">
        <v>25</v>
      </c>
      <c r="E3251" t="s">
        <v>1720</v>
      </c>
      <c r="G3251" t="s">
        <v>4563</v>
      </c>
      <c r="H3251" t="s">
        <v>4279</v>
      </c>
    </row>
    <row r="3252" spans="1:8" x14ac:dyDescent="0.35">
      <c r="A3252" t="s">
        <v>1879</v>
      </c>
      <c r="B3252" t="s">
        <v>3344</v>
      </c>
      <c r="C3252" t="s">
        <v>4278</v>
      </c>
      <c r="D3252">
        <v>50</v>
      </c>
      <c r="E3252" t="s">
        <v>1720</v>
      </c>
      <c r="G3252" t="s">
        <v>4563</v>
      </c>
      <c r="H3252" t="s">
        <v>4279</v>
      </c>
    </row>
    <row r="3253" spans="1:8" x14ac:dyDescent="0.35">
      <c r="A3253" t="s">
        <v>1879</v>
      </c>
      <c r="B3253" t="s">
        <v>3344</v>
      </c>
      <c r="C3253" t="s">
        <v>4278</v>
      </c>
      <c r="D3253">
        <v>100</v>
      </c>
      <c r="E3253" t="s">
        <v>1720</v>
      </c>
      <c r="G3253" t="s">
        <v>4563</v>
      </c>
      <c r="H3253" t="s">
        <v>4279</v>
      </c>
    </row>
    <row r="3254" spans="1:8" x14ac:dyDescent="0.35">
      <c r="A3254" t="s">
        <v>1879</v>
      </c>
      <c r="B3254" t="s">
        <v>3344</v>
      </c>
      <c r="C3254" t="s">
        <v>4278</v>
      </c>
      <c r="D3254">
        <v>106</v>
      </c>
      <c r="E3254" t="s">
        <v>1720</v>
      </c>
      <c r="G3254" t="s">
        <v>4563</v>
      </c>
      <c r="H3254" t="s">
        <v>4279</v>
      </c>
    </row>
    <row r="3255" spans="1:8" x14ac:dyDescent="0.35">
      <c r="A3255" t="s">
        <v>1879</v>
      </c>
      <c r="B3255" t="s">
        <v>3344</v>
      </c>
      <c r="C3255" t="s">
        <v>4278</v>
      </c>
      <c r="D3255">
        <v>85</v>
      </c>
      <c r="E3255" t="s">
        <v>1720</v>
      </c>
      <c r="G3255" t="s">
        <v>4563</v>
      </c>
      <c r="H3255" t="s">
        <v>4279</v>
      </c>
    </row>
    <row r="3256" spans="1:8" x14ac:dyDescent="0.35">
      <c r="A3256" t="s">
        <v>1879</v>
      </c>
      <c r="B3256" t="s">
        <v>3344</v>
      </c>
      <c r="C3256" t="s">
        <v>4278</v>
      </c>
      <c r="D3256">
        <v>415</v>
      </c>
      <c r="E3256" t="s">
        <v>1720</v>
      </c>
      <c r="G3256" t="s">
        <v>4564</v>
      </c>
      <c r="H3256" t="s">
        <v>4279</v>
      </c>
    </row>
    <row r="3257" spans="1:8" x14ac:dyDescent="0.35">
      <c r="A3257" t="s">
        <v>1879</v>
      </c>
      <c r="B3257" t="s">
        <v>3344</v>
      </c>
      <c r="C3257" t="s">
        <v>4278</v>
      </c>
      <c r="D3257">
        <v>2</v>
      </c>
      <c r="E3257" t="s">
        <v>1720</v>
      </c>
      <c r="G3257" t="s">
        <v>4565</v>
      </c>
      <c r="H3257" t="s">
        <v>4279</v>
      </c>
    </row>
    <row r="3258" spans="1:8" x14ac:dyDescent="0.35">
      <c r="A3258" t="s">
        <v>1879</v>
      </c>
      <c r="B3258" t="s">
        <v>3344</v>
      </c>
      <c r="C3258" t="s">
        <v>4280</v>
      </c>
      <c r="D3258">
        <v>11</v>
      </c>
      <c r="E3258" t="s">
        <v>1720</v>
      </c>
      <c r="G3258" t="s">
        <v>4566</v>
      </c>
      <c r="H3258" t="s">
        <v>4281</v>
      </c>
    </row>
    <row r="3259" spans="1:8" x14ac:dyDescent="0.35">
      <c r="A3259" t="s">
        <v>1879</v>
      </c>
      <c r="B3259" t="s">
        <v>3344</v>
      </c>
      <c r="C3259" t="s">
        <v>4280</v>
      </c>
      <c r="D3259">
        <v>11</v>
      </c>
      <c r="E3259" t="s">
        <v>1720</v>
      </c>
      <c r="G3259" t="s">
        <v>4567</v>
      </c>
      <c r="H3259" t="s">
        <v>4281</v>
      </c>
    </row>
    <row r="3260" spans="1:8" x14ac:dyDescent="0.35">
      <c r="A3260" t="s">
        <v>1879</v>
      </c>
      <c r="B3260" t="s">
        <v>3344</v>
      </c>
      <c r="C3260" t="s">
        <v>4280</v>
      </c>
      <c r="D3260">
        <v>11</v>
      </c>
      <c r="E3260" t="s">
        <v>1720</v>
      </c>
      <c r="F3260" t="s">
        <v>1721</v>
      </c>
      <c r="G3260" t="s">
        <v>4468</v>
      </c>
      <c r="H3260" t="s">
        <v>4281</v>
      </c>
    </row>
    <row r="3261" spans="1:8" x14ac:dyDescent="0.35">
      <c r="A3261" t="s">
        <v>1879</v>
      </c>
      <c r="B3261" t="s">
        <v>3344</v>
      </c>
      <c r="C3261" t="s">
        <v>4280</v>
      </c>
      <c r="D3261">
        <v>1.4E-2</v>
      </c>
      <c r="E3261" t="s">
        <v>1720</v>
      </c>
      <c r="F3261" t="s">
        <v>1721</v>
      </c>
      <c r="G3261" t="s">
        <v>4468</v>
      </c>
      <c r="H3261" t="s">
        <v>4281</v>
      </c>
    </row>
    <row r="3262" spans="1:8" x14ac:dyDescent="0.35">
      <c r="A3262" t="s">
        <v>1879</v>
      </c>
      <c r="B3262" t="s">
        <v>3344</v>
      </c>
      <c r="C3262" t="s">
        <v>4280</v>
      </c>
      <c r="D3262">
        <v>11</v>
      </c>
      <c r="E3262" t="s">
        <v>1720</v>
      </c>
      <c r="F3262" t="s">
        <v>1721</v>
      </c>
      <c r="G3262" t="s">
        <v>4415</v>
      </c>
      <c r="H3262" t="s">
        <v>4281</v>
      </c>
    </row>
    <row r="3263" spans="1:8" x14ac:dyDescent="0.35">
      <c r="A3263" t="s">
        <v>1879</v>
      </c>
      <c r="B3263" t="s">
        <v>3344</v>
      </c>
      <c r="C3263" t="s">
        <v>4280</v>
      </c>
      <c r="D3263">
        <v>19</v>
      </c>
      <c r="E3263" t="s">
        <v>1720</v>
      </c>
      <c r="F3263" t="s">
        <v>1724</v>
      </c>
      <c r="G3263" t="s">
        <v>4415</v>
      </c>
      <c r="H3263" t="s">
        <v>4281</v>
      </c>
    </row>
    <row r="3264" spans="1:8" x14ac:dyDescent="0.35">
      <c r="A3264" t="s">
        <v>1879</v>
      </c>
      <c r="B3264" t="s">
        <v>3344</v>
      </c>
      <c r="C3264" t="s">
        <v>4284</v>
      </c>
      <c r="D3264">
        <v>2</v>
      </c>
      <c r="E3264" t="s">
        <v>1720</v>
      </c>
      <c r="G3264" t="s">
        <v>4416</v>
      </c>
      <c r="H3264" t="s">
        <v>4285</v>
      </c>
    </row>
    <row r="3265" spans="1:8" x14ac:dyDescent="0.35">
      <c r="A3265" t="s">
        <v>1879</v>
      </c>
      <c r="B3265" t="s">
        <v>3344</v>
      </c>
      <c r="C3265" t="s">
        <v>4284</v>
      </c>
      <c r="D3265">
        <v>2</v>
      </c>
      <c r="E3265" t="s">
        <v>1720</v>
      </c>
      <c r="G3265" t="s">
        <v>4417</v>
      </c>
      <c r="H3265" t="s">
        <v>4285</v>
      </c>
    </row>
    <row r="3266" spans="1:8" x14ac:dyDescent="0.35">
      <c r="A3266" t="s">
        <v>1879</v>
      </c>
      <c r="B3266" t="s">
        <v>3344</v>
      </c>
      <c r="C3266" t="s">
        <v>4286</v>
      </c>
      <c r="D3266">
        <v>20000</v>
      </c>
      <c r="E3266" t="s">
        <v>1720</v>
      </c>
      <c r="F3266" t="s">
        <v>1721</v>
      </c>
      <c r="G3266" t="s">
        <v>4402</v>
      </c>
      <c r="H3266" t="s">
        <v>4287</v>
      </c>
    </row>
    <row r="3267" spans="1:8" x14ac:dyDescent="0.35">
      <c r="A3267" t="s">
        <v>1879</v>
      </c>
      <c r="B3267" t="s">
        <v>3344</v>
      </c>
      <c r="C3267" t="s">
        <v>4290</v>
      </c>
      <c r="D3267">
        <v>24.1</v>
      </c>
      <c r="E3267" t="s">
        <v>1720</v>
      </c>
      <c r="F3267" t="s">
        <v>1724</v>
      </c>
      <c r="G3267" t="s">
        <v>4402</v>
      </c>
      <c r="H3267" t="s">
        <v>4291</v>
      </c>
    </row>
    <row r="3268" spans="1:8" x14ac:dyDescent="0.35">
      <c r="A3268" t="s">
        <v>1879</v>
      </c>
      <c r="B3268" t="s">
        <v>3344</v>
      </c>
      <c r="C3268" t="s">
        <v>4290</v>
      </c>
      <c r="D3268">
        <v>24.1</v>
      </c>
      <c r="E3268" t="s">
        <v>1720</v>
      </c>
      <c r="F3268" t="s">
        <v>1721</v>
      </c>
      <c r="G3268" t="s">
        <v>4402</v>
      </c>
      <c r="H3268" t="s">
        <v>4291</v>
      </c>
    </row>
    <row r="3269" spans="1:8" x14ac:dyDescent="0.35">
      <c r="A3269" t="s">
        <v>1879</v>
      </c>
      <c r="B3269" t="s">
        <v>3344</v>
      </c>
      <c r="C3269" t="s">
        <v>4288</v>
      </c>
      <c r="D3269">
        <v>19</v>
      </c>
      <c r="E3269" t="s">
        <v>1720</v>
      </c>
      <c r="F3269" t="s">
        <v>1724</v>
      </c>
      <c r="G3269" t="s">
        <v>4415</v>
      </c>
      <c r="H3269" t="s">
        <v>4289</v>
      </c>
    </row>
    <row r="3270" spans="1:8" x14ac:dyDescent="0.35">
      <c r="A3270" t="s">
        <v>1879</v>
      </c>
      <c r="B3270" t="s">
        <v>3344</v>
      </c>
      <c r="C3270" t="s">
        <v>4288</v>
      </c>
      <c r="D3270">
        <v>11</v>
      </c>
      <c r="E3270" t="s">
        <v>1720</v>
      </c>
      <c r="F3270" t="s">
        <v>1721</v>
      </c>
      <c r="G3270" t="s">
        <v>4415</v>
      </c>
      <c r="H3270" t="s">
        <v>4289</v>
      </c>
    </row>
    <row r="3271" spans="1:8" x14ac:dyDescent="0.35">
      <c r="A3271" t="s">
        <v>1879</v>
      </c>
      <c r="B3271" t="s">
        <v>3344</v>
      </c>
      <c r="C3271" t="s">
        <v>4292</v>
      </c>
      <c r="D3271">
        <v>20000</v>
      </c>
      <c r="E3271" t="s">
        <v>1720</v>
      </c>
      <c r="F3271" t="s">
        <v>1721</v>
      </c>
      <c r="G3271" t="s">
        <v>4402</v>
      </c>
      <c r="H3271" t="s">
        <v>4293</v>
      </c>
    </row>
    <row r="3272" spans="1:8" x14ac:dyDescent="0.35">
      <c r="A3272" t="s">
        <v>1879</v>
      </c>
      <c r="B3272" t="s">
        <v>3344</v>
      </c>
      <c r="C3272" t="s">
        <v>4321</v>
      </c>
      <c r="D3272">
        <v>5</v>
      </c>
      <c r="E3272" t="s">
        <v>1720</v>
      </c>
      <c r="F3272" t="s">
        <v>1721</v>
      </c>
      <c r="G3272" t="s">
        <v>4427</v>
      </c>
      <c r="H3272" t="s">
        <v>4322</v>
      </c>
    </row>
    <row r="3273" spans="1:8" x14ac:dyDescent="0.35">
      <c r="A3273" t="s">
        <v>1879</v>
      </c>
      <c r="B3273" t="s">
        <v>3344</v>
      </c>
      <c r="C3273" t="s">
        <v>4321</v>
      </c>
      <c r="D3273">
        <v>19</v>
      </c>
      <c r="E3273" t="s">
        <v>1720</v>
      </c>
      <c r="F3273" t="s">
        <v>1724</v>
      </c>
      <c r="G3273" t="s">
        <v>4427</v>
      </c>
      <c r="H3273" t="s">
        <v>4322</v>
      </c>
    </row>
    <row r="3274" spans="1:8" x14ac:dyDescent="0.35">
      <c r="A3274" t="s">
        <v>1879</v>
      </c>
      <c r="B3274" t="s">
        <v>3344</v>
      </c>
      <c r="C3274" t="s">
        <v>4321</v>
      </c>
      <c r="D3274">
        <v>1</v>
      </c>
      <c r="E3274" t="s">
        <v>1720</v>
      </c>
      <c r="F3274" t="s">
        <v>1721</v>
      </c>
      <c r="G3274" t="s">
        <v>4427</v>
      </c>
      <c r="H3274" t="s">
        <v>4322</v>
      </c>
    </row>
    <row r="3275" spans="1:8" x14ac:dyDescent="0.35">
      <c r="A3275" t="s">
        <v>1879</v>
      </c>
      <c r="B3275" t="s">
        <v>3344</v>
      </c>
      <c r="C3275" t="s">
        <v>4321</v>
      </c>
      <c r="D3275">
        <v>10</v>
      </c>
      <c r="E3275" t="s">
        <v>1720</v>
      </c>
      <c r="F3275" t="s">
        <v>1724</v>
      </c>
      <c r="G3275" t="s">
        <v>4427</v>
      </c>
      <c r="H3275" t="s">
        <v>4322</v>
      </c>
    </row>
    <row r="3276" spans="1:8" x14ac:dyDescent="0.35">
      <c r="A3276" t="s">
        <v>1879</v>
      </c>
      <c r="B3276" t="s">
        <v>3344</v>
      </c>
      <c r="C3276" t="s">
        <v>4321</v>
      </c>
      <c r="D3276">
        <v>40</v>
      </c>
      <c r="E3276" t="s">
        <v>1720</v>
      </c>
      <c r="F3276" t="s">
        <v>1721</v>
      </c>
      <c r="G3276" t="s">
        <v>4427</v>
      </c>
      <c r="H3276" t="s">
        <v>4322</v>
      </c>
    </row>
    <row r="3277" spans="1:8" x14ac:dyDescent="0.35">
      <c r="A3277" t="s">
        <v>1879</v>
      </c>
      <c r="B3277" t="s">
        <v>3344</v>
      </c>
      <c r="C3277" t="s">
        <v>4321</v>
      </c>
      <c r="D3277">
        <v>8.0000000000000002E-3</v>
      </c>
      <c r="E3277" t="s">
        <v>1720</v>
      </c>
      <c r="F3277" t="s">
        <v>1721</v>
      </c>
      <c r="G3277" t="s">
        <v>4427</v>
      </c>
      <c r="H3277" t="s">
        <v>4322</v>
      </c>
    </row>
    <row r="3278" spans="1:8" x14ac:dyDescent="0.35">
      <c r="A3278" t="s">
        <v>1879</v>
      </c>
      <c r="B3278" t="s">
        <v>3344</v>
      </c>
      <c r="C3278" t="s">
        <v>4321</v>
      </c>
      <c r="D3278">
        <v>10</v>
      </c>
      <c r="E3278" t="s">
        <v>1720</v>
      </c>
      <c r="F3278" t="s">
        <v>1721</v>
      </c>
      <c r="G3278" t="s">
        <v>4427</v>
      </c>
      <c r="H3278" t="s">
        <v>4322</v>
      </c>
    </row>
    <row r="3279" spans="1:8" x14ac:dyDescent="0.35">
      <c r="A3279" t="s">
        <v>1879</v>
      </c>
      <c r="B3279" t="s">
        <v>3344</v>
      </c>
      <c r="C3279" t="s">
        <v>4321</v>
      </c>
      <c r="D3279">
        <v>200</v>
      </c>
      <c r="E3279" t="s">
        <v>1720</v>
      </c>
      <c r="F3279" t="s">
        <v>1721</v>
      </c>
      <c r="G3279" t="s">
        <v>4427</v>
      </c>
      <c r="H3279" t="s">
        <v>4322</v>
      </c>
    </row>
    <row r="3280" spans="1:8" x14ac:dyDescent="0.35">
      <c r="A3280" t="s">
        <v>1879</v>
      </c>
      <c r="B3280" t="s">
        <v>3344</v>
      </c>
      <c r="C3280" t="s">
        <v>4298</v>
      </c>
      <c r="D3280">
        <v>20000</v>
      </c>
      <c r="E3280" t="s">
        <v>1720</v>
      </c>
      <c r="F3280" t="s">
        <v>1721</v>
      </c>
      <c r="G3280" t="s">
        <v>4419</v>
      </c>
      <c r="H3280" t="s">
        <v>4299</v>
      </c>
    </row>
    <row r="3281" spans="1:8" x14ac:dyDescent="0.35">
      <c r="A3281" t="s">
        <v>1879</v>
      </c>
      <c r="B3281" t="s">
        <v>3344</v>
      </c>
      <c r="C3281" t="s">
        <v>4296</v>
      </c>
      <c r="D3281">
        <v>20000</v>
      </c>
      <c r="E3281" t="s">
        <v>1720</v>
      </c>
      <c r="F3281" t="s">
        <v>1721</v>
      </c>
      <c r="G3281" t="s">
        <v>4402</v>
      </c>
      <c r="H3281" t="s">
        <v>4297</v>
      </c>
    </row>
    <row r="3282" spans="1:8" x14ac:dyDescent="0.35">
      <c r="A3282" t="s">
        <v>3345</v>
      </c>
      <c r="B3282" t="s">
        <v>3346</v>
      </c>
      <c r="C3282" t="s">
        <v>4321</v>
      </c>
      <c r="D3282">
        <v>8.0000000000000002E-3</v>
      </c>
      <c r="E3282" t="s">
        <v>1720</v>
      </c>
      <c r="F3282" t="s">
        <v>1721</v>
      </c>
      <c r="G3282" t="s">
        <v>4427</v>
      </c>
      <c r="H3282" t="s">
        <v>4322</v>
      </c>
    </row>
    <row r="3283" spans="1:8" x14ac:dyDescent="0.35">
      <c r="A3283" t="s">
        <v>3359</v>
      </c>
      <c r="B3283" t="s">
        <v>3360</v>
      </c>
      <c r="C3283" t="s">
        <v>4244</v>
      </c>
      <c r="D3283">
        <v>0.3</v>
      </c>
      <c r="E3283" t="s">
        <v>1720</v>
      </c>
      <c r="F3283" t="s">
        <v>1724</v>
      </c>
      <c r="G3283" t="s">
        <v>4406</v>
      </c>
      <c r="H3283" t="s">
        <v>4245</v>
      </c>
    </row>
    <row r="3284" spans="1:8" x14ac:dyDescent="0.35">
      <c r="A3284" t="s">
        <v>3359</v>
      </c>
      <c r="B3284" t="s">
        <v>3360</v>
      </c>
      <c r="C3284" t="s">
        <v>4244</v>
      </c>
      <c r="D3284">
        <v>0.2</v>
      </c>
      <c r="E3284" t="s">
        <v>1720</v>
      </c>
      <c r="F3284" t="s">
        <v>1721</v>
      </c>
      <c r="G3284" t="s">
        <v>4406</v>
      </c>
      <c r="H3284" t="s">
        <v>4245</v>
      </c>
    </row>
    <row r="3285" spans="1:8" x14ac:dyDescent="0.35">
      <c r="A3285" t="s">
        <v>3375</v>
      </c>
      <c r="B3285" t="s">
        <v>3376</v>
      </c>
      <c r="C3285" t="s">
        <v>4179</v>
      </c>
      <c r="D3285">
        <v>1.2999999999999999E-2</v>
      </c>
      <c r="E3285" t="s">
        <v>1720</v>
      </c>
      <c r="F3285" t="s">
        <v>1721</v>
      </c>
      <c r="G3285" t="s">
        <v>4380</v>
      </c>
      <c r="H3285" t="s">
        <v>4180</v>
      </c>
    </row>
    <row r="3286" spans="1:8" x14ac:dyDescent="0.35">
      <c r="A3286" t="s">
        <v>3375</v>
      </c>
      <c r="B3286" t="s">
        <v>3376</v>
      </c>
      <c r="C3286" t="s">
        <v>4179</v>
      </c>
      <c r="D3286">
        <v>6.5000000000000002E-2</v>
      </c>
      <c r="E3286" t="s">
        <v>1720</v>
      </c>
      <c r="F3286" t="s">
        <v>1724</v>
      </c>
      <c r="G3286" t="s">
        <v>4380</v>
      </c>
      <c r="H3286" t="s">
        <v>4180</v>
      </c>
    </row>
    <row r="3287" spans="1:8" x14ac:dyDescent="0.35">
      <c r="A3287" t="s">
        <v>3375</v>
      </c>
      <c r="B3287" t="s">
        <v>3376</v>
      </c>
      <c r="C3287" t="s">
        <v>4183</v>
      </c>
      <c r="D3287">
        <v>1.2999999999999999E-2</v>
      </c>
      <c r="E3287" t="s">
        <v>1720</v>
      </c>
      <c r="F3287" t="s">
        <v>1721</v>
      </c>
      <c r="G3287" t="s">
        <v>4382</v>
      </c>
      <c r="H3287" t="s">
        <v>4184</v>
      </c>
    </row>
    <row r="3288" spans="1:8" x14ac:dyDescent="0.35">
      <c r="A3288" t="s">
        <v>3375</v>
      </c>
      <c r="B3288" t="s">
        <v>3376</v>
      </c>
      <c r="C3288" t="s">
        <v>4183</v>
      </c>
      <c r="D3288">
        <v>6.5000000000000002E-2</v>
      </c>
      <c r="E3288" t="s">
        <v>1720</v>
      </c>
      <c r="F3288" t="s">
        <v>1724</v>
      </c>
      <c r="G3288" t="s">
        <v>4382</v>
      </c>
      <c r="H3288" t="s">
        <v>4184</v>
      </c>
    </row>
    <row r="3289" spans="1:8" x14ac:dyDescent="0.35">
      <c r="A3289" t="s">
        <v>3375</v>
      </c>
      <c r="B3289" t="s">
        <v>3376</v>
      </c>
      <c r="C3289" t="s">
        <v>4187</v>
      </c>
      <c r="D3289">
        <v>1.2999999999999999E-2</v>
      </c>
      <c r="E3289" t="s">
        <v>1720</v>
      </c>
      <c r="F3289" t="s">
        <v>1721</v>
      </c>
      <c r="G3289" t="s">
        <v>4384</v>
      </c>
      <c r="H3289" t="s">
        <v>4188</v>
      </c>
    </row>
    <row r="3290" spans="1:8" x14ac:dyDescent="0.35">
      <c r="A3290" t="s">
        <v>3375</v>
      </c>
      <c r="B3290" t="s">
        <v>3376</v>
      </c>
      <c r="C3290" t="s">
        <v>4187</v>
      </c>
      <c r="D3290">
        <v>6.5000000000000002E-2</v>
      </c>
      <c r="E3290" t="s">
        <v>1720</v>
      </c>
      <c r="F3290" t="s">
        <v>1724</v>
      </c>
      <c r="G3290" t="s">
        <v>4384</v>
      </c>
      <c r="H3290" t="s">
        <v>4188</v>
      </c>
    </row>
    <row r="3291" spans="1:8" x14ac:dyDescent="0.35">
      <c r="A3291" t="s">
        <v>3375</v>
      </c>
      <c r="B3291" t="s">
        <v>3376</v>
      </c>
      <c r="C3291" t="s">
        <v>4189</v>
      </c>
      <c r="D3291">
        <v>1.2999999999999999E-2</v>
      </c>
      <c r="E3291" t="s">
        <v>1720</v>
      </c>
      <c r="F3291" t="s">
        <v>1721</v>
      </c>
      <c r="G3291" t="s">
        <v>4385</v>
      </c>
      <c r="H3291" t="s">
        <v>4190</v>
      </c>
    </row>
    <row r="3292" spans="1:8" x14ac:dyDescent="0.35">
      <c r="A3292" t="s">
        <v>3375</v>
      </c>
      <c r="B3292" t="s">
        <v>3376</v>
      </c>
      <c r="C3292" t="s">
        <v>4189</v>
      </c>
      <c r="D3292">
        <v>6.5000000000000002E-2</v>
      </c>
      <c r="E3292" t="s">
        <v>1720</v>
      </c>
      <c r="F3292" t="s">
        <v>1724</v>
      </c>
      <c r="G3292" t="s">
        <v>4385</v>
      </c>
      <c r="H3292" t="s">
        <v>4190</v>
      </c>
    </row>
    <row r="3293" spans="1:8" x14ac:dyDescent="0.35">
      <c r="A3293" t="s">
        <v>3375</v>
      </c>
      <c r="B3293" t="s">
        <v>3376</v>
      </c>
      <c r="C3293" t="s">
        <v>4307</v>
      </c>
      <c r="D3293">
        <v>1.2999999999999999E-2</v>
      </c>
      <c r="E3293" t="s">
        <v>1720</v>
      </c>
      <c r="F3293" t="s">
        <v>1721</v>
      </c>
      <c r="G3293" t="s">
        <v>4422</v>
      </c>
      <c r="H3293" t="s">
        <v>4308</v>
      </c>
    </row>
    <row r="3294" spans="1:8" x14ac:dyDescent="0.35">
      <c r="A3294" t="s">
        <v>3375</v>
      </c>
      <c r="B3294" t="s">
        <v>3376</v>
      </c>
      <c r="C3294" t="s">
        <v>4307</v>
      </c>
      <c r="D3294">
        <v>6.5000000000000002E-2</v>
      </c>
      <c r="E3294" t="s">
        <v>1720</v>
      </c>
      <c r="F3294" t="s">
        <v>1724</v>
      </c>
      <c r="G3294" t="s">
        <v>4422</v>
      </c>
      <c r="H3294" t="s">
        <v>4308</v>
      </c>
    </row>
    <row r="3295" spans="1:8" x14ac:dyDescent="0.35">
      <c r="A3295" t="s">
        <v>3375</v>
      </c>
      <c r="B3295" t="s">
        <v>3376</v>
      </c>
      <c r="C3295" t="s">
        <v>4191</v>
      </c>
      <c r="D3295">
        <v>1.2999999999999999E-2</v>
      </c>
      <c r="E3295" t="s">
        <v>1720</v>
      </c>
      <c r="F3295" t="s">
        <v>1721</v>
      </c>
      <c r="G3295" t="s">
        <v>4383</v>
      </c>
      <c r="H3295" t="s">
        <v>4192</v>
      </c>
    </row>
    <row r="3296" spans="1:8" x14ac:dyDescent="0.35">
      <c r="A3296" t="s">
        <v>3375</v>
      </c>
      <c r="B3296" t="s">
        <v>3376</v>
      </c>
      <c r="C3296" t="s">
        <v>4191</v>
      </c>
      <c r="D3296">
        <v>6.5000000000000002E-2</v>
      </c>
      <c r="E3296" t="s">
        <v>1720</v>
      </c>
      <c r="F3296" t="s">
        <v>1724</v>
      </c>
      <c r="G3296" t="s">
        <v>4383</v>
      </c>
      <c r="H3296" t="s">
        <v>4192</v>
      </c>
    </row>
    <row r="3297" spans="1:8" x14ac:dyDescent="0.35">
      <c r="A3297" t="s">
        <v>3375</v>
      </c>
      <c r="B3297" t="s">
        <v>3376</v>
      </c>
      <c r="C3297" t="s">
        <v>4197</v>
      </c>
      <c r="D3297">
        <v>1.2999999999999999E-2</v>
      </c>
      <c r="E3297" t="s">
        <v>1720</v>
      </c>
      <c r="F3297" t="s">
        <v>1721</v>
      </c>
      <c r="G3297" t="s">
        <v>4433</v>
      </c>
      <c r="H3297" t="s">
        <v>4326</v>
      </c>
    </row>
    <row r="3298" spans="1:8" x14ac:dyDescent="0.35">
      <c r="A3298" t="s">
        <v>3375</v>
      </c>
      <c r="B3298" t="s">
        <v>3376</v>
      </c>
      <c r="C3298" t="s">
        <v>4197</v>
      </c>
      <c r="D3298">
        <v>6.5000000000000002E-2</v>
      </c>
      <c r="E3298" t="s">
        <v>1720</v>
      </c>
      <c r="F3298" t="s">
        <v>1724</v>
      </c>
      <c r="G3298" t="s">
        <v>4433</v>
      </c>
      <c r="H3298" t="s">
        <v>4326</v>
      </c>
    </row>
    <row r="3299" spans="1:8" x14ac:dyDescent="0.35">
      <c r="A3299" t="s">
        <v>3375</v>
      </c>
      <c r="B3299" t="s">
        <v>3376</v>
      </c>
      <c r="C3299" t="s">
        <v>4197</v>
      </c>
      <c r="D3299">
        <v>1.2999999999999999E-2</v>
      </c>
      <c r="E3299" t="s">
        <v>1720</v>
      </c>
      <c r="F3299" t="s">
        <v>1721</v>
      </c>
      <c r="G3299" t="s">
        <v>4447</v>
      </c>
      <c r="H3299" t="s">
        <v>4198</v>
      </c>
    </row>
    <row r="3300" spans="1:8" x14ac:dyDescent="0.35">
      <c r="A3300" t="s">
        <v>3375</v>
      </c>
      <c r="B3300" t="s">
        <v>3376</v>
      </c>
      <c r="C3300" t="s">
        <v>4307</v>
      </c>
      <c r="D3300">
        <v>1.2999999999999999E-2</v>
      </c>
      <c r="E3300" t="s">
        <v>1720</v>
      </c>
      <c r="F3300" t="s">
        <v>1721</v>
      </c>
      <c r="G3300" t="s">
        <v>4431</v>
      </c>
      <c r="H3300" t="s">
        <v>4325</v>
      </c>
    </row>
    <row r="3301" spans="1:8" x14ac:dyDescent="0.35">
      <c r="A3301" t="s">
        <v>3375</v>
      </c>
      <c r="B3301" t="s">
        <v>3376</v>
      </c>
      <c r="C3301" t="s">
        <v>4307</v>
      </c>
      <c r="D3301">
        <v>6.5000000000000002E-2</v>
      </c>
      <c r="E3301" t="s">
        <v>1720</v>
      </c>
      <c r="F3301" t="s">
        <v>1724</v>
      </c>
      <c r="G3301" t="s">
        <v>4431</v>
      </c>
      <c r="H3301" t="s">
        <v>4325</v>
      </c>
    </row>
    <row r="3302" spans="1:8" x14ac:dyDescent="0.35">
      <c r="A3302" t="s">
        <v>3375</v>
      </c>
      <c r="B3302" t="s">
        <v>3376</v>
      </c>
      <c r="C3302" t="s">
        <v>4305</v>
      </c>
      <c r="D3302">
        <v>6.5000000000000002E-2</v>
      </c>
      <c r="E3302" t="s">
        <v>1720</v>
      </c>
      <c r="F3302" t="s">
        <v>1724</v>
      </c>
      <c r="G3302" t="s">
        <v>4448</v>
      </c>
      <c r="H3302" t="s">
        <v>4306</v>
      </c>
    </row>
    <row r="3303" spans="1:8" x14ac:dyDescent="0.35">
      <c r="A3303" t="s">
        <v>3375</v>
      </c>
      <c r="B3303" t="s">
        <v>3376</v>
      </c>
      <c r="C3303" t="s">
        <v>4195</v>
      </c>
      <c r="D3303">
        <v>1.2999999999999999E-2</v>
      </c>
      <c r="E3303" t="s">
        <v>1720</v>
      </c>
      <c r="F3303" t="s">
        <v>1721</v>
      </c>
      <c r="G3303" t="s">
        <v>4387</v>
      </c>
      <c r="H3303" t="s">
        <v>4196</v>
      </c>
    </row>
    <row r="3304" spans="1:8" x14ac:dyDescent="0.35">
      <c r="A3304" t="s">
        <v>3375</v>
      </c>
      <c r="B3304" t="s">
        <v>3376</v>
      </c>
      <c r="C3304" t="s">
        <v>4195</v>
      </c>
      <c r="D3304">
        <v>6.5000000000000002E-2</v>
      </c>
      <c r="E3304" t="s">
        <v>1720</v>
      </c>
      <c r="F3304" t="s">
        <v>1724</v>
      </c>
      <c r="G3304" t="s">
        <v>4387</v>
      </c>
      <c r="H3304" t="s">
        <v>4196</v>
      </c>
    </row>
    <row r="3305" spans="1:8" x14ac:dyDescent="0.35">
      <c r="A3305" t="s">
        <v>3375</v>
      </c>
      <c r="B3305" t="s">
        <v>3376</v>
      </c>
      <c r="C3305" t="s">
        <v>4309</v>
      </c>
      <c r="D3305">
        <v>1.2999999999999999E-2</v>
      </c>
      <c r="E3305" t="s">
        <v>1720</v>
      </c>
      <c r="F3305" t="s">
        <v>1721</v>
      </c>
      <c r="G3305" t="s">
        <v>4396</v>
      </c>
      <c r="H3305" t="s">
        <v>4310</v>
      </c>
    </row>
    <row r="3306" spans="1:8" x14ac:dyDescent="0.35">
      <c r="A3306" t="s">
        <v>3375</v>
      </c>
      <c r="B3306" t="s">
        <v>3376</v>
      </c>
      <c r="C3306" t="s">
        <v>4309</v>
      </c>
      <c r="D3306">
        <v>6.5000000000000002E-2</v>
      </c>
      <c r="E3306" t="s">
        <v>1720</v>
      </c>
      <c r="F3306" t="s">
        <v>1724</v>
      </c>
      <c r="G3306" t="s">
        <v>4396</v>
      </c>
      <c r="H3306" t="s">
        <v>4310</v>
      </c>
    </row>
    <row r="3307" spans="1:8" x14ac:dyDescent="0.35">
      <c r="A3307" t="s">
        <v>3375</v>
      </c>
      <c r="B3307" t="s">
        <v>3376</v>
      </c>
      <c r="C3307" t="s">
        <v>4207</v>
      </c>
      <c r="D3307">
        <v>1.2999999999999999E-2</v>
      </c>
      <c r="E3307" t="s">
        <v>1720</v>
      </c>
      <c r="F3307" t="s">
        <v>1721</v>
      </c>
      <c r="G3307" t="s">
        <v>4383</v>
      </c>
      <c r="H3307" t="s">
        <v>4208</v>
      </c>
    </row>
    <row r="3308" spans="1:8" x14ac:dyDescent="0.35">
      <c r="A3308" t="s">
        <v>3375</v>
      </c>
      <c r="B3308" t="s">
        <v>3376</v>
      </c>
      <c r="C3308" t="s">
        <v>4207</v>
      </c>
      <c r="D3308">
        <v>6.5000000000000002E-2</v>
      </c>
      <c r="E3308" t="s">
        <v>1720</v>
      </c>
      <c r="F3308" t="s">
        <v>1724</v>
      </c>
      <c r="G3308" t="s">
        <v>4383</v>
      </c>
      <c r="H3308" t="s">
        <v>4208</v>
      </c>
    </row>
    <row r="3309" spans="1:8" x14ac:dyDescent="0.35">
      <c r="A3309" t="s">
        <v>3375</v>
      </c>
      <c r="B3309" t="s">
        <v>3376</v>
      </c>
      <c r="C3309" t="s">
        <v>4205</v>
      </c>
      <c r="D3309">
        <v>1.2999999999999999E-2</v>
      </c>
      <c r="E3309" t="s">
        <v>1720</v>
      </c>
      <c r="F3309" t="s">
        <v>1721</v>
      </c>
      <c r="G3309" t="s">
        <v>4391</v>
      </c>
      <c r="H3309" t="s">
        <v>4206</v>
      </c>
    </row>
    <row r="3310" spans="1:8" x14ac:dyDescent="0.35">
      <c r="A3310" t="s">
        <v>3375</v>
      </c>
      <c r="B3310" t="s">
        <v>3376</v>
      </c>
      <c r="C3310" t="s">
        <v>4205</v>
      </c>
      <c r="D3310">
        <v>6.5000000000000002E-2</v>
      </c>
      <c r="E3310" t="s">
        <v>1720</v>
      </c>
      <c r="F3310" t="s">
        <v>1724</v>
      </c>
      <c r="G3310" t="s">
        <v>4391</v>
      </c>
      <c r="H3310" t="s">
        <v>4206</v>
      </c>
    </row>
    <row r="3311" spans="1:8" x14ac:dyDescent="0.35">
      <c r="A3311" t="s">
        <v>3375</v>
      </c>
      <c r="B3311" t="s">
        <v>3376</v>
      </c>
      <c r="C3311" t="s">
        <v>4309</v>
      </c>
      <c r="D3311">
        <v>1.2999999999999999E-2</v>
      </c>
      <c r="E3311" t="s">
        <v>1720</v>
      </c>
      <c r="F3311" t="s">
        <v>1721</v>
      </c>
      <c r="G3311" t="s">
        <v>4436</v>
      </c>
      <c r="H3311" t="s">
        <v>4329</v>
      </c>
    </row>
    <row r="3312" spans="1:8" x14ac:dyDescent="0.35">
      <c r="A3312" t="s">
        <v>3375</v>
      </c>
      <c r="B3312" t="s">
        <v>3376</v>
      </c>
      <c r="C3312" t="s">
        <v>4309</v>
      </c>
      <c r="D3312">
        <v>6.5000000000000002E-2</v>
      </c>
      <c r="E3312" t="s">
        <v>1720</v>
      </c>
      <c r="F3312" t="s">
        <v>1724</v>
      </c>
      <c r="G3312" t="s">
        <v>4436</v>
      </c>
      <c r="H3312" t="s">
        <v>4329</v>
      </c>
    </row>
    <row r="3313" spans="1:8" x14ac:dyDescent="0.35">
      <c r="A3313" t="s">
        <v>3375</v>
      </c>
      <c r="B3313" t="s">
        <v>3376</v>
      </c>
      <c r="C3313" t="s">
        <v>4344</v>
      </c>
      <c r="D3313">
        <v>0.13</v>
      </c>
      <c r="E3313" t="s">
        <v>1720</v>
      </c>
      <c r="G3313" t="s">
        <v>4450</v>
      </c>
      <c r="H3313" t="s">
        <v>4345</v>
      </c>
    </row>
    <row r="3314" spans="1:8" x14ac:dyDescent="0.35">
      <c r="A3314" t="s">
        <v>3375</v>
      </c>
      <c r="B3314" t="s">
        <v>3376</v>
      </c>
      <c r="C3314" t="s">
        <v>4344</v>
      </c>
      <c r="D3314">
        <v>1.2999999999999999E-2</v>
      </c>
      <c r="E3314" t="s">
        <v>1720</v>
      </c>
      <c r="G3314" t="s">
        <v>4451</v>
      </c>
      <c r="H3314" t="s">
        <v>4345</v>
      </c>
    </row>
    <row r="3315" spans="1:8" x14ac:dyDescent="0.35">
      <c r="A3315" t="s">
        <v>3375</v>
      </c>
      <c r="B3315" t="s">
        <v>3376</v>
      </c>
      <c r="C3315" t="s">
        <v>4344</v>
      </c>
      <c r="D3315">
        <v>6.5000000000000002E-2</v>
      </c>
      <c r="E3315" t="s">
        <v>1720</v>
      </c>
      <c r="G3315" t="s">
        <v>4452</v>
      </c>
      <c r="H3315" t="s">
        <v>4345</v>
      </c>
    </row>
    <row r="3316" spans="1:8" x14ac:dyDescent="0.35">
      <c r="A3316" t="s">
        <v>3375</v>
      </c>
      <c r="B3316" t="s">
        <v>3376</v>
      </c>
      <c r="C3316" t="s">
        <v>4197</v>
      </c>
      <c r="D3316">
        <v>6.5000000000000002E-2</v>
      </c>
      <c r="E3316" t="s">
        <v>1720</v>
      </c>
      <c r="F3316" t="s">
        <v>1724</v>
      </c>
      <c r="G3316" t="s">
        <v>4383</v>
      </c>
      <c r="H3316" t="s">
        <v>4198</v>
      </c>
    </row>
    <row r="3317" spans="1:8" x14ac:dyDescent="0.35">
      <c r="A3317" t="s">
        <v>3375</v>
      </c>
      <c r="B3317" t="s">
        <v>3376</v>
      </c>
      <c r="C3317" t="s">
        <v>4346</v>
      </c>
      <c r="D3317">
        <v>1.0999999999999999E-2</v>
      </c>
      <c r="E3317" t="s">
        <v>1720</v>
      </c>
      <c r="F3317" t="s">
        <v>1721</v>
      </c>
      <c r="G3317" t="s">
        <v>4453</v>
      </c>
      <c r="H3317" t="s">
        <v>4347</v>
      </c>
    </row>
    <row r="3318" spans="1:8" x14ac:dyDescent="0.35">
      <c r="A3318" t="s">
        <v>3375</v>
      </c>
      <c r="B3318" t="s">
        <v>3376</v>
      </c>
      <c r="C3318" t="s">
        <v>4346</v>
      </c>
      <c r="D3318">
        <v>5.7000000000000002E-2</v>
      </c>
      <c r="E3318" t="s">
        <v>1720</v>
      </c>
      <c r="F3318" t="s">
        <v>1724</v>
      </c>
      <c r="G3318" t="s">
        <v>4453</v>
      </c>
      <c r="H3318" t="s">
        <v>4347</v>
      </c>
    </row>
    <row r="3319" spans="1:8" x14ac:dyDescent="0.35">
      <c r="A3319" t="s">
        <v>3375</v>
      </c>
      <c r="B3319" t="s">
        <v>3376</v>
      </c>
      <c r="C3319" t="s">
        <v>4346</v>
      </c>
      <c r="D3319">
        <v>5.7000000000000002E-2</v>
      </c>
      <c r="E3319" t="s">
        <v>1720</v>
      </c>
      <c r="F3319" t="s">
        <v>1724</v>
      </c>
      <c r="G3319" t="s">
        <v>4454</v>
      </c>
      <c r="H3319" t="s">
        <v>4347</v>
      </c>
    </row>
    <row r="3320" spans="1:8" x14ac:dyDescent="0.35">
      <c r="A3320" t="s">
        <v>3375</v>
      </c>
      <c r="B3320" t="s">
        <v>3376</v>
      </c>
      <c r="C3320" t="s">
        <v>4346</v>
      </c>
      <c r="D3320">
        <v>1.0999999999999999E-2</v>
      </c>
      <c r="E3320" t="s">
        <v>1720</v>
      </c>
      <c r="F3320" t="s">
        <v>1721</v>
      </c>
      <c r="G3320" t="s">
        <v>4455</v>
      </c>
      <c r="H3320" t="s">
        <v>4347</v>
      </c>
    </row>
    <row r="3321" spans="1:8" x14ac:dyDescent="0.35">
      <c r="A3321" t="s">
        <v>3375</v>
      </c>
      <c r="B3321" t="s">
        <v>3376</v>
      </c>
      <c r="C3321" t="s">
        <v>4346</v>
      </c>
      <c r="D3321">
        <v>1.0999999999999999E-2</v>
      </c>
      <c r="E3321" t="s">
        <v>1720</v>
      </c>
      <c r="F3321" t="s">
        <v>1721</v>
      </c>
      <c r="G3321" t="s">
        <v>4456</v>
      </c>
      <c r="H3321" t="s">
        <v>4347</v>
      </c>
    </row>
    <row r="3322" spans="1:8" x14ac:dyDescent="0.35">
      <c r="A3322" t="s">
        <v>3375</v>
      </c>
      <c r="B3322" t="s">
        <v>3376</v>
      </c>
      <c r="C3322" t="s">
        <v>4346</v>
      </c>
      <c r="D3322">
        <v>5.7000000000000002E-2</v>
      </c>
      <c r="E3322" t="s">
        <v>1720</v>
      </c>
      <c r="F3322" t="s">
        <v>1724</v>
      </c>
      <c r="G3322" t="s">
        <v>4457</v>
      </c>
      <c r="H3322" t="s">
        <v>4347</v>
      </c>
    </row>
    <row r="3323" spans="1:8" x14ac:dyDescent="0.35">
      <c r="A3323" t="s">
        <v>3375</v>
      </c>
      <c r="B3323" t="s">
        <v>3376</v>
      </c>
      <c r="C3323" t="s">
        <v>4332</v>
      </c>
      <c r="D3323">
        <v>1.2999999999999999E-2</v>
      </c>
      <c r="E3323" t="s">
        <v>1720</v>
      </c>
      <c r="F3323" t="s">
        <v>1721</v>
      </c>
      <c r="G3323" t="s">
        <v>4441</v>
      </c>
      <c r="H3323" t="s">
        <v>4333</v>
      </c>
    </row>
    <row r="3324" spans="1:8" x14ac:dyDescent="0.35">
      <c r="A3324" t="s">
        <v>3375</v>
      </c>
      <c r="B3324" t="s">
        <v>3376</v>
      </c>
      <c r="C3324" t="s">
        <v>4332</v>
      </c>
      <c r="D3324">
        <v>6.5000000000000002E-2</v>
      </c>
      <c r="E3324" t="s">
        <v>1720</v>
      </c>
      <c r="F3324" t="s">
        <v>1724</v>
      </c>
      <c r="G3324" t="s">
        <v>4441</v>
      </c>
      <c r="H3324" t="s">
        <v>4333</v>
      </c>
    </row>
    <row r="3325" spans="1:8" x14ac:dyDescent="0.35">
      <c r="A3325" t="s">
        <v>3375</v>
      </c>
      <c r="B3325" t="s">
        <v>3376</v>
      </c>
      <c r="C3325" t="s">
        <v>4332</v>
      </c>
      <c r="D3325">
        <v>1.2999999999999999E-2</v>
      </c>
      <c r="E3325" t="s">
        <v>1720</v>
      </c>
      <c r="F3325" t="s">
        <v>1721</v>
      </c>
      <c r="G3325" t="s">
        <v>4442</v>
      </c>
      <c r="H3325" t="s">
        <v>4333</v>
      </c>
    </row>
    <row r="3326" spans="1:8" x14ac:dyDescent="0.35">
      <c r="A3326" t="s">
        <v>3375</v>
      </c>
      <c r="B3326" t="s">
        <v>3376</v>
      </c>
      <c r="C3326" t="s">
        <v>4332</v>
      </c>
      <c r="D3326">
        <v>6.5000000000000002E-2</v>
      </c>
      <c r="E3326" t="s">
        <v>1720</v>
      </c>
      <c r="F3326" t="s">
        <v>1724</v>
      </c>
      <c r="G3326" t="s">
        <v>4442</v>
      </c>
      <c r="H3326" t="s">
        <v>4333</v>
      </c>
    </row>
    <row r="3327" spans="1:8" x14ac:dyDescent="0.35">
      <c r="A3327" t="s">
        <v>3375</v>
      </c>
      <c r="B3327" t="s">
        <v>3376</v>
      </c>
      <c r="C3327" t="s">
        <v>4221</v>
      </c>
      <c r="D3327">
        <v>1.2999999999999999E-2</v>
      </c>
      <c r="E3327" t="s">
        <v>1720</v>
      </c>
      <c r="F3327" t="s">
        <v>1721</v>
      </c>
      <c r="G3327" t="s">
        <v>4383</v>
      </c>
      <c r="H3327" t="s">
        <v>4222</v>
      </c>
    </row>
    <row r="3328" spans="1:8" x14ac:dyDescent="0.35">
      <c r="A3328" t="s">
        <v>3375</v>
      </c>
      <c r="B3328" t="s">
        <v>3376</v>
      </c>
      <c r="C3328" t="s">
        <v>4221</v>
      </c>
      <c r="D3328">
        <v>6.5000000000000002E-2</v>
      </c>
      <c r="E3328" t="s">
        <v>1720</v>
      </c>
      <c r="F3328" t="s">
        <v>1724</v>
      </c>
      <c r="G3328" t="s">
        <v>4383</v>
      </c>
      <c r="H3328" t="s">
        <v>4222</v>
      </c>
    </row>
    <row r="3329" spans="1:8" x14ac:dyDescent="0.35">
      <c r="A3329" t="s">
        <v>3375</v>
      </c>
      <c r="B3329" t="s">
        <v>3376</v>
      </c>
      <c r="C3329" t="s">
        <v>4342</v>
      </c>
      <c r="D3329">
        <v>1.2999999999999999E-2</v>
      </c>
      <c r="E3329" t="s">
        <v>1720</v>
      </c>
      <c r="F3329" t="s">
        <v>1721</v>
      </c>
      <c r="G3329" t="s">
        <v>4459</v>
      </c>
      <c r="H3329" t="s">
        <v>4343</v>
      </c>
    </row>
    <row r="3330" spans="1:8" x14ac:dyDescent="0.35">
      <c r="A3330" t="s">
        <v>3375</v>
      </c>
      <c r="B3330" t="s">
        <v>3376</v>
      </c>
      <c r="C3330" t="s">
        <v>4342</v>
      </c>
      <c r="D3330">
        <v>6.5000000000000002E-2</v>
      </c>
      <c r="E3330" t="s">
        <v>1720</v>
      </c>
      <c r="G3330" t="s">
        <v>4459</v>
      </c>
      <c r="H3330" t="s">
        <v>4343</v>
      </c>
    </row>
    <row r="3331" spans="1:8" x14ac:dyDescent="0.35">
      <c r="A3331" t="s">
        <v>3375</v>
      </c>
      <c r="B3331" t="s">
        <v>3376</v>
      </c>
      <c r="C3331" t="s">
        <v>4342</v>
      </c>
      <c r="D3331">
        <v>0.13</v>
      </c>
      <c r="E3331" t="s">
        <v>1720</v>
      </c>
      <c r="F3331" t="s">
        <v>1724</v>
      </c>
      <c r="G3331" t="s">
        <v>4459</v>
      </c>
      <c r="H3331" t="s">
        <v>4343</v>
      </c>
    </row>
    <row r="3332" spans="1:8" x14ac:dyDescent="0.35">
      <c r="A3332" t="s">
        <v>3375</v>
      </c>
      <c r="B3332" t="s">
        <v>3376</v>
      </c>
      <c r="C3332" t="s">
        <v>4342</v>
      </c>
      <c r="D3332">
        <v>1.2999999999999999E-2</v>
      </c>
      <c r="E3332" t="s">
        <v>1720</v>
      </c>
      <c r="F3332" t="s">
        <v>1721</v>
      </c>
      <c r="G3332" t="s">
        <v>4460</v>
      </c>
      <c r="H3332" t="s">
        <v>4343</v>
      </c>
    </row>
    <row r="3333" spans="1:8" x14ac:dyDescent="0.35">
      <c r="A3333" t="s">
        <v>3375</v>
      </c>
      <c r="B3333" t="s">
        <v>3376</v>
      </c>
      <c r="C3333" t="s">
        <v>4330</v>
      </c>
      <c r="D3333">
        <v>1.2999999999999999E-2</v>
      </c>
      <c r="E3333" t="s">
        <v>1720</v>
      </c>
      <c r="F3333" t="s">
        <v>1721</v>
      </c>
      <c r="G3333" t="s">
        <v>4437</v>
      </c>
      <c r="H3333" t="s">
        <v>4331</v>
      </c>
    </row>
    <row r="3334" spans="1:8" x14ac:dyDescent="0.35">
      <c r="A3334" t="s">
        <v>3375</v>
      </c>
      <c r="B3334" t="s">
        <v>3376</v>
      </c>
      <c r="C3334" t="s">
        <v>4330</v>
      </c>
      <c r="D3334">
        <v>6.5000000000000002E-2</v>
      </c>
      <c r="E3334" t="s">
        <v>1720</v>
      </c>
      <c r="F3334" t="s">
        <v>1724</v>
      </c>
      <c r="G3334" t="s">
        <v>4437</v>
      </c>
      <c r="H3334" t="s">
        <v>4331</v>
      </c>
    </row>
    <row r="3335" spans="1:8" x14ac:dyDescent="0.35">
      <c r="A3335" t="s">
        <v>3375</v>
      </c>
      <c r="B3335" t="s">
        <v>3376</v>
      </c>
      <c r="C3335" t="s">
        <v>4330</v>
      </c>
      <c r="D3335">
        <v>1.2999999999999999E-2</v>
      </c>
      <c r="E3335" t="s">
        <v>1720</v>
      </c>
      <c r="F3335" t="s">
        <v>1721</v>
      </c>
      <c r="G3335" t="s">
        <v>4396</v>
      </c>
      <c r="H3335" t="s">
        <v>4331</v>
      </c>
    </row>
    <row r="3336" spans="1:8" x14ac:dyDescent="0.35">
      <c r="A3336" t="s">
        <v>3375</v>
      </c>
      <c r="B3336" t="s">
        <v>3376</v>
      </c>
      <c r="C3336" t="s">
        <v>4330</v>
      </c>
      <c r="D3336">
        <v>6.5000000000000002E-2</v>
      </c>
      <c r="E3336" t="s">
        <v>1720</v>
      </c>
      <c r="F3336" t="s">
        <v>1724</v>
      </c>
      <c r="G3336" t="s">
        <v>4396</v>
      </c>
      <c r="H3336" t="s">
        <v>4331</v>
      </c>
    </row>
    <row r="3337" spans="1:8" x14ac:dyDescent="0.35">
      <c r="A3337" t="s">
        <v>3375</v>
      </c>
      <c r="B3337" t="s">
        <v>3376</v>
      </c>
      <c r="C3337" t="s">
        <v>4215</v>
      </c>
      <c r="D3337">
        <v>1.2999999999999999E-2</v>
      </c>
      <c r="E3337" t="s">
        <v>1720</v>
      </c>
      <c r="G3337" t="s">
        <v>4394</v>
      </c>
      <c r="H3337" t="s">
        <v>4216</v>
      </c>
    </row>
    <row r="3338" spans="1:8" x14ac:dyDescent="0.35">
      <c r="A3338" t="s">
        <v>3375</v>
      </c>
      <c r="B3338" t="s">
        <v>3376</v>
      </c>
      <c r="C3338" t="s">
        <v>4215</v>
      </c>
      <c r="D3338">
        <v>6.6000000000000003E-2</v>
      </c>
      <c r="E3338" t="s">
        <v>1720</v>
      </c>
      <c r="G3338" t="s">
        <v>4394</v>
      </c>
      <c r="H3338" t="s">
        <v>4216</v>
      </c>
    </row>
    <row r="3339" spans="1:8" x14ac:dyDescent="0.35">
      <c r="A3339" t="s">
        <v>3375</v>
      </c>
      <c r="B3339" t="s">
        <v>3376</v>
      </c>
      <c r="C3339" t="s">
        <v>4215</v>
      </c>
      <c r="D3339">
        <v>1.2999999999999999E-2</v>
      </c>
      <c r="E3339" t="s">
        <v>1720</v>
      </c>
      <c r="G3339" t="s">
        <v>4395</v>
      </c>
      <c r="H3339" t="s">
        <v>4216</v>
      </c>
    </row>
    <row r="3340" spans="1:8" x14ac:dyDescent="0.35">
      <c r="A3340" t="s">
        <v>3375</v>
      </c>
      <c r="B3340" t="s">
        <v>3376</v>
      </c>
      <c r="C3340" t="s">
        <v>4215</v>
      </c>
      <c r="D3340">
        <v>6.6000000000000003E-2</v>
      </c>
      <c r="E3340" t="s">
        <v>1720</v>
      </c>
      <c r="G3340" t="s">
        <v>4395</v>
      </c>
      <c r="H3340" t="s">
        <v>4216</v>
      </c>
    </row>
    <row r="3341" spans="1:8" x14ac:dyDescent="0.35">
      <c r="A3341" t="s">
        <v>3375</v>
      </c>
      <c r="B3341" t="s">
        <v>3376</v>
      </c>
      <c r="C3341" t="s">
        <v>4215</v>
      </c>
      <c r="D3341">
        <v>1.2999999999999999E-2</v>
      </c>
      <c r="E3341" t="s">
        <v>1720</v>
      </c>
      <c r="G3341" t="s">
        <v>4397</v>
      </c>
      <c r="H3341" t="s">
        <v>4216</v>
      </c>
    </row>
    <row r="3342" spans="1:8" x14ac:dyDescent="0.35">
      <c r="A3342" t="s">
        <v>3375</v>
      </c>
      <c r="B3342" t="s">
        <v>3376</v>
      </c>
      <c r="C3342" t="s">
        <v>4215</v>
      </c>
      <c r="D3342">
        <v>6.6000000000000003E-2</v>
      </c>
      <c r="E3342" t="s">
        <v>1720</v>
      </c>
      <c r="G3342" t="s">
        <v>4397</v>
      </c>
      <c r="H3342" t="s">
        <v>4216</v>
      </c>
    </row>
    <row r="3343" spans="1:8" x14ac:dyDescent="0.35">
      <c r="A3343" t="s">
        <v>3375</v>
      </c>
      <c r="B3343" t="s">
        <v>3376</v>
      </c>
      <c r="C3343" t="s">
        <v>4215</v>
      </c>
      <c r="D3343">
        <v>1.2999999999999999E-2</v>
      </c>
      <c r="E3343" t="s">
        <v>1720</v>
      </c>
      <c r="G3343" t="s">
        <v>4398</v>
      </c>
      <c r="H3343" t="s">
        <v>4216</v>
      </c>
    </row>
    <row r="3344" spans="1:8" x14ac:dyDescent="0.35">
      <c r="A3344" t="s">
        <v>3375</v>
      </c>
      <c r="B3344" t="s">
        <v>3376</v>
      </c>
      <c r="C3344" t="s">
        <v>4215</v>
      </c>
      <c r="D3344">
        <v>6.6000000000000003E-2</v>
      </c>
      <c r="E3344" t="s">
        <v>1720</v>
      </c>
      <c r="G3344" t="s">
        <v>4398</v>
      </c>
      <c r="H3344" t="s">
        <v>4216</v>
      </c>
    </row>
    <row r="3345" spans="1:8" x14ac:dyDescent="0.35">
      <c r="A3345" t="s">
        <v>3375</v>
      </c>
      <c r="B3345" t="s">
        <v>3376</v>
      </c>
      <c r="C3345" t="s">
        <v>4317</v>
      </c>
      <c r="D3345">
        <v>1.2999999999999999E-2</v>
      </c>
      <c r="E3345" t="s">
        <v>1720</v>
      </c>
      <c r="F3345" t="s">
        <v>1721</v>
      </c>
      <c r="G3345" t="s">
        <v>4426</v>
      </c>
      <c r="H3345" t="s">
        <v>4318</v>
      </c>
    </row>
    <row r="3346" spans="1:8" x14ac:dyDescent="0.35">
      <c r="A3346" t="s">
        <v>3375</v>
      </c>
      <c r="B3346" t="s">
        <v>3376</v>
      </c>
      <c r="C3346" t="s">
        <v>4317</v>
      </c>
      <c r="D3346">
        <v>6.5000000000000002E-2</v>
      </c>
      <c r="E3346" t="s">
        <v>1720</v>
      </c>
      <c r="F3346" t="s">
        <v>1724</v>
      </c>
      <c r="G3346" t="s">
        <v>4426</v>
      </c>
      <c r="H3346" t="s">
        <v>4318</v>
      </c>
    </row>
    <row r="3347" spans="1:8" x14ac:dyDescent="0.35">
      <c r="A3347" t="s">
        <v>3375</v>
      </c>
      <c r="B3347" t="s">
        <v>3376</v>
      </c>
      <c r="C3347" t="s">
        <v>4342</v>
      </c>
      <c r="D3347">
        <v>6.5000000000000002E-2</v>
      </c>
      <c r="E3347" t="s">
        <v>1720</v>
      </c>
      <c r="G3347" t="s">
        <v>4460</v>
      </c>
      <c r="H3347" t="s">
        <v>4343</v>
      </c>
    </row>
    <row r="3348" spans="1:8" x14ac:dyDescent="0.35">
      <c r="A3348" t="s">
        <v>3375</v>
      </c>
      <c r="B3348" t="s">
        <v>3376</v>
      </c>
      <c r="C3348" t="s">
        <v>4342</v>
      </c>
      <c r="D3348">
        <v>0.13</v>
      </c>
      <c r="E3348" t="s">
        <v>1720</v>
      </c>
      <c r="F3348" t="s">
        <v>1724</v>
      </c>
      <c r="G3348" t="s">
        <v>4460</v>
      </c>
      <c r="H3348" t="s">
        <v>4343</v>
      </c>
    </row>
    <row r="3349" spans="1:8" x14ac:dyDescent="0.35">
      <c r="A3349" t="s">
        <v>3375</v>
      </c>
      <c r="B3349" t="s">
        <v>3376</v>
      </c>
      <c r="C3349" t="s">
        <v>4342</v>
      </c>
      <c r="D3349">
        <v>1.2999999999999999E-2</v>
      </c>
      <c r="E3349" t="s">
        <v>1720</v>
      </c>
      <c r="F3349" t="s">
        <v>1721</v>
      </c>
      <c r="G3349" t="s">
        <v>4461</v>
      </c>
      <c r="H3349" t="s">
        <v>4343</v>
      </c>
    </row>
    <row r="3350" spans="1:8" x14ac:dyDescent="0.35">
      <c r="A3350" t="s">
        <v>3375</v>
      </c>
      <c r="B3350" t="s">
        <v>3376</v>
      </c>
      <c r="C3350" t="s">
        <v>4342</v>
      </c>
      <c r="D3350">
        <v>6.5000000000000002E-2</v>
      </c>
      <c r="E3350" t="s">
        <v>1720</v>
      </c>
      <c r="G3350" t="s">
        <v>4461</v>
      </c>
      <c r="H3350" t="s">
        <v>4343</v>
      </c>
    </row>
    <row r="3351" spans="1:8" x14ac:dyDescent="0.35">
      <c r="A3351" t="s">
        <v>3375</v>
      </c>
      <c r="B3351" t="s">
        <v>3376</v>
      </c>
      <c r="C3351" t="s">
        <v>4342</v>
      </c>
      <c r="D3351">
        <v>0.13</v>
      </c>
      <c r="E3351" t="s">
        <v>1720</v>
      </c>
      <c r="F3351" t="s">
        <v>1724</v>
      </c>
      <c r="G3351" t="s">
        <v>4461</v>
      </c>
      <c r="H3351" t="s">
        <v>4343</v>
      </c>
    </row>
    <row r="3352" spans="1:8" x14ac:dyDescent="0.35">
      <c r="A3352" t="s">
        <v>3375</v>
      </c>
      <c r="B3352" t="s">
        <v>3376</v>
      </c>
      <c r="C3352" t="s">
        <v>4342</v>
      </c>
      <c r="D3352">
        <v>1.2999999999999999E-2</v>
      </c>
      <c r="E3352" t="s">
        <v>1720</v>
      </c>
      <c r="F3352" t="s">
        <v>1721</v>
      </c>
      <c r="G3352" t="s">
        <v>4449</v>
      </c>
      <c r="H3352" t="s">
        <v>4343</v>
      </c>
    </row>
    <row r="3353" spans="1:8" x14ac:dyDescent="0.35">
      <c r="A3353" t="s">
        <v>3375</v>
      </c>
      <c r="B3353" t="s">
        <v>3376</v>
      </c>
      <c r="C3353" t="s">
        <v>4342</v>
      </c>
      <c r="D3353">
        <v>6.5000000000000002E-2</v>
      </c>
      <c r="E3353" t="s">
        <v>1720</v>
      </c>
      <c r="G3353" t="s">
        <v>4449</v>
      </c>
      <c r="H3353" t="s">
        <v>4343</v>
      </c>
    </row>
    <row r="3354" spans="1:8" x14ac:dyDescent="0.35">
      <c r="A3354" t="s">
        <v>3375</v>
      </c>
      <c r="B3354" t="s">
        <v>3376</v>
      </c>
      <c r="C3354" t="s">
        <v>4342</v>
      </c>
      <c r="D3354">
        <v>0.13</v>
      </c>
      <c r="E3354" t="s">
        <v>1720</v>
      </c>
      <c r="F3354" t="s">
        <v>1724</v>
      </c>
      <c r="G3354" t="s">
        <v>4449</v>
      </c>
      <c r="H3354" t="s">
        <v>4343</v>
      </c>
    </row>
    <row r="3355" spans="1:8" x14ac:dyDescent="0.35">
      <c r="A3355" t="s">
        <v>3375</v>
      </c>
      <c r="B3355" t="s">
        <v>3376</v>
      </c>
      <c r="C3355" t="s">
        <v>4213</v>
      </c>
      <c r="D3355">
        <v>1.2999999999999999E-2</v>
      </c>
      <c r="E3355" t="s">
        <v>1720</v>
      </c>
      <c r="F3355" t="s">
        <v>1721</v>
      </c>
      <c r="G3355" t="s">
        <v>4393</v>
      </c>
      <c r="H3355" t="s">
        <v>4214</v>
      </c>
    </row>
    <row r="3356" spans="1:8" x14ac:dyDescent="0.35">
      <c r="A3356" t="s">
        <v>3375</v>
      </c>
      <c r="B3356" t="s">
        <v>3376</v>
      </c>
      <c r="C3356" t="s">
        <v>4213</v>
      </c>
      <c r="D3356">
        <v>6.5000000000000002E-2</v>
      </c>
      <c r="E3356" t="s">
        <v>1720</v>
      </c>
      <c r="F3356" t="s">
        <v>1724</v>
      </c>
      <c r="G3356" t="s">
        <v>4393</v>
      </c>
      <c r="H3356" t="s">
        <v>4214</v>
      </c>
    </row>
    <row r="3357" spans="1:8" x14ac:dyDescent="0.35">
      <c r="A3357" t="s">
        <v>3375</v>
      </c>
      <c r="B3357" t="s">
        <v>3376</v>
      </c>
      <c r="C3357" t="s">
        <v>4311</v>
      </c>
      <c r="D3357">
        <v>1.2999999999999999E-2</v>
      </c>
      <c r="E3357" t="s">
        <v>1720</v>
      </c>
      <c r="G3357" t="s">
        <v>4387</v>
      </c>
      <c r="H3357" t="s">
        <v>4312</v>
      </c>
    </row>
    <row r="3358" spans="1:8" x14ac:dyDescent="0.35">
      <c r="A3358" t="s">
        <v>3375</v>
      </c>
      <c r="B3358" t="s">
        <v>3376</v>
      </c>
      <c r="C3358" t="s">
        <v>4199</v>
      </c>
      <c r="D3358">
        <v>1.2999999999999999E-2</v>
      </c>
      <c r="E3358" t="s">
        <v>1720</v>
      </c>
      <c r="F3358" t="s">
        <v>1721</v>
      </c>
      <c r="G3358" t="s">
        <v>4388</v>
      </c>
      <c r="H3358" t="s">
        <v>4200</v>
      </c>
    </row>
    <row r="3359" spans="1:8" x14ac:dyDescent="0.35">
      <c r="A3359" t="s">
        <v>3375</v>
      </c>
      <c r="B3359" t="s">
        <v>3376</v>
      </c>
      <c r="C3359" t="s">
        <v>4199</v>
      </c>
      <c r="D3359">
        <v>6.5000000000000002E-2</v>
      </c>
      <c r="E3359" t="s">
        <v>1720</v>
      </c>
      <c r="F3359" t="s">
        <v>1724</v>
      </c>
      <c r="G3359" t="s">
        <v>4388</v>
      </c>
      <c r="H3359" t="s">
        <v>4200</v>
      </c>
    </row>
    <row r="3360" spans="1:8" x14ac:dyDescent="0.35">
      <c r="A3360" t="s">
        <v>3375</v>
      </c>
      <c r="B3360" t="s">
        <v>3376</v>
      </c>
      <c r="C3360" t="s">
        <v>4348</v>
      </c>
      <c r="D3360">
        <v>1.2999999999999999E-2</v>
      </c>
      <c r="E3360" t="s">
        <v>1720</v>
      </c>
      <c r="F3360" t="s">
        <v>1721</v>
      </c>
      <c r="G3360" t="s">
        <v>4458</v>
      </c>
      <c r="H3360" t="s">
        <v>4349</v>
      </c>
    </row>
    <row r="3361" spans="1:8" x14ac:dyDescent="0.35">
      <c r="A3361" t="s">
        <v>3375</v>
      </c>
      <c r="B3361" t="s">
        <v>3376</v>
      </c>
      <c r="C3361" t="s">
        <v>4348</v>
      </c>
      <c r="D3361">
        <v>6.5000000000000002E-2</v>
      </c>
      <c r="E3361" t="s">
        <v>1720</v>
      </c>
      <c r="F3361" t="s">
        <v>1724</v>
      </c>
      <c r="G3361" t="s">
        <v>4458</v>
      </c>
      <c r="H3361" t="s">
        <v>4349</v>
      </c>
    </row>
    <row r="3362" spans="1:8" x14ac:dyDescent="0.35">
      <c r="A3362" t="s">
        <v>3375</v>
      </c>
      <c r="B3362" t="s">
        <v>3376</v>
      </c>
      <c r="C3362" t="s">
        <v>4217</v>
      </c>
      <c r="D3362">
        <v>1.2999999999999999E-2</v>
      </c>
      <c r="E3362" t="s">
        <v>1720</v>
      </c>
      <c r="F3362" t="s">
        <v>1721</v>
      </c>
      <c r="G3362" t="s">
        <v>4396</v>
      </c>
      <c r="H3362" t="s">
        <v>4218</v>
      </c>
    </row>
    <row r="3363" spans="1:8" x14ac:dyDescent="0.35">
      <c r="A3363" t="s">
        <v>3375</v>
      </c>
      <c r="B3363" t="s">
        <v>3376</v>
      </c>
      <c r="C3363" t="s">
        <v>4350</v>
      </c>
      <c r="D3363">
        <v>1.2999999999999999E-2</v>
      </c>
      <c r="E3363" t="s">
        <v>1720</v>
      </c>
      <c r="F3363" t="s">
        <v>1721</v>
      </c>
      <c r="G3363" t="s">
        <v>4383</v>
      </c>
      <c r="H3363" t="s">
        <v>4351</v>
      </c>
    </row>
    <row r="3364" spans="1:8" x14ac:dyDescent="0.35">
      <c r="A3364" t="s">
        <v>3375</v>
      </c>
      <c r="B3364" t="s">
        <v>3376</v>
      </c>
      <c r="C3364" t="s">
        <v>4350</v>
      </c>
      <c r="D3364">
        <v>6.5000000000000002E-2</v>
      </c>
      <c r="E3364" t="s">
        <v>1720</v>
      </c>
      <c r="F3364" t="s">
        <v>1724</v>
      </c>
      <c r="G3364" t="s">
        <v>4383</v>
      </c>
      <c r="H3364" t="s">
        <v>4351</v>
      </c>
    </row>
    <row r="3365" spans="1:8" x14ac:dyDescent="0.35">
      <c r="A3365" t="s">
        <v>3375</v>
      </c>
      <c r="B3365" t="s">
        <v>3376</v>
      </c>
      <c r="C3365" t="s">
        <v>4332</v>
      </c>
      <c r="D3365">
        <v>1.2999999999999999E-2</v>
      </c>
      <c r="E3365" t="s">
        <v>1720</v>
      </c>
      <c r="F3365" t="s">
        <v>1721</v>
      </c>
      <c r="G3365" t="s">
        <v>4438</v>
      </c>
      <c r="H3365" t="s">
        <v>4333</v>
      </c>
    </row>
    <row r="3366" spans="1:8" x14ac:dyDescent="0.35">
      <c r="A3366" t="s">
        <v>3375</v>
      </c>
      <c r="B3366" t="s">
        <v>3376</v>
      </c>
      <c r="C3366" t="s">
        <v>4332</v>
      </c>
      <c r="D3366">
        <v>6.5000000000000002E-2</v>
      </c>
      <c r="E3366" t="s">
        <v>1720</v>
      </c>
      <c r="F3366" t="s">
        <v>1724</v>
      </c>
      <c r="G3366" t="s">
        <v>4438</v>
      </c>
      <c r="H3366" t="s">
        <v>4333</v>
      </c>
    </row>
    <row r="3367" spans="1:8" x14ac:dyDescent="0.35">
      <c r="A3367" t="s">
        <v>3375</v>
      </c>
      <c r="B3367" t="s">
        <v>3376</v>
      </c>
      <c r="C3367" t="s">
        <v>4332</v>
      </c>
      <c r="D3367">
        <v>1.2999999999999999E-2</v>
      </c>
      <c r="E3367" t="s">
        <v>1720</v>
      </c>
      <c r="F3367" t="s">
        <v>1721</v>
      </c>
      <c r="G3367" t="s">
        <v>4439</v>
      </c>
      <c r="H3367" t="s">
        <v>4333</v>
      </c>
    </row>
    <row r="3368" spans="1:8" x14ac:dyDescent="0.35">
      <c r="A3368" t="s">
        <v>3375</v>
      </c>
      <c r="B3368" t="s">
        <v>3376</v>
      </c>
      <c r="C3368" t="s">
        <v>4332</v>
      </c>
      <c r="D3368">
        <v>6.5000000000000002E-2</v>
      </c>
      <c r="E3368" t="s">
        <v>1720</v>
      </c>
      <c r="F3368" t="s">
        <v>1724</v>
      </c>
      <c r="G3368" t="s">
        <v>4439</v>
      </c>
      <c r="H3368" t="s">
        <v>4333</v>
      </c>
    </row>
    <row r="3369" spans="1:8" x14ac:dyDescent="0.35">
      <c r="A3369" t="s">
        <v>3375</v>
      </c>
      <c r="B3369" t="s">
        <v>3376</v>
      </c>
      <c r="C3369" t="s">
        <v>4332</v>
      </c>
      <c r="D3369">
        <v>1.2999999999999999E-2</v>
      </c>
      <c r="E3369" t="s">
        <v>1720</v>
      </c>
      <c r="F3369" t="s">
        <v>1721</v>
      </c>
      <c r="G3369" t="s">
        <v>4440</v>
      </c>
      <c r="H3369" t="s">
        <v>4333</v>
      </c>
    </row>
    <row r="3370" spans="1:8" x14ac:dyDescent="0.35">
      <c r="A3370" t="s">
        <v>3375</v>
      </c>
      <c r="B3370" t="s">
        <v>3376</v>
      </c>
      <c r="C3370" t="s">
        <v>4332</v>
      </c>
      <c r="D3370">
        <v>6.5000000000000002E-2</v>
      </c>
      <c r="E3370" t="s">
        <v>1720</v>
      </c>
      <c r="F3370" t="s">
        <v>1724</v>
      </c>
      <c r="G3370" t="s">
        <v>4440</v>
      </c>
      <c r="H3370" t="s">
        <v>4333</v>
      </c>
    </row>
    <row r="3371" spans="1:8" x14ac:dyDescent="0.35">
      <c r="A3371" t="s">
        <v>3375</v>
      </c>
      <c r="B3371" t="s">
        <v>3376</v>
      </c>
      <c r="C3371" t="s">
        <v>4217</v>
      </c>
      <c r="D3371">
        <v>6.5000000000000002E-2</v>
      </c>
      <c r="E3371" t="s">
        <v>1720</v>
      </c>
      <c r="F3371" t="s">
        <v>1724</v>
      </c>
      <c r="G3371" t="s">
        <v>4396</v>
      </c>
      <c r="H3371" t="s">
        <v>4218</v>
      </c>
    </row>
    <row r="3372" spans="1:8" x14ac:dyDescent="0.35">
      <c r="A3372" t="s">
        <v>3375</v>
      </c>
      <c r="B3372" t="s">
        <v>3376</v>
      </c>
      <c r="C3372" t="s">
        <v>4223</v>
      </c>
      <c r="D3372">
        <v>1.2999999999999999E-2</v>
      </c>
      <c r="E3372" t="s">
        <v>1720</v>
      </c>
      <c r="F3372" t="s">
        <v>1721</v>
      </c>
      <c r="G3372" t="s">
        <v>4399</v>
      </c>
      <c r="H3372" t="s">
        <v>4224</v>
      </c>
    </row>
    <row r="3373" spans="1:8" x14ac:dyDescent="0.35">
      <c r="A3373" t="s">
        <v>3375</v>
      </c>
      <c r="B3373" t="s">
        <v>3376</v>
      </c>
      <c r="C3373" t="s">
        <v>4223</v>
      </c>
      <c r="D3373">
        <v>6.5000000000000002E-2</v>
      </c>
      <c r="E3373" t="s">
        <v>1720</v>
      </c>
      <c r="F3373" t="s">
        <v>1724</v>
      </c>
      <c r="G3373" t="s">
        <v>4399</v>
      </c>
      <c r="H3373" t="s">
        <v>4224</v>
      </c>
    </row>
    <row r="3374" spans="1:8" x14ac:dyDescent="0.35">
      <c r="A3374" t="s">
        <v>3375</v>
      </c>
      <c r="B3374" t="s">
        <v>3376</v>
      </c>
      <c r="C3374" t="s">
        <v>4232</v>
      </c>
      <c r="D3374">
        <v>1.2999999999999999E-2</v>
      </c>
      <c r="E3374" t="s">
        <v>1720</v>
      </c>
      <c r="F3374" t="s">
        <v>1721</v>
      </c>
      <c r="G3374" t="s">
        <v>4402</v>
      </c>
      <c r="H3374" t="s">
        <v>4233</v>
      </c>
    </row>
    <row r="3375" spans="1:8" x14ac:dyDescent="0.35">
      <c r="A3375" t="s">
        <v>3375</v>
      </c>
      <c r="B3375" t="s">
        <v>3376</v>
      </c>
      <c r="C3375" t="s">
        <v>4232</v>
      </c>
      <c r="D3375">
        <v>6.5000000000000002E-2</v>
      </c>
      <c r="E3375" t="s">
        <v>1720</v>
      </c>
      <c r="F3375" t="s">
        <v>1724</v>
      </c>
      <c r="G3375" t="s">
        <v>4402</v>
      </c>
      <c r="H3375" t="s">
        <v>4233</v>
      </c>
    </row>
    <row r="3376" spans="1:8" x14ac:dyDescent="0.35">
      <c r="A3376" t="s">
        <v>3375</v>
      </c>
      <c r="B3376" t="s">
        <v>3376</v>
      </c>
      <c r="C3376" t="s">
        <v>4315</v>
      </c>
      <c r="D3376">
        <v>1.2999999999999999E-2</v>
      </c>
      <c r="E3376" t="s">
        <v>1720</v>
      </c>
      <c r="F3376" t="s">
        <v>1721</v>
      </c>
      <c r="G3376" t="s">
        <v>4383</v>
      </c>
      <c r="H3376" t="s">
        <v>4316</v>
      </c>
    </row>
    <row r="3377" spans="1:8" x14ac:dyDescent="0.35">
      <c r="A3377" t="s">
        <v>3375</v>
      </c>
      <c r="B3377" t="s">
        <v>3376</v>
      </c>
      <c r="C3377" t="s">
        <v>4315</v>
      </c>
      <c r="D3377">
        <v>6.5000000000000002E-2</v>
      </c>
      <c r="E3377" t="s">
        <v>1720</v>
      </c>
      <c r="F3377" t="s">
        <v>1724</v>
      </c>
      <c r="G3377" t="s">
        <v>4383</v>
      </c>
      <c r="H3377" t="s">
        <v>4316</v>
      </c>
    </row>
    <row r="3378" spans="1:8" x14ac:dyDescent="0.35">
      <c r="A3378" t="s">
        <v>3375</v>
      </c>
      <c r="B3378" t="s">
        <v>3376</v>
      </c>
      <c r="C3378" t="s">
        <v>4225</v>
      </c>
      <c r="D3378">
        <v>1.2999999999999999E-2</v>
      </c>
      <c r="E3378" t="s">
        <v>1720</v>
      </c>
      <c r="F3378" t="s">
        <v>1721</v>
      </c>
      <c r="G3378" t="s">
        <v>4400</v>
      </c>
      <c r="H3378" t="s">
        <v>4226</v>
      </c>
    </row>
    <row r="3379" spans="1:8" x14ac:dyDescent="0.35">
      <c r="A3379" t="s">
        <v>3375</v>
      </c>
      <c r="B3379" t="s">
        <v>3376</v>
      </c>
      <c r="C3379" t="s">
        <v>4225</v>
      </c>
      <c r="D3379">
        <v>6.5000000000000002E-2</v>
      </c>
      <c r="E3379" t="s">
        <v>1720</v>
      </c>
      <c r="F3379" t="s">
        <v>1724</v>
      </c>
      <c r="G3379" t="s">
        <v>4400</v>
      </c>
      <c r="H3379" t="s">
        <v>4226</v>
      </c>
    </row>
    <row r="3380" spans="1:8" x14ac:dyDescent="0.35">
      <c r="A3380" t="s">
        <v>3375</v>
      </c>
      <c r="B3380" t="s">
        <v>3376</v>
      </c>
      <c r="C3380" t="s">
        <v>4230</v>
      </c>
      <c r="D3380">
        <v>6.5000000000000002E-2</v>
      </c>
      <c r="E3380" t="s">
        <v>1720</v>
      </c>
      <c r="F3380" t="s">
        <v>1724</v>
      </c>
      <c r="G3380" t="s">
        <v>4396</v>
      </c>
      <c r="H3380" t="s">
        <v>4231</v>
      </c>
    </row>
    <row r="3381" spans="1:8" x14ac:dyDescent="0.35">
      <c r="A3381" t="s">
        <v>3375</v>
      </c>
      <c r="B3381" t="s">
        <v>3376</v>
      </c>
      <c r="C3381" t="s">
        <v>4219</v>
      </c>
      <c r="D3381">
        <v>1.2999999999999999E-2</v>
      </c>
      <c r="E3381" t="s">
        <v>1720</v>
      </c>
      <c r="F3381" t="s">
        <v>1721</v>
      </c>
      <c r="G3381" t="s">
        <v>4380</v>
      </c>
      <c r="H3381" t="s">
        <v>4220</v>
      </c>
    </row>
    <row r="3382" spans="1:8" x14ac:dyDescent="0.35">
      <c r="A3382" t="s">
        <v>3375</v>
      </c>
      <c r="B3382" t="s">
        <v>3376</v>
      </c>
      <c r="C3382" t="s">
        <v>4219</v>
      </c>
      <c r="D3382">
        <v>6.5000000000000002E-2</v>
      </c>
      <c r="E3382" t="s">
        <v>1720</v>
      </c>
      <c r="F3382" t="s">
        <v>1724</v>
      </c>
      <c r="G3382" t="s">
        <v>4380</v>
      </c>
      <c r="H3382" t="s">
        <v>4220</v>
      </c>
    </row>
    <row r="3383" spans="1:8" x14ac:dyDescent="0.35">
      <c r="A3383" t="s">
        <v>3375</v>
      </c>
      <c r="B3383" t="s">
        <v>3376</v>
      </c>
      <c r="C3383" t="s">
        <v>4313</v>
      </c>
      <c r="D3383">
        <v>0.01</v>
      </c>
      <c r="E3383" t="s">
        <v>1720</v>
      </c>
      <c r="F3383" t="s">
        <v>1721</v>
      </c>
      <c r="G3383" t="s">
        <v>4423</v>
      </c>
      <c r="H3383" t="s">
        <v>4314</v>
      </c>
    </row>
    <row r="3384" spans="1:8" x14ac:dyDescent="0.35">
      <c r="A3384" t="s">
        <v>3375</v>
      </c>
      <c r="B3384" t="s">
        <v>3376</v>
      </c>
      <c r="C3384" t="s">
        <v>4313</v>
      </c>
      <c r="D3384">
        <v>7.0000000000000007E-2</v>
      </c>
      <c r="E3384" t="s">
        <v>1720</v>
      </c>
      <c r="F3384" t="s">
        <v>1724</v>
      </c>
      <c r="G3384" t="s">
        <v>4423</v>
      </c>
      <c r="H3384" t="s">
        <v>4314</v>
      </c>
    </row>
    <row r="3385" spans="1:8" x14ac:dyDescent="0.35">
      <c r="A3385" t="s">
        <v>3375</v>
      </c>
      <c r="B3385" t="s">
        <v>3376</v>
      </c>
      <c r="C3385" t="s">
        <v>4313</v>
      </c>
      <c r="D3385">
        <v>0.01</v>
      </c>
      <c r="E3385" t="s">
        <v>1720</v>
      </c>
      <c r="F3385" t="s">
        <v>1721</v>
      </c>
      <c r="G3385" t="s">
        <v>4424</v>
      </c>
      <c r="H3385" t="s">
        <v>4314</v>
      </c>
    </row>
    <row r="3386" spans="1:8" x14ac:dyDescent="0.35">
      <c r="A3386" t="s">
        <v>3375</v>
      </c>
      <c r="B3386" t="s">
        <v>3376</v>
      </c>
      <c r="C3386" t="s">
        <v>4313</v>
      </c>
      <c r="D3386">
        <v>7.0000000000000007E-2</v>
      </c>
      <c r="E3386" t="s">
        <v>1720</v>
      </c>
      <c r="F3386" t="s">
        <v>1724</v>
      </c>
      <c r="G3386" t="s">
        <v>4424</v>
      </c>
      <c r="H3386" t="s">
        <v>4314</v>
      </c>
    </row>
    <row r="3387" spans="1:8" x14ac:dyDescent="0.35">
      <c r="A3387" t="s">
        <v>3375</v>
      </c>
      <c r="B3387" t="s">
        <v>3376</v>
      </c>
      <c r="C3387" t="s">
        <v>4313</v>
      </c>
      <c r="D3387">
        <v>0.01</v>
      </c>
      <c r="E3387" t="s">
        <v>1720</v>
      </c>
      <c r="F3387" t="s">
        <v>1721</v>
      </c>
      <c r="G3387" t="s">
        <v>4425</v>
      </c>
      <c r="H3387" t="s">
        <v>4314</v>
      </c>
    </row>
    <row r="3388" spans="1:8" x14ac:dyDescent="0.35">
      <c r="A3388" t="s">
        <v>3375</v>
      </c>
      <c r="B3388" t="s">
        <v>3376</v>
      </c>
      <c r="C3388" t="s">
        <v>4313</v>
      </c>
      <c r="D3388">
        <v>7.0000000000000007E-2</v>
      </c>
      <c r="E3388" t="s">
        <v>1720</v>
      </c>
      <c r="F3388" t="s">
        <v>1724</v>
      </c>
      <c r="G3388" t="s">
        <v>4425</v>
      </c>
      <c r="H3388" t="s">
        <v>4314</v>
      </c>
    </row>
    <row r="3389" spans="1:8" x14ac:dyDescent="0.35">
      <c r="A3389" t="s">
        <v>3375</v>
      </c>
      <c r="B3389" t="s">
        <v>3376</v>
      </c>
      <c r="C3389" t="s">
        <v>4338</v>
      </c>
      <c r="D3389">
        <v>6.5000000000000002E-2</v>
      </c>
      <c r="E3389" t="s">
        <v>1720</v>
      </c>
      <c r="F3389" t="s">
        <v>1724</v>
      </c>
      <c r="G3389" t="s">
        <v>4383</v>
      </c>
      <c r="H3389" t="s">
        <v>4339</v>
      </c>
    </row>
    <row r="3390" spans="1:8" x14ac:dyDescent="0.35">
      <c r="A3390" t="s">
        <v>3375</v>
      </c>
      <c r="B3390" t="s">
        <v>3376</v>
      </c>
      <c r="C3390" t="s">
        <v>4338</v>
      </c>
      <c r="D3390">
        <v>1.2999999999999999E-2</v>
      </c>
      <c r="E3390" t="s">
        <v>1720</v>
      </c>
      <c r="F3390" t="s">
        <v>1721</v>
      </c>
      <c r="G3390" t="s">
        <v>4383</v>
      </c>
      <c r="H3390" t="s">
        <v>4339</v>
      </c>
    </row>
    <row r="3391" spans="1:8" x14ac:dyDescent="0.35">
      <c r="A3391" t="s">
        <v>3375</v>
      </c>
      <c r="B3391" t="s">
        <v>3376</v>
      </c>
      <c r="C3391" t="s">
        <v>4211</v>
      </c>
      <c r="D3391">
        <v>1.2999999999999999E-2</v>
      </c>
      <c r="E3391" t="s">
        <v>1720</v>
      </c>
      <c r="F3391" t="s">
        <v>1721</v>
      </c>
      <c r="G3391" t="s">
        <v>4392</v>
      </c>
      <c r="H3391" t="s">
        <v>4212</v>
      </c>
    </row>
    <row r="3392" spans="1:8" x14ac:dyDescent="0.35">
      <c r="A3392" t="s">
        <v>3375</v>
      </c>
      <c r="B3392" t="s">
        <v>3376</v>
      </c>
      <c r="C3392" t="s">
        <v>4211</v>
      </c>
      <c r="D3392">
        <v>6.5000000000000002E-2</v>
      </c>
      <c r="E3392" t="s">
        <v>1720</v>
      </c>
      <c r="F3392" t="s">
        <v>1724</v>
      </c>
      <c r="G3392" t="s">
        <v>4392</v>
      </c>
      <c r="H3392" t="s">
        <v>4212</v>
      </c>
    </row>
    <row r="3393" spans="1:8" x14ac:dyDescent="0.35">
      <c r="A3393" t="s">
        <v>3375</v>
      </c>
      <c r="B3393" t="s">
        <v>3376</v>
      </c>
      <c r="C3393" t="s">
        <v>4234</v>
      </c>
      <c r="D3393">
        <v>6.5000000000000002E-2</v>
      </c>
      <c r="E3393" t="s">
        <v>1720</v>
      </c>
      <c r="G3393" t="s">
        <v>4383</v>
      </c>
      <c r="H3393" t="s">
        <v>4235</v>
      </c>
    </row>
    <row r="3394" spans="1:8" x14ac:dyDescent="0.35">
      <c r="A3394" t="s">
        <v>3375</v>
      </c>
      <c r="B3394" t="s">
        <v>3376</v>
      </c>
      <c r="C3394" t="s">
        <v>4234</v>
      </c>
      <c r="D3394">
        <v>1.2999999999999999E-2</v>
      </c>
      <c r="E3394" t="s">
        <v>1720</v>
      </c>
      <c r="G3394" t="s">
        <v>4383</v>
      </c>
      <c r="H3394" t="s">
        <v>4235</v>
      </c>
    </row>
    <row r="3395" spans="1:8" x14ac:dyDescent="0.35">
      <c r="A3395" t="s">
        <v>3375</v>
      </c>
      <c r="B3395" t="s">
        <v>3376</v>
      </c>
      <c r="C3395" t="s">
        <v>4300</v>
      </c>
      <c r="D3395">
        <v>1.2999999999999999E-2</v>
      </c>
      <c r="E3395" t="s">
        <v>1720</v>
      </c>
      <c r="F3395" t="s">
        <v>1721</v>
      </c>
      <c r="G3395" t="s">
        <v>4389</v>
      </c>
      <c r="H3395" t="s">
        <v>4301</v>
      </c>
    </row>
    <row r="3396" spans="1:8" x14ac:dyDescent="0.35">
      <c r="A3396" t="s">
        <v>3375</v>
      </c>
      <c r="B3396" t="s">
        <v>3376</v>
      </c>
      <c r="C3396" t="s">
        <v>4300</v>
      </c>
      <c r="D3396">
        <v>6.5000000000000002E-2</v>
      </c>
      <c r="E3396" t="s">
        <v>1720</v>
      </c>
      <c r="F3396" t="s">
        <v>1724</v>
      </c>
      <c r="G3396" t="s">
        <v>4389</v>
      </c>
      <c r="H3396" t="s">
        <v>4301</v>
      </c>
    </row>
    <row r="3397" spans="1:8" x14ac:dyDescent="0.35">
      <c r="A3397" t="s">
        <v>3375</v>
      </c>
      <c r="B3397" t="s">
        <v>3376</v>
      </c>
      <c r="C3397" t="s">
        <v>4229</v>
      </c>
      <c r="D3397">
        <v>6.5000000000000002E-2</v>
      </c>
      <c r="E3397" t="s">
        <v>1720</v>
      </c>
      <c r="F3397" t="s">
        <v>1724</v>
      </c>
      <c r="G3397" t="s">
        <v>4399</v>
      </c>
      <c r="H3397" t="s">
        <v>1711</v>
      </c>
    </row>
    <row r="3398" spans="1:8" x14ac:dyDescent="0.35">
      <c r="A3398" t="s">
        <v>3375</v>
      </c>
      <c r="B3398" t="s">
        <v>3376</v>
      </c>
      <c r="C3398" t="s">
        <v>4229</v>
      </c>
      <c r="D3398">
        <v>1.2999999999999999E-2</v>
      </c>
      <c r="E3398" t="s">
        <v>1720</v>
      </c>
      <c r="F3398" t="s">
        <v>1721</v>
      </c>
      <c r="G3398" t="s">
        <v>4399</v>
      </c>
      <c r="H3398" t="s">
        <v>1711</v>
      </c>
    </row>
    <row r="3399" spans="1:8" x14ac:dyDescent="0.35">
      <c r="A3399" t="s">
        <v>3375</v>
      </c>
      <c r="B3399" t="s">
        <v>3376</v>
      </c>
      <c r="C3399" t="s">
        <v>4230</v>
      </c>
      <c r="D3399">
        <v>1.2999999999999999E-2</v>
      </c>
      <c r="E3399" t="s">
        <v>1720</v>
      </c>
      <c r="F3399" t="s">
        <v>1721</v>
      </c>
      <c r="G3399" t="s">
        <v>4396</v>
      </c>
      <c r="H3399" t="s">
        <v>4231</v>
      </c>
    </row>
    <row r="3400" spans="1:8" x14ac:dyDescent="0.35">
      <c r="A3400" t="s">
        <v>3375</v>
      </c>
      <c r="B3400" t="s">
        <v>3376</v>
      </c>
      <c r="C3400" t="s">
        <v>4254</v>
      </c>
      <c r="D3400">
        <v>6.5000000000000002E-2</v>
      </c>
      <c r="E3400" t="s">
        <v>1720</v>
      </c>
      <c r="F3400" t="s">
        <v>1724</v>
      </c>
      <c r="G3400" t="s">
        <v>4402</v>
      </c>
      <c r="H3400" t="s">
        <v>4255</v>
      </c>
    </row>
    <row r="3401" spans="1:8" x14ac:dyDescent="0.35">
      <c r="A3401" t="s">
        <v>3375</v>
      </c>
      <c r="B3401" t="s">
        <v>3376</v>
      </c>
      <c r="C3401" t="s">
        <v>4254</v>
      </c>
      <c r="D3401">
        <v>1.2999999999999999E-2</v>
      </c>
      <c r="E3401" t="s">
        <v>1720</v>
      </c>
      <c r="F3401" t="s">
        <v>1721</v>
      </c>
      <c r="G3401" t="s">
        <v>4402</v>
      </c>
      <c r="H3401" t="s">
        <v>4255</v>
      </c>
    </row>
    <row r="3402" spans="1:8" x14ac:dyDescent="0.35">
      <c r="A3402" t="s">
        <v>3375</v>
      </c>
      <c r="B3402" t="s">
        <v>3376</v>
      </c>
      <c r="C3402" t="s">
        <v>4240</v>
      </c>
      <c r="D3402">
        <v>6.5000000000000002E-2</v>
      </c>
      <c r="E3402" t="s">
        <v>1720</v>
      </c>
      <c r="F3402" t="s">
        <v>1724</v>
      </c>
      <c r="G3402" t="s">
        <v>4402</v>
      </c>
      <c r="H3402" t="s">
        <v>4241</v>
      </c>
    </row>
    <row r="3403" spans="1:8" x14ac:dyDescent="0.35">
      <c r="A3403" t="s">
        <v>3375</v>
      </c>
      <c r="B3403" t="s">
        <v>3376</v>
      </c>
      <c r="C3403" t="s">
        <v>4240</v>
      </c>
      <c r="D3403">
        <v>1.2999999999999999E-2</v>
      </c>
      <c r="E3403" t="s">
        <v>1720</v>
      </c>
      <c r="F3403" t="s">
        <v>1721</v>
      </c>
      <c r="G3403" t="s">
        <v>4402</v>
      </c>
      <c r="H3403" t="s">
        <v>4241</v>
      </c>
    </row>
    <row r="3404" spans="1:8" x14ac:dyDescent="0.35">
      <c r="A3404" t="s">
        <v>3375</v>
      </c>
      <c r="B3404" t="s">
        <v>3376</v>
      </c>
      <c r="C3404" t="s">
        <v>4252</v>
      </c>
      <c r="D3404">
        <v>6.5000000000000002E-2</v>
      </c>
      <c r="E3404" t="s">
        <v>1720</v>
      </c>
      <c r="F3404" t="s">
        <v>1724</v>
      </c>
      <c r="G3404" t="s">
        <v>4402</v>
      </c>
      <c r="H3404" t="s">
        <v>4253</v>
      </c>
    </row>
    <row r="3405" spans="1:8" x14ac:dyDescent="0.35">
      <c r="A3405" t="s">
        <v>3375</v>
      </c>
      <c r="B3405" t="s">
        <v>3376</v>
      </c>
      <c r="C3405" t="s">
        <v>4252</v>
      </c>
      <c r="D3405">
        <v>1.2999999999999999E-2</v>
      </c>
      <c r="E3405" t="s">
        <v>1720</v>
      </c>
      <c r="F3405" t="s">
        <v>1721</v>
      </c>
      <c r="G3405" t="s">
        <v>4402</v>
      </c>
      <c r="H3405" t="s">
        <v>4253</v>
      </c>
    </row>
    <row r="3406" spans="1:8" x14ac:dyDescent="0.35">
      <c r="A3406" t="s">
        <v>3375</v>
      </c>
      <c r="B3406" t="s">
        <v>3376</v>
      </c>
      <c r="C3406" t="s">
        <v>4340</v>
      </c>
      <c r="D3406">
        <v>6.5000000000000002E-2</v>
      </c>
      <c r="E3406" t="s">
        <v>1720</v>
      </c>
      <c r="F3406" t="s">
        <v>1724</v>
      </c>
      <c r="G3406" t="s">
        <v>4402</v>
      </c>
      <c r="H3406" t="s">
        <v>4341</v>
      </c>
    </row>
    <row r="3407" spans="1:8" x14ac:dyDescent="0.35">
      <c r="A3407" t="s">
        <v>3375</v>
      </c>
      <c r="B3407" t="s">
        <v>3376</v>
      </c>
      <c r="C3407" t="s">
        <v>4340</v>
      </c>
      <c r="D3407">
        <v>1.2999999999999999E-2</v>
      </c>
      <c r="E3407" t="s">
        <v>1720</v>
      </c>
      <c r="F3407" t="s">
        <v>1721</v>
      </c>
      <c r="G3407" t="s">
        <v>4402</v>
      </c>
      <c r="H3407" t="s">
        <v>4341</v>
      </c>
    </row>
    <row r="3408" spans="1:8" x14ac:dyDescent="0.35">
      <c r="A3408" t="s">
        <v>3375</v>
      </c>
      <c r="B3408" t="s">
        <v>3376</v>
      </c>
      <c r="C3408" t="s">
        <v>4242</v>
      </c>
      <c r="D3408">
        <v>6.5000000000000002E-2</v>
      </c>
      <c r="E3408" t="s">
        <v>1720</v>
      </c>
      <c r="F3408" t="s">
        <v>1724</v>
      </c>
      <c r="G3408" t="s">
        <v>4405</v>
      </c>
      <c r="H3408" t="s">
        <v>4243</v>
      </c>
    </row>
    <row r="3409" spans="1:8" x14ac:dyDescent="0.35">
      <c r="A3409" t="s">
        <v>3375</v>
      </c>
      <c r="B3409" t="s">
        <v>3376</v>
      </c>
      <c r="C3409" t="s">
        <v>4242</v>
      </c>
      <c r="D3409">
        <v>1.2999999999999999E-2</v>
      </c>
      <c r="E3409" t="s">
        <v>1720</v>
      </c>
      <c r="F3409" t="s">
        <v>1721</v>
      </c>
      <c r="G3409" t="s">
        <v>4405</v>
      </c>
      <c r="H3409" t="s">
        <v>4243</v>
      </c>
    </row>
    <row r="3410" spans="1:8" x14ac:dyDescent="0.35">
      <c r="A3410" t="s">
        <v>3375</v>
      </c>
      <c r="B3410" t="s">
        <v>3376</v>
      </c>
      <c r="C3410" t="s">
        <v>4244</v>
      </c>
      <c r="D3410">
        <v>6.5000000000000002E-2</v>
      </c>
      <c r="E3410" t="s">
        <v>1720</v>
      </c>
      <c r="F3410" t="s">
        <v>1724</v>
      </c>
      <c r="G3410" t="s">
        <v>4406</v>
      </c>
      <c r="H3410" t="s">
        <v>4245</v>
      </c>
    </row>
    <row r="3411" spans="1:8" x14ac:dyDescent="0.35">
      <c r="A3411" t="s">
        <v>3375</v>
      </c>
      <c r="B3411" t="s">
        <v>3376</v>
      </c>
      <c r="C3411" t="s">
        <v>4244</v>
      </c>
      <c r="D3411">
        <v>1.2999999999999999E-2</v>
      </c>
      <c r="E3411" t="s">
        <v>1720</v>
      </c>
      <c r="F3411" t="s">
        <v>1721</v>
      </c>
      <c r="G3411" t="s">
        <v>4406</v>
      </c>
      <c r="H3411" t="s">
        <v>4245</v>
      </c>
    </row>
    <row r="3412" spans="1:8" x14ac:dyDescent="0.35">
      <c r="A3412" t="s">
        <v>3375</v>
      </c>
      <c r="B3412" t="s">
        <v>3376</v>
      </c>
      <c r="C3412" t="s">
        <v>4246</v>
      </c>
      <c r="D3412">
        <v>1.2999999999999999E-2</v>
      </c>
      <c r="E3412" t="s">
        <v>1720</v>
      </c>
      <c r="F3412" t="s">
        <v>1721</v>
      </c>
      <c r="G3412" t="s">
        <v>4402</v>
      </c>
      <c r="H3412" t="s">
        <v>4247</v>
      </c>
    </row>
    <row r="3413" spans="1:8" x14ac:dyDescent="0.35">
      <c r="A3413" t="s">
        <v>3375</v>
      </c>
      <c r="B3413" t="s">
        <v>3376</v>
      </c>
      <c r="C3413" t="s">
        <v>4246</v>
      </c>
      <c r="D3413">
        <v>6.5000000000000002E-2</v>
      </c>
      <c r="E3413" t="s">
        <v>1720</v>
      </c>
      <c r="F3413" t="s">
        <v>1724</v>
      </c>
      <c r="G3413" t="s">
        <v>4402</v>
      </c>
      <c r="H3413" t="s">
        <v>4247</v>
      </c>
    </row>
    <row r="3414" spans="1:8" x14ac:dyDescent="0.35">
      <c r="A3414" t="s">
        <v>3375</v>
      </c>
      <c r="B3414" t="s">
        <v>3376</v>
      </c>
      <c r="C3414" t="s">
        <v>4248</v>
      </c>
      <c r="D3414">
        <v>6.5000000000000002E-2</v>
      </c>
      <c r="E3414" t="s">
        <v>1720</v>
      </c>
      <c r="F3414" t="s">
        <v>1724</v>
      </c>
      <c r="G3414" t="s">
        <v>4402</v>
      </c>
      <c r="H3414" t="s">
        <v>4249</v>
      </c>
    </row>
    <row r="3415" spans="1:8" x14ac:dyDescent="0.35">
      <c r="A3415" t="s">
        <v>3375</v>
      </c>
      <c r="B3415" t="s">
        <v>3376</v>
      </c>
      <c r="C3415" t="s">
        <v>4248</v>
      </c>
      <c r="D3415">
        <v>1.2999999999999999E-2</v>
      </c>
      <c r="E3415" t="s">
        <v>1720</v>
      </c>
      <c r="F3415" t="s">
        <v>1721</v>
      </c>
      <c r="G3415" t="s">
        <v>4402</v>
      </c>
      <c r="H3415" t="s">
        <v>4249</v>
      </c>
    </row>
    <row r="3416" spans="1:8" x14ac:dyDescent="0.35">
      <c r="A3416" t="s">
        <v>3375</v>
      </c>
      <c r="B3416" t="s">
        <v>3376</v>
      </c>
      <c r="C3416" t="s">
        <v>4250</v>
      </c>
      <c r="D3416">
        <v>6.5000000000000002E-2</v>
      </c>
      <c r="E3416" t="s">
        <v>1720</v>
      </c>
      <c r="F3416" t="s">
        <v>1724</v>
      </c>
      <c r="G3416" t="s">
        <v>4402</v>
      </c>
      <c r="H3416" t="s">
        <v>4251</v>
      </c>
    </row>
    <row r="3417" spans="1:8" x14ac:dyDescent="0.35">
      <c r="A3417" t="s">
        <v>3375</v>
      </c>
      <c r="B3417" t="s">
        <v>3376</v>
      </c>
      <c r="C3417" t="s">
        <v>4250</v>
      </c>
      <c r="D3417">
        <v>1.2999999999999999E-2</v>
      </c>
      <c r="E3417" t="s">
        <v>1720</v>
      </c>
      <c r="F3417" t="s">
        <v>1721</v>
      </c>
      <c r="G3417" t="s">
        <v>4402</v>
      </c>
      <c r="H3417" t="s">
        <v>4251</v>
      </c>
    </row>
    <row r="3418" spans="1:8" x14ac:dyDescent="0.35">
      <c r="A3418" t="s">
        <v>3375</v>
      </c>
      <c r="B3418" t="s">
        <v>3376</v>
      </c>
      <c r="C3418" t="s">
        <v>4352</v>
      </c>
      <c r="D3418">
        <v>6.5000000000000002E-2</v>
      </c>
      <c r="E3418" t="s">
        <v>1720</v>
      </c>
      <c r="F3418" t="s">
        <v>1724</v>
      </c>
      <c r="G3418" t="s">
        <v>4462</v>
      </c>
      <c r="H3418" t="s">
        <v>4353</v>
      </c>
    </row>
    <row r="3419" spans="1:8" x14ac:dyDescent="0.35">
      <c r="A3419" t="s">
        <v>3375</v>
      </c>
      <c r="B3419" t="s">
        <v>3376</v>
      </c>
      <c r="C3419" t="s">
        <v>4352</v>
      </c>
      <c r="D3419">
        <v>1.2999999999999999E-2</v>
      </c>
      <c r="E3419" t="s">
        <v>1720</v>
      </c>
      <c r="F3419" t="s">
        <v>1721</v>
      </c>
      <c r="G3419" t="s">
        <v>4462</v>
      </c>
      <c r="H3419" t="s">
        <v>4353</v>
      </c>
    </row>
    <row r="3420" spans="1:8" x14ac:dyDescent="0.35">
      <c r="A3420" t="s">
        <v>3375</v>
      </c>
      <c r="B3420" t="s">
        <v>3376</v>
      </c>
      <c r="C3420" t="s">
        <v>4319</v>
      </c>
      <c r="D3420">
        <v>1.2999999999999999E-2</v>
      </c>
      <c r="E3420" t="s">
        <v>1720</v>
      </c>
      <c r="F3420" t="s">
        <v>1721</v>
      </c>
      <c r="G3420" t="s">
        <v>4402</v>
      </c>
      <c r="H3420" t="s">
        <v>4320</v>
      </c>
    </row>
    <row r="3421" spans="1:8" x14ac:dyDescent="0.35">
      <c r="A3421" t="s">
        <v>3375</v>
      </c>
      <c r="B3421" t="s">
        <v>3376</v>
      </c>
      <c r="C3421" t="s">
        <v>4319</v>
      </c>
      <c r="D3421">
        <v>6.5000000000000002E-2</v>
      </c>
      <c r="E3421" t="s">
        <v>1720</v>
      </c>
      <c r="F3421" t="s">
        <v>1724</v>
      </c>
      <c r="G3421" t="s">
        <v>4402</v>
      </c>
      <c r="H3421" t="s">
        <v>4320</v>
      </c>
    </row>
    <row r="3422" spans="1:8" x14ac:dyDescent="0.35">
      <c r="A3422" t="s">
        <v>3375</v>
      </c>
      <c r="B3422" t="s">
        <v>3376</v>
      </c>
      <c r="C3422" t="s">
        <v>4264</v>
      </c>
      <c r="D3422">
        <v>6.5000000000000002E-2</v>
      </c>
      <c r="E3422" t="s">
        <v>1720</v>
      </c>
      <c r="F3422" t="s">
        <v>1724</v>
      </c>
      <c r="G3422" t="s">
        <v>4402</v>
      </c>
      <c r="H3422" t="s">
        <v>4265</v>
      </c>
    </row>
    <row r="3423" spans="1:8" x14ac:dyDescent="0.35">
      <c r="A3423" t="s">
        <v>3375</v>
      </c>
      <c r="B3423" t="s">
        <v>3376</v>
      </c>
      <c r="C3423" t="s">
        <v>4264</v>
      </c>
      <c r="D3423">
        <v>1.2999999999999999E-2</v>
      </c>
      <c r="E3423" t="s">
        <v>1720</v>
      </c>
      <c r="F3423" t="s">
        <v>1721</v>
      </c>
      <c r="G3423" t="s">
        <v>4402</v>
      </c>
      <c r="H3423" t="s">
        <v>4265</v>
      </c>
    </row>
    <row r="3424" spans="1:8" x14ac:dyDescent="0.35">
      <c r="A3424" t="s">
        <v>3375</v>
      </c>
      <c r="B3424" t="s">
        <v>3376</v>
      </c>
      <c r="C3424" t="s">
        <v>4268</v>
      </c>
      <c r="D3424">
        <v>6.5000000000000002E-2</v>
      </c>
      <c r="E3424" t="s">
        <v>1720</v>
      </c>
      <c r="F3424" t="s">
        <v>1724</v>
      </c>
      <c r="G3424" t="s">
        <v>4402</v>
      </c>
      <c r="H3424" t="s">
        <v>4269</v>
      </c>
    </row>
    <row r="3425" spans="1:8" x14ac:dyDescent="0.35">
      <c r="A3425" t="s">
        <v>3375</v>
      </c>
      <c r="B3425" t="s">
        <v>3376</v>
      </c>
      <c r="C3425" t="s">
        <v>4268</v>
      </c>
      <c r="D3425">
        <v>1.2999999999999999E-2</v>
      </c>
      <c r="E3425" t="s">
        <v>1720</v>
      </c>
      <c r="F3425" t="s">
        <v>1721</v>
      </c>
      <c r="G3425" t="s">
        <v>4402</v>
      </c>
      <c r="H3425" t="s">
        <v>4269</v>
      </c>
    </row>
    <row r="3426" spans="1:8" x14ac:dyDescent="0.35">
      <c r="A3426" t="s">
        <v>3375</v>
      </c>
      <c r="B3426" t="s">
        <v>3376</v>
      </c>
      <c r="C3426" t="s">
        <v>4256</v>
      </c>
      <c r="D3426">
        <v>6.5000000000000002E-2</v>
      </c>
      <c r="E3426" t="s">
        <v>1720</v>
      </c>
      <c r="F3426" t="s">
        <v>1724</v>
      </c>
      <c r="G3426" t="s">
        <v>4402</v>
      </c>
      <c r="H3426" t="s">
        <v>4257</v>
      </c>
    </row>
    <row r="3427" spans="1:8" x14ac:dyDescent="0.35">
      <c r="A3427" t="s">
        <v>3375</v>
      </c>
      <c r="B3427" t="s">
        <v>3376</v>
      </c>
      <c r="C3427" t="s">
        <v>4256</v>
      </c>
      <c r="D3427">
        <v>1.2999999999999999E-2</v>
      </c>
      <c r="E3427" t="s">
        <v>1720</v>
      </c>
      <c r="F3427" t="s">
        <v>1721</v>
      </c>
      <c r="G3427" t="s">
        <v>4402</v>
      </c>
      <c r="H3427" t="s">
        <v>4257</v>
      </c>
    </row>
    <row r="3428" spans="1:8" x14ac:dyDescent="0.35">
      <c r="A3428" t="s">
        <v>3375</v>
      </c>
      <c r="B3428" t="s">
        <v>3376</v>
      </c>
      <c r="C3428" t="s">
        <v>4276</v>
      </c>
      <c r="D3428">
        <v>6.5000000000000002E-2</v>
      </c>
      <c r="E3428" t="s">
        <v>1720</v>
      </c>
      <c r="F3428" t="s">
        <v>1724</v>
      </c>
      <c r="G3428" t="s">
        <v>4413</v>
      </c>
      <c r="H3428" t="s">
        <v>4277</v>
      </c>
    </row>
    <row r="3429" spans="1:8" x14ac:dyDescent="0.35">
      <c r="A3429" t="s">
        <v>3375</v>
      </c>
      <c r="B3429" t="s">
        <v>3376</v>
      </c>
      <c r="C3429" t="s">
        <v>4276</v>
      </c>
      <c r="D3429">
        <v>1.2999999999999999E-2</v>
      </c>
      <c r="E3429" t="s">
        <v>1720</v>
      </c>
      <c r="F3429" t="s">
        <v>1721</v>
      </c>
      <c r="G3429" t="s">
        <v>4413</v>
      </c>
      <c r="H3429" t="s">
        <v>4277</v>
      </c>
    </row>
    <row r="3430" spans="1:8" x14ac:dyDescent="0.35">
      <c r="A3430" t="s">
        <v>3375</v>
      </c>
      <c r="B3430" t="s">
        <v>3376</v>
      </c>
      <c r="C3430" t="s">
        <v>4282</v>
      </c>
      <c r="D3430">
        <v>6.5000000000000002E-2</v>
      </c>
      <c r="E3430" t="s">
        <v>1720</v>
      </c>
      <c r="F3430" t="s">
        <v>1724</v>
      </c>
      <c r="G3430" t="s">
        <v>4402</v>
      </c>
      <c r="H3430" t="s">
        <v>4283</v>
      </c>
    </row>
    <row r="3431" spans="1:8" x14ac:dyDescent="0.35">
      <c r="A3431" t="s">
        <v>3375</v>
      </c>
      <c r="B3431" t="s">
        <v>3376</v>
      </c>
      <c r="C3431" t="s">
        <v>4282</v>
      </c>
      <c r="D3431">
        <v>1.2999999999999999E-2</v>
      </c>
      <c r="E3431" t="s">
        <v>1720</v>
      </c>
      <c r="F3431" t="s">
        <v>1721</v>
      </c>
      <c r="G3431" t="s">
        <v>4402</v>
      </c>
      <c r="H3431" t="s">
        <v>4283</v>
      </c>
    </row>
    <row r="3432" spans="1:8" x14ac:dyDescent="0.35">
      <c r="A3432" t="s">
        <v>3375</v>
      </c>
      <c r="B3432" t="s">
        <v>3376</v>
      </c>
      <c r="C3432" t="s">
        <v>4280</v>
      </c>
      <c r="D3432">
        <v>13</v>
      </c>
      <c r="E3432" t="s">
        <v>1720</v>
      </c>
      <c r="F3432" t="s">
        <v>1721</v>
      </c>
      <c r="G3432" t="s">
        <v>4415</v>
      </c>
      <c r="H3432" t="s">
        <v>4281</v>
      </c>
    </row>
    <row r="3433" spans="1:8" x14ac:dyDescent="0.35">
      <c r="A3433" t="s">
        <v>3375</v>
      </c>
      <c r="B3433" t="s">
        <v>3376</v>
      </c>
      <c r="C3433" t="s">
        <v>4280</v>
      </c>
      <c r="D3433">
        <v>6.5000000000000002E-2</v>
      </c>
      <c r="E3433" t="s">
        <v>1720</v>
      </c>
      <c r="F3433" t="s">
        <v>1724</v>
      </c>
      <c r="G3433" t="s">
        <v>4415</v>
      </c>
      <c r="H3433" t="s">
        <v>4281</v>
      </c>
    </row>
    <row r="3434" spans="1:8" x14ac:dyDescent="0.35">
      <c r="A3434" t="s">
        <v>3375</v>
      </c>
      <c r="B3434" t="s">
        <v>3376</v>
      </c>
      <c r="C3434" t="s">
        <v>4284</v>
      </c>
      <c r="D3434">
        <v>1.2999999999999999E-2</v>
      </c>
      <c r="E3434" t="s">
        <v>1720</v>
      </c>
      <c r="G3434" t="s">
        <v>4417</v>
      </c>
      <c r="H3434" t="s">
        <v>4285</v>
      </c>
    </row>
    <row r="3435" spans="1:8" x14ac:dyDescent="0.35">
      <c r="A3435" t="s">
        <v>3375</v>
      </c>
      <c r="B3435" t="s">
        <v>3376</v>
      </c>
      <c r="C3435" t="s">
        <v>4298</v>
      </c>
      <c r="D3435">
        <v>6.5000000000000002E-2</v>
      </c>
      <c r="E3435" t="s">
        <v>1720</v>
      </c>
      <c r="F3435" t="s">
        <v>1724</v>
      </c>
      <c r="G3435" t="s">
        <v>4419</v>
      </c>
      <c r="H3435" t="s">
        <v>4299</v>
      </c>
    </row>
    <row r="3436" spans="1:8" x14ac:dyDescent="0.35">
      <c r="A3436" t="s">
        <v>3375</v>
      </c>
      <c r="B3436" t="s">
        <v>3376</v>
      </c>
      <c r="C3436" t="s">
        <v>4298</v>
      </c>
      <c r="D3436">
        <v>1.2999999999999999E-2</v>
      </c>
      <c r="E3436" t="s">
        <v>1720</v>
      </c>
      <c r="F3436" t="s">
        <v>1721</v>
      </c>
      <c r="G3436" t="s">
        <v>4419</v>
      </c>
      <c r="H3436" t="s">
        <v>4299</v>
      </c>
    </row>
    <row r="3437" spans="1:8" x14ac:dyDescent="0.35">
      <c r="A3437" t="s">
        <v>3375</v>
      </c>
      <c r="B3437" t="s">
        <v>3376</v>
      </c>
      <c r="C3437" t="s">
        <v>4354</v>
      </c>
      <c r="D3437">
        <v>1.2999999999999999E-2</v>
      </c>
      <c r="E3437" t="s">
        <v>1720</v>
      </c>
      <c r="F3437" t="s">
        <v>1721</v>
      </c>
      <c r="G3437" t="s">
        <v>4402</v>
      </c>
      <c r="H3437" t="s">
        <v>4355</v>
      </c>
    </row>
    <row r="3438" spans="1:8" x14ac:dyDescent="0.35">
      <c r="A3438" t="s">
        <v>3375</v>
      </c>
      <c r="B3438" t="s">
        <v>3376</v>
      </c>
      <c r="C3438" t="s">
        <v>4288</v>
      </c>
      <c r="D3438">
        <v>6.5000000000000002E-2</v>
      </c>
      <c r="E3438" t="s">
        <v>1720</v>
      </c>
      <c r="F3438" t="s">
        <v>1724</v>
      </c>
      <c r="G3438" t="s">
        <v>4415</v>
      </c>
      <c r="H3438" t="s">
        <v>4289</v>
      </c>
    </row>
    <row r="3439" spans="1:8" x14ac:dyDescent="0.35">
      <c r="A3439" t="s">
        <v>3375</v>
      </c>
      <c r="B3439" t="s">
        <v>3376</v>
      </c>
      <c r="C3439" t="s">
        <v>4288</v>
      </c>
      <c r="D3439">
        <v>1.2999999999999999E-2</v>
      </c>
      <c r="E3439" t="s">
        <v>1720</v>
      </c>
      <c r="F3439" t="s">
        <v>1721</v>
      </c>
      <c r="G3439" t="s">
        <v>4415</v>
      </c>
      <c r="H3439" t="s">
        <v>4289</v>
      </c>
    </row>
    <row r="3440" spans="1:8" x14ac:dyDescent="0.35">
      <c r="A3440" t="s">
        <v>3375</v>
      </c>
      <c r="B3440" t="s">
        <v>3376</v>
      </c>
      <c r="C3440" t="s">
        <v>4290</v>
      </c>
      <c r="D3440">
        <v>6.5000000000000002E-2</v>
      </c>
      <c r="E3440" t="s">
        <v>1720</v>
      </c>
      <c r="F3440" t="s">
        <v>1724</v>
      </c>
      <c r="G3440" t="s">
        <v>4402</v>
      </c>
      <c r="H3440" t="s">
        <v>4291</v>
      </c>
    </row>
    <row r="3441" spans="1:8" x14ac:dyDescent="0.35">
      <c r="A3441" t="s">
        <v>3375</v>
      </c>
      <c r="B3441" t="s">
        <v>3376</v>
      </c>
      <c r="C3441" t="s">
        <v>4290</v>
      </c>
      <c r="D3441">
        <v>1.2999999999999999E-2</v>
      </c>
      <c r="E3441" t="s">
        <v>1720</v>
      </c>
      <c r="F3441" t="s">
        <v>1721</v>
      </c>
      <c r="G3441" t="s">
        <v>4402</v>
      </c>
      <c r="H3441" t="s">
        <v>4291</v>
      </c>
    </row>
    <row r="3442" spans="1:8" x14ac:dyDescent="0.35">
      <c r="A3442" t="s">
        <v>3375</v>
      </c>
      <c r="B3442" t="s">
        <v>3376</v>
      </c>
      <c r="C3442" t="s">
        <v>4292</v>
      </c>
      <c r="D3442">
        <v>6.5000000000000002E-2</v>
      </c>
      <c r="E3442" t="s">
        <v>1720</v>
      </c>
      <c r="F3442" t="s">
        <v>1724</v>
      </c>
      <c r="G3442" t="s">
        <v>4402</v>
      </c>
      <c r="H3442" t="s">
        <v>4293</v>
      </c>
    </row>
    <row r="3443" spans="1:8" x14ac:dyDescent="0.35">
      <c r="A3443" t="s">
        <v>3375</v>
      </c>
      <c r="B3443" t="s">
        <v>3376</v>
      </c>
      <c r="C3443" t="s">
        <v>4292</v>
      </c>
      <c r="D3443">
        <v>1.2999999999999999E-2</v>
      </c>
      <c r="E3443" t="s">
        <v>1720</v>
      </c>
      <c r="F3443" t="s">
        <v>1721</v>
      </c>
      <c r="G3443" t="s">
        <v>4402</v>
      </c>
      <c r="H3443" t="s">
        <v>4293</v>
      </c>
    </row>
    <row r="3444" spans="1:8" x14ac:dyDescent="0.35">
      <c r="A3444" t="s">
        <v>3375</v>
      </c>
      <c r="B3444" t="s">
        <v>3376</v>
      </c>
      <c r="C3444" t="s">
        <v>4321</v>
      </c>
      <c r="D3444">
        <v>8.0000000000000002E-3</v>
      </c>
      <c r="E3444" t="s">
        <v>1720</v>
      </c>
      <c r="F3444" t="s">
        <v>1721</v>
      </c>
      <c r="G3444" t="s">
        <v>4427</v>
      </c>
      <c r="H3444" t="s">
        <v>4322</v>
      </c>
    </row>
    <row r="3445" spans="1:8" x14ac:dyDescent="0.35">
      <c r="A3445" t="s">
        <v>3375</v>
      </c>
      <c r="B3445" t="s">
        <v>3376</v>
      </c>
      <c r="C3445" t="s">
        <v>4321</v>
      </c>
      <c r="D3445">
        <v>6.5000000000000002E-2</v>
      </c>
      <c r="E3445" t="s">
        <v>1720</v>
      </c>
      <c r="F3445" t="s">
        <v>1724</v>
      </c>
      <c r="G3445" t="s">
        <v>4427</v>
      </c>
      <c r="H3445" t="s">
        <v>4322</v>
      </c>
    </row>
    <row r="3446" spans="1:8" x14ac:dyDescent="0.35">
      <c r="A3446" t="s">
        <v>3375</v>
      </c>
      <c r="B3446" t="s">
        <v>3376</v>
      </c>
      <c r="C3446" t="s">
        <v>4356</v>
      </c>
      <c r="D3446">
        <v>1.2999999999999999E-2</v>
      </c>
      <c r="E3446" t="s">
        <v>1720</v>
      </c>
      <c r="F3446" t="s">
        <v>1721</v>
      </c>
      <c r="G3446" t="s">
        <v>4463</v>
      </c>
      <c r="H3446" t="s">
        <v>4357</v>
      </c>
    </row>
    <row r="3447" spans="1:8" x14ac:dyDescent="0.35">
      <c r="A3447" t="s">
        <v>3375</v>
      </c>
      <c r="B3447" t="s">
        <v>3376</v>
      </c>
      <c r="C3447" t="s">
        <v>4356</v>
      </c>
      <c r="D3447">
        <v>6.5000000000000002E-2</v>
      </c>
      <c r="E3447" t="s">
        <v>1720</v>
      </c>
      <c r="G3447" t="s">
        <v>4463</v>
      </c>
      <c r="H3447" t="s">
        <v>4357</v>
      </c>
    </row>
    <row r="3448" spans="1:8" x14ac:dyDescent="0.35">
      <c r="A3448" t="s">
        <v>3375</v>
      </c>
      <c r="B3448" t="s">
        <v>3376</v>
      </c>
      <c r="C3448" t="s">
        <v>4356</v>
      </c>
      <c r="D3448">
        <v>0.13</v>
      </c>
      <c r="E3448" t="s">
        <v>1720</v>
      </c>
      <c r="F3448" t="s">
        <v>1724</v>
      </c>
      <c r="G3448" t="s">
        <v>4463</v>
      </c>
      <c r="H3448" t="s">
        <v>4357</v>
      </c>
    </row>
    <row r="3449" spans="1:8" x14ac:dyDescent="0.35">
      <c r="A3449" t="s">
        <v>3375</v>
      </c>
      <c r="B3449" t="s">
        <v>3376</v>
      </c>
      <c r="C3449" t="s">
        <v>4356</v>
      </c>
      <c r="D3449">
        <v>1.2999999999999999E-2</v>
      </c>
      <c r="E3449" t="s">
        <v>1720</v>
      </c>
      <c r="F3449" t="s">
        <v>1721</v>
      </c>
      <c r="G3449" t="s">
        <v>4464</v>
      </c>
      <c r="H3449" t="s">
        <v>4357</v>
      </c>
    </row>
    <row r="3450" spans="1:8" x14ac:dyDescent="0.35">
      <c r="A3450" t="s">
        <v>3375</v>
      </c>
      <c r="B3450" t="s">
        <v>3376</v>
      </c>
      <c r="C3450" t="s">
        <v>4356</v>
      </c>
      <c r="D3450">
        <v>6.5000000000000002E-2</v>
      </c>
      <c r="E3450" t="s">
        <v>1720</v>
      </c>
      <c r="G3450" t="s">
        <v>4464</v>
      </c>
      <c r="H3450" t="s">
        <v>4357</v>
      </c>
    </row>
    <row r="3451" spans="1:8" x14ac:dyDescent="0.35">
      <c r="A3451" t="s">
        <v>3375</v>
      </c>
      <c r="B3451" t="s">
        <v>3376</v>
      </c>
      <c r="C3451" t="s">
        <v>4356</v>
      </c>
      <c r="D3451">
        <v>0.13</v>
      </c>
      <c r="E3451" t="s">
        <v>1720</v>
      </c>
      <c r="F3451" t="s">
        <v>1724</v>
      </c>
      <c r="G3451" t="s">
        <v>4464</v>
      </c>
      <c r="H3451" t="s">
        <v>4357</v>
      </c>
    </row>
    <row r="3452" spans="1:8" x14ac:dyDescent="0.35">
      <c r="A3452" t="s">
        <v>3375</v>
      </c>
      <c r="B3452" t="s">
        <v>3376</v>
      </c>
      <c r="C3452" t="s">
        <v>4286</v>
      </c>
      <c r="D3452">
        <v>6.5000000000000002E-2</v>
      </c>
      <c r="E3452" t="s">
        <v>1720</v>
      </c>
      <c r="F3452" t="s">
        <v>1724</v>
      </c>
      <c r="G3452" t="s">
        <v>4402</v>
      </c>
      <c r="H3452" t="s">
        <v>4287</v>
      </c>
    </row>
    <row r="3453" spans="1:8" x14ac:dyDescent="0.35">
      <c r="A3453" t="s">
        <v>3375</v>
      </c>
      <c r="B3453" t="s">
        <v>3376</v>
      </c>
      <c r="C3453" t="s">
        <v>4286</v>
      </c>
      <c r="D3453">
        <v>1.2999999999999999E-2</v>
      </c>
      <c r="E3453" t="s">
        <v>1720</v>
      </c>
      <c r="F3453" t="s">
        <v>1721</v>
      </c>
      <c r="G3453" t="s">
        <v>4402</v>
      </c>
      <c r="H3453" t="s">
        <v>4287</v>
      </c>
    </row>
    <row r="3454" spans="1:8" x14ac:dyDescent="0.35">
      <c r="A3454" t="s">
        <v>3375</v>
      </c>
      <c r="B3454" t="s">
        <v>3376</v>
      </c>
      <c r="C3454" t="s">
        <v>4356</v>
      </c>
      <c r="D3454">
        <v>1.2999999999999999E-2</v>
      </c>
      <c r="E3454" t="s">
        <v>1720</v>
      </c>
      <c r="F3454" t="s">
        <v>1721</v>
      </c>
      <c r="G3454" t="s">
        <v>4465</v>
      </c>
      <c r="H3454" t="s">
        <v>4357</v>
      </c>
    </row>
    <row r="3455" spans="1:8" x14ac:dyDescent="0.35">
      <c r="A3455" t="s">
        <v>3375</v>
      </c>
      <c r="B3455" t="s">
        <v>3376</v>
      </c>
      <c r="C3455" t="s">
        <v>4356</v>
      </c>
      <c r="D3455">
        <v>6.5000000000000002E-2</v>
      </c>
      <c r="E3455" t="s">
        <v>1720</v>
      </c>
      <c r="G3455" t="s">
        <v>4465</v>
      </c>
      <c r="H3455" t="s">
        <v>4357</v>
      </c>
    </row>
    <row r="3456" spans="1:8" x14ac:dyDescent="0.35">
      <c r="A3456" t="s">
        <v>3375</v>
      </c>
      <c r="B3456" t="s">
        <v>3376</v>
      </c>
      <c r="C3456" t="s">
        <v>4356</v>
      </c>
      <c r="D3456">
        <v>0.13</v>
      </c>
      <c r="E3456" t="s">
        <v>1720</v>
      </c>
      <c r="F3456" t="s">
        <v>1724</v>
      </c>
      <c r="G3456" t="s">
        <v>4465</v>
      </c>
      <c r="H3456" t="s">
        <v>4357</v>
      </c>
    </row>
    <row r="3457" spans="1:8" x14ac:dyDescent="0.35">
      <c r="A3457" t="s">
        <v>3375</v>
      </c>
      <c r="B3457" t="s">
        <v>3376</v>
      </c>
      <c r="C3457" t="s">
        <v>4296</v>
      </c>
      <c r="D3457">
        <v>6.5000000000000002E-2</v>
      </c>
      <c r="E3457" t="s">
        <v>1720</v>
      </c>
      <c r="F3457" t="s">
        <v>1724</v>
      </c>
      <c r="G3457" t="s">
        <v>4402</v>
      </c>
      <c r="H3457" t="s">
        <v>4297</v>
      </c>
    </row>
    <row r="3458" spans="1:8" x14ac:dyDescent="0.35">
      <c r="A3458" t="s">
        <v>3375</v>
      </c>
      <c r="B3458" t="s">
        <v>3376</v>
      </c>
      <c r="C3458" t="s">
        <v>4296</v>
      </c>
      <c r="D3458">
        <v>1.2999999999999999E-2</v>
      </c>
      <c r="E3458" t="s">
        <v>1720</v>
      </c>
      <c r="F3458" t="s">
        <v>1721</v>
      </c>
      <c r="G3458" t="s">
        <v>4402</v>
      </c>
      <c r="H3458" t="s">
        <v>4297</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E9B791-0347-4A4A-BFEB-BE9CBD1AA8DC}">
  <dimension ref="A1:K1131"/>
  <sheetViews>
    <sheetView workbookViewId="0">
      <pane ySplit="1" topLeftCell="A2" activePane="bottomLeft" state="frozen"/>
      <selection pane="bottomLeft" sqref="A1:B1048576"/>
    </sheetView>
  </sheetViews>
  <sheetFormatPr defaultRowHeight="14.5" x14ac:dyDescent="0.35"/>
  <cols>
    <col min="1" max="1" width="12.54296875" customWidth="1"/>
    <col min="2" max="2" width="21.7265625" customWidth="1"/>
    <col min="3" max="3" width="12.54296875" bestFit="1" customWidth="1"/>
    <col min="5" max="5" width="7.453125" customWidth="1"/>
    <col min="6" max="6" width="13.453125" bestFit="1" customWidth="1"/>
    <col min="7" max="7" width="14.7265625" customWidth="1"/>
    <col min="8" max="9" width="8.7265625" customWidth="1"/>
  </cols>
  <sheetData>
    <row r="1" spans="1:11" s="29" customFormat="1" x14ac:dyDescent="0.35">
      <c r="A1" s="22" t="s">
        <v>828</v>
      </c>
      <c r="B1" s="22" t="s">
        <v>1650</v>
      </c>
      <c r="C1" s="30" t="s">
        <v>1951</v>
      </c>
      <c r="D1" s="30" t="s">
        <v>1689</v>
      </c>
      <c r="E1" s="30" t="s">
        <v>1958</v>
      </c>
      <c r="F1" s="30" t="s">
        <v>1952</v>
      </c>
      <c r="G1" s="30" t="s">
        <v>1954</v>
      </c>
      <c r="H1" s="30" t="s">
        <v>1660</v>
      </c>
      <c r="I1" s="30" t="s">
        <v>4075</v>
      </c>
      <c r="J1" s="30" t="s">
        <v>1881</v>
      </c>
    </row>
    <row r="2" spans="1:11" x14ac:dyDescent="0.35">
      <c r="A2" t="s">
        <v>418</v>
      </c>
      <c r="B2" s="7" t="s">
        <v>1242</v>
      </c>
    </row>
    <row r="3" spans="1:11" x14ac:dyDescent="0.35">
      <c r="A3" t="s">
        <v>409</v>
      </c>
      <c r="B3" s="7" t="s">
        <v>1233</v>
      </c>
    </row>
    <row r="4" spans="1:11" x14ac:dyDescent="0.35">
      <c r="A4" s="3" t="s">
        <v>408</v>
      </c>
      <c r="B4" s="7" t="s">
        <v>1232</v>
      </c>
    </row>
    <row r="5" spans="1:11" x14ac:dyDescent="0.35">
      <c r="A5" t="s">
        <v>403</v>
      </c>
      <c r="B5" s="7" t="s">
        <v>1227</v>
      </c>
    </row>
    <row r="6" spans="1:11" x14ac:dyDescent="0.35">
      <c r="A6" t="s">
        <v>402</v>
      </c>
      <c r="B6" s="7" t="s">
        <v>1226</v>
      </c>
    </row>
    <row r="7" spans="1:11" x14ac:dyDescent="0.35">
      <c r="A7" t="s">
        <v>401</v>
      </c>
      <c r="B7" s="7" t="s">
        <v>1225</v>
      </c>
    </row>
    <row r="8" spans="1:11" x14ac:dyDescent="0.35">
      <c r="A8" t="s">
        <v>400</v>
      </c>
      <c r="B8" s="7" t="s">
        <v>1224</v>
      </c>
    </row>
    <row r="9" spans="1:11" x14ac:dyDescent="0.35">
      <c r="A9" t="s">
        <v>399</v>
      </c>
      <c r="B9" s="7" t="s">
        <v>1223</v>
      </c>
    </row>
    <row r="10" spans="1:11" x14ac:dyDescent="0.35">
      <c r="A10" t="s">
        <v>683</v>
      </c>
      <c r="B10" s="7" t="s">
        <v>1507</v>
      </c>
    </row>
    <row r="11" spans="1:11" x14ac:dyDescent="0.35">
      <c r="A11" t="s">
        <v>299</v>
      </c>
      <c r="B11" s="7" t="s">
        <v>1124</v>
      </c>
    </row>
    <row r="12" spans="1:11" x14ac:dyDescent="0.35">
      <c r="A12" t="s">
        <v>168</v>
      </c>
      <c r="B12" s="7" t="s">
        <v>997</v>
      </c>
    </row>
    <row r="13" spans="1:11" x14ac:dyDescent="0.35">
      <c r="A13" t="s">
        <v>755</v>
      </c>
      <c r="B13" s="7" t="s">
        <v>1579</v>
      </c>
    </row>
    <row r="14" spans="1:11" x14ac:dyDescent="0.35">
      <c r="A14" t="s">
        <v>656</v>
      </c>
      <c r="B14" s="7" t="s">
        <v>1480</v>
      </c>
    </row>
    <row r="15" spans="1:11" x14ac:dyDescent="0.35">
      <c r="A15" t="s">
        <v>655</v>
      </c>
      <c r="B15" s="7" t="s">
        <v>1479</v>
      </c>
      <c r="K15" s="31"/>
    </row>
    <row r="16" spans="1:11" x14ac:dyDescent="0.35">
      <c r="A16" t="s">
        <v>654</v>
      </c>
      <c r="B16" s="7" t="s">
        <v>1478</v>
      </c>
    </row>
    <row r="17" spans="1:10" x14ac:dyDescent="0.35">
      <c r="A17" t="s">
        <v>653</v>
      </c>
      <c r="B17" s="7" t="s">
        <v>1477</v>
      </c>
    </row>
    <row r="18" spans="1:10" x14ac:dyDescent="0.35">
      <c r="A18" t="s">
        <v>652</v>
      </c>
      <c r="B18" s="7" t="s">
        <v>1476</v>
      </c>
    </row>
    <row r="19" spans="1:10" x14ac:dyDescent="0.35">
      <c r="A19" t="s">
        <v>696</v>
      </c>
      <c r="B19" s="7" t="s">
        <v>1520</v>
      </c>
    </row>
    <row r="20" spans="1:10" x14ac:dyDescent="0.35">
      <c r="A20" t="s">
        <v>651</v>
      </c>
      <c r="B20" s="7" t="s">
        <v>1475</v>
      </c>
    </row>
    <row r="21" spans="1:10" x14ac:dyDescent="0.35">
      <c r="A21" t="s">
        <v>761</v>
      </c>
      <c r="B21" s="7" t="s">
        <v>1585</v>
      </c>
    </row>
    <row r="22" spans="1:10" x14ac:dyDescent="0.35">
      <c r="A22" s="26" t="s">
        <v>3340</v>
      </c>
      <c r="B22" s="26" t="s">
        <v>3341</v>
      </c>
      <c r="C22" s="26"/>
      <c r="D22" s="26"/>
      <c r="E22" s="26"/>
      <c r="F22" s="26"/>
      <c r="G22" s="26"/>
      <c r="H22" s="26"/>
      <c r="I22" s="26"/>
      <c r="J22" s="26"/>
    </row>
    <row r="23" spans="1:10" x14ac:dyDescent="0.35">
      <c r="A23" t="s">
        <v>650</v>
      </c>
      <c r="B23" s="7" t="s">
        <v>1474</v>
      </c>
    </row>
    <row r="24" spans="1:10" x14ac:dyDescent="0.35">
      <c r="A24" t="s">
        <v>649</v>
      </c>
      <c r="B24" s="7" t="s">
        <v>1473</v>
      </c>
    </row>
    <row r="25" spans="1:10" x14ac:dyDescent="0.35">
      <c r="A25" t="s">
        <v>648</v>
      </c>
      <c r="B25" s="7" t="s">
        <v>1472</v>
      </c>
    </row>
    <row r="26" spans="1:10" x14ac:dyDescent="0.35">
      <c r="A26" t="s">
        <v>647</v>
      </c>
      <c r="B26" s="7" t="s">
        <v>1471</v>
      </c>
      <c r="C26">
        <f>2.6*10^-1</f>
        <v>0.26</v>
      </c>
      <c r="D26" t="s">
        <v>1720</v>
      </c>
      <c r="E26" t="s">
        <v>1724</v>
      </c>
      <c r="F26" t="s">
        <v>2078</v>
      </c>
      <c r="G26" t="s">
        <v>1738</v>
      </c>
      <c r="H26" t="s">
        <v>2020</v>
      </c>
      <c r="I26" s="57">
        <v>44580</v>
      </c>
      <c r="J26" s="13" t="s">
        <v>2079</v>
      </c>
    </row>
    <row r="27" spans="1:10" x14ac:dyDescent="0.35">
      <c r="A27" t="s">
        <v>647</v>
      </c>
      <c r="B27" s="7" t="s">
        <v>1471</v>
      </c>
      <c r="C27">
        <f>0.52</f>
        <v>0.52</v>
      </c>
      <c r="D27" t="s">
        <v>1720</v>
      </c>
      <c r="E27" t="s">
        <v>1721</v>
      </c>
      <c r="F27" t="s">
        <v>2078</v>
      </c>
      <c r="G27" t="s">
        <v>1738</v>
      </c>
      <c r="H27" t="s">
        <v>2020</v>
      </c>
      <c r="I27" s="57">
        <v>44580</v>
      </c>
      <c r="J27" s="13" t="s">
        <v>2079</v>
      </c>
    </row>
    <row r="28" spans="1:10" x14ac:dyDescent="0.35">
      <c r="A28" t="s">
        <v>646</v>
      </c>
      <c r="B28" s="7" t="s">
        <v>1470</v>
      </c>
    </row>
    <row r="29" spans="1:10" x14ac:dyDescent="0.35">
      <c r="A29" t="s">
        <v>645</v>
      </c>
      <c r="B29" s="7" t="s">
        <v>1469</v>
      </c>
    </row>
    <row r="30" spans="1:10" x14ac:dyDescent="0.35">
      <c r="A30" t="s">
        <v>633</v>
      </c>
      <c r="B30" s="7" t="s">
        <v>1457</v>
      </c>
      <c r="C30">
        <v>26</v>
      </c>
      <c r="D30" t="s">
        <v>1720</v>
      </c>
      <c r="E30" t="s">
        <v>1721</v>
      </c>
      <c r="F30" t="s">
        <v>1953</v>
      </c>
      <c r="G30" t="s">
        <v>1979</v>
      </c>
      <c r="H30" t="s">
        <v>1981</v>
      </c>
      <c r="I30" s="57">
        <v>44574</v>
      </c>
      <c r="J30" t="s">
        <v>1980</v>
      </c>
    </row>
    <row r="31" spans="1:10" ht="116" x14ac:dyDescent="0.35">
      <c r="A31" t="s">
        <v>676</v>
      </c>
      <c r="B31" s="7" t="s">
        <v>1500</v>
      </c>
      <c r="C31">
        <f>0.5/10^3</f>
        <v>5.0000000000000001E-4</v>
      </c>
      <c r="D31" t="s">
        <v>1720</v>
      </c>
      <c r="E31" t="s">
        <v>1721</v>
      </c>
      <c r="F31" s="53" t="s">
        <v>4123</v>
      </c>
      <c r="G31" t="s">
        <v>1979</v>
      </c>
      <c r="H31" t="s">
        <v>1981</v>
      </c>
      <c r="I31" s="57">
        <v>44574</v>
      </c>
      <c r="J31" t="s">
        <v>1980</v>
      </c>
    </row>
    <row r="32" spans="1:10" s="26" customFormat="1" x14ac:dyDescent="0.35">
      <c r="A32" t="s">
        <v>644</v>
      </c>
      <c r="B32" s="7" t="s">
        <v>1468</v>
      </c>
      <c r="C32"/>
      <c r="D32"/>
      <c r="E32"/>
      <c r="F32"/>
      <c r="G32"/>
      <c r="H32"/>
      <c r="I32"/>
      <c r="J32"/>
    </row>
    <row r="33" spans="1:10" s="26" customFormat="1" x14ac:dyDescent="0.35">
      <c r="A33" t="s">
        <v>643</v>
      </c>
      <c r="B33" s="7" t="s">
        <v>1467</v>
      </c>
      <c r="C33"/>
      <c r="D33"/>
      <c r="E33"/>
      <c r="F33"/>
      <c r="G33"/>
      <c r="H33"/>
      <c r="I33"/>
      <c r="J33"/>
    </row>
    <row r="34" spans="1:10" s="26" customFormat="1" x14ac:dyDescent="0.35">
      <c r="A34" s="26" t="s">
        <v>3351</v>
      </c>
      <c r="B34" s="26" t="s">
        <v>3352</v>
      </c>
    </row>
    <row r="35" spans="1:10" s="26" customFormat="1" x14ac:dyDescent="0.35">
      <c r="A35" t="s">
        <v>642</v>
      </c>
      <c r="B35" s="7" t="s">
        <v>1466</v>
      </c>
      <c r="C35"/>
      <c r="D35"/>
      <c r="E35"/>
      <c r="F35"/>
      <c r="G35"/>
      <c r="H35"/>
      <c r="I35"/>
      <c r="J35"/>
    </row>
    <row r="36" spans="1:10" s="26" customFormat="1" x14ac:dyDescent="0.35">
      <c r="A36" t="s">
        <v>641</v>
      </c>
      <c r="B36" s="7" t="s">
        <v>1465</v>
      </c>
      <c r="C36"/>
      <c r="D36"/>
      <c r="E36"/>
      <c r="F36"/>
      <c r="G36"/>
      <c r="H36"/>
      <c r="I36"/>
      <c r="J36"/>
    </row>
    <row r="37" spans="1:10" x14ac:dyDescent="0.35">
      <c r="A37" t="s">
        <v>640</v>
      </c>
      <c r="B37" s="7" t="s">
        <v>1464</v>
      </c>
    </row>
    <row r="38" spans="1:10" x14ac:dyDescent="0.35">
      <c r="A38" t="s">
        <v>639</v>
      </c>
      <c r="B38" s="7" t="s">
        <v>1463</v>
      </c>
    </row>
    <row r="39" spans="1:10" x14ac:dyDescent="0.35">
      <c r="A39" t="s">
        <v>638</v>
      </c>
      <c r="B39" s="7" t="s">
        <v>1462</v>
      </c>
    </row>
    <row r="40" spans="1:10" x14ac:dyDescent="0.35">
      <c r="A40" t="s">
        <v>637</v>
      </c>
      <c r="B40" s="7" t="s">
        <v>1461</v>
      </c>
    </row>
    <row r="41" spans="1:10" s="26" customFormat="1" x14ac:dyDescent="0.35">
      <c r="A41" t="s">
        <v>686</v>
      </c>
      <c r="B41" s="7" t="s">
        <v>1510</v>
      </c>
      <c r="C41"/>
      <c r="D41"/>
      <c r="E41"/>
      <c r="F41"/>
      <c r="G41"/>
      <c r="H41"/>
      <c r="I41"/>
      <c r="J41"/>
    </row>
    <row r="42" spans="1:10" s="26" customFormat="1" x14ac:dyDescent="0.35">
      <c r="A42" t="s">
        <v>636</v>
      </c>
      <c r="B42" s="7" t="s">
        <v>1460</v>
      </c>
      <c r="C42"/>
      <c r="D42"/>
      <c r="E42"/>
      <c r="F42"/>
      <c r="G42"/>
      <c r="H42"/>
      <c r="I42"/>
      <c r="J42"/>
    </row>
    <row r="43" spans="1:10" x14ac:dyDescent="0.35">
      <c r="A43" t="s">
        <v>635</v>
      </c>
      <c r="B43" s="7" t="s">
        <v>1459</v>
      </c>
    </row>
    <row r="44" spans="1:10" x14ac:dyDescent="0.35">
      <c r="A44" t="s">
        <v>634</v>
      </c>
      <c r="B44" s="7" t="s">
        <v>1458</v>
      </c>
      <c r="C44">
        <f>0.025*10^3</f>
        <v>25</v>
      </c>
      <c r="D44" t="s">
        <v>1720</v>
      </c>
      <c r="E44" t="s">
        <v>1721</v>
      </c>
      <c r="F44" t="s">
        <v>1732</v>
      </c>
      <c r="G44" t="s">
        <v>1738</v>
      </c>
      <c r="H44" t="s">
        <v>2020</v>
      </c>
      <c r="I44" s="57">
        <v>44580</v>
      </c>
      <c r="J44" s="13" t="s">
        <v>2066</v>
      </c>
    </row>
    <row r="45" spans="1:10" x14ac:dyDescent="0.35">
      <c r="A45" t="s">
        <v>634</v>
      </c>
      <c r="B45" s="7" t="s">
        <v>1458</v>
      </c>
      <c r="C45">
        <f>0.23*10^3</f>
        <v>230</v>
      </c>
      <c r="D45" t="s">
        <v>1720</v>
      </c>
      <c r="E45" t="s">
        <v>1724</v>
      </c>
      <c r="F45" t="s">
        <v>1732</v>
      </c>
      <c r="G45" t="s">
        <v>1738</v>
      </c>
      <c r="H45" t="s">
        <v>2020</v>
      </c>
      <c r="I45" s="57">
        <v>44580</v>
      </c>
      <c r="J45" s="13" t="s">
        <v>2066</v>
      </c>
    </row>
    <row r="46" spans="1:10" x14ac:dyDescent="0.35">
      <c r="A46" t="s">
        <v>633</v>
      </c>
      <c r="B46" s="7" t="s">
        <v>1457</v>
      </c>
      <c r="C46">
        <f>0.026*10^3</f>
        <v>26</v>
      </c>
      <c r="D46" t="s">
        <v>1720</v>
      </c>
      <c r="E46" t="s">
        <v>1721</v>
      </c>
      <c r="F46" t="s">
        <v>1732</v>
      </c>
      <c r="G46" t="s">
        <v>1738</v>
      </c>
      <c r="H46" t="s">
        <v>2020</v>
      </c>
      <c r="I46" s="57">
        <v>44580</v>
      </c>
      <c r="J46" s="13" t="s">
        <v>2067</v>
      </c>
    </row>
    <row r="47" spans="1:10" x14ac:dyDescent="0.35">
      <c r="A47" t="s">
        <v>633</v>
      </c>
      <c r="B47" s="7" t="s">
        <v>1457</v>
      </c>
      <c r="C47">
        <f>0.1*10^3</f>
        <v>100</v>
      </c>
      <c r="D47" t="s">
        <v>1720</v>
      </c>
      <c r="E47" t="s">
        <v>1724</v>
      </c>
      <c r="F47" t="s">
        <v>1732</v>
      </c>
      <c r="G47" t="s">
        <v>1738</v>
      </c>
      <c r="H47" t="s">
        <v>2020</v>
      </c>
      <c r="I47" s="57">
        <v>44580</v>
      </c>
      <c r="J47" s="13" t="s">
        <v>2067</v>
      </c>
    </row>
    <row r="48" spans="1:10" x14ac:dyDescent="0.35">
      <c r="A48" s="26" t="s">
        <v>3373</v>
      </c>
      <c r="B48" s="26" t="s">
        <v>3374</v>
      </c>
      <c r="C48" s="26"/>
      <c r="D48" s="26"/>
      <c r="E48" s="26"/>
      <c r="F48" s="26"/>
      <c r="G48" s="26"/>
      <c r="H48" s="26"/>
      <c r="I48" s="26"/>
      <c r="J48" s="26"/>
    </row>
    <row r="49" spans="1:10" x14ac:dyDescent="0.35">
      <c r="A49" s="26" t="s">
        <v>3371</v>
      </c>
      <c r="B49" s="26" t="s">
        <v>3372</v>
      </c>
      <c r="C49" s="26">
        <f>0.8*10^3</f>
        <v>800</v>
      </c>
      <c r="D49" s="26" t="s">
        <v>1720</v>
      </c>
      <c r="E49" s="26" t="s">
        <v>1721</v>
      </c>
      <c r="F49" s="26" t="s">
        <v>1988</v>
      </c>
      <c r="G49" s="26" t="s">
        <v>1738</v>
      </c>
      <c r="H49" t="s">
        <v>2020</v>
      </c>
      <c r="I49" s="57">
        <v>44580</v>
      </c>
      <c r="J49" s="26" t="s">
        <v>3450</v>
      </c>
    </row>
    <row r="50" spans="1:10" x14ac:dyDescent="0.35">
      <c r="A50" t="s">
        <v>632</v>
      </c>
      <c r="B50" s="7" t="s">
        <v>1456</v>
      </c>
    </row>
    <row r="51" spans="1:10" x14ac:dyDescent="0.35">
      <c r="A51" t="s">
        <v>746</v>
      </c>
      <c r="B51" s="7" t="s">
        <v>1570</v>
      </c>
    </row>
    <row r="52" spans="1:10" x14ac:dyDescent="0.35">
      <c r="A52" t="s">
        <v>631</v>
      </c>
      <c r="B52" s="7" t="s">
        <v>1455</v>
      </c>
    </row>
    <row r="53" spans="1:10" x14ac:dyDescent="0.35">
      <c r="A53" t="s">
        <v>630</v>
      </c>
      <c r="B53" s="7" t="s">
        <v>1454</v>
      </c>
    </row>
    <row r="54" spans="1:10" x14ac:dyDescent="0.35">
      <c r="A54" t="s">
        <v>628</v>
      </c>
      <c r="B54" s="7" t="s">
        <v>1452</v>
      </c>
    </row>
    <row r="55" spans="1:10" x14ac:dyDescent="0.35">
      <c r="A55" t="s">
        <v>627</v>
      </c>
      <c r="B55" s="7" t="s">
        <v>1451</v>
      </c>
    </row>
    <row r="56" spans="1:10" x14ac:dyDescent="0.35">
      <c r="A56" s="4" t="s">
        <v>780</v>
      </c>
      <c r="B56" s="7" t="s">
        <v>843</v>
      </c>
    </row>
    <row r="57" spans="1:10" x14ac:dyDescent="0.35">
      <c r="A57" t="s">
        <v>626</v>
      </c>
      <c r="B57" s="7" t="s">
        <v>1450</v>
      </c>
    </row>
    <row r="58" spans="1:10" x14ac:dyDescent="0.35">
      <c r="A58" t="s">
        <v>625</v>
      </c>
      <c r="B58" s="7" t="s">
        <v>1449</v>
      </c>
    </row>
    <row r="59" spans="1:10" x14ac:dyDescent="0.35">
      <c r="A59" t="s">
        <v>624</v>
      </c>
      <c r="B59" s="7" t="s">
        <v>1448</v>
      </c>
    </row>
    <row r="60" spans="1:10" x14ac:dyDescent="0.35">
      <c r="A60" s="26" t="s">
        <v>3369</v>
      </c>
      <c r="B60" s="26" t="s">
        <v>3370</v>
      </c>
      <c r="C60" s="26"/>
      <c r="D60" s="26"/>
      <c r="E60" s="26"/>
      <c r="F60" s="26"/>
      <c r="G60" s="26"/>
      <c r="H60" s="26"/>
      <c r="I60" s="26"/>
      <c r="J60" s="26"/>
    </row>
    <row r="61" spans="1:10" x14ac:dyDescent="0.35">
      <c r="A61" t="s">
        <v>623</v>
      </c>
      <c r="B61" s="7" t="s">
        <v>1447</v>
      </c>
    </row>
    <row r="62" spans="1:10" x14ac:dyDescent="0.35">
      <c r="A62" t="s">
        <v>622</v>
      </c>
      <c r="B62" s="7" t="s">
        <v>1446</v>
      </c>
    </row>
    <row r="63" spans="1:10" s="26" customFormat="1" x14ac:dyDescent="0.35">
      <c r="A63" t="s">
        <v>621</v>
      </c>
      <c r="B63" s="7" t="s">
        <v>1445</v>
      </c>
      <c r="C63"/>
      <c r="D63"/>
      <c r="E63"/>
      <c r="F63"/>
      <c r="G63"/>
      <c r="H63"/>
      <c r="I63"/>
      <c r="J63"/>
    </row>
    <row r="64" spans="1:10" s="26" customFormat="1" x14ac:dyDescent="0.35">
      <c r="A64" t="s">
        <v>620</v>
      </c>
      <c r="B64" s="7" t="s">
        <v>1444</v>
      </c>
      <c r="C64"/>
      <c r="D64"/>
      <c r="E64"/>
      <c r="F64"/>
      <c r="G64"/>
      <c r="H64"/>
      <c r="I64"/>
      <c r="J64"/>
    </row>
    <row r="65" spans="1:10" x14ac:dyDescent="0.35">
      <c r="A65" t="s">
        <v>619</v>
      </c>
      <c r="B65" s="7" t="s">
        <v>1443</v>
      </c>
    </row>
    <row r="66" spans="1:10" x14ac:dyDescent="0.35">
      <c r="A66" t="s">
        <v>618</v>
      </c>
      <c r="B66" s="7" t="s">
        <v>1442</v>
      </c>
    </row>
    <row r="67" spans="1:10" x14ac:dyDescent="0.35">
      <c r="A67" t="s">
        <v>617</v>
      </c>
      <c r="B67" s="7" t="s">
        <v>1441</v>
      </c>
    </row>
    <row r="68" spans="1:10" x14ac:dyDescent="0.35">
      <c r="A68" t="s">
        <v>616</v>
      </c>
      <c r="B68" s="7" t="s">
        <v>1440</v>
      </c>
    </row>
    <row r="69" spans="1:10" s="26" customFormat="1" x14ac:dyDescent="0.35">
      <c r="A69" t="s">
        <v>615</v>
      </c>
      <c r="B69" s="7" t="s">
        <v>1439</v>
      </c>
      <c r="C69"/>
      <c r="D69"/>
      <c r="E69"/>
      <c r="F69"/>
      <c r="G69"/>
      <c r="H69"/>
      <c r="I69"/>
      <c r="J69"/>
    </row>
    <row r="70" spans="1:10" s="26" customFormat="1" x14ac:dyDescent="0.35">
      <c r="A70" t="s">
        <v>614</v>
      </c>
      <c r="B70" s="7" t="s">
        <v>1438</v>
      </c>
      <c r="C70"/>
      <c r="D70"/>
      <c r="E70"/>
      <c r="F70"/>
      <c r="G70"/>
      <c r="H70"/>
      <c r="I70"/>
      <c r="J70"/>
    </row>
    <row r="71" spans="1:10" s="26" customFormat="1" x14ac:dyDescent="0.35">
      <c r="A71" t="s">
        <v>613</v>
      </c>
      <c r="B71" s="7" t="s">
        <v>1437</v>
      </c>
      <c r="C71"/>
      <c r="D71"/>
      <c r="E71"/>
      <c r="F71"/>
      <c r="G71"/>
      <c r="H71"/>
      <c r="I71"/>
      <c r="J71"/>
    </row>
    <row r="72" spans="1:10" x14ac:dyDescent="0.35">
      <c r="A72" t="s">
        <v>612</v>
      </c>
      <c r="B72" s="7" t="s">
        <v>1436</v>
      </c>
      <c r="C72">
        <f>0.04*10^3</f>
        <v>40</v>
      </c>
      <c r="D72" t="s">
        <v>1720</v>
      </c>
      <c r="E72" t="s">
        <v>1724</v>
      </c>
      <c r="F72" t="s">
        <v>4154</v>
      </c>
      <c r="G72" t="s">
        <v>1738</v>
      </c>
      <c r="H72" t="s">
        <v>2020</v>
      </c>
      <c r="I72" s="57">
        <v>44580</v>
      </c>
      <c r="J72" t="s">
        <v>4155</v>
      </c>
    </row>
    <row r="73" spans="1:10" x14ac:dyDescent="0.35">
      <c r="A73" t="s">
        <v>612</v>
      </c>
      <c r="B73" s="7" t="s">
        <v>1436</v>
      </c>
      <c r="C73">
        <f>0.004*10^3</f>
        <v>4</v>
      </c>
      <c r="D73" t="s">
        <v>1720</v>
      </c>
      <c r="E73" t="s">
        <v>1721</v>
      </c>
      <c r="F73" t="s">
        <v>4154</v>
      </c>
      <c r="G73" t="s">
        <v>1738</v>
      </c>
      <c r="H73" t="s">
        <v>2020</v>
      </c>
      <c r="I73" s="57">
        <v>44580</v>
      </c>
      <c r="J73" t="s">
        <v>4155</v>
      </c>
    </row>
    <row r="74" spans="1:10" x14ac:dyDescent="0.35">
      <c r="A74" t="s">
        <v>611</v>
      </c>
      <c r="B74" s="7" t="s">
        <v>1435</v>
      </c>
    </row>
    <row r="75" spans="1:10" x14ac:dyDescent="0.35">
      <c r="A75" t="s">
        <v>610</v>
      </c>
      <c r="B75" s="7" t="s">
        <v>1434</v>
      </c>
    </row>
    <row r="76" spans="1:10" x14ac:dyDescent="0.35">
      <c r="A76" t="s">
        <v>718</v>
      </c>
      <c r="B76" s="7" t="s">
        <v>1542</v>
      </c>
    </row>
    <row r="77" spans="1:10" x14ac:dyDescent="0.35">
      <c r="A77" t="s">
        <v>608</v>
      </c>
      <c r="B77" s="7" t="s">
        <v>1432</v>
      </c>
    </row>
    <row r="78" spans="1:10" x14ac:dyDescent="0.35">
      <c r="A78" t="s">
        <v>607</v>
      </c>
      <c r="B78" s="7" t="s">
        <v>1431</v>
      </c>
    </row>
    <row r="79" spans="1:10" x14ac:dyDescent="0.35">
      <c r="A79" t="s">
        <v>769</v>
      </c>
      <c r="B79" s="7" t="s">
        <v>1593</v>
      </c>
      <c r="J79" s="13"/>
    </row>
    <row r="80" spans="1:10" s="26" customFormat="1" x14ac:dyDescent="0.35">
      <c r="A80" t="s">
        <v>604</v>
      </c>
      <c r="B80" s="7" t="s">
        <v>1428</v>
      </c>
      <c r="C80"/>
      <c r="D80"/>
      <c r="E80"/>
      <c r="F80"/>
      <c r="G80"/>
      <c r="H80"/>
      <c r="I80"/>
      <c r="J80"/>
    </row>
    <row r="81" spans="1:10" s="26" customFormat="1" x14ac:dyDescent="0.35">
      <c r="A81" s="5" t="s">
        <v>782</v>
      </c>
      <c r="B81" s="7" t="s">
        <v>1605</v>
      </c>
      <c r="C81"/>
      <c r="D81"/>
      <c r="E81"/>
      <c r="F81"/>
      <c r="G81"/>
      <c r="H81"/>
      <c r="I81"/>
      <c r="J81"/>
    </row>
    <row r="82" spans="1:10" x14ac:dyDescent="0.35">
      <c r="A82" t="s">
        <v>603</v>
      </c>
      <c r="B82" s="7" t="s">
        <v>1427</v>
      </c>
    </row>
    <row r="83" spans="1:10" x14ac:dyDescent="0.35">
      <c r="A83" t="s">
        <v>602</v>
      </c>
      <c r="B83" s="7" t="s">
        <v>1426</v>
      </c>
    </row>
    <row r="84" spans="1:10" x14ac:dyDescent="0.35">
      <c r="A84" t="s">
        <v>601</v>
      </c>
      <c r="B84" s="7" t="s">
        <v>1425</v>
      </c>
    </row>
    <row r="85" spans="1:10" x14ac:dyDescent="0.35">
      <c r="A85" t="s">
        <v>600</v>
      </c>
      <c r="B85" s="7" t="s">
        <v>1424</v>
      </c>
    </row>
    <row r="86" spans="1:10" x14ac:dyDescent="0.35">
      <c r="A86" t="s">
        <v>599</v>
      </c>
      <c r="B86" s="7" t="s">
        <v>1423</v>
      </c>
    </row>
    <row r="87" spans="1:10" x14ac:dyDescent="0.35">
      <c r="A87" t="s">
        <v>777</v>
      </c>
      <c r="B87" s="7" t="s">
        <v>1601</v>
      </c>
    </row>
    <row r="88" spans="1:10" s="26" customFormat="1" x14ac:dyDescent="0.35">
      <c r="A88" t="s">
        <v>799</v>
      </c>
      <c r="B88" s="7" t="s">
        <v>1622</v>
      </c>
      <c r="C88"/>
      <c r="D88"/>
      <c r="E88"/>
      <c r="F88"/>
      <c r="G88"/>
      <c r="H88"/>
      <c r="I88"/>
      <c r="J88"/>
    </row>
    <row r="89" spans="1:10" s="26" customFormat="1" x14ac:dyDescent="0.35">
      <c r="A89" t="s">
        <v>597</v>
      </c>
      <c r="B89" s="7" t="s">
        <v>1421</v>
      </c>
      <c r="C89"/>
      <c r="D89"/>
      <c r="E89"/>
      <c r="F89"/>
      <c r="G89"/>
      <c r="H89"/>
      <c r="I89"/>
      <c r="J89"/>
    </row>
    <row r="90" spans="1:10" x14ac:dyDescent="0.35">
      <c r="A90" t="s">
        <v>596</v>
      </c>
      <c r="B90" s="7" t="s">
        <v>1420</v>
      </c>
    </row>
    <row r="91" spans="1:10" x14ac:dyDescent="0.35">
      <c r="A91" t="s">
        <v>595</v>
      </c>
      <c r="B91" s="7" t="s">
        <v>1419</v>
      </c>
    </row>
    <row r="92" spans="1:10" x14ac:dyDescent="0.35">
      <c r="A92" t="s">
        <v>594</v>
      </c>
      <c r="B92" s="7" t="s">
        <v>1418</v>
      </c>
    </row>
    <row r="93" spans="1:10" s="26" customFormat="1" x14ac:dyDescent="0.35">
      <c r="A93" t="s">
        <v>633</v>
      </c>
      <c r="B93" s="7" t="s">
        <v>1457</v>
      </c>
      <c r="C93">
        <v>26</v>
      </c>
      <c r="D93" t="s">
        <v>1720</v>
      </c>
      <c r="E93" t="s">
        <v>1721</v>
      </c>
      <c r="F93" t="s">
        <v>1953</v>
      </c>
      <c r="G93" t="s">
        <v>1748</v>
      </c>
      <c r="H93" t="s">
        <v>1956</v>
      </c>
      <c r="I93" s="57">
        <v>44574</v>
      </c>
      <c r="J93" t="s">
        <v>1955</v>
      </c>
    </row>
    <row r="94" spans="1:10" s="26" customFormat="1" x14ac:dyDescent="0.35">
      <c r="A94" t="s">
        <v>593</v>
      </c>
      <c r="B94" s="7" t="s">
        <v>1417</v>
      </c>
      <c r="C94">
        <f>0.1</f>
        <v>0.1</v>
      </c>
      <c r="D94" t="s">
        <v>1720</v>
      </c>
      <c r="E94" t="s">
        <v>1721</v>
      </c>
      <c r="F94" t="s">
        <v>1972</v>
      </c>
      <c r="G94" t="s">
        <v>1738</v>
      </c>
      <c r="H94" t="s">
        <v>4147</v>
      </c>
      <c r="I94" s="57">
        <v>44580</v>
      </c>
      <c r="J94" s="13" t="s">
        <v>4148</v>
      </c>
    </row>
    <row r="95" spans="1:10" s="26" customFormat="1" x14ac:dyDescent="0.35">
      <c r="A95" t="s">
        <v>592</v>
      </c>
      <c r="B95" s="7" t="s">
        <v>1416</v>
      </c>
      <c r="C95"/>
      <c r="D95"/>
      <c r="E95"/>
      <c r="F95"/>
      <c r="G95"/>
      <c r="H95"/>
      <c r="I95"/>
      <c r="J95"/>
    </row>
    <row r="96" spans="1:10" s="26" customFormat="1" x14ac:dyDescent="0.35">
      <c r="A96" s="26" t="s">
        <v>3408</v>
      </c>
      <c r="B96" s="26" t="s">
        <v>3416</v>
      </c>
    </row>
    <row r="97" spans="1:10" s="26" customFormat="1" x14ac:dyDescent="0.35">
      <c r="A97" t="s">
        <v>591</v>
      </c>
      <c r="B97" s="7" t="s">
        <v>1415</v>
      </c>
      <c r="C97"/>
      <c r="D97"/>
      <c r="E97"/>
      <c r="F97"/>
      <c r="G97"/>
      <c r="H97"/>
      <c r="I97"/>
      <c r="J97"/>
    </row>
    <row r="98" spans="1:10" x14ac:dyDescent="0.35">
      <c r="A98" t="s">
        <v>590</v>
      </c>
      <c r="B98" s="7" t="s">
        <v>1414</v>
      </c>
      <c r="C98">
        <f>0.01*10^3</f>
        <v>10</v>
      </c>
      <c r="D98" t="s">
        <v>1720</v>
      </c>
      <c r="E98" t="s">
        <v>1721</v>
      </c>
      <c r="F98" t="s">
        <v>1732</v>
      </c>
      <c r="G98" t="s">
        <v>1738</v>
      </c>
      <c r="H98" t="s">
        <v>2020</v>
      </c>
      <c r="I98" s="57">
        <v>44580</v>
      </c>
      <c r="J98" s="13" t="s">
        <v>2068</v>
      </c>
    </row>
    <row r="99" spans="1:10" x14ac:dyDescent="0.35">
      <c r="A99" t="s">
        <v>590</v>
      </c>
      <c r="B99" s="7" t="s">
        <v>1414</v>
      </c>
      <c r="C99">
        <f>0.16*10^3</f>
        <v>160</v>
      </c>
      <c r="D99" t="s">
        <v>1720</v>
      </c>
      <c r="E99" t="s">
        <v>1724</v>
      </c>
      <c r="F99" t="s">
        <v>1732</v>
      </c>
      <c r="G99" t="s">
        <v>1738</v>
      </c>
      <c r="H99" t="s">
        <v>2020</v>
      </c>
      <c r="I99" s="57">
        <v>44580</v>
      </c>
      <c r="J99" s="13" t="s">
        <v>2068</v>
      </c>
    </row>
    <row r="100" spans="1:10" x14ac:dyDescent="0.35">
      <c r="A100" t="s">
        <v>589</v>
      </c>
      <c r="B100" s="7" t="s">
        <v>1413</v>
      </c>
    </row>
    <row r="101" spans="1:10" x14ac:dyDescent="0.35">
      <c r="A101" t="s">
        <v>753</v>
      </c>
      <c r="B101" s="7" t="s">
        <v>1577</v>
      </c>
    </row>
    <row r="102" spans="1:10" x14ac:dyDescent="0.35">
      <c r="A102" t="s">
        <v>588</v>
      </c>
      <c r="B102" s="7" t="s">
        <v>1412</v>
      </c>
    </row>
    <row r="103" spans="1:10" x14ac:dyDescent="0.35">
      <c r="A103" t="s">
        <v>587</v>
      </c>
      <c r="B103" s="7" t="s">
        <v>1411</v>
      </c>
    </row>
    <row r="104" spans="1:10" x14ac:dyDescent="0.35">
      <c r="A104" t="s">
        <v>586</v>
      </c>
      <c r="B104" s="7" t="s">
        <v>1410</v>
      </c>
    </row>
    <row r="105" spans="1:10" x14ac:dyDescent="0.35">
      <c r="A105" s="26" t="s">
        <v>3328</v>
      </c>
      <c r="B105" s="26" t="s">
        <v>3329</v>
      </c>
      <c r="C105" s="26"/>
      <c r="D105" s="26"/>
      <c r="E105" s="26"/>
      <c r="F105" s="26"/>
      <c r="G105" s="26"/>
      <c r="H105" s="26"/>
      <c r="I105" s="26"/>
      <c r="J105" s="26"/>
    </row>
    <row r="106" spans="1:10" x14ac:dyDescent="0.35">
      <c r="A106" t="s">
        <v>585</v>
      </c>
      <c r="B106" s="7" t="s">
        <v>1409</v>
      </c>
    </row>
    <row r="107" spans="1:10" x14ac:dyDescent="0.35">
      <c r="A107" t="s">
        <v>659</v>
      </c>
      <c r="B107" s="7" t="s">
        <v>1483</v>
      </c>
    </row>
    <row r="108" spans="1:10" x14ac:dyDescent="0.35">
      <c r="A108" t="s">
        <v>584</v>
      </c>
      <c r="B108" s="7" t="s">
        <v>1408</v>
      </c>
    </row>
    <row r="109" spans="1:10" s="26" customFormat="1" x14ac:dyDescent="0.35">
      <c r="A109" t="s">
        <v>583</v>
      </c>
      <c r="B109" s="7" t="s">
        <v>1407</v>
      </c>
      <c r="C109"/>
      <c r="D109"/>
      <c r="E109"/>
      <c r="F109"/>
      <c r="G109"/>
      <c r="H109"/>
      <c r="I109"/>
      <c r="J109"/>
    </row>
    <row r="110" spans="1:10" s="26" customFormat="1" x14ac:dyDescent="0.35">
      <c r="A110" t="s">
        <v>582</v>
      </c>
      <c r="B110" s="7" t="s">
        <v>1406</v>
      </c>
      <c r="C110"/>
      <c r="D110"/>
      <c r="E110"/>
      <c r="F110"/>
      <c r="G110"/>
      <c r="H110"/>
      <c r="I110"/>
      <c r="J110"/>
    </row>
    <row r="111" spans="1:10" s="26" customFormat="1" x14ac:dyDescent="0.35">
      <c r="A111" t="s">
        <v>581</v>
      </c>
      <c r="B111" s="7" t="s">
        <v>1405</v>
      </c>
      <c r="C111"/>
      <c r="D111"/>
      <c r="E111"/>
      <c r="F111"/>
      <c r="G111"/>
      <c r="H111"/>
      <c r="I111"/>
      <c r="J111"/>
    </row>
    <row r="112" spans="1:10" s="26" customFormat="1" x14ac:dyDescent="0.35">
      <c r="A112" t="s">
        <v>578</v>
      </c>
      <c r="B112" s="7" t="s">
        <v>1402</v>
      </c>
      <c r="C112">
        <f>0.11*10^3</f>
        <v>110</v>
      </c>
      <c r="D112" t="s">
        <v>1720</v>
      </c>
      <c r="E112" t="s">
        <v>1721</v>
      </c>
      <c r="F112" t="s">
        <v>1732</v>
      </c>
      <c r="G112" t="s">
        <v>1738</v>
      </c>
      <c r="H112" t="s">
        <v>2020</v>
      </c>
      <c r="I112" s="57">
        <v>44580</v>
      </c>
      <c r="J112" s="13" t="s">
        <v>2069</v>
      </c>
    </row>
    <row r="113" spans="1:10" s="26" customFormat="1" x14ac:dyDescent="0.35">
      <c r="A113" t="s">
        <v>447</v>
      </c>
      <c r="B113" s="7" t="s">
        <v>1271</v>
      </c>
      <c r="C113">
        <v>1.7000000000000001E-2</v>
      </c>
      <c r="D113" t="s">
        <v>1720</v>
      </c>
      <c r="E113" t="s">
        <v>1721</v>
      </c>
      <c r="F113" t="s">
        <v>1974</v>
      </c>
      <c r="G113" t="s">
        <v>1748</v>
      </c>
      <c r="H113" t="s">
        <v>4130</v>
      </c>
      <c r="I113" s="57">
        <v>44574</v>
      </c>
      <c r="J113" s="13" t="s">
        <v>1992</v>
      </c>
    </row>
    <row r="114" spans="1:10" s="26" customFormat="1" x14ac:dyDescent="0.35">
      <c r="A114" t="s">
        <v>578</v>
      </c>
      <c r="B114" s="7" t="s">
        <v>1402</v>
      </c>
      <c r="C114">
        <f>1.4*10^3</f>
        <v>1400</v>
      </c>
      <c r="D114" t="s">
        <v>1720</v>
      </c>
      <c r="E114" t="s">
        <v>1724</v>
      </c>
      <c r="F114" t="s">
        <v>1732</v>
      </c>
      <c r="G114" t="s">
        <v>1738</v>
      </c>
      <c r="H114" t="s">
        <v>2020</v>
      </c>
      <c r="I114" s="57">
        <v>44580</v>
      </c>
      <c r="J114" s="13" t="s">
        <v>2069</v>
      </c>
    </row>
    <row r="115" spans="1:10" s="26" customFormat="1" x14ac:dyDescent="0.35">
      <c r="A115" t="s">
        <v>734</v>
      </c>
      <c r="B115" s="7" t="s">
        <v>1558</v>
      </c>
      <c r="C115"/>
      <c r="D115"/>
      <c r="E115"/>
      <c r="F115"/>
      <c r="G115"/>
      <c r="H115"/>
      <c r="I115"/>
      <c r="J115"/>
    </row>
    <row r="116" spans="1:10" x14ac:dyDescent="0.35">
      <c r="A116" s="26" t="s">
        <v>3409</v>
      </c>
      <c r="B116" s="26"/>
      <c r="C116" s="26"/>
      <c r="D116" s="26"/>
      <c r="E116" s="26"/>
      <c r="F116" s="26"/>
      <c r="G116" s="26"/>
      <c r="H116" s="26"/>
      <c r="I116" s="26"/>
      <c r="J116" s="26"/>
    </row>
    <row r="117" spans="1:10" s="26" customFormat="1" x14ac:dyDescent="0.35">
      <c r="A117" t="s">
        <v>576</v>
      </c>
      <c r="B117" s="7" t="s">
        <v>1400</v>
      </c>
      <c r="C117"/>
      <c r="D117"/>
      <c r="E117"/>
      <c r="F117"/>
      <c r="G117"/>
      <c r="H117"/>
      <c r="I117"/>
      <c r="J117"/>
    </row>
    <row r="118" spans="1:10" s="26" customFormat="1" x14ac:dyDescent="0.35">
      <c r="A118" t="s">
        <v>575</v>
      </c>
      <c r="B118" s="7" t="s">
        <v>1399</v>
      </c>
      <c r="C118"/>
      <c r="D118"/>
      <c r="E118"/>
      <c r="F118"/>
      <c r="G118"/>
      <c r="H118"/>
      <c r="I118"/>
      <c r="J118"/>
    </row>
    <row r="119" spans="1:10" x14ac:dyDescent="0.35">
      <c r="A119" t="s">
        <v>574</v>
      </c>
      <c r="B119" s="7" t="s">
        <v>1398</v>
      </c>
    </row>
    <row r="120" spans="1:10" x14ac:dyDescent="0.35">
      <c r="A120" s="26" t="s">
        <v>3337</v>
      </c>
      <c r="B120" s="26" t="s">
        <v>1397</v>
      </c>
      <c r="C120" s="26"/>
      <c r="D120" s="26"/>
      <c r="E120" s="26"/>
      <c r="F120" s="26"/>
      <c r="G120" s="26"/>
      <c r="H120" s="26"/>
      <c r="I120" s="26"/>
      <c r="J120" s="26"/>
    </row>
    <row r="121" spans="1:10" x14ac:dyDescent="0.35">
      <c r="A121" t="s">
        <v>572</v>
      </c>
      <c r="B121" s="7" t="s">
        <v>1396</v>
      </c>
    </row>
    <row r="122" spans="1:10" x14ac:dyDescent="0.35">
      <c r="A122" t="s">
        <v>571</v>
      </c>
      <c r="B122" s="7" t="s">
        <v>1395</v>
      </c>
    </row>
    <row r="123" spans="1:10" x14ac:dyDescent="0.35">
      <c r="A123" t="s">
        <v>570</v>
      </c>
      <c r="B123" s="7" t="s">
        <v>1394</v>
      </c>
    </row>
    <row r="124" spans="1:10" x14ac:dyDescent="0.35">
      <c r="A124" t="s">
        <v>740</v>
      </c>
      <c r="B124" s="7" t="s">
        <v>1564</v>
      </c>
    </row>
    <row r="125" spans="1:10" x14ac:dyDescent="0.35">
      <c r="A125" t="s">
        <v>569</v>
      </c>
      <c r="B125" s="7" t="s">
        <v>1393</v>
      </c>
    </row>
    <row r="126" spans="1:10" x14ac:dyDescent="0.35">
      <c r="A126" t="s">
        <v>568</v>
      </c>
      <c r="B126" s="7" t="s">
        <v>1392</v>
      </c>
    </row>
    <row r="127" spans="1:10" x14ac:dyDescent="0.35">
      <c r="A127" t="s">
        <v>567</v>
      </c>
      <c r="B127" s="7" t="s">
        <v>1391</v>
      </c>
    </row>
    <row r="128" spans="1:10" x14ac:dyDescent="0.35">
      <c r="A128" t="s">
        <v>566</v>
      </c>
      <c r="B128" s="7" t="s">
        <v>1390</v>
      </c>
    </row>
    <row r="129" spans="1:10" x14ac:dyDescent="0.35">
      <c r="A129" s="4" t="s">
        <v>826</v>
      </c>
      <c r="B129" s="7" t="s">
        <v>1648</v>
      </c>
      <c r="C129">
        <f>0.004*10^3</f>
        <v>4</v>
      </c>
      <c r="D129" t="s">
        <v>1720</v>
      </c>
      <c r="E129" t="s">
        <v>1721</v>
      </c>
      <c r="G129" t="s">
        <v>1738</v>
      </c>
      <c r="H129" t="s">
        <v>2020</v>
      </c>
      <c r="I129" s="57">
        <v>44580</v>
      </c>
      <c r="J129" s="13" t="s">
        <v>2070</v>
      </c>
    </row>
    <row r="130" spans="1:10" s="26" customFormat="1" x14ac:dyDescent="0.35">
      <c r="A130" s="4" t="s">
        <v>826</v>
      </c>
      <c r="B130" s="7" t="s">
        <v>1648</v>
      </c>
      <c r="C130">
        <f>0.036*10^3</f>
        <v>36</v>
      </c>
      <c r="D130" t="s">
        <v>1720</v>
      </c>
      <c r="E130" t="s">
        <v>1724</v>
      </c>
      <c r="F130"/>
      <c r="G130" t="s">
        <v>1738</v>
      </c>
      <c r="H130" t="s">
        <v>2020</v>
      </c>
      <c r="I130" s="57">
        <v>44580</v>
      </c>
      <c r="J130" s="13" t="s">
        <v>2070</v>
      </c>
    </row>
    <row r="131" spans="1:10" s="26" customFormat="1" x14ac:dyDescent="0.35">
      <c r="A131" t="s">
        <v>565</v>
      </c>
      <c r="B131" s="7" t="s">
        <v>1389</v>
      </c>
      <c r="C131"/>
      <c r="D131"/>
      <c r="E131"/>
      <c r="F131"/>
      <c r="G131"/>
      <c r="H131"/>
      <c r="I131"/>
      <c r="J131"/>
    </row>
    <row r="132" spans="1:10" s="26" customFormat="1" x14ac:dyDescent="0.35">
      <c r="A132" s="4" t="s">
        <v>565</v>
      </c>
      <c r="B132" t="s">
        <v>1389</v>
      </c>
      <c r="C132"/>
      <c r="D132"/>
      <c r="E132"/>
      <c r="F132"/>
      <c r="G132"/>
      <c r="H132"/>
      <c r="I132"/>
      <c r="J132"/>
    </row>
    <row r="133" spans="1:10" s="26" customFormat="1" x14ac:dyDescent="0.35">
      <c r="A133" t="s">
        <v>764</v>
      </c>
      <c r="B133" s="7" t="s">
        <v>1588</v>
      </c>
      <c r="C133">
        <f>0.0013*10^3</f>
        <v>1.3</v>
      </c>
      <c r="D133" t="s">
        <v>1720</v>
      </c>
      <c r="E133" t="s">
        <v>1721</v>
      </c>
      <c r="F133" t="s">
        <v>1961</v>
      </c>
      <c r="G133" t="s">
        <v>1738</v>
      </c>
      <c r="H133" t="s">
        <v>4124</v>
      </c>
      <c r="I133" s="57">
        <v>44580</v>
      </c>
      <c r="J133" s="13" t="s">
        <v>4140</v>
      </c>
    </row>
    <row r="134" spans="1:10" x14ac:dyDescent="0.35">
      <c r="A134" t="s">
        <v>564</v>
      </c>
      <c r="B134" s="7" t="s">
        <v>1388</v>
      </c>
    </row>
    <row r="135" spans="1:10" x14ac:dyDescent="0.35">
      <c r="A135" t="s">
        <v>563</v>
      </c>
      <c r="B135" s="7" t="s">
        <v>1387</v>
      </c>
    </row>
    <row r="136" spans="1:10" s="26" customFormat="1" x14ac:dyDescent="0.35">
      <c r="A136" t="s">
        <v>811</v>
      </c>
      <c r="B136" s="7" t="s">
        <v>1634</v>
      </c>
      <c r="C136"/>
      <c r="D136"/>
      <c r="E136"/>
      <c r="F136"/>
      <c r="G136"/>
      <c r="H136"/>
      <c r="I136"/>
      <c r="J136"/>
    </row>
    <row r="137" spans="1:10" x14ac:dyDescent="0.35">
      <c r="A137" t="s">
        <v>562</v>
      </c>
      <c r="B137" s="7" t="s">
        <v>1386</v>
      </c>
    </row>
    <row r="138" spans="1:10" x14ac:dyDescent="0.35">
      <c r="A138" t="s">
        <v>561</v>
      </c>
      <c r="B138" s="7" t="s">
        <v>1385</v>
      </c>
    </row>
    <row r="139" spans="1:10" x14ac:dyDescent="0.35">
      <c r="A139" t="s">
        <v>560</v>
      </c>
      <c r="B139" s="7" t="s">
        <v>1384</v>
      </c>
    </row>
    <row r="140" spans="1:10" x14ac:dyDescent="0.35">
      <c r="A140" t="s">
        <v>559</v>
      </c>
      <c r="B140" s="7" t="s">
        <v>1383</v>
      </c>
    </row>
    <row r="141" spans="1:10" x14ac:dyDescent="0.35">
      <c r="A141" t="s">
        <v>557</v>
      </c>
      <c r="B141" s="7" t="s">
        <v>1381</v>
      </c>
    </row>
    <row r="142" spans="1:10" x14ac:dyDescent="0.35">
      <c r="A142" t="s">
        <v>556</v>
      </c>
      <c r="B142" s="7" t="s">
        <v>1380</v>
      </c>
    </row>
    <row r="143" spans="1:10" x14ac:dyDescent="0.35">
      <c r="A143" t="s">
        <v>555</v>
      </c>
      <c r="B143" s="7" t="s">
        <v>1379</v>
      </c>
    </row>
    <row r="144" spans="1:10" s="26" customFormat="1" x14ac:dyDescent="0.35">
      <c r="A144" t="s">
        <v>554</v>
      </c>
      <c r="B144" s="7" t="s">
        <v>1378</v>
      </c>
      <c r="C144"/>
      <c r="D144"/>
      <c r="E144"/>
      <c r="F144"/>
      <c r="G144"/>
      <c r="H144"/>
      <c r="I144"/>
      <c r="J144"/>
    </row>
    <row r="145" spans="1:10" x14ac:dyDescent="0.35">
      <c r="A145" s="26" t="s">
        <v>3365</v>
      </c>
      <c r="B145" s="26" t="s">
        <v>3366</v>
      </c>
      <c r="C145" s="26"/>
      <c r="D145" s="26"/>
      <c r="E145" s="26"/>
      <c r="F145" s="26"/>
      <c r="G145" s="26"/>
      <c r="H145" s="26"/>
      <c r="I145" s="26"/>
      <c r="J145" s="26"/>
    </row>
    <row r="146" spans="1:10" x14ac:dyDescent="0.35">
      <c r="A146" t="s">
        <v>553</v>
      </c>
      <c r="B146" s="7" t="s">
        <v>1377</v>
      </c>
    </row>
    <row r="147" spans="1:10" x14ac:dyDescent="0.35">
      <c r="A147" t="s">
        <v>552</v>
      </c>
      <c r="B147" s="7" t="s">
        <v>1376</v>
      </c>
    </row>
    <row r="148" spans="1:10" x14ac:dyDescent="0.35">
      <c r="A148" t="s">
        <v>551</v>
      </c>
      <c r="B148" s="7" t="s">
        <v>1375</v>
      </c>
    </row>
    <row r="149" spans="1:10" x14ac:dyDescent="0.35">
      <c r="A149" t="s">
        <v>550</v>
      </c>
      <c r="B149" s="7" t="s">
        <v>1374</v>
      </c>
    </row>
    <row r="150" spans="1:10" x14ac:dyDescent="0.35">
      <c r="A150" t="s">
        <v>549</v>
      </c>
      <c r="B150" s="7" t="s">
        <v>1373</v>
      </c>
    </row>
    <row r="151" spans="1:10" x14ac:dyDescent="0.35">
      <c r="A151" t="s">
        <v>548</v>
      </c>
      <c r="B151" s="7" t="s">
        <v>1372</v>
      </c>
    </row>
    <row r="152" spans="1:10" x14ac:dyDescent="0.35">
      <c r="A152" t="s">
        <v>547</v>
      </c>
      <c r="B152" s="7" t="s">
        <v>1371</v>
      </c>
    </row>
    <row r="153" spans="1:10" x14ac:dyDescent="0.35">
      <c r="A153" t="s">
        <v>546</v>
      </c>
      <c r="B153" s="7" t="s">
        <v>1370</v>
      </c>
    </row>
    <row r="154" spans="1:10" x14ac:dyDescent="0.35">
      <c r="A154" t="s">
        <v>545</v>
      </c>
      <c r="B154" s="7" t="s">
        <v>1369</v>
      </c>
    </row>
    <row r="155" spans="1:10" x14ac:dyDescent="0.35">
      <c r="A155" t="s">
        <v>544</v>
      </c>
      <c r="B155" s="7" t="s">
        <v>1368</v>
      </c>
      <c r="C155">
        <f>8.3*10^-3</f>
        <v>8.3000000000000001E-3</v>
      </c>
      <c r="D155" t="s">
        <v>1720</v>
      </c>
      <c r="E155" t="s">
        <v>1721</v>
      </c>
      <c r="F155" t="s">
        <v>2044</v>
      </c>
      <c r="G155" t="s">
        <v>1738</v>
      </c>
      <c r="H155" t="s">
        <v>2020</v>
      </c>
      <c r="I155" s="57">
        <v>44580</v>
      </c>
      <c r="J155" s="13" t="s">
        <v>2045</v>
      </c>
    </row>
    <row r="156" spans="1:10" x14ac:dyDescent="0.35">
      <c r="A156" t="s">
        <v>544</v>
      </c>
      <c r="B156" s="7" t="s">
        <v>1368</v>
      </c>
      <c r="C156">
        <f>0.0002*10^3</f>
        <v>0.2</v>
      </c>
      <c r="D156" t="s">
        <v>1720</v>
      </c>
      <c r="E156" t="s">
        <v>1724</v>
      </c>
      <c r="F156" t="s">
        <v>2044</v>
      </c>
      <c r="G156" t="s">
        <v>1738</v>
      </c>
      <c r="H156" t="s">
        <v>2020</v>
      </c>
      <c r="I156" s="57">
        <v>44580</v>
      </c>
      <c r="J156" s="13" t="s">
        <v>2045</v>
      </c>
    </row>
    <row r="157" spans="1:10" x14ac:dyDescent="0.35">
      <c r="A157" t="s">
        <v>543</v>
      </c>
      <c r="B157" s="7" t="s">
        <v>1367</v>
      </c>
    </row>
    <row r="158" spans="1:10" s="26" customFormat="1" x14ac:dyDescent="0.35">
      <c r="A158" t="s">
        <v>542</v>
      </c>
      <c r="B158" s="7" t="s">
        <v>1366</v>
      </c>
      <c r="C158"/>
      <c r="D158"/>
      <c r="E158"/>
      <c r="F158"/>
      <c r="G158"/>
      <c r="H158"/>
      <c r="I158"/>
      <c r="J158"/>
    </row>
    <row r="159" spans="1:10" s="26" customFormat="1" x14ac:dyDescent="0.35">
      <c r="A159" t="s">
        <v>541</v>
      </c>
      <c r="B159" s="7" t="s">
        <v>1365</v>
      </c>
      <c r="C159"/>
      <c r="D159"/>
      <c r="E159"/>
      <c r="F159"/>
      <c r="G159"/>
      <c r="H159"/>
      <c r="I159"/>
      <c r="J159"/>
    </row>
    <row r="160" spans="1:10" s="26" customFormat="1" x14ac:dyDescent="0.35">
      <c r="A160" t="s">
        <v>540</v>
      </c>
      <c r="B160" s="7" t="s">
        <v>1364</v>
      </c>
      <c r="C160"/>
      <c r="D160"/>
      <c r="E160"/>
      <c r="F160"/>
      <c r="G160"/>
      <c r="H160"/>
      <c r="I160"/>
      <c r="J160"/>
    </row>
    <row r="161" spans="1:10" x14ac:dyDescent="0.35">
      <c r="A161" t="s">
        <v>539</v>
      </c>
      <c r="B161" s="7" t="s">
        <v>1363</v>
      </c>
    </row>
    <row r="162" spans="1:10" x14ac:dyDescent="0.35">
      <c r="A162" t="s">
        <v>762</v>
      </c>
      <c r="B162" s="7" t="s">
        <v>1586</v>
      </c>
    </row>
    <row r="163" spans="1:10" x14ac:dyDescent="0.35">
      <c r="A163" t="s">
        <v>538</v>
      </c>
      <c r="B163" s="7" t="s">
        <v>1362</v>
      </c>
    </row>
    <row r="164" spans="1:10" x14ac:dyDescent="0.35">
      <c r="A164" t="s">
        <v>537</v>
      </c>
      <c r="B164" s="7" t="s">
        <v>1361</v>
      </c>
      <c r="C164">
        <f>2*10^-1</f>
        <v>0.2</v>
      </c>
      <c r="D164" t="s">
        <v>1720</v>
      </c>
      <c r="E164" t="s">
        <v>1721</v>
      </c>
      <c r="F164" t="s">
        <v>1740</v>
      </c>
      <c r="G164" t="s">
        <v>1738</v>
      </c>
      <c r="H164" t="s">
        <v>2020</v>
      </c>
      <c r="I164" s="57">
        <v>44580</v>
      </c>
      <c r="J164" s="13" t="s">
        <v>2071</v>
      </c>
    </row>
    <row r="165" spans="1:10" x14ac:dyDescent="0.35">
      <c r="A165" t="s">
        <v>537</v>
      </c>
      <c r="B165" s="7" t="s">
        <v>1361</v>
      </c>
      <c r="C165">
        <f>0.0045*10^3</f>
        <v>4.5</v>
      </c>
      <c r="D165" t="s">
        <v>1720</v>
      </c>
      <c r="E165" t="s">
        <v>1724</v>
      </c>
      <c r="F165" t="s">
        <v>1740</v>
      </c>
      <c r="G165" t="s">
        <v>1738</v>
      </c>
      <c r="H165" t="s">
        <v>2020</v>
      </c>
      <c r="I165" s="57">
        <v>44580</v>
      </c>
      <c r="J165" s="13" t="s">
        <v>2071</v>
      </c>
    </row>
    <row r="166" spans="1:10" x14ac:dyDescent="0.35">
      <c r="A166" t="s">
        <v>536</v>
      </c>
      <c r="B166" s="7" t="s">
        <v>1360</v>
      </c>
    </row>
    <row r="167" spans="1:10" x14ac:dyDescent="0.35">
      <c r="A167" t="s">
        <v>535</v>
      </c>
      <c r="B167" s="7" t="s">
        <v>1359</v>
      </c>
    </row>
    <row r="168" spans="1:10" s="26" customFormat="1" x14ac:dyDescent="0.35">
      <c r="A168" t="s">
        <v>534</v>
      </c>
      <c r="B168" s="7" t="s">
        <v>1358</v>
      </c>
      <c r="C168"/>
      <c r="D168"/>
      <c r="E168"/>
      <c r="F168"/>
      <c r="G168"/>
      <c r="H168"/>
      <c r="I168"/>
      <c r="J168"/>
    </row>
    <row r="169" spans="1:10" s="26" customFormat="1" x14ac:dyDescent="0.35">
      <c r="A169" t="s">
        <v>533</v>
      </c>
      <c r="B169" s="7" t="s">
        <v>1357</v>
      </c>
      <c r="C169"/>
      <c r="D169"/>
      <c r="E169"/>
      <c r="F169"/>
      <c r="G169"/>
      <c r="H169"/>
      <c r="I169"/>
      <c r="J169"/>
    </row>
    <row r="170" spans="1:10" x14ac:dyDescent="0.35">
      <c r="A170" t="s">
        <v>532</v>
      </c>
      <c r="B170" s="7" t="s">
        <v>1356</v>
      </c>
    </row>
    <row r="171" spans="1:10" x14ac:dyDescent="0.35">
      <c r="A171" t="s">
        <v>681</v>
      </c>
      <c r="B171" s="7" t="s">
        <v>1505</v>
      </c>
    </row>
    <row r="172" spans="1:10" x14ac:dyDescent="0.35">
      <c r="A172" t="s">
        <v>531</v>
      </c>
      <c r="B172" s="7" t="s">
        <v>1355</v>
      </c>
    </row>
    <row r="173" spans="1:10" x14ac:dyDescent="0.35">
      <c r="A173" t="s">
        <v>530</v>
      </c>
      <c r="B173" s="7" t="s">
        <v>1354</v>
      </c>
    </row>
    <row r="174" spans="1:10" x14ac:dyDescent="0.35">
      <c r="A174" t="s">
        <v>529</v>
      </c>
      <c r="B174" s="7" t="s">
        <v>1353</v>
      </c>
    </row>
    <row r="175" spans="1:10" s="32" customFormat="1" x14ac:dyDescent="0.35">
      <c r="A175" t="s">
        <v>528</v>
      </c>
      <c r="B175" s="7" t="s">
        <v>1352</v>
      </c>
      <c r="C175"/>
      <c r="D175"/>
      <c r="E175"/>
      <c r="F175"/>
      <c r="G175"/>
      <c r="H175"/>
      <c r="I175"/>
      <c r="J175"/>
    </row>
    <row r="176" spans="1:10" s="32" customFormat="1" x14ac:dyDescent="0.35">
      <c r="A176" t="s">
        <v>527</v>
      </c>
      <c r="B176" s="7" t="s">
        <v>1351</v>
      </c>
      <c r="C176"/>
      <c r="D176"/>
      <c r="E176"/>
      <c r="F176"/>
      <c r="G176"/>
      <c r="H176"/>
      <c r="I176"/>
      <c r="J176"/>
    </row>
    <row r="177" spans="1:10" x14ac:dyDescent="0.35">
      <c r="A177" s="1" t="s">
        <v>38</v>
      </c>
      <c r="B177" s="7" t="s">
        <v>867</v>
      </c>
    </row>
    <row r="178" spans="1:10" x14ac:dyDescent="0.35">
      <c r="A178" t="s">
        <v>526</v>
      </c>
      <c r="B178" s="7" t="s">
        <v>1350</v>
      </c>
    </row>
    <row r="179" spans="1:10" x14ac:dyDescent="0.35">
      <c r="A179" t="s">
        <v>525</v>
      </c>
      <c r="B179" s="7" t="s">
        <v>1349</v>
      </c>
    </row>
    <row r="180" spans="1:10" x14ac:dyDescent="0.35">
      <c r="A180" t="s">
        <v>781</v>
      </c>
      <c r="B180" s="7" t="s">
        <v>1604</v>
      </c>
    </row>
    <row r="181" spans="1:10" x14ac:dyDescent="0.35">
      <c r="A181" t="s">
        <v>524</v>
      </c>
      <c r="B181" s="7" t="s">
        <v>1348</v>
      </c>
    </row>
    <row r="182" spans="1:10" x14ac:dyDescent="0.35">
      <c r="A182" t="s">
        <v>523</v>
      </c>
      <c r="B182" s="7" t="s">
        <v>1347</v>
      </c>
    </row>
    <row r="183" spans="1:10" x14ac:dyDescent="0.35">
      <c r="A183" t="s">
        <v>701</v>
      </c>
      <c r="B183" s="7" t="s">
        <v>1525</v>
      </c>
    </row>
    <row r="184" spans="1:10" x14ac:dyDescent="0.35">
      <c r="A184" t="s">
        <v>730</v>
      </c>
      <c r="B184" s="7" t="s">
        <v>1554</v>
      </c>
    </row>
    <row r="185" spans="1:10" x14ac:dyDescent="0.35">
      <c r="A185" t="s">
        <v>713</v>
      </c>
      <c r="B185" s="7" t="s">
        <v>1537</v>
      </c>
    </row>
    <row r="186" spans="1:10" x14ac:dyDescent="0.35">
      <c r="A186" t="s">
        <v>720</v>
      </c>
      <c r="B186" s="7" t="s">
        <v>1544</v>
      </c>
    </row>
    <row r="187" spans="1:10" x14ac:dyDescent="0.35">
      <c r="A187" t="s">
        <v>721</v>
      </c>
      <c r="B187" s="7" t="s">
        <v>1545</v>
      </c>
    </row>
    <row r="188" spans="1:10" x14ac:dyDescent="0.35">
      <c r="A188" t="s">
        <v>522</v>
      </c>
      <c r="B188" s="7" t="s">
        <v>1346</v>
      </c>
    </row>
    <row r="189" spans="1:10" s="26" customFormat="1" x14ac:dyDescent="0.35">
      <c r="A189" t="s">
        <v>521</v>
      </c>
      <c r="B189" s="7" t="s">
        <v>1345</v>
      </c>
      <c r="C189"/>
      <c r="D189"/>
      <c r="E189"/>
      <c r="F189"/>
      <c r="G189"/>
      <c r="H189"/>
      <c r="I189"/>
      <c r="J189"/>
    </row>
    <row r="190" spans="1:10" x14ac:dyDescent="0.35">
      <c r="A190" t="s">
        <v>520</v>
      </c>
      <c r="B190" s="7" t="s">
        <v>1344</v>
      </c>
    </row>
    <row r="191" spans="1:10" s="26" customFormat="1" x14ac:dyDescent="0.35">
      <c r="A191" t="s">
        <v>519</v>
      </c>
      <c r="B191" s="7" t="s">
        <v>1343</v>
      </c>
      <c r="C191"/>
      <c r="D191"/>
      <c r="E191"/>
      <c r="F191"/>
      <c r="G191"/>
      <c r="H191"/>
      <c r="I191"/>
      <c r="J191"/>
    </row>
    <row r="192" spans="1:10" x14ac:dyDescent="0.35">
      <c r="A192" t="s">
        <v>694</v>
      </c>
      <c r="B192" s="7" t="s">
        <v>1518</v>
      </c>
    </row>
    <row r="193" spans="1:10" x14ac:dyDescent="0.35">
      <c r="A193" t="s">
        <v>697</v>
      </c>
      <c r="B193" s="7" t="s">
        <v>1521</v>
      </c>
    </row>
    <row r="194" spans="1:10" x14ac:dyDescent="0.35">
      <c r="A194" t="s">
        <v>518</v>
      </c>
      <c r="B194" s="7" t="s">
        <v>1342</v>
      </c>
    </row>
    <row r="195" spans="1:10" x14ac:dyDescent="0.35">
      <c r="A195" t="s">
        <v>517</v>
      </c>
      <c r="B195" s="7" t="s">
        <v>1341</v>
      </c>
    </row>
    <row r="196" spans="1:10" x14ac:dyDescent="0.35">
      <c r="A196" t="s">
        <v>516</v>
      </c>
      <c r="B196" s="7" t="s">
        <v>1340</v>
      </c>
    </row>
    <row r="197" spans="1:10" x14ac:dyDescent="0.35">
      <c r="A197" t="s">
        <v>515</v>
      </c>
      <c r="B197" s="7" t="s">
        <v>1339</v>
      </c>
    </row>
    <row r="198" spans="1:10" x14ac:dyDescent="0.35">
      <c r="A198" t="s">
        <v>514</v>
      </c>
      <c r="B198" s="7" t="s">
        <v>1338</v>
      </c>
    </row>
    <row r="199" spans="1:10" x14ac:dyDescent="0.35">
      <c r="A199" t="s">
        <v>513</v>
      </c>
      <c r="B199" s="7" t="s">
        <v>1337</v>
      </c>
    </row>
    <row r="200" spans="1:10" x14ac:dyDescent="0.35">
      <c r="A200" s="26" t="s">
        <v>3363</v>
      </c>
      <c r="B200" s="26" t="s">
        <v>3364</v>
      </c>
      <c r="C200" s="26"/>
      <c r="D200" s="26"/>
      <c r="E200" s="26"/>
      <c r="F200" s="26"/>
      <c r="G200" s="26"/>
      <c r="H200" s="26"/>
      <c r="I200" s="26"/>
      <c r="J200" s="26"/>
    </row>
    <row r="201" spans="1:10" x14ac:dyDescent="0.35">
      <c r="A201" s="26" t="s">
        <v>3363</v>
      </c>
      <c r="B201" s="26" t="s">
        <v>3364</v>
      </c>
      <c r="C201" s="26">
        <f>0.0002*10^3</f>
        <v>0.2</v>
      </c>
      <c r="D201" s="26" t="s">
        <v>1720</v>
      </c>
      <c r="E201" s="26" t="s">
        <v>1724</v>
      </c>
      <c r="F201" s="26" t="s">
        <v>2044</v>
      </c>
      <c r="G201" s="26" t="s">
        <v>1738</v>
      </c>
      <c r="H201" s="26" t="s">
        <v>2020</v>
      </c>
      <c r="I201" s="48">
        <v>44580</v>
      </c>
      <c r="J201" s="26" t="s">
        <v>3454</v>
      </c>
    </row>
    <row r="202" spans="1:10" x14ac:dyDescent="0.35">
      <c r="A202" s="26" t="s">
        <v>3363</v>
      </c>
      <c r="B202" s="26" t="s">
        <v>3364</v>
      </c>
      <c r="C202" s="26">
        <f>8.3*10^-3</f>
        <v>8.3000000000000001E-3</v>
      </c>
      <c r="D202" s="26" t="s">
        <v>1720</v>
      </c>
      <c r="E202" s="26" t="s">
        <v>1721</v>
      </c>
      <c r="F202" s="26" t="s">
        <v>2044</v>
      </c>
      <c r="G202" s="26" t="s">
        <v>1738</v>
      </c>
      <c r="H202" s="26" t="s">
        <v>2020</v>
      </c>
      <c r="I202" s="48">
        <v>44580</v>
      </c>
      <c r="J202" s="26" t="s">
        <v>3454</v>
      </c>
    </row>
    <row r="203" spans="1:10" x14ac:dyDescent="0.35">
      <c r="A203" t="s">
        <v>512</v>
      </c>
      <c r="B203" s="7" t="s">
        <v>1336</v>
      </c>
    </row>
    <row r="204" spans="1:10" x14ac:dyDescent="0.35">
      <c r="A204" t="s">
        <v>511</v>
      </c>
      <c r="B204" s="7" t="s">
        <v>1335</v>
      </c>
    </row>
    <row r="205" spans="1:10" x14ac:dyDescent="0.35">
      <c r="A205" t="s">
        <v>510</v>
      </c>
      <c r="B205" s="7" t="s">
        <v>1334</v>
      </c>
      <c r="C205">
        <f>0.0018*10^3</f>
        <v>1.8</v>
      </c>
      <c r="D205" t="s">
        <v>1720</v>
      </c>
      <c r="E205" t="s">
        <v>1721</v>
      </c>
      <c r="F205" t="s">
        <v>1959</v>
      </c>
      <c r="G205" t="s">
        <v>1738</v>
      </c>
      <c r="H205" t="s">
        <v>4124</v>
      </c>
      <c r="I205" s="57">
        <v>44580</v>
      </c>
      <c r="J205" t="s">
        <v>4142</v>
      </c>
    </row>
    <row r="206" spans="1:10" x14ac:dyDescent="0.35">
      <c r="A206" t="s">
        <v>509</v>
      </c>
      <c r="B206" s="7" t="s">
        <v>1333</v>
      </c>
      <c r="C206">
        <f>0.86*10^3</f>
        <v>860</v>
      </c>
      <c r="D206" t="s">
        <v>1720</v>
      </c>
      <c r="E206" t="s">
        <v>1724</v>
      </c>
      <c r="F206" t="s">
        <v>2075</v>
      </c>
      <c r="G206" t="s">
        <v>1738</v>
      </c>
      <c r="H206" s="26" t="s">
        <v>2020</v>
      </c>
      <c r="I206" s="57">
        <v>44580</v>
      </c>
      <c r="J206" t="s">
        <v>4159</v>
      </c>
    </row>
    <row r="207" spans="1:10" x14ac:dyDescent="0.35">
      <c r="A207" t="s">
        <v>509</v>
      </c>
      <c r="B207" s="7" t="s">
        <v>1333</v>
      </c>
      <c r="C207">
        <f>0.096*10^3</f>
        <v>96</v>
      </c>
      <c r="D207" t="s">
        <v>1720</v>
      </c>
      <c r="E207" t="s">
        <v>1721</v>
      </c>
      <c r="F207" t="s">
        <v>2075</v>
      </c>
      <c r="G207" t="s">
        <v>1738</v>
      </c>
      <c r="H207" s="26" t="s">
        <v>2020</v>
      </c>
      <c r="I207" s="57">
        <v>44580</v>
      </c>
      <c r="J207" t="s">
        <v>4159</v>
      </c>
    </row>
    <row r="208" spans="1:10" x14ac:dyDescent="0.35">
      <c r="A208" t="s">
        <v>508</v>
      </c>
      <c r="B208" s="7" t="s">
        <v>1332</v>
      </c>
    </row>
    <row r="209" spans="1:10" s="26" customFormat="1" x14ac:dyDescent="0.35">
      <c r="A209" t="s">
        <v>507</v>
      </c>
      <c r="B209" s="7" t="s">
        <v>1331</v>
      </c>
      <c r="C209">
        <f>2 *10^-1</f>
        <v>0.2</v>
      </c>
      <c r="D209" t="s">
        <v>1720</v>
      </c>
      <c r="E209" t="s">
        <v>1721</v>
      </c>
      <c r="F209" t="s">
        <v>1957</v>
      </c>
      <c r="G209" t="s">
        <v>1738</v>
      </c>
      <c r="H209" t="s">
        <v>4124</v>
      </c>
      <c r="I209" s="57">
        <v>44580</v>
      </c>
      <c r="J209" s="13" t="s">
        <v>4151</v>
      </c>
    </row>
    <row r="210" spans="1:10" x14ac:dyDescent="0.35">
      <c r="A210" t="s">
        <v>506</v>
      </c>
      <c r="B210" s="7" t="s">
        <v>1330</v>
      </c>
    </row>
    <row r="211" spans="1:10" x14ac:dyDescent="0.35">
      <c r="A211" t="s">
        <v>795</v>
      </c>
      <c r="B211" s="7" t="s">
        <v>1618</v>
      </c>
    </row>
    <row r="212" spans="1:10" s="26" customFormat="1" x14ac:dyDescent="0.35">
      <c r="A212" t="s">
        <v>505</v>
      </c>
      <c r="B212" s="7" t="s">
        <v>1329</v>
      </c>
      <c r="C212">
        <f>0.011*10^3</f>
        <v>11</v>
      </c>
      <c r="D212" t="s">
        <v>1720</v>
      </c>
      <c r="E212" t="s">
        <v>1721</v>
      </c>
      <c r="F212" t="s">
        <v>1732</v>
      </c>
      <c r="G212" t="s">
        <v>1738</v>
      </c>
      <c r="H212" t="s">
        <v>2020</v>
      </c>
      <c r="I212" s="57">
        <v>44580</v>
      </c>
      <c r="J212" t="s">
        <v>2053</v>
      </c>
    </row>
    <row r="213" spans="1:10" x14ac:dyDescent="0.35">
      <c r="A213" t="s">
        <v>505</v>
      </c>
      <c r="B213" s="7" t="s">
        <v>1329</v>
      </c>
      <c r="C213">
        <f>0.15*10^3</f>
        <v>150</v>
      </c>
      <c r="D213" t="s">
        <v>1720</v>
      </c>
      <c r="E213" t="s">
        <v>1724</v>
      </c>
      <c r="F213" t="s">
        <v>1732</v>
      </c>
      <c r="G213" t="s">
        <v>1738</v>
      </c>
      <c r="H213" t="s">
        <v>2020</v>
      </c>
      <c r="I213" s="57">
        <v>44580</v>
      </c>
      <c r="J213" t="s">
        <v>2053</v>
      </c>
    </row>
    <row r="214" spans="1:10" x14ac:dyDescent="0.35">
      <c r="A214" t="s">
        <v>504</v>
      </c>
      <c r="B214" s="7" t="s">
        <v>1328</v>
      </c>
    </row>
    <row r="215" spans="1:10" s="26" customFormat="1" x14ac:dyDescent="0.35">
      <c r="A215" t="s">
        <v>503</v>
      </c>
      <c r="B215" s="7" t="s">
        <v>1327</v>
      </c>
      <c r="C215"/>
      <c r="D215"/>
      <c r="E215"/>
      <c r="F215"/>
      <c r="G215"/>
      <c r="H215"/>
      <c r="I215"/>
      <c r="J215"/>
    </row>
    <row r="216" spans="1:10" s="26" customFormat="1" x14ac:dyDescent="0.35">
      <c r="A216" t="s">
        <v>502</v>
      </c>
      <c r="B216" s="7" t="s">
        <v>1326</v>
      </c>
      <c r="C216"/>
      <c r="D216"/>
      <c r="E216"/>
      <c r="F216"/>
      <c r="G216"/>
      <c r="H216"/>
      <c r="I216"/>
      <c r="J216"/>
    </row>
    <row r="217" spans="1:10" x14ac:dyDescent="0.35">
      <c r="A217" s="6" t="s">
        <v>797</v>
      </c>
      <c r="B217" s="7" t="s">
        <v>1620</v>
      </c>
    </row>
    <row r="218" spans="1:10" x14ac:dyDescent="0.35">
      <c r="A218" s="26" t="s">
        <v>3355</v>
      </c>
      <c r="B218" s="26" t="s">
        <v>3356</v>
      </c>
      <c r="C218" s="26"/>
      <c r="D218" s="26"/>
      <c r="E218" s="26"/>
      <c r="F218" s="26"/>
      <c r="G218" s="26"/>
      <c r="H218" s="26"/>
      <c r="I218" s="26"/>
      <c r="J218" s="26"/>
    </row>
    <row r="219" spans="1:10" x14ac:dyDescent="0.35">
      <c r="A219" t="s">
        <v>501</v>
      </c>
      <c r="B219" s="7" t="s">
        <v>1325</v>
      </c>
    </row>
    <row r="220" spans="1:10" x14ac:dyDescent="0.35">
      <c r="A220" t="s">
        <v>500</v>
      </c>
      <c r="B220" s="7" t="s">
        <v>1324</v>
      </c>
    </row>
    <row r="221" spans="1:10" x14ac:dyDescent="0.35">
      <c r="A221" s="2" t="s">
        <v>499</v>
      </c>
      <c r="B221" s="7" t="s">
        <v>1323</v>
      </c>
    </row>
    <row r="222" spans="1:10" x14ac:dyDescent="0.35">
      <c r="A222" t="s">
        <v>498</v>
      </c>
      <c r="B222" s="7" t="s">
        <v>1322</v>
      </c>
    </row>
    <row r="223" spans="1:10" x14ac:dyDescent="0.35">
      <c r="A223" t="s">
        <v>497</v>
      </c>
      <c r="B223" s="7" t="s">
        <v>1321</v>
      </c>
    </row>
    <row r="224" spans="1:10" x14ac:dyDescent="0.35">
      <c r="A224" t="s">
        <v>496</v>
      </c>
      <c r="B224" s="7" t="s">
        <v>1320</v>
      </c>
    </row>
    <row r="225" spans="1:10" x14ac:dyDescent="0.35">
      <c r="A225" s="26" t="s">
        <v>3367</v>
      </c>
      <c r="B225" s="26" t="s">
        <v>3368</v>
      </c>
      <c r="C225" s="26"/>
      <c r="D225" s="26"/>
      <c r="E225" s="26"/>
      <c r="F225" s="26"/>
      <c r="G225" s="26"/>
      <c r="H225" s="26"/>
      <c r="I225" s="26"/>
      <c r="J225" s="26"/>
    </row>
    <row r="226" spans="1:10" x14ac:dyDescent="0.35">
      <c r="A226" t="s">
        <v>809</v>
      </c>
      <c r="B226" s="7" t="s">
        <v>1632</v>
      </c>
    </row>
    <row r="227" spans="1:10" x14ac:dyDescent="0.35">
      <c r="A227" t="s">
        <v>495</v>
      </c>
      <c r="B227" s="7" t="s">
        <v>1319</v>
      </c>
    </row>
    <row r="228" spans="1:10" x14ac:dyDescent="0.35">
      <c r="A228" t="s">
        <v>684</v>
      </c>
      <c r="B228" s="7" t="s">
        <v>1508</v>
      </c>
    </row>
    <row r="229" spans="1:10" x14ac:dyDescent="0.35">
      <c r="A229" t="s">
        <v>494</v>
      </c>
      <c r="B229" s="7" t="s">
        <v>1318</v>
      </c>
    </row>
    <row r="230" spans="1:10" x14ac:dyDescent="0.35">
      <c r="A230" t="s">
        <v>493</v>
      </c>
      <c r="B230" s="7" t="s">
        <v>1317</v>
      </c>
    </row>
    <row r="231" spans="1:10" x14ac:dyDescent="0.35">
      <c r="A231" t="s">
        <v>492</v>
      </c>
      <c r="B231" s="7" t="s">
        <v>1316</v>
      </c>
      <c r="C231">
        <v>5</v>
      </c>
      <c r="D231" t="s">
        <v>1720</v>
      </c>
      <c r="E231" t="s">
        <v>1721</v>
      </c>
      <c r="F231" t="s">
        <v>1957</v>
      </c>
      <c r="G231" t="s">
        <v>1738</v>
      </c>
      <c r="H231" t="s">
        <v>4124</v>
      </c>
      <c r="I231" s="57">
        <v>44580</v>
      </c>
      <c r="J231" s="13" t="s">
        <v>4139</v>
      </c>
    </row>
    <row r="232" spans="1:10" x14ac:dyDescent="0.35">
      <c r="A232" t="s">
        <v>633</v>
      </c>
      <c r="B232" s="7" t="s">
        <v>1457</v>
      </c>
      <c r="C232">
        <v>26</v>
      </c>
      <c r="D232" t="s">
        <v>1720</v>
      </c>
      <c r="E232" t="s">
        <v>1721</v>
      </c>
      <c r="F232" t="s">
        <v>4132</v>
      </c>
      <c r="G232" t="s">
        <v>2006</v>
      </c>
      <c r="H232" t="s">
        <v>2007</v>
      </c>
      <c r="I232" s="57">
        <v>44574</v>
      </c>
      <c r="J232" t="s">
        <v>2008</v>
      </c>
    </row>
    <row r="233" spans="1:10" x14ac:dyDescent="0.35">
      <c r="A233" t="s">
        <v>491</v>
      </c>
      <c r="B233" s="7" t="s">
        <v>1315</v>
      </c>
    </row>
    <row r="234" spans="1:10" x14ac:dyDescent="0.35">
      <c r="A234" t="s">
        <v>490</v>
      </c>
      <c r="B234" s="7" t="s">
        <v>1314</v>
      </c>
    </row>
    <row r="235" spans="1:10" x14ac:dyDescent="0.35">
      <c r="A235" t="s">
        <v>489</v>
      </c>
      <c r="B235" s="7" t="s">
        <v>1313</v>
      </c>
    </row>
    <row r="236" spans="1:10" x14ac:dyDescent="0.35">
      <c r="A236" t="s">
        <v>488</v>
      </c>
      <c r="B236" s="7" t="s">
        <v>1312</v>
      </c>
    </row>
    <row r="237" spans="1:10" x14ac:dyDescent="0.35">
      <c r="A237" t="s">
        <v>724</v>
      </c>
      <c r="B237" s="7" t="s">
        <v>1548</v>
      </c>
    </row>
    <row r="238" spans="1:10" x14ac:dyDescent="0.35">
      <c r="A238" t="s">
        <v>487</v>
      </c>
      <c r="B238" s="7" t="s">
        <v>1311</v>
      </c>
    </row>
    <row r="239" spans="1:10" x14ac:dyDescent="0.35">
      <c r="A239" t="s">
        <v>486</v>
      </c>
      <c r="B239" s="7" t="s">
        <v>1310</v>
      </c>
    </row>
    <row r="240" spans="1:10" x14ac:dyDescent="0.35">
      <c r="A240" t="s">
        <v>485</v>
      </c>
      <c r="B240" s="7" t="s">
        <v>1309</v>
      </c>
    </row>
    <row r="241" spans="1:10" x14ac:dyDescent="0.35">
      <c r="A241" s="6" t="s">
        <v>821</v>
      </c>
      <c r="B241" s="7" t="s">
        <v>1643</v>
      </c>
    </row>
    <row r="242" spans="1:10" x14ac:dyDescent="0.35">
      <c r="A242" t="s">
        <v>484</v>
      </c>
      <c r="B242" s="7" t="s">
        <v>1308</v>
      </c>
    </row>
    <row r="243" spans="1:10" x14ac:dyDescent="0.35">
      <c r="A243" s="2" t="s">
        <v>483</v>
      </c>
      <c r="B243" t="s">
        <v>1307</v>
      </c>
    </row>
    <row r="244" spans="1:10" x14ac:dyDescent="0.35">
      <c r="A244" t="s">
        <v>482</v>
      </c>
      <c r="B244" s="7" t="s">
        <v>1306</v>
      </c>
    </row>
    <row r="245" spans="1:10" x14ac:dyDescent="0.35">
      <c r="A245" t="s">
        <v>609</v>
      </c>
      <c r="B245" s="7" t="s">
        <v>1433</v>
      </c>
      <c r="C245">
        <v>1</v>
      </c>
      <c r="D245" t="s">
        <v>1720</v>
      </c>
      <c r="E245" t="s">
        <v>1721</v>
      </c>
      <c r="F245" t="s">
        <v>1957</v>
      </c>
      <c r="G245" t="s">
        <v>1748</v>
      </c>
      <c r="H245" t="s">
        <v>1956</v>
      </c>
      <c r="I245" s="57">
        <v>44574</v>
      </c>
      <c r="J245" t="s">
        <v>1955</v>
      </c>
    </row>
    <row r="246" spans="1:10" x14ac:dyDescent="0.35">
      <c r="A246" t="s">
        <v>708</v>
      </c>
      <c r="B246" s="7" t="s">
        <v>1532</v>
      </c>
    </row>
    <row r="247" spans="1:10" x14ac:dyDescent="0.35">
      <c r="A247" t="s">
        <v>480</v>
      </c>
      <c r="B247" s="7" t="s">
        <v>1304</v>
      </c>
    </row>
    <row r="248" spans="1:10" x14ac:dyDescent="0.35">
      <c r="A248" t="s">
        <v>479</v>
      </c>
      <c r="B248" s="7" t="s">
        <v>1303</v>
      </c>
    </row>
    <row r="249" spans="1:10" x14ac:dyDescent="0.35">
      <c r="A249" t="s">
        <v>478</v>
      </c>
      <c r="B249" s="7" t="s">
        <v>1302</v>
      </c>
    </row>
    <row r="250" spans="1:10" x14ac:dyDescent="0.35">
      <c r="A250" t="s">
        <v>477</v>
      </c>
      <c r="B250" s="7" t="s">
        <v>1301</v>
      </c>
    </row>
    <row r="251" spans="1:10" x14ac:dyDescent="0.35">
      <c r="A251" t="s">
        <v>476</v>
      </c>
      <c r="B251" s="7" t="s">
        <v>1300</v>
      </c>
    </row>
    <row r="252" spans="1:10" x14ac:dyDescent="0.35">
      <c r="A252" t="s">
        <v>475</v>
      </c>
      <c r="B252" s="7" t="s">
        <v>1299</v>
      </c>
    </row>
    <row r="253" spans="1:10" x14ac:dyDescent="0.35">
      <c r="A253" t="s">
        <v>474</v>
      </c>
      <c r="B253" s="7" t="s">
        <v>1298</v>
      </c>
    </row>
    <row r="254" spans="1:10" x14ac:dyDescent="0.35">
      <c r="A254" t="s">
        <v>723</v>
      </c>
      <c r="B254" s="7" t="s">
        <v>1547</v>
      </c>
    </row>
    <row r="255" spans="1:10" x14ac:dyDescent="0.35">
      <c r="A255" t="s">
        <v>705</v>
      </c>
      <c r="B255" s="7" t="s">
        <v>1529</v>
      </c>
    </row>
    <row r="256" spans="1:10" x14ac:dyDescent="0.35">
      <c r="A256" t="s">
        <v>726</v>
      </c>
      <c r="B256" s="7" t="s">
        <v>1550</v>
      </c>
    </row>
    <row r="257" spans="1:10" ht="116" x14ac:dyDescent="0.35">
      <c r="A257" t="s">
        <v>676</v>
      </c>
      <c r="B257" s="7" t="s">
        <v>1500</v>
      </c>
      <c r="C257">
        <f>0.75/10^3</f>
        <v>7.5000000000000002E-4</v>
      </c>
      <c r="D257" t="s">
        <v>1720</v>
      </c>
      <c r="E257" t="s">
        <v>1724</v>
      </c>
      <c r="F257" s="53" t="s">
        <v>4123</v>
      </c>
      <c r="G257" t="s">
        <v>1979</v>
      </c>
      <c r="H257" t="s">
        <v>1981</v>
      </c>
      <c r="I257" s="57">
        <v>44574</v>
      </c>
      <c r="J257" t="s">
        <v>1980</v>
      </c>
    </row>
    <row r="258" spans="1:10" x14ac:dyDescent="0.35">
      <c r="A258" t="s">
        <v>447</v>
      </c>
      <c r="B258" s="7" t="s">
        <v>1271</v>
      </c>
      <c r="C258">
        <v>1.7000000000000001E-2</v>
      </c>
      <c r="D258" t="s">
        <v>1720</v>
      </c>
      <c r="E258" t="s">
        <v>1721</v>
      </c>
      <c r="F258" t="s">
        <v>1974</v>
      </c>
      <c r="G258" t="s">
        <v>1979</v>
      </c>
      <c r="H258" t="s">
        <v>1981</v>
      </c>
      <c r="I258" s="57">
        <v>44574</v>
      </c>
      <c r="J258" s="13" t="s">
        <v>1980</v>
      </c>
    </row>
    <row r="259" spans="1:10" x14ac:dyDescent="0.35">
      <c r="A259" s="26" t="s">
        <v>3326</v>
      </c>
      <c r="B259" s="26" t="s">
        <v>3327</v>
      </c>
      <c r="C259">
        <v>1</v>
      </c>
      <c r="D259" t="s">
        <v>1720</v>
      </c>
      <c r="E259" t="s">
        <v>1721</v>
      </c>
      <c r="F259" t="s">
        <v>3458</v>
      </c>
      <c r="G259" t="s">
        <v>1748</v>
      </c>
      <c r="H259" t="s">
        <v>1956</v>
      </c>
      <c r="I259" s="57">
        <v>44574</v>
      </c>
      <c r="J259" s="13" t="s">
        <v>1955</v>
      </c>
    </row>
    <row r="260" spans="1:10" x14ac:dyDescent="0.35">
      <c r="A260" t="s">
        <v>775</v>
      </c>
      <c r="B260" s="7" t="s">
        <v>1599</v>
      </c>
      <c r="C260">
        <v>0.18</v>
      </c>
      <c r="D260" t="s">
        <v>1720</v>
      </c>
      <c r="E260" t="s">
        <v>1721</v>
      </c>
      <c r="F260" t="s">
        <v>1963</v>
      </c>
      <c r="G260" t="s">
        <v>1738</v>
      </c>
      <c r="H260" t="s">
        <v>4124</v>
      </c>
      <c r="I260" s="57">
        <v>44580</v>
      </c>
      <c r="J260" s="13" t="s">
        <v>4143</v>
      </c>
    </row>
    <row r="261" spans="1:10" x14ac:dyDescent="0.35">
      <c r="A261" s="26" t="s">
        <v>3414</v>
      </c>
      <c r="B261" s="26" t="s">
        <v>3419</v>
      </c>
      <c r="C261">
        <v>0.05</v>
      </c>
      <c r="D261" t="s">
        <v>1720</v>
      </c>
      <c r="E261" t="s">
        <v>1721</v>
      </c>
      <c r="F261" t="s">
        <v>3456</v>
      </c>
      <c r="G261" t="s">
        <v>1748</v>
      </c>
      <c r="H261" t="s">
        <v>1956</v>
      </c>
      <c r="I261" s="57">
        <v>44574</v>
      </c>
      <c r="J261" t="s">
        <v>1955</v>
      </c>
    </row>
    <row r="262" spans="1:10" x14ac:dyDescent="0.35">
      <c r="A262" t="s">
        <v>3371</v>
      </c>
      <c r="B262" s="7" t="s">
        <v>3372</v>
      </c>
      <c r="C262">
        <v>490</v>
      </c>
      <c r="D262" t="s">
        <v>1720</v>
      </c>
      <c r="E262" t="s">
        <v>1721</v>
      </c>
      <c r="F262" t="s">
        <v>3457</v>
      </c>
      <c r="G262" t="s">
        <v>1748</v>
      </c>
      <c r="H262" t="s">
        <v>1956</v>
      </c>
      <c r="I262" s="57">
        <v>44574</v>
      </c>
      <c r="J262" t="s">
        <v>1955</v>
      </c>
    </row>
    <row r="263" spans="1:10" x14ac:dyDescent="0.35">
      <c r="A263" s="26" t="s">
        <v>3359</v>
      </c>
      <c r="B263" s="26" t="s">
        <v>3360</v>
      </c>
      <c r="C263">
        <v>4.0000000000000001E-3</v>
      </c>
      <c r="D263" t="s">
        <v>1720</v>
      </c>
      <c r="E263" t="s">
        <v>1721</v>
      </c>
      <c r="F263" t="s">
        <v>3452</v>
      </c>
      <c r="G263" t="s">
        <v>1748</v>
      </c>
      <c r="H263" t="s">
        <v>1956</v>
      </c>
      <c r="I263" s="57">
        <v>44574</v>
      </c>
      <c r="J263" t="s">
        <v>1955</v>
      </c>
    </row>
    <row r="264" spans="1:10" x14ac:dyDescent="0.35">
      <c r="A264" t="s">
        <v>471</v>
      </c>
      <c r="B264" s="7" t="s">
        <v>1295</v>
      </c>
    </row>
    <row r="265" spans="1:10" s="26" customFormat="1" x14ac:dyDescent="0.35">
      <c r="A265" t="s">
        <v>481</v>
      </c>
      <c r="B265" s="7" t="s">
        <v>1305</v>
      </c>
      <c r="C265">
        <v>2.0000000000000001E-4</v>
      </c>
      <c r="D265" t="s">
        <v>1720</v>
      </c>
      <c r="E265" t="s">
        <v>1721</v>
      </c>
      <c r="F265" t="s">
        <v>1974</v>
      </c>
      <c r="G265" t="s">
        <v>1979</v>
      </c>
      <c r="H265" t="s">
        <v>1981</v>
      </c>
      <c r="I265" s="57">
        <v>44574</v>
      </c>
      <c r="J265" s="13" t="s">
        <v>1980</v>
      </c>
    </row>
    <row r="266" spans="1:10" s="26" customFormat="1" x14ac:dyDescent="0.35">
      <c r="A266" s="26" t="s">
        <v>3326</v>
      </c>
      <c r="B266" s="26" t="s">
        <v>3327</v>
      </c>
      <c r="C266" s="26">
        <v>1</v>
      </c>
      <c r="D266" s="26" t="s">
        <v>1720</v>
      </c>
      <c r="E266" s="26" t="s">
        <v>1721</v>
      </c>
      <c r="F266" s="26" t="s">
        <v>4132</v>
      </c>
      <c r="G266" s="26" t="s">
        <v>2006</v>
      </c>
      <c r="H266" s="26" t="s">
        <v>2007</v>
      </c>
      <c r="I266" s="57">
        <v>44574</v>
      </c>
      <c r="J266" t="s">
        <v>2008</v>
      </c>
    </row>
    <row r="267" spans="1:10" x14ac:dyDescent="0.35">
      <c r="A267" t="s">
        <v>633</v>
      </c>
      <c r="B267" s="7" t="s">
        <v>1457</v>
      </c>
      <c r="C267">
        <v>4</v>
      </c>
      <c r="D267" t="s">
        <v>1720</v>
      </c>
      <c r="E267" t="s">
        <v>1721</v>
      </c>
      <c r="G267" t="s">
        <v>1742</v>
      </c>
      <c r="H267" t="s">
        <v>2010</v>
      </c>
      <c r="I267" s="57">
        <v>44574</v>
      </c>
      <c r="J267" s="13" t="s">
        <v>2013</v>
      </c>
    </row>
    <row r="268" spans="1:10" x14ac:dyDescent="0.35">
      <c r="A268" t="s">
        <v>37</v>
      </c>
      <c r="B268" s="7" t="s">
        <v>866</v>
      </c>
      <c r="C268">
        <v>2</v>
      </c>
      <c r="D268" t="s">
        <v>1720</v>
      </c>
      <c r="E268" t="s">
        <v>1721</v>
      </c>
      <c r="G268" t="s">
        <v>1742</v>
      </c>
      <c r="H268" t="s">
        <v>2012</v>
      </c>
      <c r="I268" s="57">
        <v>44574</v>
      </c>
      <c r="J268" s="13" t="s">
        <v>2013</v>
      </c>
    </row>
    <row r="269" spans="1:10" x14ac:dyDescent="0.35">
      <c r="A269" t="s">
        <v>216</v>
      </c>
      <c r="B269" s="7" t="s">
        <v>1043</v>
      </c>
      <c r="C269">
        <v>0.02</v>
      </c>
      <c r="D269" t="s">
        <v>1720</v>
      </c>
      <c r="E269" t="s">
        <v>1721</v>
      </c>
      <c r="G269" t="s">
        <v>1742</v>
      </c>
      <c r="H269" t="s">
        <v>2012</v>
      </c>
      <c r="I269" s="57">
        <v>44574</v>
      </c>
      <c r="J269" s="13" t="s">
        <v>2013</v>
      </c>
    </row>
    <row r="270" spans="1:10" x14ac:dyDescent="0.35">
      <c r="A270" t="s">
        <v>193</v>
      </c>
      <c r="B270" s="7" t="s">
        <v>1021</v>
      </c>
      <c r="C270">
        <f>4/10^3</f>
        <v>4.0000000000000001E-3</v>
      </c>
      <c r="D270" t="s">
        <v>1720</v>
      </c>
      <c r="E270" t="s">
        <v>1721</v>
      </c>
      <c r="F270" t="s">
        <v>1974</v>
      </c>
      <c r="G270" t="s">
        <v>1979</v>
      </c>
      <c r="H270" t="s">
        <v>1981</v>
      </c>
      <c r="I270" s="57">
        <v>44574</v>
      </c>
      <c r="J270" s="13" t="s">
        <v>1980</v>
      </c>
    </row>
    <row r="271" spans="1:10" x14ac:dyDescent="0.35">
      <c r="A271" t="s">
        <v>149</v>
      </c>
      <c r="B271" s="7" t="s">
        <v>978</v>
      </c>
      <c r="C271">
        <v>0.12</v>
      </c>
      <c r="D271" t="s">
        <v>1720</v>
      </c>
      <c r="E271" t="s">
        <v>1721</v>
      </c>
      <c r="F271" t="s">
        <v>1974</v>
      </c>
      <c r="G271" t="s">
        <v>1979</v>
      </c>
      <c r="H271" t="s">
        <v>1981</v>
      </c>
      <c r="I271" s="57">
        <v>44574</v>
      </c>
      <c r="J271" s="13" t="s">
        <v>1980</v>
      </c>
    </row>
    <row r="272" spans="1:10" x14ac:dyDescent="0.35">
      <c r="A272" t="s">
        <v>470</v>
      </c>
      <c r="B272" s="7" t="s">
        <v>1294</v>
      </c>
      <c r="C272">
        <f>0.0018*10^3</f>
        <v>1.8</v>
      </c>
      <c r="D272" t="s">
        <v>1720</v>
      </c>
      <c r="E272" t="s">
        <v>1721</v>
      </c>
      <c r="F272" t="s">
        <v>1959</v>
      </c>
      <c r="G272" t="s">
        <v>1738</v>
      </c>
      <c r="H272" t="s">
        <v>4124</v>
      </c>
      <c r="I272" s="57">
        <v>44580</v>
      </c>
      <c r="J272" s="13" t="s">
        <v>2061</v>
      </c>
    </row>
    <row r="273" spans="1:10" x14ac:dyDescent="0.35">
      <c r="A273" t="s">
        <v>470</v>
      </c>
      <c r="B273" s="7" t="s">
        <v>1294</v>
      </c>
      <c r="C273">
        <f>0.05*10^3</f>
        <v>50</v>
      </c>
      <c r="D273" t="s">
        <v>1720</v>
      </c>
      <c r="E273" t="s">
        <v>1724</v>
      </c>
      <c r="F273" t="s">
        <v>1732</v>
      </c>
      <c r="G273" t="s">
        <v>1738</v>
      </c>
      <c r="H273" t="s">
        <v>2020</v>
      </c>
      <c r="I273" s="57">
        <v>44580</v>
      </c>
      <c r="J273" t="s">
        <v>2061</v>
      </c>
    </row>
    <row r="274" spans="1:10" x14ac:dyDescent="0.35">
      <c r="A274" t="s">
        <v>468</v>
      </c>
      <c r="B274" s="7" t="s">
        <v>1292</v>
      </c>
      <c r="C274">
        <v>10</v>
      </c>
      <c r="D274" t="s">
        <v>1720</v>
      </c>
      <c r="E274" t="s">
        <v>1721</v>
      </c>
      <c r="F274" t="s">
        <v>1957</v>
      </c>
      <c r="G274" t="s">
        <v>1738</v>
      </c>
      <c r="H274" t="s">
        <v>4124</v>
      </c>
      <c r="I274" s="57">
        <v>44580</v>
      </c>
      <c r="J274" s="13" t="s">
        <v>4145</v>
      </c>
    </row>
    <row r="275" spans="1:10" x14ac:dyDescent="0.35">
      <c r="A275" s="26" t="s">
        <v>3338</v>
      </c>
      <c r="B275" s="26" t="s">
        <v>3339</v>
      </c>
      <c r="C275" s="26"/>
      <c r="D275" s="26"/>
      <c r="E275" s="26"/>
      <c r="F275" s="26"/>
      <c r="G275" s="26"/>
      <c r="H275" s="26"/>
      <c r="I275" s="26"/>
      <c r="J275" s="26"/>
    </row>
    <row r="276" spans="1:10" x14ac:dyDescent="0.35">
      <c r="A276" t="s">
        <v>467</v>
      </c>
      <c r="B276" s="7" t="s">
        <v>1291</v>
      </c>
    </row>
    <row r="277" spans="1:10" ht="14" customHeight="1" x14ac:dyDescent="0.35">
      <c r="A277" t="s">
        <v>466</v>
      </c>
      <c r="B277" s="7" t="s">
        <v>1290</v>
      </c>
    </row>
    <row r="278" spans="1:10" x14ac:dyDescent="0.35">
      <c r="A278" t="s">
        <v>465</v>
      </c>
      <c r="B278" s="7" t="s">
        <v>1289</v>
      </c>
    </row>
    <row r="279" spans="1:10" x14ac:dyDescent="0.35">
      <c r="A279" t="s">
        <v>464</v>
      </c>
      <c r="B279" s="7" t="s">
        <v>1288</v>
      </c>
    </row>
    <row r="280" spans="1:10" x14ac:dyDescent="0.35">
      <c r="A280" t="s">
        <v>463</v>
      </c>
      <c r="B280" s="7" t="s">
        <v>1287</v>
      </c>
    </row>
    <row r="281" spans="1:10" s="26" customFormat="1" x14ac:dyDescent="0.35">
      <c r="A281" t="s">
        <v>472</v>
      </c>
      <c r="B281" s="7" t="s">
        <v>1296</v>
      </c>
      <c r="C281">
        <v>2.0000000000000001E-4</v>
      </c>
      <c r="D281" t="s">
        <v>1720</v>
      </c>
      <c r="E281" t="s">
        <v>1721</v>
      </c>
      <c r="F281" t="s">
        <v>1974</v>
      </c>
      <c r="G281" t="s">
        <v>1979</v>
      </c>
      <c r="H281" t="s">
        <v>1981</v>
      </c>
      <c r="I281" s="57">
        <v>44574</v>
      </c>
      <c r="J281" s="13" t="s">
        <v>1980</v>
      </c>
    </row>
    <row r="282" spans="1:10" x14ac:dyDescent="0.35">
      <c r="A282" t="s">
        <v>794</v>
      </c>
      <c r="B282" s="7" t="s">
        <v>1617</v>
      </c>
    </row>
    <row r="283" spans="1:10" x14ac:dyDescent="0.35">
      <c r="A283" t="s">
        <v>462</v>
      </c>
      <c r="B283" s="7" t="s">
        <v>1286</v>
      </c>
    </row>
    <row r="284" spans="1:10" x14ac:dyDescent="0.35">
      <c r="A284" t="s">
        <v>33</v>
      </c>
      <c r="B284" s="7" t="s">
        <v>862</v>
      </c>
      <c r="C284">
        <v>2</v>
      </c>
      <c r="D284" t="s">
        <v>1720</v>
      </c>
      <c r="E284" t="s">
        <v>1721</v>
      </c>
      <c r="G284" t="s">
        <v>1742</v>
      </c>
      <c r="H284" t="s">
        <v>2012</v>
      </c>
      <c r="I284" s="57">
        <v>44574</v>
      </c>
      <c r="J284" s="13" t="s">
        <v>2013</v>
      </c>
    </row>
    <row r="285" spans="1:10" x14ac:dyDescent="0.35">
      <c r="A285" s="26" t="s">
        <v>3405</v>
      </c>
      <c r="B285" s="26" t="s">
        <v>3406</v>
      </c>
      <c r="C285" s="26">
        <v>1</v>
      </c>
      <c r="D285" s="26" t="s">
        <v>1720</v>
      </c>
      <c r="E285" s="26" t="s">
        <v>1721</v>
      </c>
      <c r="F285" s="26" t="s">
        <v>4132</v>
      </c>
      <c r="G285" s="26" t="s">
        <v>2006</v>
      </c>
      <c r="H285" s="26" t="s">
        <v>2007</v>
      </c>
      <c r="I285" s="57">
        <v>44574</v>
      </c>
      <c r="J285" t="s">
        <v>2008</v>
      </c>
    </row>
    <row r="286" spans="1:10" x14ac:dyDescent="0.35">
      <c r="A286" t="s">
        <v>461</v>
      </c>
      <c r="B286" s="7" t="s">
        <v>1285</v>
      </c>
    </row>
    <row r="287" spans="1:10" x14ac:dyDescent="0.35">
      <c r="A287" t="s">
        <v>460</v>
      </c>
      <c r="B287" s="7" t="s">
        <v>1284</v>
      </c>
    </row>
    <row r="288" spans="1:10" x14ac:dyDescent="0.35">
      <c r="A288" t="s">
        <v>458</v>
      </c>
      <c r="B288" s="7" t="s">
        <v>1282</v>
      </c>
    </row>
    <row r="289" spans="1:10" x14ac:dyDescent="0.35">
      <c r="A289" t="s">
        <v>457</v>
      </c>
      <c r="B289" s="7" t="s">
        <v>1281</v>
      </c>
    </row>
    <row r="290" spans="1:10" x14ac:dyDescent="0.35">
      <c r="A290" t="s">
        <v>456</v>
      </c>
      <c r="B290" s="7" t="s">
        <v>1280</v>
      </c>
      <c r="C290">
        <f>0.056*10^3</f>
        <v>56</v>
      </c>
      <c r="D290" t="s">
        <v>1720</v>
      </c>
      <c r="E290" t="s">
        <v>1721</v>
      </c>
      <c r="F290" t="s">
        <v>2059</v>
      </c>
      <c r="G290" t="s">
        <v>1738</v>
      </c>
      <c r="H290" t="s">
        <v>2020</v>
      </c>
      <c r="I290" s="57">
        <v>44580</v>
      </c>
      <c r="J290" t="s">
        <v>2060</v>
      </c>
    </row>
    <row r="291" spans="1:10" x14ac:dyDescent="0.35">
      <c r="A291" t="s">
        <v>456</v>
      </c>
      <c r="B291" s="7" t="s">
        <v>1280</v>
      </c>
      <c r="C291">
        <f>1.3*10^3</f>
        <v>1300</v>
      </c>
      <c r="D291" t="s">
        <v>1720</v>
      </c>
      <c r="E291" t="s">
        <v>1724</v>
      </c>
      <c r="F291" t="s">
        <v>2059</v>
      </c>
      <c r="G291" t="s">
        <v>1738</v>
      </c>
      <c r="H291" t="s">
        <v>2020</v>
      </c>
      <c r="I291" s="57">
        <v>44580</v>
      </c>
      <c r="J291" t="s">
        <v>2060</v>
      </c>
    </row>
    <row r="292" spans="1:10" x14ac:dyDescent="0.35">
      <c r="A292" t="s">
        <v>807</v>
      </c>
      <c r="B292" s="7" t="s">
        <v>1630</v>
      </c>
    </row>
    <row r="293" spans="1:10" x14ac:dyDescent="0.35">
      <c r="A293" s="26" t="s">
        <v>3412</v>
      </c>
      <c r="B293" s="26" t="s">
        <v>3417</v>
      </c>
      <c r="C293" s="26"/>
      <c r="D293" s="26"/>
      <c r="E293" s="26"/>
      <c r="F293" s="26"/>
      <c r="G293" s="26"/>
      <c r="H293" s="26"/>
      <c r="I293" s="26"/>
      <c r="J293" s="26"/>
    </row>
    <row r="294" spans="1:10" x14ac:dyDescent="0.35">
      <c r="A294" t="s">
        <v>455</v>
      </c>
      <c r="B294" s="7" t="s">
        <v>1279</v>
      </c>
    </row>
    <row r="295" spans="1:10" x14ac:dyDescent="0.35">
      <c r="A295" t="s">
        <v>763</v>
      </c>
      <c r="B295" s="7" t="s">
        <v>1587</v>
      </c>
      <c r="C295">
        <v>1E-3</v>
      </c>
      <c r="D295" t="s">
        <v>1720</v>
      </c>
      <c r="E295" t="s">
        <v>1721</v>
      </c>
      <c r="G295" t="s">
        <v>1742</v>
      </c>
      <c r="H295" t="s">
        <v>2010</v>
      </c>
      <c r="I295" s="57">
        <v>44574</v>
      </c>
      <c r="J295" t="s">
        <v>2011</v>
      </c>
    </row>
    <row r="296" spans="1:10" x14ac:dyDescent="0.35">
      <c r="A296" t="s">
        <v>12</v>
      </c>
      <c r="B296" s="7" t="s">
        <v>841</v>
      </c>
      <c r="C296">
        <v>6.9999999999999999E-4</v>
      </c>
      <c r="D296" t="s">
        <v>1720</v>
      </c>
      <c r="E296" t="s">
        <v>1721</v>
      </c>
      <c r="F296" t="s">
        <v>1968</v>
      </c>
      <c r="G296" t="s">
        <v>1748</v>
      </c>
      <c r="H296" t="s">
        <v>1956</v>
      </c>
      <c r="I296" s="57">
        <v>44574</v>
      </c>
      <c r="J296" s="13" t="s">
        <v>1955</v>
      </c>
    </row>
    <row r="297" spans="1:10" x14ac:dyDescent="0.35">
      <c r="A297" t="s">
        <v>350</v>
      </c>
      <c r="B297" s="7" t="s">
        <v>1174</v>
      </c>
      <c r="C297">
        <v>6.9999999999999999E-4</v>
      </c>
      <c r="D297" t="s">
        <v>1720</v>
      </c>
      <c r="E297" t="s">
        <v>1721</v>
      </c>
      <c r="F297" t="s">
        <v>1968</v>
      </c>
      <c r="G297" t="s">
        <v>1748</v>
      </c>
      <c r="H297" t="s">
        <v>1956</v>
      </c>
      <c r="I297" s="57">
        <v>44574</v>
      </c>
      <c r="J297" s="13" t="s">
        <v>1955</v>
      </c>
    </row>
    <row r="298" spans="1:10" x14ac:dyDescent="0.35">
      <c r="A298" t="s">
        <v>598</v>
      </c>
      <c r="B298" s="7" t="s">
        <v>1422</v>
      </c>
      <c r="C298">
        <v>8.0000000000000004E-4</v>
      </c>
      <c r="D298" t="s">
        <v>1720</v>
      </c>
      <c r="E298" t="s">
        <v>1721</v>
      </c>
      <c r="G298" t="s">
        <v>1742</v>
      </c>
      <c r="H298" t="s">
        <v>2012</v>
      </c>
      <c r="I298" s="57">
        <v>44574</v>
      </c>
      <c r="J298" t="s">
        <v>2011</v>
      </c>
    </row>
    <row r="299" spans="1:10" x14ac:dyDescent="0.35">
      <c r="A299" t="s">
        <v>52</v>
      </c>
      <c r="B299" s="7" t="s">
        <v>881</v>
      </c>
      <c r="C299">
        <v>5.0000000000000001E-3</v>
      </c>
      <c r="D299" t="s">
        <v>1720</v>
      </c>
      <c r="E299" t="s">
        <v>1721</v>
      </c>
      <c r="G299" t="s">
        <v>1742</v>
      </c>
      <c r="H299" t="s">
        <v>2010</v>
      </c>
      <c r="I299" s="57">
        <v>44574</v>
      </c>
      <c r="J299" s="13" t="s">
        <v>2013</v>
      </c>
    </row>
    <row r="300" spans="1:10" x14ac:dyDescent="0.35">
      <c r="A300" t="s">
        <v>448</v>
      </c>
      <c r="B300" s="7" t="s">
        <v>1272</v>
      </c>
      <c r="C300">
        <v>0.12</v>
      </c>
      <c r="D300" t="s">
        <v>1720</v>
      </c>
      <c r="E300" t="s">
        <v>1721</v>
      </c>
      <c r="F300" t="s">
        <v>1974</v>
      </c>
      <c r="G300" t="s">
        <v>1979</v>
      </c>
      <c r="H300" t="s">
        <v>1981</v>
      </c>
      <c r="I300" s="57">
        <v>44574</v>
      </c>
      <c r="J300" s="13" t="s">
        <v>1980</v>
      </c>
    </row>
    <row r="301" spans="1:10" x14ac:dyDescent="0.35">
      <c r="A301" t="s">
        <v>233</v>
      </c>
      <c r="B301" s="7" t="s">
        <v>1060</v>
      </c>
      <c r="C301">
        <v>4.0000000000000002E-4</v>
      </c>
      <c r="D301" t="s">
        <v>1720</v>
      </c>
      <c r="E301" t="s">
        <v>1721</v>
      </c>
      <c r="G301" t="s">
        <v>1742</v>
      </c>
      <c r="H301" t="s">
        <v>2012</v>
      </c>
      <c r="I301" s="57">
        <v>44574</v>
      </c>
      <c r="J301" s="13" t="s">
        <v>2011</v>
      </c>
    </row>
    <row r="302" spans="1:10" x14ac:dyDescent="0.35">
      <c r="A302" t="s">
        <v>469</v>
      </c>
      <c r="B302" s="7" t="s">
        <v>1293</v>
      </c>
      <c r="C302">
        <v>2.0000000000000002E-5</v>
      </c>
      <c r="D302" t="s">
        <v>1720</v>
      </c>
      <c r="E302" t="s">
        <v>1721</v>
      </c>
      <c r="G302" t="s">
        <v>1742</v>
      </c>
      <c r="H302" t="s">
        <v>2012</v>
      </c>
      <c r="I302" s="57">
        <v>44574</v>
      </c>
      <c r="J302" t="s">
        <v>2011</v>
      </c>
    </row>
    <row r="303" spans="1:10" x14ac:dyDescent="0.35">
      <c r="A303" t="s">
        <v>710</v>
      </c>
      <c r="B303" s="7" t="s">
        <v>1534</v>
      </c>
    </row>
    <row r="304" spans="1:10" x14ac:dyDescent="0.35">
      <c r="A304" t="s">
        <v>454</v>
      </c>
      <c r="B304" s="7" t="s">
        <v>1278</v>
      </c>
    </row>
    <row r="305" spans="1:10" x14ac:dyDescent="0.35">
      <c r="A305" t="s">
        <v>453</v>
      </c>
      <c r="B305" s="7" t="s">
        <v>1277</v>
      </c>
    </row>
    <row r="306" spans="1:10" x14ac:dyDescent="0.35">
      <c r="A306" t="s">
        <v>752</v>
      </c>
      <c r="B306" s="7" t="s">
        <v>1576</v>
      </c>
    </row>
    <row r="307" spans="1:10" x14ac:dyDescent="0.35">
      <c r="A307" t="s">
        <v>452</v>
      </c>
      <c r="B307" s="7" t="s">
        <v>1276</v>
      </c>
    </row>
    <row r="308" spans="1:10" x14ac:dyDescent="0.35">
      <c r="A308" t="s">
        <v>449</v>
      </c>
      <c r="B308" s="7" t="s">
        <v>1273</v>
      </c>
      <c r="C308">
        <v>2.0000000000000001E-4</v>
      </c>
      <c r="D308" t="s">
        <v>1720</v>
      </c>
      <c r="E308" t="s">
        <v>1721</v>
      </c>
      <c r="G308" t="s">
        <v>1742</v>
      </c>
      <c r="H308" t="s">
        <v>2012</v>
      </c>
      <c r="I308" s="57">
        <v>44573</v>
      </c>
      <c r="J308" s="13" t="s">
        <v>2013</v>
      </c>
    </row>
    <row r="309" spans="1:10" x14ac:dyDescent="0.35">
      <c r="A309" t="s">
        <v>451</v>
      </c>
      <c r="B309" s="7" t="s">
        <v>1275</v>
      </c>
    </row>
    <row r="310" spans="1:10" x14ac:dyDescent="0.35">
      <c r="A310" s="4" t="s">
        <v>451</v>
      </c>
      <c r="B310" t="s">
        <v>1603</v>
      </c>
    </row>
    <row r="311" spans="1:10" x14ac:dyDescent="0.35">
      <c r="A311" t="s">
        <v>450</v>
      </c>
      <c r="B311" s="7" t="s">
        <v>1274</v>
      </c>
      <c r="C311">
        <f>0.0016*10^3</f>
        <v>1.6</v>
      </c>
      <c r="D311" t="s">
        <v>1720</v>
      </c>
      <c r="E311" t="s">
        <v>1721</v>
      </c>
      <c r="F311" t="s">
        <v>1732</v>
      </c>
      <c r="G311" t="s">
        <v>1738</v>
      </c>
      <c r="H311" t="s">
        <v>2020</v>
      </c>
      <c r="I311" s="57">
        <v>44580</v>
      </c>
      <c r="J311" t="s">
        <v>2072</v>
      </c>
    </row>
    <row r="312" spans="1:10" x14ac:dyDescent="0.35">
      <c r="A312" t="s">
        <v>450</v>
      </c>
      <c r="B312" s="7" t="s">
        <v>1274</v>
      </c>
      <c r="C312">
        <f>0.014*10^3</f>
        <v>14</v>
      </c>
      <c r="D312" t="s">
        <v>1720</v>
      </c>
      <c r="E312" t="s">
        <v>1724</v>
      </c>
      <c r="F312" t="s">
        <v>1732</v>
      </c>
      <c r="G312" t="s">
        <v>1738</v>
      </c>
      <c r="H312" t="s">
        <v>2020</v>
      </c>
      <c r="I312" s="57">
        <v>44580</v>
      </c>
      <c r="J312" s="13" t="s">
        <v>2072</v>
      </c>
    </row>
    <row r="313" spans="1:10" x14ac:dyDescent="0.35">
      <c r="A313" t="s">
        <v>660</v>
      </c>
      <c r="B313" s="7" t="s">
        <v>1484</v>
      </c>
    </row>
    <row r="314" spans="1:10" x14ac:dyDescent="0.35">
      <c r="A314" t="s">
        <v>690</v>
      </c>
      <c r="B314" s="7" t="s">
        <v>1514</v>
      </c>
    </row>
    <row r="315" spans="1:10" x14ac:dyDescent="0.35">
      <c r="A315" t="s">
        <v>689</v>
      </c>
      <c r="B315" s="7" t="s">
        <v>1513</v>
      </c>
    </row>
    <row r="316" spans="1:10" x14ac:dyDescent="0.35">
      <c r="A316" t="s">
        <v>446</v>
      </c>
      <c r="B316" s="7" t="s">
        <v>1270</v>
      </c>
    </row>
    <row r="317" spans="1:10" x14ac:dyDescent="0.35">
      <c r="A317" t="s">
        <v>445</v>
      </c>
      <c r="B317" s="7" t="s">
        <v>1269</v>
      </c>
    </row>
    <row r="318" spans="1:10" x14ac:dyDescent="0.35">
      <c r="A318" t="s">
        <v>32</v>
      </c>
      <c r="B318" s="7" t="s">
        <v>861</v>
      </c>
      <c r="C318">
        <v>0.2</v>
      </c>
      <c r="D318" t="s">
        <v>1720</v>
      </c>
      <c r="E318" t="s">
        <v>1721</v>
      </c>
      <c r="G318" t="s">
        <v>1742</v>
      </c>
      <c r="H318" t="s">
        <v>2012</v>
      </c>
      <c r="I318" s="57">
        <v>44574</v>
      </c>
      <c r="J318" t="s">
        <v>2011</v>
      </c>
    </row>
    <row r="319" spans="1:10" x14ac:dyDescent="0.35">
      <c r="A319" t="s">
        <v>87</v>
      </c>
      <c r="B319" s="7" t="s">
        <v>916</v>
      </c>
      <c r="C319">
        <v>5</v>
      </c>
      <c r="D319" t="s">
        <v>1720</v>
      </c>
      <c r="E319" t="s">
        <v>1721</v>
      </c>
      <c r="G319" t="s">
        <v>1742</v>
      </c>
      <c r="H319" t="s">
        <v>2012</v>
      </c>
      <c r="I319" s="57">
        <v>44574</v>
      </c>
      <c r="J319" t="s">
        <v>2011</v>
      </c>
    </row>
    <row r="320" spans="1:10" x14ac:dyDescent="0.35">
      <c r="A320" t="s">
        <v>122</v>
      </c>
      <c r="B320" s="7" t="s">
        <v>951</v>
      </c>
      <c r="C320" s="26">
        <v>60</v>
      </c>
      <c r="D320" s="26" t="s">
        <v>1720</v>
      </c>
      <c r="E320" s="26" t="s">
        <v>1721</v>
      </c>
      <c r="G320" s="26" t="s">
        <v>1742</v>
      </c>
      <c r="H320" s="26" t="s">
        <v>2012</v>
      </c>
      <c r="I320" s="48">
        <v>44574</v>
      </c>
      <c r="J320" t="s">
        <v>2011</v>
      </c>
    </row>
    <row r="321" spans="1:10" x14ac:dyDescent="0.35">
      <c r="A321" t="s">
        <v>444</v>
      </c>
      <c r="B321" s="7" t="s">
        <v>1268</v>
      </c>
      <c r="C321">
        <v>1</v>
      </c>
      <c r="D321" t="s">
        <v>1720</v>
      </c>
      <c r="E321" t="s">
        <v>1721</v>
      </c>
      <c r="F321" t="s">
        <v>1965</v>
      </c>
      <c r="G321" t="s">
        <v>1738</v>
      </c>
      <c r="H321" s="26" t="s">
        <v>2020</v>
      </c>
      <c r="I321" s="57">
        <v>44580</v>
      </c>
      <c r="J321" t="s">
        <v>4160</v>
      </c>
    </row>
    <row r="322" spans="1:10" x14ac:dyDescent="0.35">
      <c r="A322" s="26" t="s">
        <v>3361</v>
      </c>
      <c r="B322" s="26" t="s">
        <v>3362</v>
      </c>
      <c r="C322" s="26">
        <f>0.0002*10^3</f>
        <v>0.2</v>
      </c>
      <c r="D322" s="26" t="s">
        <v>1720</v>
      </c>
      <c r="E322" s="26" t="s">
        <v>1724</v>
      </c>
      <c r="F322" s="26" t="s">
        <v>2044</v>
      </c>
      <c r="G322" s="26" t="s">
        <v>1738</v>
      </c>
      <c r="H322" s="26" t="s">
        <v>2020</v>
      </c>
      <c r="I322" s="48">
        <v>44580</v>
      </c>
      <c r="J322" s="26" t="s">
        <v>3455</v>
      </c>
    </row>
    <row r="323" spans="1:10" x14ac:dyDescent="0.35">
      <c r="A323" t="s">
        <v>711</v>
      </c>
      <c r="B323" s="7" t="s">
        <v>1535</v>
      </c>
      <c r="C323">
        <v>0.12</v>
      </c>
      <c r="D323" t="s">
        <v>1720</v>
      </c>
      <c r="E323" t="s">
        <v>1721</v>
      </c>
      <c r="F323" t="s">
        <v>1974</v>
      </c>
      <c r="G323" t="s">
        <v>1979</v>
      </c>
      <c r="H323" t="s">
        <v>1981</v>
      </c>
      <c r="I323" s="57">
        <v>44574</v>
      </c>
      <c r="J323" s="13" t="s">
        <v>1980</v>
      </c>
    </row>
    <row r="324" spans="1:10" x14ac:dyDescent="0.35">
      <c r="A324" t="s">
        <v>149</v>
      </c>
      <c r="B324" s="7" t="s">
        <v>978</v>
      </c>
      <c r="C324">
        <v>0.12</v>
      </c>
      <c r="D324" t="s">
        <v>1720</v>
      </c>
      <c r="E324" t="s">
        <v>1721</v>
      </c>
      <c r="F324" t="s">
        <v>1974</v>
      </c>
      <c r="G324" t="s">
        <v>1748</v>
      </c>
      <c r="H324" t="s">
        <v>1956</v>
      </c>
      <c r="I324" s="57">
        <v>44574</v>
      </c>
      <c r="J324" s="13" t="s">
        <v>1993</v>
      </c>
    </row>
    <row r="325" spans="1:10" s="26" customFormat="1" x14ac:dyDescent="0.35">
      <c r="A325" t="s">
        <v>704</v>
      </c>
      <c r="B325" s="7" t="s">
        <v>1528</v>
      </c>
      <c r="C325">
        <v>2.0000000000000001E-4</v>
      </c>
      <c r="D325" t="s">
        <v>1720</v>
      </c>
      <c r="E325" t="s">
        <v>1721</v>
      </c>
      <c r="F325" t="s">
        <v>1974</v>
      </c>
      <c r="G325" t="s">
        <v>1979</v>
      </c>
      <c r="H325" t="s">
        <v>1981</v>
      </c>
      <c r="I325" s="57">
        <v>44574</v>
      </c>
      <c r="J325" s="13" t="s">
        <v>1980</v>
      </c>
    </row>
    <row r="326" spans="1:10" x14ac:dyDescent="0.35">
      <c r="A326" t="s">
        <v>481</v>
      </c>
      <c r="B326" s="7" t="s">
        <v>1305</v>
      </c>
      <c r="C326">
        <v>2.0000000000000001E-4</v>
      </c>
      <c r="D326" t="s">
        <v>1720</v>
      </c>
      <c r="E326" t="s">
        <v>1721</v>
      </c>
      <c r="F326" t="s">
        <v>1974</v>
      </c>
      <c r="G326" t="s">
        <v>1748</v>
      </c>
      <c r="H326" t="s">
        <v>1956</v>
      </c>
      <c r="I326" s="57">
        <v>44574</v>
      </c>
      <c r="J326" s="13" t="s">
        <v>1955</v>
      </c>
    </row>
    <row r="327" spans="1:10" x14ac:dyDescent="0.35">
      <c r="A327" s="26" t="s">
        <v>3361</v>
      </c>
      <c r="B327" s="26" t="s">
        <v>3362</v>
      </c>
      <c r="C327" s="26">
        <f>8.3*10^-3</f>
        <v>8.3000000000000001E-3</v>
      </c>
      <c r="D327" s="26" t="s">
        <v>1720</v>
      </c>
      <c r="E327" s="26" t="s">
        <v>1721</v>
      </c>
      <c r="F327" s="26" t="s">
        <v>2044</v>
      </c>
      <c r="G327" s="26" t="s">
        <v>1738</v>
      </c>
      <c r="H327" s="26" t="s">
        <v>2020</v>
      </c>
      <c r="I327" s="48">
        <v>44580</v>
      </c>
      <c r="J327" s="26" t="s">
        <v>3455</v>
      </c>
    </row>
    <row r="328" spans="1:10" x14ac:dyDescent="0.35">
      <c r="A328" t="s">
        <v>443</v>
      </c>
      <c r="B328" s="7" t="s">
        <v>1267</v>
      </c>
    </row>
    <row r="329" spans="1:10" x14ac:dyDescent="0.35">
      <c r="A329" t="s">
        <v>442</v>
      </c>
      <c r="B329" s="7" t="s">
        <v>1266</v>
      </c>
    </row>
    <row r="330" spans="1:10" x14ac:dyDescent="0.35">
      <c r="A330" t="s">
        <v>441</v>
      </c>
      <c r="B330" s="7" t="s">
        <v>1265</v>
      </c>
    </row>
    <row r="331" spans="1:10" x14ac:dyDescent="0.35">
      <c r="A331" t="s">
        <v>440</v>
      </c>
      <c r="B331" s="7" t="s">
        <v>1264</v>
      </c>
    </row>
    <row r="332" spans="1:10" x14ac:dyDescent="0.35">
      <c r="A332" t="s">
        <v>439</v>
      </c>
      <c r="B332" s="7" t="s">
        <v>1263</v>
      </c>
    </row>
    <row r="333" spans="1:10" x14ac:dyDescent="0.35">
      <c r="A333" t="s">
        <v>448</v>
      </c>
      <c r="B333" s="7" t="s">
        <v>1272</v>
      </c>
      <c r="C333">
        <v>0.12</v>
      </c>
      <c r="D333" t="s">
        <v>1720</v>
      </c>
      <c r="E333" t="s">
        <v>1721</v>
      </c>
      <c r="F333" t="s">
        <v>1974</v>
      </c>
      <c r="G333" t="s">
        <v>1748</v>
      </c>
      <c r="H333" t="s">
        <v>1956</v>
      </c>
      <c r="I333" s="57">
        <v>44574</v>
      </c>
      <c r="J333" s="13" t="s">
        <v>1994</v>
      </c>
    </row>
    <row r="334" spans="1:10" x14ac:dyDescent="0.35">
      <c r="A334" t="s">
        <v>733</v>
      </c>
      <c r="B334" s="7" t="s">
        <v>1557</v>
      </c>
    </row>
    <row r="335" spans="1:10" x14ac:dyDescent="0.35">
      <c r="A335" t="s">
        <v>438</v>
      </c>
      <c r="B335" s="7" t="s">
        <v>1262</v>
      </c>
    </row>
    <row r="336" spans="1:10" x14ac:dyDescent="0.35">
      <c r="A336" t="s">
        <v>437</v>
      </c>
      <c r="B336" s="7" t="s">
        <v>1261</v>
      </c>
    </row>
    <row r="337" spans="1:10" x14ac:dyDescent="0.35">
      <c r="A337" s="6" t="s">
        <v>812</v>
      </c>
      <c r="B337" s="7" t="s">
        <v>1635</v>
      </c>
    </row>
    <row r="338" spans="1:10" x14ac:dyDescent="0.35">
      <c r="A338" t="s">
        <v>436</v>
      </c>
      <c r="B338" s="7" t="s">
        <v>1260</v>
      </c>
      <c r="C338">
        <v>2</v>
      </c>
      <c r="D338" t="s">
        <v>1720</v>
      </c>
      <c r="E338" t="s">
        <v>1721</v>
      </c>
      <c r="F338" t="s">
        <v>1965</v>
      </c>
      <c r="G338" t="s">
        <v>1738</v>
      </c>
      <c r="H338" t="s">
        <v>4124</v>
      </c>
      <c r="I338" s="57">
        <v>44580</v>
      </c>
      <c r="J338" s="13" t="s">
        <v>2052</v>
      </c>
    </row>
    <row r="339" spans="1:10" x14ac:dyDescent="0.35">
      <c r="A339" t="s">
        <v>436</v>
      </c>
      <c r="B339" s="7" t="s">
        <v>1260</v>
      </c>
      <c r="C339">
        <f>1*10^3</f>
        <v>1000</v>
      </c>
      <c r="D339" t="s">
        <v>1720</v>
      </c>
      <c r="E339" t="s">
        <v>1724</v>
      </c>
      <c r="F339" t="s">
        <v>1732</v>
      </c>
      <c r="G339" t="s">
        <v>1738</v>
      </c>
      <c r="H339" t="s">
        <v>2020</v>
      </c>
      <c r="I339" s="57">
        <v>44580</v>
      </c>
      <c r="J339" t="s">
        <v>2052</v>
      </c>
    </row>
    <row r="340" spans="1:10" x14ac:dyDescent="0.35">
      <c r="A340" t="s">
        <v>434</v>
      </c>
      <c r="B340" s="7" t="s">
        <v>1258</v>
      </c>
    </row>
    <row r="341" spans="1:10" x14ac:dyDescent="0.35">
      <c r="A341" t="s">
        <v>433</v>
      </c>
      <c r="B341" s="7" t="s">
        <v>1257</v>
      </c>
    </row>
    <row r="342" spans="1:10" x14ac:dyDescent="0.35">
      <c r="A342" t="s">
        <v>432</v>
      </c>
      <c r="B342" s="7" t="s">
        <v>1256</v>
      </c>
    </row>
    <row r="343" spans="1:10" x14ac:dyDescent="0.35">
      <c r="A343" t="s">
        <v>175</v>
      </c>
      <c r="B343" s="7" t="s">
        <v>1004</v>
      </c>
      <c r="C343">
        <v>0.2</v>
      </c>
      <c r="D343" t="s">
        <v>1720</v>
      </c>
      <c r="E343" t="s">
        <v>1721</v>
      </c>
      <c r="F343" t="s">
        <v>1962</v>
      </c>
      <c r="G343" t="s">
        <v>1742</v>
      </c>
      <c r="H343" t="s">
        <v>2010</v>
      </c>
      <c r="I343" s="57">
        <v>44574</v>
      </c>
      <c r="J343" t="s">
        <v>2013</v>
      </c>
    </row>
    <row r="344" spans="1:10" x14ac:dyDescent="0.35">
      <c r="A344" t="s">
        <v>431</v>
      </c>
      <c r="B344" s="7" t="s">
        <v>1255</v>
      </c>
      <c r="C344">
        <f>0.096*10^3</f>
        <v>96</v>
      </c>
      <c r="D344" t="s">
        <v>1720</v>
      </c>
      <c r="E344" t="s">
        <v>1721</v>
      </c>
      <c r="F344" t="s">
        <v>2050</v>
      </c>
      <c r="G344" t="s">
        <v>1738</v>
      </c>
      <c r="H344" t="s">
        <v>2020</v>
      </c>
      <c r="I344" s="57">
        <v>44580</v>
      </c>
      <c r="J344" t="s">
        <v>2051</v>
      </c>
    </row>
    <row r="345" spans="1:10" x14ac:dyDescent="0.35">
      <c r="A345" t="s">
        <v>431</v>
      </c>
      <c r="B345" s="7" t="s">
        <v>1255</v>
      </c>
      <c r="C345">
        <f>0.86*10^3</f>
        <v>860</v>
      </c>
      <c r="D345" t="s">
        <v>1720</v>
      </c>
      <c r="E345" t="s">
        <v>1724</v>
      </c>
      <c r="F345" t="s">
        <v>2050</v>
      </c>
      <c r="G345" t="s">
        <v>1738</v>
      </c>
      <c r="H345" t="s">
        <v>2020</v>
      </c>
      <c r="I345" s="57">
        <v>44580</v>
      </c>
      <c r="J345" t="s">
        <v>2051</v>
      </c>
    </row>
    <row r="346" spans="1:10" x14ac:dyDescent="0.35">
      <c r="A346" t="s">
        <v>430</v>
      </c>
      <c r="B346" s="7" t="s">
        <v>1254</v>
      </c>
    </row>
    <row r="347" spans="1:10" x14ac:dyDescent="0.35">
      <c r="A347" t="s">
        <v>429</v>
      </c>
      <c r="B347" s="7" t="s">
        <v>1253</v>
      </c>
    </row>
    <row r="348" spans="1:10" x14ac:dyDescent="0.35">
      <c r="A348" t="s">
        <v>711</v>
      </c>
      <c r="B348" s="7" t="s">
        <v>1535</v>
      </c>
      <c r="C348">
        <v>0.12</v>
      </c>
      <c r="D348" t="s">
        <v>1720</v>
      </c>
      <c r="E348" t="s">
        <v>1721</v>
      </c>
      <c r="F348" t="s">
        <v>1974</v>
      </c>
      <c r="G348" t="s">
        <v>1748</v>
      </c>
      <c r="H348" t="s">
        <v>1956</v>
      </c>
      <c r="I348" s="57">
        <v>44574</v>
      </c>
      <c r="J348" s="13" t="s">
        <v>1995</v>
      </c>
    </row>
    <row r="349" spans="1:10" x14ac:dyDescent="0.35">
      <c r="A349" t="s">
        <v>704</v>
      </c>
      <c r="B349" s="7" t="s">
        <v>1528</v>
      </c>
      <c r="C349">
        <v>2.0000000000000001E-4</v>
      </c>
      <c r="D349" t="s">
        <v>1720</v>
      </c>
      <c r="E349" t="s">
        <v>1721</v>
      </c>
      <c r="F349" t="s">
        <v>1974</v>
      </c>
      <c r="G349" t="s">
        <v>1748</v>
      </c>
      <c r="H349" t="s">
        <v>1956</v>
      </c>
      <c r="I349" s="57">
        <v>44574</v>
      </c>
      <c r="J349" s="13" t="s">
        <v>1955</v>
      </c>
    </row>
    <row r="350" spans="1:10" x14ac:dyDescent="0.35">
      <c r="A350" t="s">
        <v>428</v>
      </c>
      <c r="B350" s="7" t="s">
        <v>1252</v>
      </c>
    </row>
    <row r="351" spans="1:10" x14ac:dyDescent="0.35">
      <c r="A351" t="s">
        <v>427</v>
      </c>
      <c r="B351" s="7" t="s">
        <v>1251</v>
      </c>
    </row>
    <row r="352" spans="1:10" x14ac:dyDescent="0.35">
      <c r="A352" t="s">
        <v>426</v>
      </c>
      <c r="B352" s="7" t="s">
        <v>1250</v>
      </c>
    </row>
    <row r="353" spans="1:10" x14ac:dyDescent="0.35">
      <c r="A353" t="s">
        <v>425</v>
      </c>
      <c r="B353" s="7" t="s">
        <v>1249</v>
      </c>
    </row>
    <row r="354" spans="1:10" x14ac:dyDescent="0.35">
      <c r="A354" t="s">
        <v>424</v>
      </c>
      <c r="B354" s="7" t="s">
        <v>1248</v>
      </c>
      <c r="C354">
        <v>0.24</v>
      </c>
      <c r="D354" t="s">
        <v>1720</v>
      </c>
      <c r="E354" t="s">
        <v>1721</v>
      </c>
      <c r="F354" t="s">
        <v>1976</v>
      </c>
      <c r="G354" t="s">
        <v>1738</v>
      </c>
      <c r="H354" t="s">
        <v>4124</v>
      </c>
      <c r="I354" s="57">
        <v>44580</v>
      </c>
      <c r="J354" s="13" t="s">
        <v>4150</v>
      </c>
    </row>
    <row r="355" spans="1:10" x14ac:dyDescent="0.35">
      <c r="A355" s="26" t="s">
        <v>3413</v>
      </c>
      <c r="B355" s="26" t="s">
        <v>3418</v>
      </c>
      <c r="C355" s="26"/>
      <c r="D355" s="26"/>
      <c r="E355" s="26"/>
      <c r="F355" s="26"/>
      <c r="G355" s="26"/>
      <c r="H355" s="26"/>
      <c r="I355" s="26"/>
      <c r="J355" s="26"/>
    </row>
    <row r="356" spans="1:10" x14ac:dyDescent="0.35">
      <c r="A356" t="s">
        <v>423</v>
      </c>
      <c r="B356" s="7" t="s">
        <v>1247</v>
      </c>
    </row>
    <row r="357" spans="1:10" x14ac:dyDescent="0.35">
      <c r="A357" t="s">
        <v>422</v>
      </c>
      <c r="B357" s="7" t="s">
        <v>1246</v>
      </c>
    </row>
    <row r="358" spans="1:10" x14ac:dyDescent="0.35">
      <c r="A358" t="s">
        <v>421</v>
      </c>
      <c r="B358" s="7" t="s">
        <v>1245</v>
      </c>
    </row>
    <row r="359" spans="1:10" x14ac:dyDescent="0.35">
      <c r="A359" t="s">
        <v>420</v>
      </c>
      <c r="B359" s="7" t="s">
        <v>1244</v>
      </c>
    </row>
    <row r="360" spans="1:10" x14ac:dyDescent="0.35">
      <c r="A360" t="s">
        <v>419</v>
      </c>
      <c r="B360" s="7" t="s">
        <v>1243</v>
      </c>
    </row>
    <row r="361" spans="1:10" x14ac:dyDescent="0.35">
      <c r="A361" t="s">
        <v>417</v>
      </c>
      <c r="B361" s="7" t="s">
        <v>1241</v>
      </c>
    </row>
    <row r="362" spans="1:10" x14ac:dyDescent="0.35">
      <c r="A362" t="s">
        <v>416</v>
      </c>
      <c r="B362" s="7" t="s">
        <v>1240</v>
      </c>
    </row>
    <row r="363" spans="1:10" x14ac:dyDescent="0.35">
      <c r="A363" t="s">
        <v>789</v>
      </c>
      <c r="B363" s="7" t="s">
        <v>1612</v>
      </c>
    </row>
    <row r="364" spans="1:10" x14ac:dyDescent="0.35">
      <c r="A364" t="s">
        <v>415</v>
      </c>
      <c r="B364" s="7" t="s">
        <v>1239</v>
      </c>
      <c r="C364">
        <f>0.001</f>
        <v>1E-3</v>
      </c>
      <c r="D364" t="s">
        <v>1720</v>
      </c>
      <c r="E364" t="s">
        <v>1721</v>
      </c>
      <c r="F364" t="s">
        <v>1987</v>
      </c>
      <c r="G364" t="s">
        <v>1738</v>
      </c>
      <c r="H364" t="s">
        <v>4124</v>
      </c>
      <c r="I364" s="57">
        <v>44580</v>
      </c>
      <c r="J364" t="s">
        <v>2057</v>
      </c>
    </row>
    <row r="365" spans="1:10" x14ac:dyDescent="0.35">
      <c r="A365" t="s">
        <v>414</v>
      </c>
      <c r="B365" s="7" t="s">
        <v>1238</v>
      </c>
    </row>
    <row r="366" spans="1:10" x14ac:dyDescent="0.35">
      <c r="A366" t="s">
        <v>413</v>
      </c>
      <c r="B366" s="7" t="s">
        <v>1237</v>
      </c>
    </row>
    <row r="367" spans="1:10" x14ac:dyDescent="0.35">
      <c r="A367" s="47" t="s">
        <v>3335</v>
      </c>
      <c r="B367" s="47" t="s">
        <v>3336</v>
      </c>
      <c r="D367" t="s">
        <v>3428</v>
      </c>
    </row>
    <row r="368" spans="1:10" x14ac:dyDescent="0.35">
      <c r="A368" t="s">
        <v>412</v>
      </c>
      <c r="B368" s="7" t="s">
        <v>1236</v>
      </c>
    </row>
    <row r="369" spans="1:10" x14ac:dyDescent="0.35">
      <c r="A369" t="s">
        <v>827</v>
      </c>
      <c r="B369" s="7" t="s">
        <v>1649</v>
      </c>
    </row>
    <row r="370" spans="1:10" x14ac:dyDescent="0.35">
      <c r="A370" t="s">
        <v>815</v>
      </c>
      <c r="B370" t="s">
        <v>1638</v>
      </c>
    </row>
    <row r="371" spans="1:10" x14ac:dyDescent="0.35">
      <c r="A371" t="s">
        <v>790</v>
      </c>
      <c r="B371" s="7" t="s">
        <v>1613</v>
      </c>
    </row>
    <row r="372" spans="1:10" x14ac:dyDescent="0.35">
      <c r="A372" t="s">
        <v>805</v>
      </c>
      <c r="B372" s="7" t="s">
        <v>1628</v>
      </c>
    </row>
    <row r="373" spans="1:10" x14ac:dyDescent="0.35">
      <c r="A373" t="s">
        <v>804</v>
      </c>
      <c r="B373" s="7" t="s">
        <v>1627</v>
      </c>
    </row>
    <row r="374" spans="1:10" x14ac:dyDescent="0.35">
      <c r="A374" t="s">
        <v>411</v>
      </c>
      <c r="B374" s="7" t="s">
        <v>1235</v>
      </c>
    </row>
    <row r="375" spans="1:10" x14ac:dyDescent="0.35">
      <c r="A375" t="s">
        <v>410</v>
      </c>
      <c r="B375" s="7" t="s">
        <v>1234</v>
      </c>
    </row>
    <row r="376" spans="1:10" x14ac:dyDescent="0.35">
      <c r="A376" t="s">
        <v>407</v>
      </c>
      <c r="B376" s="7" t="s">
        <v>1231</v>
      </c>
      <c r="C376">
        <f>11*10^3</f>
        <v>11000</v>
      </c>
      <c r="D376" t="s">
        <v>1720</v>
      </c>
      <c r="E376" t="s">
        <v>1724</v>
      </c>
      <c r="F376" t="s">
        <v>1740</v>
      </c>
      <c r="G376" t="s">
        <v>1738</v>
      </c>
      <c r="H376" t="s">
        <v>2020</v>
      </c>
      <c r="I376" s="57">
        <v>44580</v>
      </c>
      <c r="J376" t="s">
        <v>4161</v>
      </c>
    </row>
    <row r="377" spans="1:10" x14ac:dyDescent="0.35">
      <c r="A377" t="s">
        <v>407</v>
      </c>
      <c r="B377" s="7" t="s">
        <v>1231</v>
      </c>
      <c r="C377">
        <f>0.51*10^3</f>
        <v>510</v>
      </c>
      <c r="D377" t="s">
        <v>1720</v>
      </c>
      <c r="E377" t="s">
        <v>1721</v>
      </c>
      <c r="F377" t="s">
        <v>1740</v>
      </c>
      <c r="G377" t="s">
        <v>1738</v>
      </c>
      <c r="H377" t="s">
        <v>2020</v>
      </c>
      <c r="I377" s="57">
        <v>44580</v>
      </c>
      <c r="J377" t="s">
        <v>4161</v>
      </c>
    </row>
    <row r="378" spans="1:10" x14ac:dyDescent="0.35">
      <c r="A378" t="s">
        <v>406</v>
      </c>
      <c r="B378" s="7" t="s">
        <v>1230</v>
      </c>
    </row>
    <row r="379" spans="1:10" x14ac:dyDescent="0.35">
      <c r="A379" t="s">
        <v>784</v>
      </c>
      <c r="B379" s="7" t="s">
        <v>1607</v>
      </c>
    </row>
    <row r="380" spans="1:10" x14ac:dyDescent="0.35">
      <c r="A380" t="s">
        <v>405</v>
      </c>
      <c r="B380" s="7" t="s">
        <v>1229</v>
      </c>
    </row>
    <row r="381" spans="1:10" x14ac:dyDescent="0.35">
      <c r="A381" t="s">
        <v>404</v>
      </c>
      <c r="B381" s="7" t="s">
        <v>1228</v>
      </c>
      <c r="C381">
        <f>0.4*10^3</f>
        <v>400</v>
      </c>
      <c r="D381" t="s">
        <v>1720</v>
      </c>
      <c r="E381" t="s">
        <v>1724</v>
      </c>
      <c r="F381" t="s">
        <v>2075</v>
      </c>
      <c r="G381" t="s">
        <v>1738</v>
      </c>
      <c r="H381" t="s">
        <v>2020</v>
      </c>
      <c r="I381" s="57">
        <v>44580</v>
      </c>
      <c r="J381" t="s">
        <v>4162</v>
      </c>
    </row>
    <row r="382" spans="1:10" x14ac:dyDescent="0.35">
      <c r="A382" t="s">
        <v>404</v>
      </c>
      <c r="B382" s="7" t="s">
        <v>1228</v>
      </c>
      <c r="C382">
        <f>0.044*10^3</f>
        <v>44</v>
      </c>
      <c r="D382" t="s">
        <v>1720</v>
      </c>
      <c r="E382" t="s">
        <v>1724</v>
      </c>
      <c r="F382" t="s">
        <v>2075</v>
      </c>
      <c r="G382" t="s">
        <v>1738</v>
      </c>
      <c r="H382" t="s">
        <v>2020</v>
      </c>
      <c r="I382" s="57">
        <v>44580</v>
      </c>
      <c r="J382" t="s">
        <v>4162</v>
      </c>
    </row>
    <row r="383" spans="1:10" x14ac:dyDescent="0.35">
      <c r="A383" t="s">
        <v>801</v>
      </c>
      <c r="B383" s="7" t="s">
        <v>1624</v>
      </c>
    </row>
    <row r="384" spans="1:10" x14ac:dyDescent="0.35">
      <c r="A384" t="s">
        <v>398</v>
      </c>
      <c r="B384" s="7" t="s">
        <v>1222</v>
      </c>
    </row>
    <row r="385" spans="1:10" x14ac:dyDescent="0.35">
      <c r="A385" t="s">
        <v>397</v>
      </c>
      <c r="B385" s="7" t="s">
        <v>1221</v>
      </c>
    </row>
    <row r="386" spans="1:10" x14ac:dyDescent="0.35">
      <c r="A386" t="s">
        <v>396</v>
      </c>
      <c r="B386" s="7" t="s">
        <v>1220</v>
      </c>
    </row>
    <row r="387" spans="1:10" x14ac:dyDescent="0.35">
      <c r="A387" t="s">
        <v>395</v>
      </c>
      <c r="B387" s="7" t="s">
        <v>1219</v>
      </c>
    </row>
    <row r="388" spans="1:10" x14ac:dyDescent="0.35">
      <c r="A388" t="s">
        <v>394</v>
      </c>
      <c r="B388" s="7" t="s">
        <v>1218</v>
      </c>
    </row>
    <row r="389" spans="1:10" x14ac:dyDescent="0.35">
      <c r="A389" t="s">
        <v>751</v>
      </c>
      <c r="B389" s="7" t="s">
        <v>1575</v>
      </c>
    </row>
    <row r="390" spans="1:10" x14ac:dyDescent="0.35">
      <c r="A390" t="s">
        <v>772</v>
      </c>
      <c r="B390" s="7" t="s">
        <v>1596</v>
      </c>
    </row>
    <row r="391" spans="1:10" x14ac:dyDescent="0.35">
      <c r="A391" t="s">
        <v>393</v>
      </c>
      <c r="B391" s="7" t="s">
        <v>1217</v>
      </c>
    </row>
    <row r="392" spans="1:10" x14ac:dyDescent="0.35">
      <c r="A392" t="s">
        <v>392</v>
      </c>
      <c r="B392" s="7" t="s">
        <v>1216</v>
      </c>
    </row>
    <row r="393" spans="1:10" x14ac:dyDescent="0.35">
      <c r="A393" t="s">
        <v>391</v>
      </c>
      <c r="B393" s="7" t="s">
        <v>1215</v>
      </c>
    </row>
    <row r="394" spans="1:10" x14ac:dyDescent="0.35">
      <c r="A394" t="s">
        <v>379</v>
      </c>
      <c r="B394" s="7" t="s">
        <v>1203</v>
      </c>
      <c r="C394">
        <v>1E-3</v>
      </c>
      <c r="D394" t="s">
        <v>1720</v>
      </c>
      <c r="E394" t="s">
        <v>1721</v>
      </c>
      <c r="G394" t="s">
        <v>1742</v>
      </c>
      <c r="H394" t="s">
        <v>2010</v>
      </c>
      <c r="I394" s="57">
        <v>44574</v>
      </c>
      <c r="J394" s="13" t="s">
        <v>2013</v>
      </c>
    </row>
    <row r="395" spans="1:10" x14ac:dyDescent="0.35">
      <c r="A395" t="s">
        <v>249</v>
      </c>
      <c r="B395" s="7" t="s">
        <v>1075</v>
      </c>
      <c r="C395">
        <v>2.4E-2</v>
      </c>
      <c r="D395" t="s">
        <v>1720</v>
      </c>
      <c r="E395" t="s">
        <v>1721</v>
      </c>
      <c r="F395" t="s">
        <v>1974</v>
      </c>
      <c r="G395" t="s">
        <v>1748</v>
      </c>
      <c r="H395" t="s">
        <v>1956</v>
      </c>
      <c r="I395" s="57">
        <v>44574</v>
      </c>
      <c r="J395" s="13" t="s">
        <v>1997</v>
      </c>
    </row>
    <row r="396" spans="1:10" x14ac:dyDescent="0.35">
      <c r="A396" t="s">
        <v>287</v>
      </c>
      <c r="B396" s="7" t="s">
        <v>1112</v>
      </c>
      <c r="C396" s="35">
        <f>0.0000032*10^3</f>
        <v>3.1999999999999997E-3</v>
      </c>
      <c r="D396" t="s">
        <v>1720</v>
      </c>
      <c r="E396" t="s">
        <v>1721</v>
      </c>
      <c r="F396" t="s">
        <v>2017</v>
      </c>
      <c r="G396" t="s">
        <v>1738</v>
      </c>
      <c r="H396" t="s">
        <v>2020</v>
      </c>
      <c r="I396" s="57">
        <v>44580</v>
      </c>
      <c r="J396" s="13" t="s">
        <v>2021</v>
      </c>
    </row>
    <row r="397" spans="1:10" x14ac:dyDescent="0.35">
      <c r="A397" t="s">
        <v>139</v>
      </c>
      <c r="B397" s="7" t="s">
        <v>968</v>
      </c>
      <c r="C397" s="35">
        <f>0.0000032*10^3</f>
        <v>3.1999999999999997E-3</v>
      </c>
      <c r="D397" t="s">
        <v>1720</v>
      </c>
      <c r="E397" t="s">
        <v>1721</v>
      </c>
      <c r="F397" t="s">
        <v>1732</v>
      </c>
      <c r="G397" t="s">
        <v>1738</v>
      </c>
      <c r="H397" t="s">
        <v>2020</v>
      </c>
      <c r="I397" s="57">
        <v>44580</v>
      </c>
      <c r="J397" t="s">
        <v>2029</v>
      </c>
    </row>
    <row r="398" spans="1:10" x14ac:dyDescent="0.35">
      <c r="A398" t="s">
        <v>138</v>
      </c>
      <c r="B398" s="7" t="s">
        <v>967</v>
      </c>
      <c r="C398">
        <f>0.0000032*10^3</f>
        <v>3.1999999999999997E-3</v>
      </c>
      <c r="D398" t="s">
        <v>1720</v>
      </c>
      <c r="E398" t="s">
        <v>1721</v>
      </c>
      <c r="F398" t="s">
        <v>1732</v>
      </c>
      <c r="G398" t="s">
        <v>1738</v>
      </c>
      <c r="H398" t="s">
        <v>2020</v>
      </c>
      <c r="I398" s="57">
        <v>44580</v>
      </c>
      <c r="J398" t="s">
        <v>2029</v>
      </c>
    </row>
    <row r="399" spans="1:10" x14ac:dyDescent="0.35">
      <c r="A399" t="s">
        <v>390</v>
      </c>
      <c r="B399" s="7" t="s">
        <v>1214</v>
      </c>
    </row>
    <row r="400" spans="1:10" x14ac:dyDescent="0.35">
      <c r="A400" t="s">
        <v>722</v>
      </c>
      <c r="B400" s="7" t="s">
        <v>1546</v>
      </c>
      <c r="C400">
        <v>2.4E-2</v>
      </c>
      <c r="D400" t="s">
        <v>1720</v>
      </c>
      <c r="E400" t="s">
        <v>1721</v>
      </c>
      <c r="F400" t="s">
        <v>1974</v>
      </c>
      <c r="G400" t="s">
        <v>1748</v>
      </c>
      <c r="H400" t="s">
        <v>1956</v>
      </c>
      <c r="I400" s="57">
        <v>44574</v>
      </c>
      <c r="J400" s="13" t="s">
        <v>1998</v>
      </c>
    </row>
    <row r="401" spans="1:10" x14ac:dyDescent="0.35">
      <c r="A401" s="6" t="s">
        <v>817</v>
      </c>
      <c r="B401" t="s">
        <v>1640</v>
      </c>
    </row>
    <row r="402" spans="1:10" x14ac:dyDescent="0.35">
      <c r="A402" t="s">
        <v>771</v>
      </c>
      <c r="B402" s="7" t="s">
        <v>1595</v>
      </c>
    </row>
    <row r="403" spans="1:10" x14ac:dyDescent="0.35">
      <c r="A403" t="s">
        <v>389</v>
      </c>
      <c r="B403" s="7" t="s">
        <v>1213</v>
      </c>
    </row>
    <row r="404" spans="1:10" x14ac:dyDescent="0.35">
      <c r="A404" t="s">
        <v>388</v>
      </c>
      <c r="B404" s="7" t="s">
        <v>1212</v>
      </c>
    </row>
    <row r="405" spans="1:10" x14ac:dyDescent="0.35">
      <c r="A405" t="s">
        <v>387</v>
      </c>
      <c r="B405" s="7" t="s">
        <v>1211</v>
      </c>
    </row>
    <row r="406" spans="1:10" x14ac:dyDescent="0.35">
      <c r="A406" t="s">
        <v>386</v>
      </c>
      <c r="B406" s="7" t="s">
        <v>1210</v>
      </c>
    </row>
    <row r="407" spans="1:10" x14ac:dyDescent="0.35">
      <c r="A407" t="s">
        <v>385</v>
      </c>
      <c r="B407" s="7" t="s">
        <v>1209</v>
      </c>
    </row>
    <row r="408" spans="1:10" x14ac:dyDescent="0.35">
      <c r="A408" t="s">
        <v>384</v>
      </c>
      <c r="B408" s="7" t="s">
        <v>1208</v>
      </c>
    </row>
    <row r="409" spans="1:10" x14ac:dyDescent="0.35">
      <c r="A409" t="s">
        <v>712</v>
      </c>
      <c r="B409" s="7" t="s">
        <v>1536</v>
      </c>
      <c r="C409">
        <v>4.5999999999999999E-2</v>
      </c>
      <c r="D409" t="s">
        <v>1720</v>
      </c>
      <c r="E409" t="s">
        <v>1721</v>
      </c>
      <c r="F409" t="s">
        <v>1974</v>
      </c>
      <c r="G409" t="s">
        <v>1748</v>
      </c>
      <c r="H409" t="s">
        <v>1956</v>
      </c>
      <c r="I409" s="57">
        <v>44574</v>
      </c>
      <c r="J409" s="13" t="s">
        <v>1982</v>
      </c>
    </row>
    <row r="410" spans="1:10" x14ac:dyDescent="0.35">
      <c r="A410" t="s">
        <v>383</v>
      </c>
      <c r="B410" s="7" t="s">
        <v>1207</v>
      </c>
    </row>
    <row r="411" spans="1:10" x14ac:dyDescent="0.35">
      <c r="A411" t="s">
        <v>382</v>
      </c>
      <c r="B411" s="7" t="s">
        <v>1206</v>
      </c>
    </row>
    <row r="412" spans="1:10" x14ac:dyDescent="0.35">
      <c r="A412" t="s">
        <v>381</v>
      </c>
      <c r="B412" s="7" t="s">
        <v>1205</v>
      </c>
    </row>
    <row r="413" spans="1:10" x14ac:dyDescent="0.35">
      <c r="A413" t="s">
        <v>380</v>
      </c>
      <c r="B413" s="7" t="s">
        <v>1204</v>
      </c>
    </row>
    <row r="414" spans="1:10" x14ac:dyDescent="0.35">
      <c r="A414" t="s">
        <v>379</v>
      </c>
      <c r="B414" s="7" t="s">
        <v>1203</v>
      </c>
      <c r="C414">
        <v>2E-3</v>
      </c>
      <c r="D414" t="s">
        <v>1720</v>
      </c>
      <c r="E414" t="s">
        <v>1721</v>
      </c>
      <c r="F414" t="s">
        <v>1964</v>
      </c>
      <c r="G414" t="s">
        <v>1738</v>
      </c>
      <c r="H414" t="s">
        <v>4124</v>
      </c>
      <c r="I414" s="57">
        <v>44580</v>
      </c>
      <c r="J414" s="13" t="s">
        <v>4144</v>
      </c>
    </row>
    <row r="415" spans="1:10" x14ac:dyDescent="0.35">
      <c r="A415" s="26" t="s">
        <v>3407</v>
      </c>
      <c r="B415" s="26" t="s">
        <v>3415</v>
      </c>
      <c r="C415" s="26"/>
      <c r="D415" s="26"/>
      <c r="E415" s="26"/>
      <c r="F415" s="26"/>
      <c r="G415" s="26"/>
      <c r="H415" s="26"/>
      <c r="I415" s="26"/>
      <c r="J415" s="26"/>
    </row>
    <row r="416" spans="1:10" x14ac:dyDescent="0.35">
      <c r="A416" t="s">
        <v>378</v>
      </c>
      <c r="B416" s="7" t="s">
        <v>1202</v>
      </c>
    </row>
    <row r="417" spans="1:10" x14ac:dyDescent="0.35">
      <c r="A417" t="s">
        <v>786</v>
      </c>
      <c r="B417" s="7" t="s">
        <v>1609</v>
      </c>
    </row>
    <row r="418" spans="1:10" x14ac:dyDescent="0.35">
      <c r="A418" t="s">
        <v>785</v>
      </c>
      <c r="B418" s="7" t="s">
        <v>1608</v>
      </c>
    </row>
    <row r="419" spans="1:10" x14ac:dyDescent="0.35">
      <c r="A419" t="s">
        <v>822</v>
      </c>
      <c r="B419" s="7" t="s">
        <v>1644</v>
      </c>
    </row>
    <row r="420" spans="1:10" x14ac:dyDescent="0.35">
      <c r="A420" t="s">
        <v>376</v>
      </c>
      <c r="B420" s="7" t="s">
        <v>1200</v>
      </c>
    </row>
    <row r="421" spans="1:10" x14ac:dyDescent="0.35">
      <c r="A421" t="s">
        <v>732</v>
      </c>
      <c r="B421" s="7" t="s">
        <v>1556</v>
      </c>
    </row>
    <row r="422" spans="1:10" x14ac:dyDescent="0.35">
      <c r="A422" s="26" t="s">
        <v>3345</v>
      </c>
      <c r="B422" s="26" t="s">
        <v>3346</v>
      </c>
      <c r="C422" s="26"/>
      <c r="D422" s="26"/>
      <c r="E422" s="26"/>
      <c r="F422" s="26"/>
      <c r="G422" s="26"/>
      <c r="H422" s="26"/>
      <c r="I422" s="26"/>
      <c r="J422" s="26"/>
    </row>
    <row r="423" spans="1:10" x14ac:dyDescent="0.35">
      <c r="A423" t="s">
        <v>473</v>
      </c>
      <c r="B423" s="7" t="s">
        <v>1297</v>
      </c>
      <c r="C423">
        <v>2.4E-2</v>
      </c>
      <c r="D423" t="s">
        <v>1720</v>
      </c>
      <c r="E423" t="s">
        <v>1721</v>
      </c>
      <c r="F423" t="s">
        <v>1974</v>
      </c>
      <c r="G423" t="s">
        <v>1748</v>
      </c>
      <c r="H423" t="s">
        <v>1956</v>
      </c>
      <c r="I423" s="57">
        <v>44574</v>
      </c>
      <c r="J423" s="13" t="s">
        <v>1999</v>
      </c>
    </row>
    <row r="424" spans="1:10" x14ac:dyDescent="0.35">
      <c r="A424" t="s">
        <v>725</v>
      </c>
      <c r="B424" s="7" t="s">
        <v>1549</v>
      </c>
      <c r="C424">
        <v>2.4E-2</v>
      </c>
      <c r="D424" t="s">
        <v>1720</v>
      </c>
      <c r="E424" t="s">
        <v>1721</v>
      </c>
      <c r="F424" t="s">
        <v>1974</v>
      </c>
      <c r="G424" t="s">
        <v>1748</v>
      </c>
      <c r="H424" t="s">
        <v>1956</v>
      </c>
      <c r="I424" s="57">
        <v>44574</v>
      </c>
      <c r="J424" s="13" t="s">
        <v>2000</v>
      </c>
    </row>
    <row r="425" spans="1:10" x14ac:dyDescent="0.35">
      <c r="A425" t="s">
        <v>375</v>
      </c>
      <c r="B425" s="7" t="s">
        <v>1199</v>
      </c>
    </row>
    <row r="426" spans="1:10" x14ac:dyDescent="0.35">
      <c r="A426" t="s">
        <v>374</v>
      </c>
      <c r="B426" s="7" t="s">
        <v>1198</v>
      </c>
    </row>
    <row r="427" spans="1:10" x14ac:dyDescent="0.35">
      <c r="A427" t="s">
        <v>373</v>
      </c>
      <c r="B427" s="7" t="s">
        <v>1197</v>
      </c>
    </row>
    <row r="428" spans="1:10" x14ac:dyDescent="0.35">
      <c r="A428" t="s">
        <v>371</v>
      </c>
      <c r="B428" s="7" t="s">
        <v>1195</v>
      </c>
    </row>
    <row r="429" spans="1:10" x14ac:dyDescent="0.35">
      <c r="A429" t="s">
        <v>193</v>
      </c>
      <c r="B429" s="7" t="s">
        <v>1021</v>
      </c>
      <c r="C429">
        <v>2.0000000000000001E-4</v>
      </c>
      <c r="D429" t="s">
        <v>1720</v>
      </c>
      <c r="E429" t="s">
        <v>1721</v>
      </c>
      <c r="F429" t="s">
        <v>1974</v>
      </c>
      <c r="G429" t="s">
        <v>1748</v>
      </c>
      <c r="H429" t="s">
        <v>1956</v>
      </c>
      <c r="I429" s="57">
        <v>44574</v>
      </c>
      <c r="J429" s="13" t="s">
        <v>1980</v>
      </c>
    </row>
    <row r="430" spans="1:10" x14ac:dyDescent="0.35">
      <c r="A430" t="s">
        <v>249</v>
      </c>
      <c r="B430" s="7" t="s">
        <v>1075</v>
      </c>
      <c r="C430">
        <v>2.4E-2</v>
      </c>
      <c r="D430" t="s">
        <v>1720</v>
      </c>
      <c r="E430" t="s">
        <v>1721</v>
      </c>
      <c r="F430" t="s">
        <v>1974</v>
      </c>
      <c r="G430" t="s">
        <v>1979</v>
      </c>
      <c r="H430" t="s">
        <v>1981</v>
      </c>
      <c r="I430" s="57">
        <v>44574</v>
      </c>
      <c r="J430" s="13" t="s">
        <v>1980</v>
      </c>
    </row>
    <row r="431" spans="1:10" x14ac:dyDescent="0.35">
      <c r="A431" t="s">
        <v>370</v>
      </c>
      <c r="B431" s="7" t="s">
        <v>1194</v>
      </c>
    </row>
    <row r="432" spans="1:10" x14ac:dyDescent="0.35">
      <c r="A432" t="s">
        <v>369</v>
      </c>
      <c r="B432" s="7" t="s">
        <v>1193</v>
      </c>
    </row>
    <row r="433" spans="1:10" x14ac:dyDescent="0.35">
      <c r="A433" s="6" t="s">
        <v>816</v>
      </c>
      <c r="B433" s="7" t="s">
        <v>1639</v>
      </c>
    </row>
    <row r="434" spans="1:10" x14ac:dyDescent="0.35">
      <c r="A434" t="s">
        <v>368</v>
      </c>
      <c r="B434" s="7" t="s">
        <v>1192</v>
      </c>
    </row>
    <row r="435" spans="1:10" x14ac:dyDescent="0.35">
      <c r="A435" t="s">
        <v>367</v>
      </c>
      <c r="B435" s="7" t="s">
        <v>1191</v>
      </c>
    </row>
    <row r="436" spans="1:10" x14ac:dyDescent="0.35">
      <c r="A436" t="s">
        <v>366</v>
      </c>
      <c r="B436" s="7" t="s">
        <v>1190</v>
      </c>
    </row>
    <row r="437" spans="1:10" x14ac:dyDescent="0.35">
      <c r="A437" t="s">
        <v>365</v>
      </c>
      <c r="B437" s="7" t="s">
        <v>1189</v>
      </c>
    </row>
    <row r="438" spans="1:10" x14ac:dyDescent="0.35">
      <c r="A438" t="s">
        <v>349</v>
      </c>
      <c r="B438" s="7" t="s">
        <v>1173</v>
      </c>
      <c r="C438">
        <v>4.3E-3</v>
      </c>
      <c r="D438" t="s">
        <v>1720</v>
      </c>
      <c r="E438" t="s">
        <v>1721</v>
      </c>
      <c r="F438" t="s">
        <v>1966</v>
      </c>
      <c r="G438" t="s">
        <v>1748</v>
      </c>
      <c r="H438" t="s">
        <v>1956</v>
      </c>
      <c r="I438" s="57">
        <v>44574</v>
      </c>
      <c r="J438" t="s">
        <v>1955</v>
      </c>
    </row>
    <row r="439" spans="1:10" x14ac:dyDescent="0.35">
      <c r="A439" t="s">
        <v>435</v>
      </c>
      <c r="B439" s="7" t="s">
        <v>1259</v>
      </c>
      <c r="C439">
        <v>1E-4</v>
      </c>
      <c r="D439" t="s">
        <v>1720</v>
      </c>
      <c r="E439" t="s">
        <v>1721</v>
      </c>
      <c r="G439" t="s">
        <v>1742</v>
      </c>
      <c r="H439" t="s">
        <v>2012</v>
      </c>
      <c r="I439" s="57">
        <v>44574</v>
      </c>
      <c r="J439" s="13" t="s">
        <v>2013</v>
      </c>
    </row>
    <row r="440" spans="1:10" x14ac:dyDescent="0.35">
      <c r="A440" t="s">
        <v>558</v>
      </c>
      <c r="B440" s="7" t="s">
        <v>1382</v>
      </c>
      <c r="C440">
        <v>200</v>
      </c>
      <c r="D440" t="s">
        <v>1720</v>
      </c>
      <c r="E440" t="s">
        <v>1721</v>
      </c>
      <c r="G440" t="s">
        <v>1742</v>
      </c>
      <c r="H440" t="s">
        <v>2010</v>
      </c>
      <c r="I440" s="57">
        <v>44574</v>
      </c>
      <c r="J440" s="34" t="s">
        <v>2013</v>
      </c>
    </row>
    <row r="441" spans="1:10" x14ac:dyDescent="0.35">
      <c r="A441" t="s">
        <v>364</v>
      </c>
      <c r="B441" s="7" t="s">
        <v>1188</v>
      </c>
    </row>
    <row r="442" spans="1:10" x14ac:dyDescent="0.35">
      <c r="A442" t="s">
        <v>212</v>
      </c>
      <c r="B442" s="7" t="s">
        <v>1039</v>
      </c>
      <c r="C442">
        <v>0.01</v>
      </c>
      <c r="D442" t="s">
        <v>1720</v>
      </c>
      <c r="E442" t="s">
        <v>1721</v>
      </c>
      <c r="F442" t="s">
        <v>1969</v>
      </c>
      <c r="G442" t="s">
        <v>1748</v>
      </c>
      <c r="H442" t="s">
        <v>1956</v>
      </c>
      <c r="I442" s="57">
        <v>44574</v>
      </c>
      <c r="J442" s="13" t="s">
        <v>1955</v>
      </c>
    </row>
    <row r="443" spans="1:10" x14ac:dyDescent="0.35">
      <c r="A443" t="s">
        <v>606</v>
      </c>
      <c r="B443" s="7" t="s">
        <v>1430</v>
      </c>
      <c r="C443">
        <v>0.6</v>
      </c>
      <c r="D443" t="s">
        <v>1720</v>
      </c>
      <c r="E443" t="s">
        <v>1721</v>
      </c>
      <c r="G443" t="s">
        <v>1742</v>
      </c>
      <c r="H443" t="s">
        <v>2010</v>
      </c>
      <c r="I443" s="57">
        <v>44574</v>
      </c>
      <c r="J443" s="13" t="s">
        <v>2013</v>
      </c>
    </row>
    <row r="444" spans="1:10" x14ac:dyDescent="0.35">
      <c r="A444" t="s">
        <v>19</v>
      </c>
      <c r="B444" s="7" t="s">
        <v>848</v>
      </c>
      <c r="C444">
        <v>4</v>
      </c>
      <c r="D444" t="s">
        <v>1720</v>
      </c>
      <c r="E444" t="s">
        <v>1721</v>
      </c>
      <c r="F444" t="s">
        <v>1967</v>
      </c>
      <c r="G444" t="s">
        <v>1748</v>
      </c>
      <c r="H444" t="s">
        <v>1956</v>
      </c>
      <c r="I444" s="57">
        <v>44574</v>
      </c>
      <c r="J444" s="13" t="s">
        <v>1955</v>
      </c>
    </row>
    <row r="445" spans="1:10" x14ac:dyDescent="0.35">
      <c r="A445" s="32" t="s">
        <v>75</v>
      </c>
      <c r="B445" s="33" t="s">
        <v>904</v>
      </c>
      <c r="C445" s="32">
        <v>5.8</v>
      </c>
      <c r="D445" s="32" t="s">
        <v>1720</v>
      </c>
      <c r="E445" s="32" t="s">
        <v>1721</v>
      </c>
      <c r="F445" s="32" t="s">
        <v>1978</v>
      </c>
      <c r="G445" s="32" t="s">
        <v>2006</v>
      </c>
      <c r="H445" s="32" t="s">
        <v>2007</v>
      </c>
      <c r="I445" s="59">
        <v>44574</v>
      </c>
      <c r="J445" s="40" t="s">
        <v>2008</v>
      </c>
    </row>
    <row r="446" spans="1:10" x14ac:dyDescent="0.35">
      <c r="A446" t="s">
        <v>363</v>
      </c>
      <c r="B446" s="7" t="s">
        <v>1187</v>
      </c>
    </row>
    <row r="447" spans="1:10" x14ac:dyDescent="0.35">
      <c r="A447" t="s">
        <v>747</v>
      </c>
      <c r="B447" s="7" t="s">
        <v>1571</v>
      </c>
    </row>
    <row r="448" spans="1:10" x14ac:dyDescent="0.35">
      <c r="A448" t="s">
        <v>722</v>
      </c>
      <c r="B448" s="7" t="s">
        <v>1546</v>
      </c>
      <c r="C448">
        <v>2.4E-2</v>
      </c>
      <c r="D448" t="s">
        <v>1720</v>
      </c>
      <c r="E448" t="s">
        <v>1721</v>
      </c>
      <c r="F448" t="s">
        <v>1974</v>
      </c>
      <c r="G448" t="s">
        <v>1979</v>
      </c>
      <c r="H448" t="s">
        <v>1981</v>
      </c>
      <c r="I448" s="57">
        <v>44574</v>
      </c>
      <c r="J448" s="13" t="s">
        <v>1980</v>
      </c>
    </row>
    <row r="449" spans="1:10" x14ac:dyDescent="0.35">
      <c r="A449" t="s">
        <v>744</v>
      </c>
      <c r="B449" s="7" t="s">
        <v>1568</v>
      </c>
    </row>
    <row r="450" spans="1:10" x14ac:dyDescent="0.35">
      <c r="A450" s="4" t="s">
        <v>779</v>
      </c>
      <c r="B450" s="7" t="s">
        <v>1602</v>
      </c>
    </row>
    <row r="451" spans="1:10" x14ac:dyDescent="0.35">
      <c r="A451" t="s">
        <v>763</v>
      </c>
      <c r="B451" s="7" t="s">
        <v>1587</v>
      </c>
      <c r="C451">
        <f>1.7*10^-2</f>
        <v>1.7000000000000001E-2</v>
      </c>
      <c r="D451" t="s">
        <v>1720</v>
      </c>
      <c r="E451" t="s">
        <v>1721</v>
      </c>
      <c r="F451" t="s">
        <v>1732</v>
      </c>
      <c r="G451" t="s">
        <v>1738</v>
      </c>
      <c r="H451" t="s">
        <v>2020</v>
      </c>
      <c r="I451" s="57">
        <v>44580</v>
      </c>
      <c r="J451" s="13" t="s">
        <v>2073</v>
      </c>
    </row>
    <row r="452" spans="1:10" x14ac:dyDescent="0.35">
      <c r="A452" t="s">
        <v>763</v>
      </c>
      <c r="B452" s="7" t="s">
        <v>1587</v>
      </c>
      <c r="C452">
        <f>1.5*10^-1</f>
        <v>0.15000000000000002</v>
      </c>
      <c r="D452" t="s">
        <v>1720</v>
      </c>
      <c r="E452" t="s">
        <v>1724</v>
      </c>
      <c r="F452" t="s">
        <v>1732</v>
      </c>
      <c r="G452" t="s">
        <v>1738</v>
      </c>
      <c r="H452" t="s">
        <v>2020</v>
      </c>
      <c r="I452" s="57">
        <v>44580</v>
      </c>
      <c r="J452" s="13" t="s">
        <v>2073</v>
      </c>
    </row>
    <row r="453" spans="1:10" x14ac:dyDescent="0.35">
      <c r="A453" t="s">
        <v>349</v>
      </c>
      <c r="B453" s="7" t="s">
        <v>1173</v>
      </c>
      <c r="C453">
        <v>0.08</v>
      </c>
      <c r="D453" t="s">
        <v>1720</v>
      </c>
      <c r="E453" t="s">
        <v>1721</v>
      </c>
      <c r="G453" t="s">
        <v>1742</v>
      </c>
      <c r="H453" t="s">
        <v>2010</v>
      </c>
      <c r="I453" s="57">
        <v>44574</v>
      </c>
      <c r="J453" s="13" t="s">
        <v>2013</v>
      </c>
    </row>
    <row r="454" spans="1:10" x14ac:dyDescent="0.35">
      <c r="A454" t="s">
        <v>362</v>
      </c>
      <c r="B454" s="7" t="s">
        <v>1186</v>
      </c>
    </row>
    <row r="455" spans="1:10" x14ac:dyDescent="0.35">
      <c r="A455" t="s">
        <v>361</v>
      </c>
      <c r="B455" s="7" t="s">
        <v>1185</v>
      </c>
    </row>
    <row r="456" spans="1:10" x14ac:dyDescent="0.35">
      <c r="A456" t="s">
        <v>819</v>
      </c>
    </row>
    <row r="457" spans="1:10" x14ac:dyDescent="0.35">
      <c r="A457" s="26" t="s">
        <v>360</v>
      </c>
      <c r="B457" s="25" t="s">
        <v>1184</v>
      </c>
      <c r="C457" s="26">
        <f>0.005*10^3</f>
        <v>5</v>
      </c>
      <c r="D457" s="26" t="s">
        <v>1720</v>
      </c>
      <c r="E457" s="26" t="s">
        <v>1721</v>
      </c>
      <c r="F457" s="26" t="s">
        <v>4156</v>
      </c>
      <c r="G457" s="26" t="s">
        <v>1738</v>
      </c>
      <c r="H457" s="26" t="s">
        <v>2020</v>
      </c>
      <c r="I457" s="48">
        <v>44580</v>
      </c>
      <c r="J457" s="26" t="s">
        <v>4157</v>
      </c>
    </row>
    <row r="458" spans="1:10" x14ac:dyDescent="0.35">
      <c r="A458" t="s">
        <v>359</v>
      </c>
      <c r="B458" s="7" t="s">
        <v>1183</v>
      </c>
    </row>
    <row r="459" spans="1:10" x14ac:dyDescent="0.35">
      <c r="A459" t="s">
        <v>358</v>
      </c>
      <c r="B459" s="7" t="s">
        <v>1182</v>
      </c>
    </row>
    <row r="460" spans="1:10" x14ac:dyDescent="0.35">
      <c r="A460" t="s">
        <v>357</v>
      </c>
      <c r="B460" s="7" t="s">
        <v>1181</v>
      </c>
    </row>
    <row r="461" spans="1:10" x14ac:dyDescent="0.35">
      <c r="A461" t="s">
        <v>356</v>
      </c>
      <c r="B461" s="7" t="s">
        <v>1180</v>
      </c>
    </row>
    <row r="462" spans="1:10" x14ac:dyDescent="0.35">
      <c r="A462" t="s">
        <v>712</v>
      </c>
      <c r="B462" s="7" t="s">
        <v>1536</v>
      </c>
      <c r="C462">
        <v>4.5999999999999999E-2</v>
      </c>
      <c r="D462" t="s">
        <v>1720</v>
      </c>
      <c r="E462" t="s">
        <v>1721</v>
      </c>
      <c r="F462" t="s">
        <v>1974</v>
      </c>
      <c r="G462" t="s">
        <v>1979</v>
      </c>
      <c r="H462" t="s">
        <v>1981</v>
      </c>
      <c r="I462" s="57">
        <v>44574</v>
      </c>
      <c r="J462" s="13" t="s">
        <v>4126</v>
      </c>
    </row>
    <row r="463" spans="1:10" x14ac:dyDescent="0.35">
      <c r="A463" t="s">
        <v>355</v>
      </c>
      <c r="B463" s="7" t="s">
        <v>1179</v>
      </c>
    </row>
    <row r="464" spans="1:10" x14ac:dyDescent="0.35">
      <c r="A464" t="s">
        <v>472</v>
      </c>
      <c r="B464" s="7" t="s">
        <v>1296</v>
      </c>
      <c r="C464">
        <v>2.0000000000000001E-4</v>
      </c>
      <c r="D464" t="s">
        <v>1720</v>
      </c>
      <c r="E464" t="s">
        <v>1721</v>
      </c>
      <c r="F464" t="s">
        <v>1974</v>
      </c>
      <c r="G464" t="s">
        <v>1748</v>
      </c>
      <c r="H464" t="s">
        <v>1956</v>
      </c>
      <c r="I464" s="57">
        <v>44574</v>
      </c>
      <c r="J464" s="13" t="s">
        <v>1996</v>
      </c>
    </row>
    <row r="465" spans="1:10" x14ac:dyDescent="0.35">
      <c r="A465" t="s">
        <v>609</v>
      </c>
      <c r="B465" s="7" t="s">
        <v>1433</v>
      </c>
      <c r="C465">
        <v>1</v>
      </c>
      <c r="D465" t="s">
        <v>1720</v>
      </c>
      <c r="E465" t="s">
        <v>1721</v>
      </c>
      <c r="F465" t="s">
        <v>1957</v>
      </c>
      <c r="G465" t="s">
        <v>2006</v>
      </c>
      <c r="H465" t="s">
        <v>2007</v>
      </c>
      <c r="I465" s="57">
        <v>44574</v>
      </c>
      <c r="J465" t="s">
        <v>2008</v>
      </c>
    </row>
    <row r="466" spans="1:10" x14ac:dyDescent="0.35">
      <c r="A466" t="s">
        <v>354</v>
      </c>
      <c r="B466" s="7" t="s">
        <v>1178</v>
      </c>
    </row>
    <row r="467" spans="1:10" x14ac:dyDescent="0.35">
      <c r="A467" t="s">
        <v>353</v>
      </c>
      <c r="B467" s="7" t="s">
        <v>1177</v>
      </c>
    </row>
    <row r="468" spans="1:10" x14ac:dyDescent="0.35">
      <c r="A468" t="s">
        <v>352</v>
      </c>
      <c r="B468" s="7" t="s">
        <v>1176</v>
      </c>
      <c r="C468">
        <f>0.0016*10^3</f>
        <v>1.6</v>
      </c>
      <c r="D468" t="s">
        <v>1720</v>
      </c>
      <c r="E468" t="s">
        <v>1721</v>
      </c>
      <c r="G468" t="s">
        <v>1738</v>
      </c>
      <c r="H468" t="s">
        <v>2020</v>
      </c>
      <c r="I468" s="57">
        <v>44580</v>
      </c>
      <c r="J468" s="13" t="s">
        <v>4116</v>
      </c>
    </row>
    <row r="469" spans="1:10" x14ac:dyDescent="0.35">
      <c r="A469" t="s">
        <v>349</v>
      </c>
      <c r="B469" s="7" t="s">
        <v>1173</v>
      </c>
      <c r="C469">
        <f>4*10^-3</f>
        <v>4.0000000000000001E-3</v>
      </c>
      <c r="D469" t="s">
        <v>1720</v>
      </c>
      <c r="E469" t="s">
        <v>1721</v>
      </c>
      <c r="F469" t="s">
        <v>1732</v>
      </c>
      <c r="G469" t="s">
        <v>1738</v>
      </c>
      <c r="H469" t="s">
        <v>2020</v>
      </c>
      <c r="I469" s="57">
        <v>44580</v>
      </c>
      <c r="J469" s="13" t="s">
        <v>2074</v>
      </c>
    </row>
    <row r="470" spans="1:10" x14ac:dyDescent="0.35">
      <c r="A470" t="s">
        <v>349</v>
      </c>
      <c r="B470" s="7" t="s">
        <v>1173</v>
      </c>
      <c r="C470">
        <f>6.4*10^-2</f>
        <v>6.4000000000000001E-2</v>
      </c>
      <c r="D470" t="s">
        <v>1720</v>
      </c>
      <c r="E470" t="s">
        <v>1724</v>
      </c>
      <c r="F470" t="s">
        <v>1732</v>
      </c>
      <c r="G470" t="s">
        <v>1738</v>
      </c>
      <c r="H470" t="s">
        <v>2020</v>
      </c>
      <c r="I470" s="57">
        <v>44580</v>
      </c>
      <c r="J470" s="13" t="s">
        <v>2074</v>
      </c>
    </row>
    <row r="471" spans="1:10" x14ac:dyDescent="0.35">
      <c r="A471" t="s">
        <v>348</v>
      </c>
      <c r="B471" s="7" t="s">
        <v>1172</v>
      </c>
    </row>
    <row r="472" spans="1:10" x14ac:dyDescent="0.35">
      <c r="A472" t="s">
        <v>692</v>
      </c>
      <c r="B472" s="7" t="s">
        <v>1516</v>
      </c>
    </row>
    <row r="473" spans="1:10" x14ac:dyDescent="0.35">
      <c r="A473" t="s">
        <v>347</v>
      </c>
      <c r="B473" s="7" t="s">
        <v>1171</v>
      </c>
    </row>
    <row r="474" spans="1:10" x14ac:dyDescent="0.35">
      <c r="A474" t="s">
        <v>750</v>
      </c>
      <c r="B474" s="7" t="s">
        <v>1574</v>
      </c>
      <c r="C474">
        <f>0.88*10^3</f>
        <v>880</v>
      </c>
      <c r="D474" t="s">
        <v>1720</v>
      </c>
      <c r="E474" t="s">
        <v>1721</v>
      </c>
      <c r="F474" t="s">
        <v>2075</v>
      </c>
      <c r="G474" t="s">
        <v>1738</v>
      </c>
      <c r="H474" t="s">
        <v>2020</v>
      </c>
      <c r="I474" s="57">
        <v>44580</v>
      </c>
      <c r="J474" s="13" t="s">
        <v>2076</v>
      </c>
    </row>
    <row r="475" spans="1:10" x14ac:dyDescent="0.35">
      <c r="A475" t="s">
        <v>750</v>
      </c>
      <c r="B475" s="7" t="s">
        <v>1574</v>
      </c>
      <c r="C475">
        <f>7.7*10^3</f>
        <v>7700</v>
      </c>
      <c r="D475" t="s">
        <v>1720</v>
      </c>
      <c r="E475" t="s">
        <v>1724</v>
      </c>
      <c r="F475" t="s">
        <v>2075</v>
      </c>
      <c r="G475" t="s">
        <v>1738</v>
      </c>
      <c r="H475" t="s">
        <v>2020</v>
      </c>
      <c r="I475" s="57">
        <v>44580</v>
      </c>
      <c r="J475" s="13" t="s">
        <v>2076</v>
      </c>
    </row>
    <row r="476" spans="1:10" x14ac:dyDescent="0.35">
      <c r="A476" t="s">
        <v>743</v>
      </c>
      <c r="B476" s="7" t="s">
        <v>1567</v>
      </c>
    </row>
    <row r="477" spans="1:10" x14ac:dyDescent="0.35">
      <c r="A477" t="s">
        <v>346</v>
      </c>
      <c r="B477" s="7" t="s">
        <v>1170</v>
      </c>
    </row>
    <row r="478" spans="1:10" x14ac:dyDescent="0.35">
      <c r="A478" t="s">
        <v>345</v>
      </c>
      <c r="B478" s="7" t="s">
        <v>1169</v>
      </c>
    </row>
    <row r="479" spans="1:10" x14ac:dyDescent="0.35">
      <c r="A479" t="s">
        <v>714</v>
      </c>
      <c r="B479" s="7" t="s">
        <v>1538</v>
      </c>
    </row>
    <row r="480" spans="1:10" x14ac:dyDescent="0.35">
      <c r="A480" t="s">
        <v>709</v>
      </c>
      <c r="B480" s="7" t="s">
        <v>1533</v>
      </c>
    </row>
    <row r="481" spans="1:10" x14ac:dyDescent="0.35">
      <c r="A481" t="s">
        <v>344</v>
      </c>
      <c r="B481" s="7" t="s">
        <v>1168</v>
      </c>
    </row>
    <row r="482" spans="1:10" x14ac:dyDescent="0.35">
      <c r="A482" t="s">
        <v>343</v>
      </c>
      <c r="B482" s="7" t="s">
        <v>1167</v>
      </c>
      <c r="C482">
        <f>4.7*10^-1</f>
        <v>0.47000000000000003</v>
      </c>
      <c r="D482" t="s">
        <v>1720</v>
      </c>
      <c r="E482" t="s">
        <v>1721</v>
      </c>
      <c r="F482" t="s">
        <v>2056</v>
      </c>
      <c r="G482" t="s">
        <v>1738</v>
      </c>
      <c r="H482" t="s">
        <v>2020</v>
      </c>
      <c r="I482" s="57">
        <v>44580</v>
      </c>
      <c r="J482" s="13" t="s">
        <v>2055</v>
      </c>
    </row>
    <row r="483" spans="1:10" x14ac:dyDescent="0.35">
      <c r="A483" t="s">
        <v>343</v>
      </c>
      <c r="B483" s="7" t="s">
        <v>1167</v>
      </c>
      <c r="C483">
        <f>0.025*10^3</f>
        <v>25</v>
      </c>
      <c r="D483" t="s">
        <v>1720</v>
      </c>
      <c r="E483" t="s">
        <v>1724</v>
      </c>
      <c r="F483" t="s">
        <v>2054</v>
      </c>
      <c r="G483" t="s">
        <v>1738</v>
      </c>
      <c r="H483" t="s">
        <v>2020</v>
      </c>
      <c r="I483" s="57">
        <v>44580</v>
      </c>
      <c r="J483" s="13" t="s">
        <v>2055</v>
      </c>
    </row>
    <row r="484" spans="1:10" x14ac:dyDescent="0.35">
      <c r="A484" t="s">
        <v>342</v>
      </c>
      <c r="B484" s="7" t="s">
        <v>1166</v>
      </c>
    </row>
    <row r="485" spans="1:10" x14ac:dyDescent="0.35">
      <c r="A485" t="s">
        <v>341</v>
      </c>
      <c r="B485" s="7" t="s">
        <v>1165</v>
      </c>
      <c r="C485">
        <f>0.0016*10^3</f>
        <v>1.6</v>
      </c>
      <c r="D485" t="s">
        <v>1720</v>
      </c>
      <c r="E485" t="s">
        <v>1721</v>
      </c>
      <c r="F485" t="s">
        <v>1975</v>
      </c>
      <c r="G485" t="s">
        <v>1738</v>
      </c>
      <c r="H485" t="s">
        <v>4124</v>
      </c>
      <c r="I485" s="57">
        <v>44580</v>
      </c>
      <c r="J485" s="13" t="s">
        <v>4149</v>
      </c>
    </row>
    <row r="486" spans="1:10" x14ac:dyDescent="0.35">
      <c r="A486" t="s">
        <v>340</v>
      </c>
      <c r="B486" s="7" t="s">
        <v>1164</v>
      </c>
    </row>
    <row r="487" spans="1:10" x14ac:dyDescent="0.35">
      <c r="A487" t="s">
        <v>339</v>
      </c>
      <c r="B487" s="7" t="s">
        <v>1163</v>
      </c>
    </row>
    <row r="488" spans="1:10" x14ac:dyDescent="0.35">
      <c r="A488" t="s">
        <v>338</v>
      </c>
      <c r="B488" s="7" t="s">
        <v>1162</v>
      </c>
    </row>
    <row r="489" spans="1:10" x14ac:dyDescent="0.35">
      <c r="A489" t="s">
        <v>337</v>
      </c>
      <c r="B489" s="7" t="s">
        <v>1161</v>
      </c>
    </row>
    <row r="490" spans="1:10" x14ac:dyDescent="0.35">
      <c r="A490" t="s">
        <v>336</v>
      </c>
      <c r="B490" s="7" t="s">
        <v>1161</v>
      </c>
    </row>
    <row r="491" spans="1:10" x14ac:dyDescent="0.35">
      <c r="A491" t="s">
        <v>335</v>
      </c>
      <c r="B491" s="7" t="s">
        <v>1160</v>
      </c>
    </row>
    <row r="492" spans="1:10" x14ac:dyDescent="0.35">
      <c r="A492" t="s">
        <v>334</v>
      </c>
      <c r="B492" s="7" t="s">
        <v>1159</v>
      </c>
    </row>
    <row r="493" spans="1:10" x14ac:dyDescent="0.35">
      <c r="A493" t="s">
        <v>798</v>
      </c>
      <c r="B493" s="7" t="s">
        <v>1621</v>
      </c>
    </row>
    <row r="494" spans="1:10" x14ac:dyDescent="0.35">
      <c r="A494" t="s">
        <v>333</v>
      </c>
      <c r="B494" s="7" t="s">
        <v>1158</v>
      </c>
    </row>
    <row r="495" spans="1:10" x14ac:dyDescent="0.35">
      <c r="A495" t="s">
        <v>332</v>
      </c>
      <c r="B495" s="7" t="s">
        <v>1157</v>
      </c>
    </row>
    <row r="496" spans="1:10" x14ac:dyDescent="0.35">
      <c r="A496" t="s">
        <v>331</v>
      </c>
      <c r="B496" s="7" t="s">
        <v>1156</v>
      </c>
    </row>
    <row r="497" spans="1:10" x14ac:dyDescent="0.35">
      <c r="A497" t="s">
        <v>330</v>
      </c>
      <c r="B497" s="7" t="s">
        <v>1155</v>
      </c>
    </row>
    <row r="498" spans="1:10" x14ac:dyDescent="0.35">
      <c r="A498" t="s">
        <v>329</v>
      </c>
      <c r="B498" s="7" t="s">
        <v>1154</v>
      </c>
    </row>
    <row r="499" spans="1:10" x14ac:dyDescent="0.35">
      <c r="A499" t="s">
        <v>328</v>
      </c>
      <c r="B499" s="7" t="s">
        <v>1153</v>
      </c>
    </row>
    <row r="500" spans="1:10" x14ac:dyDescent="0.35">
      <c r="A500" t="s">
        <v>327</v>
      </c>
      <c r="B500" s="7" t="s">
        <v>1152</v>
      </c>
    </row>
    <row r="501" spans="1:10" x14ac:dyDescent="0.35">
      <c r="A501" t="s">
        <v>326</v>
      </c>
      <c r="B501" s="7" t="s">
        <v>1151</v>
      </c>
    </row>
    <row r="502" spans="1:10" x14ac:dyDescent="0.35">
      <c r="A502" t="s">
        <v>287</v>
      </c>
      <c r="B502" s="7" t="s">
        <v>1112</v>
      </c>
      <c r="C502" s="35">
        <f>2.9*10^-2</f>
        <v>2.8999999999999998E-2</v>
      </c>
      <c r="D502" t="s">
        <v>1720</v>
      </c>
      <c r="E502" t="s">
        <v>1724</v>
      </c>
      <c r="F502" t="s">
        <v>2017</v>
      </c>
      <c r="G502" t="s">
        <v>1738</v>
      </c>
      <c r="H502" t="s">
        <v>2020</v>
      </c>
      <c r="I502" s="57">
        <v>44580</v>
      </c>
      <c r="J502" s="13" t="s">
        <v>2021</v>
      </c>
    </row>
    <row r="503" spans="1:10" x14ac:dyDescent="0.35">
      <c r="A503" t="s">
        <v>707</v>
      </c>
      <c r="B503" s="7" t="s">
        <v>1531</v>
      </c>
    </row>
    <row r="504" spans="1:10" x14ac:dyDescent="0.35">
      <c r="A504" t="s">
        <v>783</v>
      </c>
      <c r="B504" s="7" t="s">
        <v>1606</v>
      </c>
    </row>
    <row r="505" spans="1:10" x14ac:dyDescent="0.35">
      <c r="A505" t="s">
        <v>325</v>
      </c>
      <c r="B505" s="7" t="s">
        <v>1150</v>
      </c>
    </row>
    <row r="506" spans="1:10" x14ac:dyDescent="0.35">
      <c r="A506" t="s">
        <v>324</v>
      </c>
      <c r="B506" s="7" t="s">
        <v>1149</v>
      </c>
    </row>
    <row r="507" spans="1:10" x14ac:dyDescent="0.35">
      <c r="A507" t="s">
        <v>323</v>
      </c>
      <c r="B507" s="7" t="s">
        <v>1148</v>
      </c>
    </row>
    <row r="508" spans="1:10" x14ac:dyDescent="0.35">
      <c r="A508" t="s">
        <v>745</v>
      </c>
      <c r="B508" s="7" t="s">
        <v>1569</v>
      </c>
    </row>
    <row r="509" spans="1:10" x14ac:dyDescent="0.35">
      <c r="A509" t="s">
        <v>748</v>
      </c>
      <c r="B509" s="7" t="s">
        <v>1572</v>
      </c>
    </row>
    <row r="510" spans="1:10" x14ac:dyDescent="0.35">
      <c r="A510" t="s">
        <v>322</v>
      </c>
      <c r="B510" s="7" t="s">
        <v>1147</v>
      </c>
    </row>
    <row r="511" spans="1:10" x14ac:dyDescent="0.35">
      <c r="A511" s="26" t="s">
        <v>3342</v>
      </c>
      <c r="B511" s="26" t="s">
        <v>3343</v>
      </c>
      <c r="C511" s="26"/>
      <c r="D511" s="26"/>
      <c r="E511" s="26"/>
      <c r="F511" s="26"/>
      <c r="G511" s="26"/>
      <c r="H511" s="26"/>
      <c r="I511" s="26"/>
      <c r="J511" s="26"/>
    </row>
    <row r="512" spans="1:10" x14ac:dyDescent="0.35">
      <c r="A512" t="s">
        <v>321</v>
      </c>
      <c r="B512" s="7" t="s">
        <v>1146</v>
      </c>
    </row>
    <row r="513" spans="1:10" x14ac:dyDescent="0.35">
      <c r="A513" t="s">
        <v>658</v>
      </c>
      <c r="B513" s="7" t="s">
        <v>1482</v>
      </c>
    </row>
    <row r="514" spans="1:10" x14ac:dyDescent="0.35">
      <c r="A514" t="s">
        <v>320</v>
      </c>
      <c r="B514" s="7" t="s">
        <v>1145</v>
      </c>
    </row>
    <row r="515" spans="1:10" x14ac:dyDescent="0.35">
      <c r="A515" t="s">
        <v>319</v>
      </c>
      <c r="B515" s="7" t="s">
        <v>1144</v>
      </c>
    </row>
    <row r="516" spans="1:10" x14ac:dyDescent="0.35">
      <c r="A516" t="s">
        <v>818</v>
      </c>
      <c r="B516" t="s">
        <v>1641</v>
      </c>
    </row>
    <row r="517" spans="1:10" x14ac:dyDescent="0.35">
      <c r="A517" t="s">
        <v>318</v>
      </c>
      <c r="B517" s="7" t="s">
        <v>1143</v>
      </c>
    </row>
    <row r="518" spans="1:10" x14ac:dyDescent="0.35">
      <c r="A518" t="s">
        <v>317</v>
      </c>
      <c r="B518" s="7" t="s">
        <v>1142</v>
      </c>
    </row>
    <row r="519" spans="1:10" x14ac:dyDescent="0.35">
      <c r="A519" t="s">
        <v>316</v>
      </c>
      <c r="B519" s="7" t="s">
        <v>1141</v>
      </c>
    </row>
    <row r="520" spans="1:10" x14ac:dyDescent="0.35">
      <c r="A520" t="s">
        <v>315</v>
      </c>
      <c r="B520" s="7" t="s">
        <v>1140</v>
      </c>
    </row>
    <row r="521" spans="1:10" x14ac:dyDescent="0.35">
      <c r="A521" t="s">
        <v>314</v>
      </c>
      <c r="B521" s="7" t="s">
        <v>1139</v>
      </c>
    </row>
    <row r="522" spans="1:10" x14ac:dyDescent="0.35">
      <c r="A522" t="s">
        <v>313</v>
      </c>
      <c r="B522" s="7" t="s">
        <v>1138</v>
      </c>
    </row>
    <row r="523" spans="1:10" x14ac:dyDescent="0.35">
      <c r="A523" t="s">
        <v>311</v>
      </c>
      <c r="B523" s="7" t="s">
        <v>1136</v>
      </c>
    </row>
    <row r="524" spans="1:10" x14ac:dyDescent="0.35">
      <c r="A524" t="s">
        <v>139</v>
      </c>
      <c r="B524" s="7" t="s">
        <v>968</v>
      </c>
      <c r="C524" s="7">
        <f>0.029</f>
        <v>2.9000000000000001E-2</v>
      </c>
      <c r="D524" t="s">
        <v>1720</v>
      </c>
      <c r="E524" t="s">
        <v>1724</v>
      </c>
      <c r="F524" t="s">
        <v>1732</v>
      </c>
      <c r="G524" t="s">
        <v>1738</v>
      </c>
      <c r="H524" t="s">
        <v>2020</v>
      </c>
      <c r="I524" s="57">
        <v>44580</v>
      </c>
      <c r="J524" t="s">
        <v>2029</v>
      </c>
    </row>
    <row r="525" spans="1:10" x14ac:dyDescent="0.35">
      <c r="A525" t="s">
        <v>310</v>
      </c>
      <c r="B525" s="7" t="s">
        <v>1135</v>
      </c>
    </row>
    <row r="526" spans="1:10" x14ac:dyDescent="0.35">
      <c r="A526" t="s">
        <v>813</v>
      </c>
      <c r="B526" s="7" t="s">
        <v>1636</v>
      </c>
    </row>
    <row r="527" spans="1:10" x14ac:dyDescent="0.35">
      <c r="A527" t="s">
        <v>309</v>
      </c>
      <c r="B527" s="7" t="s">
        <v>1134</v>
      </c>
    </row>
    <row r="528" spans="1:10" x14ac:dyDescent="0.35">
      <c r="A528" t="s">
        <v>308</v>
      </c>
      <c r="B528" s="7" t="s">
        <v>1133</v>
      </c>
    </row>
    <row r="529" spans="1:10" x14ac:dyDescent="0.35">
      <c r="A529" t="s">
        <v>307</v>
      </c>
      <c r="B529" s="7" t="s">
        <v>1132</v>
      </c>
    </row>
    <row r="530" spans="1:10" x14ac:dyDescent="0.35">
      <c r="A530" t="s">
        <v>306</v>
      </c>
      <c r="B530" s="7" t="s">
        <v>1131</v>
      </c>
    </row>
    <row r="531" spans="1:10" x14ac:dyDescent="0.35">
      <c r="A531" t="s">
        <v>305</v>
      </c>
      <c r="B531" s="7" t="s">
        <v>1130</v>
      </c>
    </row>
    <row r="532" spans="1:10" x14ac:dyDescent="0.35">
      <c r="A532" t="s">
        <v>693</v>
      </c>
      <c r="B532" s="7" t="s">
        <v>1517</v>
      </c>
    </row>
    <row r="533" spans="1:10" x14ac:dyDescent="0.35">
      <c r="A533" t="s">
        <v>304</v>
      </c>
      <c r="B533" s="7" t="s">
        <v>1129</v>
      </c>
      <c r="F533" s="38"/>
    </row>
    <row r="534" spans="1:10" x14ac:dyDescent="0.35">
      <c r="A534" t="s">
        <v>303</v>
      </c>
      <c r="B534" s="7" t="s">
        <v>1128</v>
      </c>
    </row>
    <row r="535" spans="1:10" x14ac:dyDescent="0.35">
      <c r="A535" t="s">
        <v>302</v>
      </c>
      <c r="B535" s="7" t="s">
        <v>1127</v>
      </c>
    </row>
    <row r="536" spans="1:10" x14ac:dyDescent="0.35">
      <c r="A536" t="s">
        <v>717</v>
      </c>
      <c r="B536" s="7" t="s">
        <v>1541</v>
      </c>
    </row>
    <row r="537" spans="1:10" x14ac:dyDescent="0.35">
      <c r="A537" t="s">
        <v>716</v>
      </c>
      <c r="B537" s="7" t="s">
        <v>1540</v>
      </c>
    </row>
    <row r="538" spans="1:10" x14ac:dyDescent="0.35">
      <c r="A538" t="s">
        <v>301</v>
      </c>
      <c r="B538" s="7" t="s">
        <v>1126</v>
      </c>
    </row>
    <row r="539" spans="1:10" x14ac:dyDescent="0.35">
      <c r="A539" t="s">
        <v>300</v>
      </c>
      <c r="B539" s="7" t="s">
        <v>1125</v>
      </c>
    </row>
    <row r="540" spans="1:10" x14ac:dyDescent="0.35">
      <c r="A540" t="s">
        <v>695</v>
      </c>
      <c r="B540" s="7" t="s">
        <v>1519</v>
      </c>
    </row>
    <row r="541" spans="1:10" x14ac:dyDescent="0.35">
      <c r="A541" t="s">
        <v>728</v>
      </c>
      <c r="B541" s="7" t="s">
        <v>1552</v>
      </c>
    </row>
    <row r="542" spans="1:10" x14ac:dyDescent="0.35">
      <c r="A542" t="s">
        <v>824</v>
      </c>
      <c r="B542" s="7" t="s">
        <v>1646</v>
      </c>
    </row>
    <row r="543" spans="1:10" x14ac:dyDescent="0.35">
      <c r="A543" t="s">
        <v>742</v>
      </c>
      <c r="B543" s="7" t="s">
        <v>1566</v>
      </c>
    </row>
    <row r="544" spans="1:10" x14ac:dyDescent="0.35">
      <c r="A544" t="s">
        <v>138</v>
      </c>
      <c r="B544" s="7" t="s">
        <v>967</v>
      </c>
      <c r="C544">
        <f>0.029</f>
        <v>2.9000000000000001E-2</v>
      </c>
      <c r="D544" t="s">
        <v>1720</v>
      </c>
      <c r="E544" t="s">
        <v>1724</v>
      </c>
      <c r="F544" t="s">
        <v>1732</v>
      </c>
      <c r="G544" t="s">
        <v>1738</v>
      </c>
      <c r="H544" t="s">
        <v>2020</v>
      </c>
      <c r="I544" s="57">
        <v>44580</v>
      </c>
      <c r="J544" t="s">
        <v>2029</v>
      </c>
    </row>
    <row r="545" spans="1:10" x14ac:dyDescent="0.35">
      <c r="A545" t="s">
        <v>802</v>
      </c>
      <c r="B545" s="7" t="s">
        <v>1625</v>
      </c>
    </row>
    <row r="546" spans="1:10" x14ac:dyDescent="0.35">
      <c r="A546" t="s">
        <v>255</v>
      </c>
      <c r="B546" s="7" t="s">
        <v>1081</v>
      </c>
      <c r="C546">
        <v>2E-3</v>
      </c>
      <c r="D546" t="s">
        <v>1720</v>
      </c>
      <c r="E546" t="s">
        <v>1721</v>
      </c>
      <c r="G546" t="s">
        <v>1742</v>
      </c>
      <c r="H546" t="s">
        <v>2012</v>
      </c>
      <c r="I546" s="57">
        <v>44574</v>
      </c>
      <c r="J546" t="s">
        <v>2013</v>
      </c>
    </row>
    <row r="547" spans="1:10" x14ac:dyDescent="0.35">
      <c r="A547" t="s">
        <v>142</v>
      </c>
      <c r="B547" s="7" t="s">
        <v>971</v>
      </c>
      <c r="C547">
        <f>3.6*10^-2</f>
        <v>3.6000000000000004E-2</v>
      </c>
      <c r="D547" t="s">
        <v>1720</v>
      </c>
      <c r="E547" t="s">
        <v>1721</v>
      </c>
      <c r="F547" t="s">
        <v>2027</v>
      </c>
      <c r="G547" t="s">
        <v>1738</v>
      </c>
      <c r="H547" t="s">
        <v>2020</v>
      </c>
      <c r="I547" s="57">
        <v>44580</v>
      </c>
      <c r="J547" s="13" t="s">
        <v>2028</v>
      </c>
    </row>
    <row r="548" spans="1:10" x14ac:dyDescent="0.35">
      <c r="A548" t="s">
        <v>803</v>
      </c>
      <c r="B548" s="7" t="s">
        <v>1626</v>
      </c>
    </row>
    <row r="549" spans="1:10" x14ac:dyDescent="0.35">
      <c r="A549" t="s">
        <v>298</v>
      </c>
      <c r="B549" s="7" t="s">
        <v>1123</v>
      </c>
    </row>
    <row r="550" spans="1:10" x14ac:dyDescent="0.35">
      <c r="A550" s="4" t="s">
        <v>808</v>
      </c>
      <c r="B550" t="s">
        <v>1631</v>
      </c>
    </row>
    <row r="551" spans="1:10" x14ac:dyDescent="0.35">
      <c r="A551" t="s">
        <v>677</v>
      </c>
      <c r="B551" s="7" t="s">
        <v>1501</v>
      </c>
    </row>
    <row r="552" spans="1:10" x14ac:dyDescent="0.35">
      <c r="A552" t="s">
        <v>297</v>
      </c>
      <c r="B552" s="7" t="s">
        <v>1122</v>
      </c>
    </row>
    <row r="553" spans="1:10" x14ac:dyDescent="0.35">
      <c r="A553" t="s">
        <v>668</v>
      </c>
      <c r="B553" s="7" t="s">
        <v>1492</v>
      </c>
    </row>
    <row r="554" spans="1:10" x14ac:dyDescent="0.35">
      <c r="A554" t="s">
        <v>296</v>
      </c>
      <c r="B554" s="7" t="s">
        <v>1121</v>
      </c>
    </row>
    <row r="555" spans="1:10" x14ac:dyDescent="0.35">
      <c r="A555" t="s">
        <v>295</v>
      </c>
      <c r="B555" s="7" t="s">
        <v>1120</v>
      </c>
    </row>
    <row r="556" spans="1:10" x14ac:dyDescent="0.35">
      <c r="A556" t="s">
        <v>294</v>
      </c>
      <c r="B556" s="7" t="s">
        <v>1119</v>
      </c>
    </row>
    <row r="557" spans="1:10" x14ac:dyDescent="0.35">
      <c r="A557" t="s">
        <v>293</v>
      </c>
      <c r="B557" s="7" t="s">
        <v>1118</v>
      </c>
    </row>
    <row r="558" spans="1:10" x14ac:dyDescent="0.35">
      <c r="A558" t="s">
        <v>292</v>
      </c>
      <c r="B558" s="7" t="s">
        <v>1117</v>
      </c>
    </row>
    <row r="559" spans="1:10" x14ac:dyDescent="0.35">
      <c r="A559" t="s">
        <v>291</v>
      </c>
      <c r="B559" s="7" t="s">
        <v>1116</v>
      </c>
    </row>
    <row r="560" spans="1:10" x14ac:dyDescent="0.35">
      <c r="A560" t="s">
        <v>290</v>
      </c>
      <c r="B560" s="7" t="s">
        <v>1115</v>
      </c>
    </row>
    <row r="561" spans="1:10" x14ac:dyDescent="0.35">
      <c r="A561" t="s">
        <v>289</v>
      </c>
      <c r="B561" s="7" t="s">
        <v>1114</v>
      </c>
    </row>
    <row r="562" spans="1:10" x14ac:dyDescent="0.35">
      <c r="A562" t="s">
        <v>288</v>
      </c>
      <c r="B562" s="7" t="s">
        <v>1113</v>
      </c>
    </row>
    <row r="563" spans="1:10" x14ac:dyDescent="0.35">
      <c r="A563" t="s">
        <v>598</v>
      </c>
      <c r="B563" s="7" t="s">
        <v>1422</v>
      </c>
      <c r="C563">
        <v>1.1999999999999999E-3</v>
      </c>
      <c r="D563" t="s">
        <v>1720</v>
      </c>
      <c r="E563" t="s">
        <v>1721</v>
      </c>
      <c r="F563" t="s">
        <v>2005</v>
      </c>
      <c r="G563" t="s">
        <v>2006</v>
      </c>
      <c r="H563" t="s">
        <v>2007</v>
      </c>
      <c r="I563" s="57">
        <v>44574</v>
      </c>
      <c r="J563" t="s">
        <v>2008</v>
      </c>
    </row>
    <row r="564" spans="1:10" x14ac:dyDescent="0.35">
      <c r="A564" t="s">
        <v>470</v>
      </c>
      <c r="B564" s="7" t="s">
        <v>1294</v>
      </c>
      <c r="C564">
        <f>0.0018*10^3</f>
        <v>1.8</v>
      </c>
      <c r="D564" t="s">
        <v>1720</v>
      </c>
      <c r="E564" t="s">
        <v>1721</v>
      </c>
      <c r="F564" t="s">
        <v>1959</v>
      </c>
      <c r="G564" t="s">
        <v>1748</v>
      </c>
      <c r="H564" t="s">
        <v>4138</v>
      </c>
      <c r="I564" s="57">
        <v>44574</v>
      </c>
      <c r="J564" t="s">
        <v>1955</v>
      </c>
    </row>
    <row r="565" spans="1:10" x14ac:dyDescent="0.35">
      <c r="A565" t="s">
        <v>470</v>
      </c>
      <c r="B565" s="7" t="s">
        <v>1294</v>
      </c>
      <c r="C565">
        <f>0.0018*10^3</f>
        <v>1.8</v>
      </c>
      <c r="D565" t="s">
        <v>1720</v>
      </c>
      <c r="E565" t="s">
        <v>1721</v>
      </c>
      <c r="F565" t="s">
        <v>1959</v>
      </c>
      <c r="G565" t="s">
        <v>2006</v>
      </c>
      <c r="H565" t="s">
        <v>2007</v>
      </c>
      <c r="I565" s="57">
        <v>44574</v>
      </c>
      <c r="J565" t="s">
        <v>2008</v>
      </c>
    </row>
    <row r="566" spans="1:10" x14ac:dyDescent="0.35">
      <c r="A566" t="s">
        <v>473</v>
      </c>
      <c r="B566" s="7" t="s">
        <v>1297</v>
      </c>
      <c r="C566">
        <v>2.4E-2</v>
      </c>
      <c r="D566" t="s">
        <v>1720</v>
      </c>
      <c r="E566" t="s">
        <v>1721</v>
      </c>
      <c r="F566" t="s">
        <v>1974</v>
      </c>
      <c r="G566" t="s">
        <v>1979</v>
      </c>
      <c r="H566" t="s">
        <v>1981</v>
      </c>
      <c r="I566" s="57">
        <v>44574</v>
      </c>
      <c r="J566" s="13" t="s">
        <v>1980</v>
      </c>
    </row>
    <row r="567" spans="1:10" x14ac:dyDescent="0.35">
      <c r="A567" t="s">
        <v>606</v>
      </c>
      <c r="B567" s="7" t="s">
        <v>1430</v>
      </c>
      <c r="C567">
        <v>16</v>
      </c>
      <c r="D567" t="s">
        <v>1720</v>
      </c>
      <c r="E567" t="s">
        <v>1721</v>
      </c>
      <c r="F567" t="s">
        <v>1957</v>
      </c>
      <c r="G567" t="s">
        <v>1748</v>
      </c>
      <c r="H567" t="s">
        <v>1956</v>
      </c>
      <c r="I567" s="57">
        <v>44574</v>
      </c>
      <c r="J567" s="13" t="s">
        <v>1955</v>
      </c>
    </row>
    <row r="568" spans="1:10" x14ac:dyDescent="0.35">
      <c r="A568" t="s">
        <v>312</v>
      </c>
      <c r="B568" s="7" t="s">
        <v>1137</v>
      </c>
      <c r="C568">
        <v>4.5999999999999999E-2</v>
      </c>
      <c r="D568" t="s">
        <v>1720</v>
      </c>
      <c r="E568" t="s">
        <v>1721</v>
      </c>
      <c r="F568" t="s">
        <v>1974</v>
      </c>
      <c r="G568" t="s">
        <v>1748</v>
      </c>
      <c r="H568" t="s">
        <v>1956</v>
      </c>
      <c r="I568" s="57">
        <v>44574</v>
      </c>
      <c r="J568" s="13" t="s">
        <v>1955</v>
      </c>
    </row>
    <row r="569" spans="1:10" x14ac:dyDescent="0.35">
      <c r="A569" t="s">
        <v>190</v>
      </c>
      <c r="B569" s="7" t="s">
        <v>1018</v>
      </c>
      <c r="C569">
        <f>0.000056*10^3</f>
        <v>5.6000000000000001E-2</v>
      </c>
      <c r="D569" t="s">
        <v>1720</v>
      </c>
      <c r="E569" t="s">
        <v>1721</v>
      </c>
      <c r="F569" t="s">
        <v>2025</v>
      </c>
      <c r="G569" t="s">
        <v>1738</v>
      </c>
      <c r="H569" t="s">
        <v>2020</v>
      </c>
      <c r="I569" s="57">
        <v>44580</v>
      </c>
      <c r="J569" t="s">
        <v>2026</v>
      </c>
    </row>
    <row r="570" spans="1:10" x14ac:dyDescent="0.35">
      <c r="A570" t="s">
        <v>670</v>
      </c>
      <c r="B570" s="7" t="s">
        <v>1494</v>
      </c>
    </row>
    <row r="571" spans="1:10" x14ac:dyDescent="0.35">
      <c r="A571" t="s">
        <v>665</v>
      </c>
      <c r="B571" s="7" t="s">
        <v>1489</v>
      </c>
    </row>
    <row r="572" spans="1:10" x14ac:dyDescent="0.35">
      <c r="A572" t="s">
        <v>285</v>
      </c>
      <c r="B572" s="7" t="s">
        <v>1110</v>
      </c>
    </row>
    <row r="573" spans="1:10" x14ac:dyDescent="0.35">
      <c r="A573" s="2" t="s">
        <v>284</v>
      </c>
    </row>
    <row r="574" spans="1:10" x14ac:dyDescent="0.35">
      <c r="A574" t="s">
        <v>687</v>
      </c>
      <c r="B574" s="7" t="s">
        <v>1511</v>
      </c>
    </row>
    <row r="575" spans="1:10" x14ac:dyDescent="0.35">
      <c r="A575" t="s">
        <v>283</v>
      </c>
      <c r="B575" s="7" t="s">
        <v>1109</v>
      </c>
    </row>
    <row r="576" spans="1:10" x14ac:dyDescent="0.35">
      <c r="A576" s="4" t="s">
        <v>826</v>
      </c>
      <c r="B576" s="7" t="s">
        <v>1648</v>
      </c>
      <c r="C576">
        <v>0.3</v>
      </c>
      <c r="D576" t="s">
        <v>1720</v>
      </c>
      <c r="E576" t="s">
        <v>1721</v>
      </c>
      <c r="G576" t="s">
        <v>1742</v>
      </c>
      <c r="H576" t="s">
        <v>2012</v>
      </c>
      <c r="I576" s="57">
        <v>44574</v>
      </c>
      <c r="J576" s="13" t="s">
        <v>2013</v>
      </c>
    </row>
    <row r="577" spans="1:10" x14ac:dyDescent="0.35">
      <c r="A577" t="s">
        <v>468</v>
      </c>
      <c r="B577" s="7" t="s">
        <v>1292</v>
      </c>
      <c r="C577">
        <v>200</v>
      </c>
      <c r="D577" t="s">
        <v>1720</v>
      </c>
      <c r="E577" t="s">
        <v>1721</v>
      </c>
      <c r="G577" t="s">
        <v>1742</v>
      </c>
      <c r="H577" t="s">
        <v>2010</v>
      </c>
      <c r="I577" s="57">
        <v>44574</v>
      </c>
      <c r="J577" s="13" t="s">
        <v>2013</v>
      </c>
    </row>
    <row r="578" spans="1:10" x14ac:dyDescent="0.35">
      <c r="A578" t="s">
        <v>282</v>
      </c>
      <c r="B578" s="7" t="s">
        <v>1108</v>
      </c>
    </row>
    <row r="579" spans="1:10" x14ac:dyDescent="0.35">
      <c r="A579" t="s">
        <v>281</v>
      </c>
      <c r="B579" s="7" t="s">
        <v>1107</v>
      </c>
    </row>
    <row r="580" spans="1:10" x14ac:dyDescent="0.35">
      <c r="A580" t="s">
        <v>280</v>
      </c>
      <c r="B580" s="7" t="s">
        <v>1106</v>
      </c>
    </row>
    <row r="581" spans="1:10" x14ac:dyDescent="0.35">
      <c r="A581" t="s">
        <v>279</v>
      </c>
      <c r="B581" s="7" t="s">
        <v>1105</v>
      </c>
    </row>
    <row r="582" spans="1:10" x14ac:dyDescent="0.35">
      <c r="A582" t="s">
        <v>278</v>
      </c>
      <c r="B582" s="7" t="s">
        <v>1104</v>
      </c>
    </row>
    <row r="583" spans="1:10" x14ac:dyDescent="0.35">
      <c r="A583" t="s">
        <v>277</v>
      </c>
      <c r="B583" s="7" t="s">
        <v>1103</v>
      </c>
    </row>
    <row r="584" spans="1:10" x14ac:dyDescent="0.35">
      <c r="A584" t="s">
        <v>276</v>
      </c>
      <c r="B584" s="7" t="s">
        <v>1102</v>
      </c>
    </row>
    <row r="585" spans="1:10" x14ac:dyDescent="0.35">
      <c r="A585" t="s">
        <v>275</v>
      </c>
      <c r="B585" s="7" t="s">
        <v>1101</v>
      </c>
    </row>
    <row r="586" spans="1:10" x14ac:dyDescent="0.35">
      <c r="A586" t="s">
        <v>274</v>
      </c>
      <c r="B586" s="7" t="s">
        <v>1100</v>
      </c>
    </row>
    <row r="587" spans="1:10" x14ac:dyDescent="0.35">
      <c r="A587" t="s">
        <v>678</v>
      </c>
      <c r="B587" s="7" t="s">
        <v>1502</v>
      </c>
    </row>
    <row r="588" spans="1:10" x14ac:dyDescent="0.35">
      <c r="A588" t="s">
        <v>273</v>
      </c>
      <c r="B588" s="7" t="s">
        <v>1099</v>
      </c>
    </row>
    <row r="589" spans="1:10" x14ac:dyDescent="0.35">
      <c r="A589" t="s">
        <v>272</v>
      </c>
      <c r="B589" s="7" t="s">
        <v>1098</v>
      </c>
      <c r="C589">
        <f>0.0078*10^3</f>
        <v>7.8</v>
      </c>
      <c r="D589" t="s">
        <v>1720</v>
      </c>
      <c r="E589" t="s">
        <v>1721</v>
      </c>
      <c r="F589" t="s">
        <v>1732</v>
      </c>
      <c r="G589" t="s">
        <v>1738</v>
      </c>
      <c r="H589" t="s">
        <v>2020</v>
      </c>
      <c r="I589" s="57">
        <v>44580</v>
      </c>
      <c r="J589" s="13" t="s">
        <v>2049</v>
      </c>
    </row>
    <row r="590" spans="1:10" x14ac:dyDescent="0.35">
      <c r="A590" t="s">
        <v>272</v>
      </c>
      <c r="B590" s="7" t="s">
        <v>1098</v>
      </c>
      <c r="C590">
        <f>0.11*10^3</f>
        <v>110</v>
      </c>
      <c r="D590" t="s">
        <v>1720</v>
      </c>
      <c r="E590" t="s">
        <v>1724</v>
      </c>
      <c r="F590" t="s">
        <v>1732</v>
      </c>
      <c r="G590" t="s">
        <v>1738</v>
      </c>
      <c r="H590" t="s">
        <v>2020</v>
      </c>
      <c r="I590" s="57">
        <v>44580</v>
      </c>
      <c r="J590" s="13" t="s">
        <v>2049</v>
      </c>
    </row>
    <row r="591" spans="1:10" x14ac:dyDescent="0.35">
      <c r="A591" t="s">
        <v>271</v>
      </c>
      <c r="B591" s="7" t="s">
        <v>1097</v>
      </c>
      <c r="C591">
        <f>3.3*10^-1</f>
        <v>0.33</v>
      </c>
      <c r="D591" t="s">
        <v>1720</v>
      </c>
      <c r="E591" t="s">
        <v>1721</v>
      </c>
      <c r="F591" t="s">
        <v>2046</v>
      </c>
      <c r="G591" t="s">
        <v>1738</v>
      </c>
      <c r="H591" t="s">
        <v>2048</v>
      </c>
      <c r="I591" s="57">
        <v>44580</v>
      </c>
      <c r="J591" t="s">
        <v>2047</v>
      </c>
    </row>
    <row r="592" spans="1:10" x14ac:dyDescent="0.35">
      <c r="A592" t="s">
        <v>271</v>
      </c>
      <c r="B592" s="7" t="s">
        <v>1097</v>
      </c>
      <c r="C592">
        <f>1*10^3</f>
        <v>1000</v>
      </c>
      <c r="D592" t="s">
        <v>1720</v>
      </c>
      <c r="E592" t="s">
        <v>1724</v>
      </c>
      <c r="F592" t="s">
        <v>2046</v>
      </c>
      <c r="G592" t="s">
        <v>1738</v>
      </c>
      <c r="H592" t="s">
        <v>2048</v>
      </c>
      <c r="I592" s="57">
        <v>44580</v>
      </c>
      <c r="J592" t="s">
        <v>2047</v>
      </c>
    </row>
    <row r="593" spans="1:10" x14ac:dyDescent="0.35">
      <c r="A593" t="s">
        <v>682</v>
      </c>
      <c r="B593" s="7" t="s">
        <v>1506</v>
      </c>
    </row>
    <row r="594" spans="1:10" x14ac:dyDescent="0.35">
      <c r="A594" t="s">
        <v>270</v>
      </c>
      <c r="B594" s="7" t="s">
        <v>1096</v>
      </c>
    </row>
    <row r="595" spans="1:10" x14ac:dyDescent="0.35">
      <c r="A595" t="s">
        <v>191</v>
      </c>
      <c r="B595" s="7" t="s">
        <v>1019</v>
      </c>
      <c r="C595">
        <f>0.0062*10^3</f>
        <v>6.2</v>
      </c>
      <c r="D595" t="s">
        <v>1720</v>
      </c>
      <c r="E595" t="s">
        <v>1721</v>
      </c>
      <c r="F595" t="s">
        <v>1957</v>
      </c>
      <c r="G595" t="s">
        <v>1738</v>
      </c>
      <c r="H595" t="s">
        <v>4124</v>
      </c>
      <c r="I595" s="57">
        <v>44580</v>
      </c>
      <c r="J595" s="13" t="s">
        <v>4146</v>
      </c>
    </row>
    <row r="596" spans="1:10" x14ac:dyDescent="0.35">
      <c r="A596" t="s">
        <v>269</v>
      </c>
      <c r="B596" s="7" t="s">
        <v>1095</v>
      </c>
    </row>
    <row r="597" spans="1:10" x14ac:dyDescent="0.35">
      <c r="A597" t="s">
        <v>268</v>
      </c>
      <c r="B597" s="7" t="s">
        <v>1094</v>
      </c>
    </row>
    <row r="598" spans="1:10" x14ac:dyDescent="0.35">
      <c r="A598" t="s">
        <v>669</v>
      </c>
      <c r="B598" s="7" t="s">
        <v>1493</v>
      </c>
    </row>
    <row r="599" spans="1:10" x14ac:dyDescent="0.35">
      <c r="A599" t="s">
        <v>267</v>
      </c>
      <c r="B599" s="7" t="s">
        <v>1093</v>
      </c>
    </row>
    <row r="600" spans="1:10" x14ac:dyDescent="0.35">
      <c r="A600" t="s">
        <v>266</v>
      </c>
      <c r="B600" s="7" t="s">
        <v>1092</v>
      </c>
      <c r="J600" s="13"/>
    </row>
    <row r="601" spans="1:10" x14ac:dyDescent="0.35">
      <c r="A601" t="s">
        <v>773</v>
      </c>
      <c r="B601" s="7" t="s">
        <v>1597</v>
      </c>
    </row>
    <row r="602" spans="1:10" x14ac:dyDescent="0.35">
      <c r="A602" t="s">
        <v>703</v>
      </c>
      <c r="B602" s="7" t="s">
        <v>1527</v>
      </c>
    </row>
    <row r="603" spans="1:10" x14ac:dyDescent="0.35">
      <c r="A603" t="s">
        <v>667</v>
      </c>
      <c r="B603" s="7" t="s">
        <v>1491</v>
      </c>
    </row>
    <row r="604" spans="1:10" x14ac:dyDescent="0.35">
      <c r="A604" t="s">
        <v>265</v>
      </c>
      <c r="B604" s="7" t="s">
        <v>1091</v>
      </c>
    </row>
    <row r="605" spans="1:10" x14ac:dyDescent="0.35">
      <c r="A605" t="s">
        <v>264</v>
      </c>
      <c r="B605" s="7" t="s">
        <v>1090</v>
      </c>
    </row>
    <row r="606" spans="1:10" x14ac:dyDescent="0.35">
      <c r="A606" t="s">
        <v>263</v>
      </c>
      <c r="B606" s="7" t="s">
        <v>1089</v>
      </c>
    </row>
    <row r="607" spans="1:10" x14ac:dyDescent="0.35">
      <c r="A607" s="26" t="s">
        <v>3359</v>
      </c>
      <c r="B607" s="26" t="s">
        <v>3360</v>
      </c>
      <c r="C607" s="26">
        <f>4.4*10^-2</f>
        <v>4.4000000000000004E-2</v>
      </c>
      <c r="D607" s="26" t="s">
        <v>1720</v>
      </c>
      <c r="E607" s="26" t="s">
        <v>1724</v>
      </c>
      <c r="F607" s="26" t="s">
        <v>1740</v>
      </c>
      <c r="G607" s="26" t="s">
        <v>1738</v>
      </c>
      <c r="H607" s="26" t="s">
        <v>2010</v>
      </c>
      <c r="I607" s="48">
        <v>44580</v>
      </c>
      <c r="J607" s="26" t="s">
        <v>3451</v>
      </c>
    </row>
    <row r="608" spans="1:10" x14ac:dyDescent="0.35">
      <c r="A608" s="26" t="s">
        <v>3359</v>
      </c>
      <c r="B608" s="26" t="s">
        <v>3360</v>
      </c>
      <c r="C608" s="26">
        <f>4.4*10^-3</f>
        <v>4.4000000000000003E-3</v>
      </c>
      <c r="D608" s="26" t="s">
        <v>1720</v>
      </c>
      <c r="E608" s="26" t="s">
        <v>1721</v>
      </c>
      <c r="F608" s="26" t="s">
        <v>3452</v>
      </c>
      <c r="G608" s="26" t="s">
        <v>1738</v>
      </c>
      <c r="H608" s="26" t="s">
        <v>2010</v>
      </c>
      <c r="I608" s="48">
        <v>44580</v>
      </c>
      <c r="J608" s="26" t="s">
        <v>3451</v>
      </c>
    </row>
    <row r="609" spans="1:10" x14ac:dyDescent="0.35">
      <c r="A609" t="s">
        <v>262</v>
      </c>
      <c r="B609" s="7" t="s">
        <v>1088</v>
      </c>
    </row>
    <row r="610" spans="1:10" x14ac:dyDescent="0.35">
      <c r="A610" t="s">
        <v>261</v>
      </c>
      <c r="B610" s="7" t="s">
        <v>1087</v>
      </c>
    </row>
    <row r="611" spans="1:10" x14ac:dyDescent="0.35">
      <c r="A611" t="s">
        <v>260</v>
      </c>
      <c r="B611" s="7" t="s">
        <v>1086</v>
      </c>
    </row>
    <row r="612" spans="1:10" x14ac:dyDescent="0.35">
      <c r="A612" t="s">
        <v>671</v>
      </c>
      <c r="B612" s="7" t="s">
        <v>1495</v>
      </c>
    </row>
    <row r="613" spans="1:10" x14ac:dyDescent="0.35">
      <c r="A613" t="s">
        <v>259</v>
      </c>
      <c r="B613" s="7" t="s">
        <v>1085</v>
      </c>
    </row>
    <row r="614" spans="1:10" x14ac:dyDescent="0.35">
      <c r="A614" t="s">
        <v>258</v>
      </c>
      <c r="B614" s="7" t="s">
        <v>1084</v>
      </c>
    </row>
    <row r="615" spans="1:10" x14ac:dyDescent="0.35">
      <c r="A615" t="s">
        <v>257</v>
      </c>
      <c r="B615" s="7" t="s">
        <v>1083</v>
      </c>
    </row>
    <row r="616" spans="1:10" x14ac:dyDescent="0.35">
      <c r="A616" t="s">
        <v>666</v>
      </c>
      <c r="B616" s="7" t="s">
        <v>1490</v>
      </c>
    </row>
    <row r="617" spans="1:10" x14ac:dyDescent="0.35">
      <c r="A617" t="s">
        <v>765</v>
      </c>
      <c r="B617" s="7" t="s">
        <v>1589</v>
      </c>
    </row>
    <row r="618" spans="1:10" x14ac:dyDescent="0.35">
      <c r="A618" t="s">
        <v>256</v>
      </c>
      <c r="B618" s="7" t="s">
        <v>1082</v>
      </c>
    </row>
    <row r="619" spans="1:10" x14ac:dyDescent="0.35">
      <c r="A619" t="s">
        <v>254</v>
      </c>
      <c r="B619" s="7" t="s">
        <v>1080</v>
      </c>
    </row>
    <row r="620" spans="1:10" x14ac:dyDescent="0.35">
      <c r="A620" t="s">
        <v>253</v>
      </c>
      <c r="B620" s="7" t="s">
        <v>1079</v>
      </c>
    </row>
    <row r="621" spans="1:10" x14ac:dyDescent="0.35">
      <c r="A621" t="s">
        <v>252</v>
      </c>
      <c r="B621" s="7" t="s">
        <v>1078</v>
      </c>
    </row>
    <row r="622" spans="1:10" x14ac:dyDescent="0.35">
      <c r="A622" t="s">
        <v>251</v>
      </c>
      <c r="B622" s="7" t="s">
        <v>1077</v>
      </c>
    </row>
    <row r="623" spans="1:10" x14ac:dyDescent="0.35">
      <c r="A623" t="s">
        <v>212</v>
      </c>
      <c r="B623" s="7" t="s">
        <v>1039</v>
      </c>
      <c r="C623" s="35">
        <v>7.0000000000000007E-2</v>
      </c>
      <c r="D623" t="s">
        <v>1720</v>
      </c>
      <c r="E623" t="s">
        <v>1721</v>
      </c>
      <c r="F623" t="s">
        <v>1732</v>
      </c>
      <c r="G623" t="s">
        <v>1738</v>
      </c>
      <c r="H623" t="s">
        <v>2020</v>
      </c>
      <c r="I623" s="57">
        <v>44580</v>
      </c>
      <c r="J623" s="13" t="s">
        <v>2024</v>
      </c>
    </row>
    <row r="624" spans="1:10" x14ac:dyDescent="0.35">
      <c r="A624" t="s">
        <v>115</v>
      </c>
      <c r="B624" s="7" t="s">
        <v>944</v>
      </c>
      <c r="C624">
        <f>0.00007*10^3</f>
        <v>6.9999999999999993E-2</v>
      </c>
      <c r="D624" t="s">
        <v>1720</v>
      </c>
      <c r="E624" t="s">
        <v>1721</v>
      </c>
      <c r="F624" t="s">
        <v>1732</v>
      </c>
      <c r="G624" t="s">
        <v>1738</v>
      </c>
      <c r="H624" t="s">
        <v>2020</v>
      </c>
      <c r="I624" s="57">
        <v>44580</v>
      </c>
      <c r="J624" s="13" t="s">
        <v>2032</v>
      </c>
    </row>
    <row r="625" spans="1:10" x14ac:dyDescent="0.35">
      <c r="A625" t="s">
        <v>250</v>
      </c>
      <c r="B625" s="7" t="s">
        <v>1076</v>
      </c>
    </row>
    <row r="626" spans="1:10" x14ac:dyDescent="0.35">
      <c r="A626" t="s">
        <v>248</v>
      </c>
      <c r="B626" s="7" t="s">
        <v>1074</v>
      </c>
    </row>
    <row r="627" spans="1:10" x14ac:dyDescent="0.35">
      <c r="A627" t="s">
        <v>247</v>
      </c>
      <c r="B627" s="7" t="s">
        <v>1073</v>
      </c>
    </row>
    <row r="628" spans="1:10" x14ac:dyDescent="0.35">
      <c r="A628" t="s">
        <v>661</v>
      </c>
      <c r="B628" s="7" t="s">
        <v>1485</v>
      </c>
    </row>
    <row r="629" spans="1:10" x14ac:dyDescent="0.35">
      <c r="A629" t="s">
        <v>246</v>
      </c>
      <c r="B629" s="7" t="s">
        <v>1072</v>
      </c>
    </row>
    <row r="630" spans="1:10" x14ac:dyDescent="0.35">
      <c r="A630" t="s">
        <v>766</v>
      </c>
      <c r="B630" s="7" t="s">
        <v>1590</v>
      </c>
    </row>
    <row r="631" spans="1:10" x14ac:dyDescent="0.35">
      <c r="A631" t="s">
        <v>287</v>
      </c>
      <c r="B631" s="7" t="s">
        <v>1112</v>
      </c>
      <c r="C631">
        <v>3.0000000000000001E-3</v>
      </c>
      <c r="D631" t="s">
        <v>1720</v>
      </c>
      <c r="E631" t="s">
        <v>1721</v>
      </c>
      <c r="F631" t="s">
        <v>2015</v>
      </c>
      <c r="G631" t="s">
        <v>1742</v>
      </c>
      <c r="H631" t="s">
        <v>2010</v>
      </c>
      <c r="I631" s="57">
        <v>44574</v>
      </c>
      <c r="J631" s="13" t="s">
        <v>2013</v>
      </c>
    </row>
    <row r="632" spans="1:10" x14ac:dyDescent="0.35">
      <c r="A632" t="s">
        <v>142</v>
      </c>
      <c r="B632" s="7" t="s">
        <v>971</v>
      </c>
      <c r="C632">
        <f>8.6*10^-2</f>
        <v>8.5999999999999993E-2</v>
      </c>
      <c r="D632" t="s">
        <v>1720</v>
      </c>
      <c r="E632" t="s">
        <v>1724</v>
      </c>
      <c r="F632" t="s">
        <v>2062</v>
      </c>
      <c r="G632" t="s">
        <v>1738</v>
      </c>
      <c r="H632" t="s">
        <v>2020</v>
      </c>
      <c r="I632" s="57">
        <v>44580</v>
      </c>
      <c r="J632" s="13" t="s">
        <v>2028</v>
      </c>
    </row>
    <row r="633" spans="1:10" x14ac:dyDescent="0.35">
      <c r="A633" t="s">
        <v>245</v>
      </c>
      <c r="B633" s="7" t="s">
        <v>1071</v>
      </c>
    </row>
    <row r="634" spans="1:10" x14ac:dyDescent="0.35">
      <c r="A634" t="s">
        <v>244</v>
      </c>
      <c r="B634" s="7" t="s">
        <v>1070</v>
      </c>
    </row>
    <row r="635" spans="1:10" x14ac:dyDescent="0.35">
      <c r="A635" t="s">
        <v>243</v>
      </c>
      <c r="B635" s="7" t="s">
        <v>1069</v>
      </c>
    </row>
    <row r="636" spans="1:10" x14ac:dyDescent="0.35">
      <c r="A636" t="s">
        <v>754</v>
      </c>
      <c r="B636" s="7" t="s">
        <v>1578</v>
      </c>
    </row>
    <row r="637" spans="1:10" x14ac:dyDescent="0.35">
      <c r="A637" t="s">
        <v>725</v>
      </c>
      <c r="B637" s="7" t="s">
        <v>1549</v>
      </c>
      <c r="C637">
        <v>2.4E-2</v>
      </c>
      <c r="D637" t="s">
        <v>1720</v>
      </c>
      <c r="E637" t="s">
        <v>1721</v>
      </c>
      <c r="F637" t="s">
        <v>1974</v>
      </c>
      <c r="G637" t="s">
        <v>1979</v>
      </c>
      <c r="H637" t="s">
        <v>1981</v>
      </c>
      <c r="I637" s="57">
        <v>44574</v>
      </c>
      <c r="J637" s="13" t="s">
        <v>1980</v>
      </c>
    </row>
    <row r="638" spans="1:10" x14ac:dyDescent="0.35">
      <c r="A638" t="s">
        <v>776</v>
      </c>
      <c r="B638" s="7" t="s">
        <v>1600</v>
      </c>
    </row>
    <row r="639" spans="1:10" x14ac:dyDescent="0.35">
      <c r="A639" t="s">
        <v>242</v>
      </c>
      <c r="B639" s="7" t="s">
        <v>1068</v>
      </c>
    </row>
    <row r="640" spans="1:10" x14ac:dyDescent="0.35">
      <c r="A640" t="s">
        <v>241</v>
      </c>
      <c r="B640" s="7" t="s">
        <v>1067</v>
      </c>
    </row>
    <row r="641" spans="1:10" x14ac:dyDescent="0.35">
      <c r="A641" t="s">
        <v>240</v>
      </c>
      <c r="B641" s="7" t="s">
        <v>1066</v>
      </c>
    </row>
    <row r="642" spans="1:10" x14ac:dyDescent="0.35">
      <c r="A642" t="s">
        <v>239</v>
      </c>
      <c r="B642" s="7" t="s">
        <v>1065</v>
      </c>
    </row>
    <row r="643" spans="1:10" x14ac:dyDescent="0.35">
      <c r="A643" t="s">
        <v>238</v>
      </c>
      <c r="B643" s="7" t="s">
        <v>1064</v>
      </c>
    </row>
    <row r="644" spans="1:10" x14ac:dyDescent="0.35">
      <c r="A644" t="s">
        <v>237</v>
      </c>
      <c r="B644" s="7" t="s">
        <v>897</v>
      </c>
    </row>
    <row r="645" spans="1:10" x14ac:dyDescent="0.35">
      <c r="A645" t="s">
        <v>236</v>
      </c>
      <c r="B645" s="7" t="s">
        <v>1063</v>
      </c>
    </row>
    <row r="646" spans="1:10" x14ac:dyDescent="0.35">
      <c r="A646" t="s">
        <v>235</v>
      </c>
      <c r="B646" s="7" t="s">
        <v>1062</v>
      </c>
    </row>
    <row r="647" spans="1:10" x14ac:dyDescent="0.35">
      <c r="A647" t="s">
        <v>719</v>
      </c>
      <c r="B647" s="7" t="s">
        <v>1543</v>
      </c>
      <c r="C647">
        <v>4.5999999999999999E-2</v>
      </c>
      <c r="D647" t="s">
        <v>1720</v>
      </c>
      <c r="E647" t="s">
        <v>1721</v>
      </c>
      <c r="F647" t="s">
        <v>1974</v>
      </c>
      <c r="G647" t="s">
        <v>1979</v>
      </c>
      <c r="H647" t="s">
        <v>1981</v>
      </c>
      <c r="I647" s="57">
        <v>44574</v>
      </c>
      <c r="J647" s="13" t="s">
        <v>4131</v>
      </c>
    </row>
    <row r="648" spans="1:10" x14ac:dyDescent="0.35">
      <c r="A648" t="s">
        <v>663</v>
      </c>
      <c r="B648" s="7" t="s">
        <v>1487</v>
      </c>
    </row>
    <row r="649" spans="1:10" x14ac:dyDescent="0.35">
      <c r="A649" t="s">
        <v>234</v>
      </c>
      <c r="B649" s="7" t="s">
        <v>1061</v>
      </c>
    </row>
    <row r="650" spans="1:10" x14ac:dyDescent="0.35">
      <c r="A650" t="s">
        <v>675</v>
      </c>
      <c r="B650" s="7" t="s">
        <v>1499</v>
      </c>
    </row>
    <row r="651" spans="1:10" x14ac:dyDescent="0.35">
      <c r="A651" t="s">
        <v>232</v>
      </c>
      <c r="B651" s="7" t="s">
        <v>1059</v>
      </c>
    </row>
    <row r="652" spans="1:10" x14ac:dyDescent="0.35">
      <c r="A652" s="26" t="s">
        <v>3357</v>
      </c>
      <c r="B652" s="26" t="s">
        <v>3358</v>
      </c>
      <c r="C652" s="26"/>
      <c r="D652" s="26"/>
      <c r="E652" s="26"/>
      <c r="F652" s="26"/>
      <c r="G652" s="26"/>
      <c r="H652" s="26"/>
      <c r="I652" s="26"/>
      <c r="J652" s="26"/>
    </row>
    <row r="653" spans="1:10" x14ac:dyDescent="0.35">
      <c r="A653" t="s">
        <v>190</v>
      </c>
      <c r="B653" s="7" t="s">
        <v>1018</v>
      </c>
      <c r="C653">
        <v>1E-3</v>
      </c>
      <c r="D653" t="s">
        <v>1720</v>
      </c>
      <c r="E653" t="s">
        <v>1721</v>
      </c>
      <c r="G653" t="s">
        <v>1742</v>
      </c>
      <c r="H653" t="s">
        <v>2010</v>
      </c>
      <c r="I653" s="57">
        <v>44574</v>
      </c>
      <c r="J653" t="s">
        <v>2011</v>
      </c>
    </row>
    <row r="654" spans="1:10" x14ac:dyDescent="0.35">
      <c r="A654" t="s">
        <v>231</v>
      </c>
      <c r="B654" s="7" t="s">
        <v>1058</v>
      </c>
    </row>
    <row r="655" spans="1:10" x14ac:dyDescent="0.35">
      <c r="A655" s="26" t="s">
        <v>19</v>
      </c>
      <c r="B655" s="25" t="s">
        <v>848</v>
      </c>
      <c r="C655">
        <v>4</v>
      </c>
      <c r="D655" t="s">
        <v>1720</v>
      </c>
      <c r="E655" t="s">
        <v>1721</v>
      </c>
      <c r="G655" t="s">
        <v>1979</v>
      </c>
      <c r="H655" t="s">
        <v>1981</v>
      </c>
      <c r="I655" s="57">
        <v>44574</v>
      </c>
      <c r="J655" s="13" t="s">
        <v>1980</v>
      </c>
    </row>
    <row r="656" spans="1:10" x14ac:dyDescent="0.35">
      <c r="A656" t="s">
        <v>233</v>
      </c>
      <c r="B656" s="7" t="s">
        <v>1060</v>
      </c>
      <c r="C656">
        <v>1.7999999999999999E-2</v>
      </c>
      <c r="D656" t="s">
        <v>1720</v>
      </c>
      <c r="E656" t="s">
        <v>1721</v>
      </c>
      <c r="F656" t="s">
        <v>1978</v>
      </c>
      <c r="G656" t="s">
        <v>2006</v>
      </c>
      <c r="H656" t="s">
        <v>2007</v>
      </c>
      <c r="I656" s="57">
        <v>44574</v>
      </c>
      <c r="J656" s="13" t="s">
        <v>4122</v>
      </c>
    </row>
    <row r="657" spans="1:2" x14ac:dyDescent="0.35">
      <c r="A657" t="s">
        <v>230</v>
      </c>
      <c r="B657" s="7" t="s">
        <v>1057</v>
      </c>
    </row>
    <row r="658" spans="1:2" x14ac:dyDescent="0.35">
      <c r="A658" t="s">
        <v>229</v>
      </c>
      <c r="B658" s="7" t="s">
        <v>1056</v>
      </c>
    </row>
    <row r="659" spans="1:2" x14ac:dyDescent="0.35">
      <c r="A659" t="s">
        <v>228</v>
      </c>
      <c r="B659" s="7" t="s">
        <v>1055</v>
      </c>
    </row>
    <row r="660" spans="1:2" x14ac:dyDescent="0.35">
      <c r="A660" t="s">
        <v>227</v>
      </c>
      <c r="B660" s="7" t="s">
        <v>1054</v>
      </c>
    </row>
    <row r="661" spans="1:2" x14ac:dyDescent="0.35">
      <c r="A661" t="s">
        <v>225</v>
      </c>
      <c r="B661" s="7" t="s">
        <v>1052</v>
      </c>
    </row>
    <row r="662" spans="1:2" x14ac:dyDescent="0.35">
      <c r="A662" t="s">
        <v>224</v>
      </c>
      <c r="B662" s="7" t="s">
        <v>1051</v>
      </c>
    </row>
    <row r="663" spans="1:2" x14ac:dyDescent="0.35">
      <c r="A663" t="s">
        <v>223</v>
      </c>
      <c r="B663" s="7" t="s">
        <v>1050</v>
      </c>
    </row>
    <row r="664" spans="1:2" x14ac:dyDescent="0.35">
      <c r="A664" t="s">
        <v>222</v>
      </c>
      <c r="B664" s="7" t="s">
        <v>1049</v>
      </c>
    </row>
    <row r="665" spans="1:2" x14ac:dyDescent="0.35">
      <c r="A665" t="s">
        <v>221</v>
      </c>
      <c r="B665" s="7" t="s">
        <v>1048</v>
      </c>
    </row>
    <row r="666" spans="1:2" x14ac:dyDescent="0.35">
      <c r="A666" t="s">
        <v>760</v>
      </c>
      <c r="B666" s="7" t="s">
        <v>1584</v>
      </c>
    </row>
    <row r="667" spans="1:2" x14ac:dyDescent="0.35">
      <c r="A667" t="s">
        <v>673</v>
      </c>
      <c r="B667" s="7" t="s">
        <v>1497</v>
      </c>
    </row>
    <row r="668" spans="1:2" x14ac:dyDescent="0.35">
      <c r="A668" t="s">
        <v>220</v>
      </c>
      <c r="B668" s="7" t="s">
        <v>1047</v>
      </c>
    </row>
    <row r="669" spans="1:2" x14ac:dyDescent="0.35">
      <c r="A669" t="s">
        <v>219</v>
      </c>
      <c r="B669" s="7" t="s">
        <v>1046</v>
      </c>
    </row>
    <row r="670" spans="1:2" x14ac:dyDescent="0.35">
      <c r="A670" t="s">
        <v>218</v>
      </c>
      <c r="B670" s="7" t="s">
        <v>1045</v>
      </c>
    </row>
    <row r="671" spans="1:2" x14ac:dyDescent="0.35">
      <c r="A671" t="s">
        <v>664</v>
      </c>
      <c r="B671" s="7" t="s">
        <v>1488</v>
      </c>
    </row>
    <row r="672" spans="1:2" x14ac:dyDescent="0.35">
      <c r="A672" t="s">
        <v>796</v>
      </c>
      <c r="B672" s="7" t="s">
        <v>1619</v>
      </c>
    </row>
    <row r="673" spans="1:10" x14ac:dyDescent="0.35">
      <c r="A673" t="s">
        <v>217</v>
      </c>
      <c r="B673" s="7" t="s">
        <v>1044</v>
      </c>
    </row>
    <row r="674" spans="1:10" x14ac:dyDescent="0.35">
      <c r="A674" s="4" t="s">
        <v>793</v>
      </c>
      <c r="B674" s="4" t="s">
        <v>1616</v>
      </c>
    </row>
    <row r="675" spans="1:10" x14ac:dyDescent="0.35">
      <c r="A675" t="s">
        <v>343</v>
      </c>
      <c r="B675" s="7" t="s">
        <v>1167</v>
      </c>
      <c r="C675">
        <v>0.12</v>
      </c>
      <c r="D675" t="s">
        <v>1720</v>
      </c>
      <c r="E675" t="s">
        <v>1721</v>
      </c>
      <c r="F675" t="s">
        <v>1977</v>
      </c>
      <c r="G675" t="s">
        <v>1748</v>
      </c>
      <c r="H675" t="s">
        <v>1956</v>
      </c>
      <c r="I675" s="57">
        <v>44574</v>
      </c>
      <c r="J675" s="13" t="s">
        <v>1955</v>
      </c>
    </row>
    <row r="676" spans="1:10" x14ac:dyDescent="0.35">
      <c r="A676" t="s">
        <v>674</v>
      </c>
      <c r="B676" s="7" t="s">
        <v>1498</v>
      </c>
    </row>
    <row r="677" spans="1:10" x14ac:dyDescent="0.35">
      <c r="A677" t="s">
        <v>215</v>
      </c>
      <c r="B677" s="7" t="s">
        <v>1042</v>
      </c>
    </row>
    <row r="678" spans="1:10" x14ac:dyDescent="0.35">
      <c r="A678" s="26" t="s">
        <v>3326</v>
      </c>
      <c r="B678" s="26" t="s">
        <v>3327</v>
      </c>
      <c r="C678">
        <v>6.6</v>
      </c>
      <c r="D678" t="s">
        <v>1720</v>
      </c>
      <c r="E678" t="s">
        <v>1721</v>
      </c>
      <c r="F678" t="s">
        <v>1986</v>
      </c>
      <c r="G678" t="s">
        <v>1979</v>
      </c>
      <c r="H678" t="s">
        <v>1981</v>
      </c>
      <c r="I678" s="57">
        <v>44574</v>
      </c>
      <c r="J678" t="s">
        <v>1980</v>
      </c>
    </row>
    <row r="679" spans="1:10" x14ac:dyDescent="0.35">
      <c r="A679" s="26" t="s">
        <v>3326</v>
      </c>
      <c r="B679" s="26" t="s">
        <v>3327</v>
      </c>
      <c r="C679">
        <v>28</v>
      </c>
      <c r="D679" t="s">
        <v>1720</v>
      </c>
      <c r="E679" t="s">
        <v>1724</v>
      </c>
      <c r="F679" t="s">
        <v>1986</v>
      </c>
      <c r="G679" t="s">
        <v>1979</v>
      </c>
      <c r="H679" t="s">
        <v>1981</v>
      </c>
      <c r="I679" s="57">
        <v>44574</v>
      </c>
      <c r="J679" t="s">
        <v>1980</v>
      </c>
    </row>
    <row r="680" spans="1:10" x14ac:dyDescent="0.35">
      <c r="A680" t="s">
        <v>286</v>
      </c>
      <c r="B680" s="7" t="s">
        <v>1111</v>
      </c>
      <c r="C680">
        <v>1.4999999999999999E-2</v>
      </c>
      <c r="D680" t="s">
        <v>1720</v>
      </c>
      <c r="E680" t="s">
        <v>1721</v>
      </c>
      <c r="F680" t="s">
        <v>1978</v>
      </c>
      <c r="G680" t="s">
        <v>2006</v>
      </c>
      <c r="H680" t="s">
        <v>2007</v>
      </c>
      <c r="I680" s="57">
        <v>44574</v>
      </c>
      <c r="J680" s="13" t="s">
        <v>4122</v>
      </c>
    </row>
    <row r="681" spans="1:10" x14ac:dyDescent="0.35">
      <c r="A681" t="s">
        <v>214</v>
      </c>
      <c r="B681" s="7" t="s">
        <v>1041</v>
      </c>
    </row>
    <row r="682" spans="1:10" x14ac:dyDescent="0.35">
      <c r="A682" t="s">
        <v>213</v>
      </c>
      <c r="B682" s="7" t="s">
        <v>1040</v>
      </c>
    </row>
    <row r="683" spans="1:10" x14ac:dyDescent="0.35">
      <c r="A683" t="s">
        <v>211</v>
      </c>
      <c r="B683" s="7" t="s">
        <v>1038</v>
      </c>
    </row>
    <row r="684" spans="1:10" x14ac:dyDescent="0.35">
      <c r="A684" t="s">
        <v>210</v>
      </c>
      <c r="B684" s="7" t="s">
        <v>1037</v>
      </c>
    </row>
    <row r="685" spans="1:10" x14ac:dyDescent="0.35">
      <c r="A685" t="s">
        <v>209</v>
      </c>
      <c r="B685" s="7" t="s">
        <v>1036</v>
      </c>
    </row>
    <row r="686" spans="1:10" x14ac:dyDescent="0.35">
      <c r="A686" t="s">
        <v>208</v>
      </c>
      <c r="B686" s="7" t="s">
        <v>1035</v>
      </c>
    </row>
    <row r="687" spans="1:10" x14ac:dyDescent="0.35">
      <c r="A687" t="s">
        <v>207</v>
      </c>
      <c r="B687" s="7" t="s">
        <v>1034</v>
      </c>
    </row>
    <row r="688" spans="1:10" x14ac:dyDescent="0.35">
      <c r="A688" t="s">
        <v>206</v>
      </c>
      <c r="B688" s="7" t="s">
        <v>1033</v>
      </c>
    </row>
    <row r="689" spans="1:10" x14ac:dyDescent="0.35">
      <c r="A689" t="s">
        <v>205</v>
      </c>
      <c r="B689" s="7" t="s">
        <v>1032</v>
      </c>
    </row>
    <row r="690" spans="1:10" x14ac:dyDescent="0.35">
      <c r="A690" t="s">
        <v>204</v>
      </c>
      <c r="B690" s="7" t="s">
        <v>1031</v>
      </c>
    </row>
    <row r="691" spans="1:10" x14ac:dyDescent="0.35">
      <c r="A691" s="2" t="s">
        <v>203</v>
      </c>
    </row>
    <row r="692" spans="1:10" x14ac:dyDescent="0.35">
      <c r="A692" t="s">
        <v>202</v>
      </c>
      <c r="B692" s="7" t="s">
        <v>1030</v>
      </c>
    </row>
    <row r="693" spans="1:10" x14ac:dyDescent="0.35">
      <c r="A693" t="s">
        <v>201</v>
      </c>
      <c r="B693" s="7" t="s">
        <v>1029</v>
      </c>
    </row>
    <row r="694" spans="1:10" x14ac:dyDescent="0.35">
      <c r="A694" s="26" t="s">
        <v>3353</v>
      </c>
      <c r="B694" s="26" t="s">
        <v>3354</v>
      </c>
      <c r="C694" s="26"/>
      <c r="D694" s="26"/>
      <c r="E694" s="26"/>
      <c r="F694" s="26"/>
      <c r="G694" s="26"/>
      <c r="H694" s="26"/>
      <c r="I694" s="26"/>
      <c r="J694" s="26"/>
    </row>
    <row r="695" spans="1:10" x14ac:dyDescent="0.35">
      <c r="A695" t="s">
        <v>200</v>
      </c>
      <c r="B695" s="7" t="s">
        <v>1028</v>
      </c>
    </row>
    <row r="696" spans="1:10" x14ac:dyDescent="0.35">
      <c r="A696" t="s">
        <v>199</v>
      </c>
      <c r="B696" s="7" t="s">
        <v>1027</v>
      </c>
    </row>
    <row r="697" spans="1:10" x14ac:dyDescent="0.35">
      <c r="A697" t="s">
        <v>198</v>
      </c>
      <c r="B697" s="7" t="s">
        <v>1026</v>
      </c>
    </row>
    <row r="698" spans="1:10" x14ac:dyDescent="0.35">
      <c r="A698" t="s">
        <v>197</v>
      </c>
      <c r="B698" s="7" t="s">
        <v>1025</v>
      </c>
    </row>
    <row r="699" spans="1:10" x14ac:dyDescent="0.35">
      <c r="A699" t="s">
        <v>196</v>
      </c>
      <c r="B699" s="7" t="s">
        <v>1024</v>
      </c>
    </row>
    <row r="700" spans="1:10" x14ac:dyDescent="0.35">
      <c r="A700" t="s">
        <v>60</v>
      </c>
      <c r="B700" s="7" t="s">
        <v>889</v>
      </c>
      <c r="C700">
        <v>0.2</v>
      </c>
      <c r="D700" t="s">
        <v>1720</v>
      </c>
      <c r="E700" t="s">
        <v>1721</v>
      </c>
      <c r="G700" t="s">
        <v>1742</v>
      </c>
      <c r="H700" t="s">
        <v>2010</v>
      </c>
      <c r="I700" s="57">
        <v>44574</v>
      </c>
      <c r="J700" t="s">
        <v>2013</v>
      </c>
    </row>
    <row r="701" spans="1:10" x14ac:dyDescent="0.35">
      <c r="A701" t="s">
        <v>352</v>
      </c>
      <c r="B701" s="7" t="s">
        <v>1176</v>
      </c>
      <c r="C701">
        <v>1.6</v>
      </c>
      <c r="D701" t="s">
        <v>1720</v>
      </c>
      <c r="E701" t="s">
        <v>1721</v>
      </c>
      <c r="G701" t="s">
        <v>1742</v>
      </c>
      <c r="H701" t="s">
        <v>2010</v>
      </c>
      <c r="I701" s="57">
        <v>44574</v>
      </c>
      <c r="J701" s="13" t="s">
        <v>2013</v>
      </c>
    </row>
    <row r="702" spans="1:10" x14ac:dyDescent="0.35">
      <c r="A702" s="26" t="s">
        <v>3405</v>
      </c>
      <c r="B702" s="26" t="s">
        <v>3406</v>
      </c>
      <c r="C702">
        <v>6.6</v>
      </c>
      <c r="D702" t="s">
        <v>1720</v>
      </c>
      <c r="E702" t="s">
        <v>1721</v>
      </c>
      <c r="F702" t="s">
        <v>1986</v>
      </c>
      <c r="G702" t="s">
        <v>1979</v>
      </c>
      <c r="H702" t="s">
        <v>1981</v>
      </c>
      <c r="I702" s="57">
        <v>44574</v>
      </c>
      <c r="J702" t="s">
        <v>1980</v>
      </c>
    </row>
    <row r="703" spans="1:10" x14ac:dyDescent="0.35">
      <c r="A703" t="s">
        <v>195</v>
      </c>
      <c r="B703" s="7" t="s">
        <v>1023</v>
      </c>
    </row>
    <row r="704" spans="1:10" x14ac:dyDescent="0.35">
      <c r="A704" t="s">
        <v>194</v>
      </c>
      <c r="B704" s="7" t="s">
        <v>1022</v>
      </c>
    </row>
    <row r="705" spans="1:10" x14ac:dyDescent="0.35">
      <c r="A705" t="s">
        <v>192</v>
      </c>
      <c r="B705" s="7" t="s">
        <v>1020</v>
      </c>
    </row>
    <row r="706" spans="1:10" x14ac:dyDescent="0.35">
      <c r="A706" s="26" t="s">
        <v>3411</v>
      </c>
      <c r="B706" s="26"/>
      <c r="C706" s="26"/>
      <c r="D706" s="26"/>
      <c r="E706" s="26"/>
      <c r="F706" s="26"/>
      <c r="G706" s="26"/>
      <c r="H706" s="26"/>
      <c r="I706" s="26"/>
      <c r="J706" s="26"/>
    </row>
    <row r="707" spans="1:10" x14ac:dyDescent="0.35">
      <c r="A707" t="s">
        <v>189</v>
      </c>
      <c r="B707" s="7" t="s">
        <v>1017</v>
      </c>
    </row>
    <row r="708" spans="1:10" x14ac:dyDescent="0.35">
      <c r="A708" t="s">
        <v>188</v>
      </c>
      <c r="B708" s="7" t="s">
        <v>1016</v>
      </c>
    </row>
    <row r="709" spans="1:10" x14ac:dyDescent="0.35">
      <c r="A709" t="s">
        <v>187</v>
      </c>
      <c r="B709" s="7" t="s">
        <v>1015</v>
      </c>
    </row>
    <row r="710" spans="1:10" x14ac:dyDescent="0.35">
      <c r="A710" t="s">
        <v>186</v>
      </c>
      <c r="B710" s="7" t="s">
        <v>1014</v>
      </c>
    </row>
    <row r="711" spans="1:10" x14ac:dyDescent="0.35">
      <c r="A711" s="6" t="s">
        <v>792</v>
      </c>
      <c r="B711" s="7" t="s">
        <v>1615</v>
      </c>
    </row>
    <row r="712" spans="1:10" x14ac:dyDescent="0.35">
      <c r="A712" t="s">
        <v>758</v>
      </c>
      <c r="B712" s="7" t="s">
        <v>1582</v>
      </c>
    </row>
    <row r="713" spans="1:10" x14ac:dyDescent="0.35">
      <c r="A713" t="s">
        <v>185</v>
      </c>
      <c r="B713" s="7" t="s">
        <v>1013</v>
      </c>
    </row>
    <row r="714" spans="1:10" x14ac:dyDescent="0.35">
      <c r="A714" s="2" t="s">
        <v>184</v>
      </c>
    </row>
    <row r="715" spans="1:10" x14ac:dyDescent="0.35">
      <c r="A715" t="s">
        <v>183</v>
      </c>
      <c r="B715" s="7" t="s">
        <v>1012</v>
      </c>
    </row>
    <row r="716" spans="1:10" x14ac:dyDescent="0.35">
      <c r="A716" t="s">
        <v>756</v>
      </c>
      <c r="B716" s="7" t="s">
        <v>1580</v>
      </c>
    </row>
    <row r="717" spans="1:10" x14ac:dyDescent="0.35">
      <c r="A717" t="s">
        <v>182</v>
      </c>
      <c r="B717" s="7" t="s">
        <v>1011</v>
      </c>
    </row>
    <row r="718" spans="1:10" x14ac:dyDescent="0.35">
      <c r="A718" t="s">
        <v>181</v>
      </c>
      <c r="B718" s="7" t="s">
        <v>1010</v>
      </c>
    </row>
    <row r="719" spans="1:10" x14ac:dyDescent="0.35">
      <c r="A719" t="s">
        <v>180</v>
      </c>
      <c r="B719" s="7" t="s">
        <v>1009</v>
      </c>
    </row>
    <row r="720" spans="1:10" x14ac:dyDescent="0.35">
      <c r="A720" t="s">
        <v>179</v>
      </c>
      <c r="B720" s="7" t="s">
        <v>1008</v>
      </c>
      <c r="J720" s="13"/>
    </row>
    <row r="721" spans="1:10" x14ac:dyDescent="0.35">
      <c r="A721" t="s">
        <v>178</v>
      </c>
      <c r="B721" s="7" t="s">
        <v>1007</v>
      </c>
      <c r="J721" s="13"/>
    </row>
    <row r="722" spans="1:10" x14ac:dyDescent="0.35">
      <c r="A722" t="s">
        <v>177</v>
      </c>
      <c r="B722" s="7" t="s">
        <v>1006</v>
      </c>
    </row>
    <row r="723" spans="1:10" x14ac:dyDescent="0.35">
      <c r="A723" t="s">
        <v>176</v>
      </c>
      <c r="B723" s="7" t="s">
        <v>1005</v>
      </c>
    </row>
    <row r="724" spans="1:10" x14ac:dyDescent="0.35">
      <c r="A724" s="26" t="s">
        <v>3349</v>
      </c>
      <c r="B724" s="26" t="s">
        <v>3350</v>
      </c>
      <c r="C724" s="26"/>
      <c r="D724" s="26"/>
      <c r="E724" s="26"/>
      <c r="F724" s="26"/>
      <c r="G724" s="26"/>
      <c r="H724" s="26"/>
      <c r="I724" s="26"/>
      <c r="J724" s="26"/>
    </row>
    <row r="725" spans="1:10" x14ac:dyDescent="0.35">
      <c r="A725" s="6" t="s">
        <v>787</v>
      </c>
      <c r="B725" s="7" t="s">
        <v>1610</v>
      </c>
    </row>
    <row r="726" spans="1:10" x14ac:dyDescent="0.35">
      <c r="A726" t="s">
        <v>662</v>
      </c>
      <c r="B726" s="7" t="s">
        <v>1486</v>
      </c>
    </row>
    <row r="727" spans="1:10" x14ac:dyDescent="0.35">
      <c r="A727" t="s">
        <v>715</v>
      </c>
      <c r="B727" s="7" t="s">
        <v>1539</v>
      </c>
    </row>
    <row r="728" spans="1:10" x14ac:dyDescent="0.35">
      <c r="A728" t="s">
        <v>174</v>
      </c>
      <c r="B728" s="7" t="s">
        <v>1003</v>
      </c>
    </row>
    <row r="729" spans="1:10" x14ac:dyDescent="0.35">
      <c r="A729" t="s">
        <v>173</v>
      </c>
      <c r="B729" s="7" t="s">
        <v>1002</v>
      </c>
    </row>
    <row r="730" spans="1:10" x14ac:dyDescent="0.35">
      <c r="A730" t="s">
        <v>800</v>
      </c>
      <c r="B730" s="7" t="s">
        <v>1623</v>
      </c>
    </row>
    <row r="731" spans="1:10" x14ac:dyDescent="0.35">
      <c r="A731" t="s">
        <v>172</v>
      </c>
      <c r="B731" s="7" t="s">
        <v>1001</v>
      </c>
    </row>
    <row r="732" spans="1:10" x14ac:dyDescent="0.35">
      <c r="A732" t="s">
        <v>171</v>
      </c>
      <c r="B732" s="7" t="s">
        <v>1000</v>
      </c>
    </row>
    <row r="733" spans="1:10" x14ac:dyDescent="0.35">
      <c r="A733" s="47" t="s">
        <v>3403</v>
      </c>
      <c r="B733" s="47" t="s">
        <v>3404</v>
      </c>
      <c r="D733" t="s">
        <v>3428</v>
      </c>
    </row>
    <row r="734" spans="1:10" x14ac:dyDescent="0.35">
      <c r="A734" t="s">
        <v>170</v>
      </c>
      <c r="B734" s="7" t="s">
        <v>999</v>
      </c>
    </row>
    <row r="735" spans="1:10" x14ac:dyDescent="0.35">
      <c r="A735" s="26" t="s">
        <v>3405</v>
      </c>
      <c r="B735" s="26" t="s">
        <v>3406</v>
      </c>
      <c r="C735">
        <v>28</v>
      </c>
      <c r="D735" t="s">
        <v>1720</v>
      </c>
      <c r="E735" t="s">
        <v>1724</v>
      </c>
      <c r="F735" t="s">
        <v>1986</v>
      </c>
      <c r="G735" t="s">
        <v>1979</v>
      </c>
      <c r="H735" t="s">
        <v>1981</v>
      </c>
      <c r="I735" s="57">
        <v>44574</v>
      </c>
      <c r="J735" t="s">
        <v>1980</v>
      </c>
    </row>
    <row r="736" spans="1:10" x14ac:dyDescent="0.35">
      <c r="A736" t="s">
        <v>12</v>
      </c>
      <c r="B736" s="7" t="s">
        <v>841</v>
      </c>
      <c r="C736">
        <v>3.0000000000000001E-3</v>
      </c>
      <c r="D736" t="s">
        <v>1720</v>
      </c>
      <c r="E736" t="s">
        <v>1721</v>
      </c>
      <c r="F736" t="s">
        <v>4117</v>
      </c>
      <c r="G736" t="s">
        <v>1742</v>
      </c>
      <c r="H736" t="s">
        <v>2010</v>
      </c>
      <c r="I736" s="57">
        <v>44574</v>
      </c>
      <c r="J736" t="s">
        <v>2013</v>
      </c>
    </row>
    <row r="737" spans="1:10" x14ac:dyDescent="0.35">
      <c r="A737" t="s">
        <v>688</v>
      </c>
      <c r="B737" s="7" t="s">
        <v>1512</v>
      </c>
    </row>
    <row r="738" spans="1:10" x14ac:dyDescent="0.35">
      <c r="A738" t="s">
        <v>169</v>
      </c>
      <c r="B738" s="7" t="s">
        <v>998</v>
      </c>
    </row>
    <row r="739" spans="1:10" x14ac:dyDescent="0.35">
      <c r="A739" t="s">
        <v>167</v>
      </c>
      <c r="B739" s="7" t="s">
        <v>996</v>
      </c>
    </row>
    <row r="740" spans="1:10" x14ac:dyDescent="0.35">
      <c r="A740" t="s">
        <v>166</v>
      </c>
      <c r="B740" s="7" t="s">
        <v>995</v>
      </c>
    </row>
    <row r="741" spans="1:10" x14ac:dyDescent="0.35">
      <c r="A741" t="s">
        <v>165</v>
      </c>
      <c r="B741" s="7" t="s">
        <v>994</v>
      </c>
    </row>
    <row r="742" spans="1:10" x14ac:dyDescent="0.35">
      <c r="A742" t="s">
        <v>164</v>
      </c>
      <c r="B742" s="7" t="s">
        <v>993</v>
      </c>
    </row>
    <row r="743" spans="1:10" x14ac:dyDescent="0.35">
      <c r="A743" s="26" t="s">
        <v>360</v>
      </c>
      <c r="B743" s="25" t="s">
        <v>1184</v>
      </c>
      <c r="C743" s="26">
        <v>5</v>
      </c>
      <c r="D743" s="26" t="s">
        <v>1720</v>
      </c>
      <c r="E743" s="26" t="s">
        <v>1721</v>
      </c>
      <c r="F743" s="26" t="s">
        <v>4132</v>
      </c>
      <c r="G743" s="26" t="s">
        <v>2006</v>
      </c>
      <c r="H743" s="26" t="s">
        <v>2007</v>
      </c>
      <c r="I743" s="48">
        <v>44574</v>
      </c>
      <c r="J743" s="26" t="s">
        <v>2008</v>
      </c>
    </row>
    <row r="744" spans="1:10" x14ac:dyDescent="0.35">
      <c r="A744" s="32" t="s">
        <v>75</v>
      </c>
      <c r="B744" s="33" t="s">
        <v>904</v>
      </c>
      <c r="C744" s="32">
        <v>5.8</v>
      </c>
      <c r="D744" s="32" t="s">
        <v>1720</v>
      </c>
      <c r="E744" s="32" t="s">
        <v>1721</v>
      </c>
      <c r="F744" s="32" t="s">
        <v>1978</v>
      </c>
      <c r="G744" s="32" t="s">
        <v>1979</v>
      </c>
      <c r="H744" s="32" t="s">
        <v>4118</v>
      </c>
      <c r="I744" s="59">
        <v>44574</v>
      </c>
      <c r="J744" s="40" t="s">
        <v>4119</v>
      </c>
    </row>
    <row r="745" spans="1:10" x14ac:dyDescent="0.35">
      <c r="A745" t="s">
        <v>163</v>
      </c>
      <c r="B745" s="7" t="s">
        <v>992</v>
      </c>
    </row>
    <row r="746" spans="1:10" x14ac:dyDescent="0.35">
      <c r="A746" t="s">
        <v>162</v>
      </c>
      <c r="B746" s="7" t="s">
        <v>991</v>
      </c>
    </row>
    <row r="747" spans="1:10" x14ac:dyDescent="0.35">
      <c r="A747" t="s">
        <v>161</v>
      </c>
      <c r="B747" s="7" t="s">
        <v>990</v>
      </c>
    </row>
    <row r="748" spans="1:10" x14ac:dyDescent="0.35">
      <c r="A748" t="s">
        <v>160</v>
      </c>
      <c r="B748" s="7" t="s">
        <v>989</v>
      </c>
    </row>
    <row r="749" spans="1:10" x14ac:dyDescent="0.35">
      <c r="A749" t="s">
        <v>190</v>
      </c>
      <c r="B749" s="7" t="s">
        <v>1018</v>
      </c>
      <c r="C749">
        <f>2.4*10^-1</f>
        <v>0.24</v>
      </c>
      <c r="D749" t="s">
        <v>1720</v>
      </c>
      <c r="E749" t="s">
        <v>1724</v>
      </c>
      <c r="F749" t="s">
        <v>2025</v>
      </c>
      <c r="G749" t="s">
        <v>1738</v>
      </c>
      <c r="H749" t="s">
        <v>2020</v>
      </c>
      <c r="I749" s="57">
        <v>44580</v>
      </c>
      <c r="J749" t="s">
        <v>2026</v>
      </c>
    </row>
    <row r="750" spans="1:10" x14ac:dyDescent="0.35">
      <c r="A750" t="s">
        <v>609</v>
      </c>
      <c r="B750" s="7" t="s">
        <v>1433</v>
      </c>
      <c r="C750">
        <v>1</v>
      </c>
      <c r="D750" t="s">
        <v>1720</v>
      </c>
      <c r="E750" t="s">
        <v>1721</v>
      </c>
      <c r="F750" t="s">
        <v>1957</v>
      </c>
      <c r="G750" t="s">
        <v>1979</v>
      </c>
      <c r="H750" t="s">
        <v>4120</v>
      </c>
      <c r="I750" s="57">
        <v>44574</v>
      </c>
      <c r="J750" t="s">
        <v>1980</v>
      </c>
    </row>
    <row r="751" spans="1:10" x14ac:dyDescent="0.35">
      <c r="A751" t="s">
        <v>19</v>
      </c>
      <c r="B751" s="7" t="s">
        <v>848</v>
      </c>
      <c r="C751">
        <v>4</v>
      </c>
      <c r="D751" t="s">
        <v>1720</v>
      </c>
      <c r="E751" t="s">
        <v>1721</v>
      </c>
      <c r="G751" t="s">
        <v>1817</v>
      </c>
      <c r="H751" t="s">
        <v>2003</v>
      </c>
      <c r="I751" s="57">
        <v>44574</v>
      </c>
      <c r="J751" s="13" t="s">
        <v>2004</v>
      </c>
    </row>
    <row r="752" spans="1:10" x14ac:dyDescent="0.35">
      <c r="A752" t="s">
        <v>598</v>
      </c>
      <c r="B752" s="7" t="s">
        <v>1422</v>
      </c>
      <c r="C752">
        <v>1.1999999999999999E-3</v>
      </c>
      <c r="D752" t="s">
        <v>1720</v>
      </c>
      <c r="E752" t="s">
        <v>1721</v>
      </c>
      <c r="F752" t="s">
        <v>1978</v>
      </c>
      <c r="G752" t="s">
        <v>1979</v>
      </c>
      <c r="H752" t="s">
        <v>1981</v>
      </c>
      <c r="I752" s="57">
        <v>44574</v>
      </c>
      <c r="J752" t="s">
        <v>1980</v>
      </c>
    </row>
    <row r="753" spans="1:10" x14ac:dyDescent="0.35">
      <c r="A753" t="s">
        <v>492</v>
      </c>
      <c r="B753" s="7" t="s">
        <v>1316</v>
      </c>
      <c r="C753">
        <v>5</v>
      </c>
      <c r="D753" t="s">
        <v>1720</v>
      </c>
      <c r="E753" t="s">
        <v>1721</v>
      </c>
      <c r="F753" t="s">
        <v>1957</v>
      </c>
      <c r="G753" t="s">
        <v>1748</v>
      </c>
      <c r="H753" t="s">
        <v>1956</v>
      </c>
      <c r="I753" s="57">
        <v>44574</v>
      </c>
      <c r="J753" s="13" t="s">
        <v>1955</v>
      </c>
    </row>
    <row r="754" spans="1:10" x14ac:dyDescent="0.35">
      <c r="A754" t="s">
        <v>492</v>
      </c>
      <c r="B754" s="7" t="s">
        <v>1316</v>
      </c>
      <c r="C754">
        <v>5</v>
      </c>
      <c r="D754" t="s">
        <v>1720</v>
      </c>
      <c r="E754" t="s">
        <v>1721</v>
      </c>
      <c r="F754" t="s">
        <v>4132</v>
      </c>
      <c r="G754" t="s">
        <v>2006</v>
      </c>
      <c r="H754" t="s">
        <v>2007</v>
      </c>
      <c r="I754" s="57">
        <v>44574</v>
      </c>
      <c r="J754" t="s">
        <v>2008</v>
      </c>
    </row>
    <row r="755" spans="1:10" x14ac:dyDescent="0.35">
      <c r="A755" t="s">
        <v>492</v>
      </c>
      <c r="B755" s="7" t="s">
        <v>1316</v>
      </c>
      <c r="C755">
        <v>5</v>
      </c>
      <c r="D755" t="s">
        <v>1720</v>
      </c>
      <c r="E755" t="s">
        <v>1721</v>
      </c>
      <c r="G755" t="s">
        <v>1817</v>
      </c>
      <c r="H755" t="s">
        <v>2003</v>
      </c>
      <c r="I755" s="57">
        <v>44574</v>
      </c>
      <c r="J755" s="13" t="s">
        <v>2004</v>
      </c>
    </row>
    <row r="756" spans="1:10" x14ac:dyDescent="0.35">
      <c r="A756" t="s">
        <v>764</v>
      </c>
      <c r="B756" s="7" t="s">
        <v>1588</v>
      </c>
      <c r="C756">
        <v>1.3</v>
      </c>
      <c r="D756" t="s">
        <v>1720</v>
      </c>
      <c r="E756" t="s">
        <v>1721</v>
      </c>
      <c r="F756" t="s">
        <v>1961</v>
      </c>
      <c r="G756" t="s">
        <v>1748</v>
      </c>
      <c r="H756" t="s">
        <v>1956</v>
      </c>
      <c r="I756" s="57">
        <v>44574</v>
      </c>
      <c r="J756" s="13" t="s">
        <v>1955</v>
      </c>
    </row>
    <row r="757" spans="1:10" x14ac:dyDescent="0.35">
      <c r="A757" t="s">
        <v>764</v>
      </c>
      <c r="B757" s="7" t="s">
        <v>1588</v>
      </c>
      <c r="C757">
        <v>1.3</v>
      </c>
      <c r="D757" t="s">
        <v>1720</v>
      </c>
      <c r="E757" t="s">
        <v>1721</v>
      </c>
      <c r="F757" t="s">
        <v>4132</v>
      </c>
      <c r="G757" t="s">
        <v>2006</v>
      </c>
      <c r="H757" t="s">
        <v>2007</v>
      </c>
      <c r="I757" s="57">
        <v>44574</v>
      </c>
      <c r="J757" t="s">
        <v>2008</v>
      </c>
    </row>
    <row r="758" spans="1:10" x14ac:dyDescent="0.35">
      <c r="A758" t="s">
        <v>470</v>
      </c>
      <c r="B758" s="7" t="s">
        <v>1294</v>
      </c>
      <c r="C758">
        <f>0.0018*10^3</f>
        <v>1.8</v>
      </c>
      <c r="D758" t="s">
        <v>1720</v>
      </c>
      <c r="E758" t="s">
        <v>1721</v>
      </c>
      <c r="F758" t="s">
        <v>1959</v>
      </c>
      <c r="G758" t="s">
        <v>1979</v>
      </c>
      <c r="H758" t="s">
        <v>1981</v>
      </c>
      <c r="I758" s="57">
        <v>44574</v>
      </c>
      <c r="J758" t="s">
        <v>1980</v>
      </c>
    </row>
    <row r="759" spans="1:10" x14ac:dyDescent="0.35">
      <c r="A759" t="s">
        <v>52</v>
      </c>
      <c r="B759" s="7" t="s">
        <v>881</v>
      </c>
      <c r="C759">
        <f>1*10^-2</f>
        <v>0.01</v>
      </c>
      <c r="D759" t="s">
        <v>1720</v>
      </c>
      <c r="E759" t="s">
        <v>1721</v>
      </c>
      <c r="F759" t="s">
        <v>1987</v>
      </c>
      <c r="G759" t="s">
        <v>1979</v>
      </c>
      <c r="H759" t="s">
        <v>1981</v>
      </c>
      <c r="I759" s="57">
        <v>44574</v>
      </c>
      <c r="J759" s="13" t="s">
        <v>1980</v>
      </c>
    </row>
    <row r="760" spans="1:10" x14ac:dyDescent="0.35">
      <c r="A760" t="s">
        <v>379</v>
      </c>
      <c r="B760" s="7" t="s">
        <v>1203</v>
      </c>
      <c r="C760">
        <v>3.5000000000000001E-3</v>
      </c>
      <c r="D760" t="s">
        <v>1720</v>
      </c>
      <c r="E760" t="s">
        <v>1721</v>
      </c>
      <c r="F760" t="s">
        <v>2002</v>
      </c>
      <c r="G760" t="s">
        <v>1817</v>
      </c>
      <c r="H760" t="s">
        <v>2003</v>
      </c>
      <c r="I760" s="57">
        <v>44574</v>
      </c>
      <c r="J760" s="13" t="s">
        <v>2004</v>
      </c>
    </row>
    <row r="761" spans="1:10" x14ac:dyDescent="0.35">
      <c r="A761" t="s">
        <v>159</v>
      </c>
      <c r="B761" s="7" t="s">
        <v>988</v>
      </c>
    </row>
    <row r="762" spans="1:10" x14ac:dyDescent="0.35">
      <c r="A762" t="s">
        <v>158</v>
      </c>
      <c r="B762" s="7" t="s">
        <v>987</v>
      </c>
    </row>
    <row r="763" spans="1:10" x14ac:dyDescent="0.35">
      <c r="A763" t="s">
        <v>233</v>
      </c>
      <c r="B763" s="7" t="s">
        <v>1060</v>
      </c>
      <c r="C763">
        <v>1.7999999999999999E-2</v>
      </c>
      <c r="D763" t="s">
        <v>1720</v>
      </c>
      <c r="E763" t="s">
        <v>1721</v>
      </c>
      <c r="F763" t="s">
        <v>1978</v>
      </c>
      <c r="G763" t="s">
        <v>1979</v>
      </c>
      <c r="H763" t="s">
        <v>4121</v>
      </c>
      <c r="I763" s="57">
        <v>44574</v>
      </c>
      <c r="J763" s="13" t="s">
        <v>1980</v>
      </c>
    </row>
    <row r="764" spans="1:10" x14ac:dyDescent="0.35">
      <c r="A764" t="s">
        <v>350</v>
      </c>
      <c r="B764" s="7" t="s">
        <v>1174</v>
      </c>
      <c r="C764">
        <v>3.0000000000000001E-3</v>
      </c>
      <c r="D764" t="s">
        <v>1720</v>
      </c>
      <c r="E764" t="s">
        <v>1721</v>
      </c>
      <c r="F764" t="s">
        <v>4117</v>
      </c>
      <c r="G764" t="s">
        <v>1742</v>
      </c>
      <c r="H764" t="s">
        <v>2010</v>
      </c>
      <c r="I764" s="57">
        <v>44574</v>
      </c>
      <c r="J764" t="s">
        <v>2013</v>
      </c>
    </row>
    <row r="765" spans="1:10" x14ac:dyDescent="0.35">
      <c r="A765" t="s">
        <v>157</v>
      </c>
      <c r="B765" s="7" t="s">
        <v>986</v>
      </c>
    </row>
    <row r="766" spans="1:10" x14ac:dyDescent="0.35">
      <c r="A766" t="s">
        <v>175</v>
      </c>
      <c r="B766" s="7" t="s">
        <v>1004</v>
      </c>
      <c r="C766">
        <v>3.3</v>
      </c>
      <c r="D766" t="s">
        <v>1720</v>
      </c>
      <c r="E766" t="s">
        <v>1724</v>
      </c>
      <c r="F766" t="s">
        <v>2005</v>
      </c>
      <c r="G766" t="s">
        <v>2006</v>
      </c>
      <c r="H766" t="s">
        <v>2007</v>
      </c>
      <c r="I766" s="57">
        <v>44574</v>
      </c>
      <c r="J766" s="13" t="s">
        <v>2008</v>
      </c>
    </row>
    <row r="767" spans="1:10" x14ac:dyDescent="0.35">
      <c r="A767" t="s">
        <v>115</v>
      </c>
      <c r="B767" s="7" t="s">
        <v>944</v>
      </c>
      <c r="C767">
        <f>4.2*10^-1</f>
        <v>0.42000000000000004</v>
      </c>
      <c r="D767" t="s">
        <v>1720</v>
      </c>
      <c r="E767" t="s">
        <v>1724</v>
      </c>
      <c r="F767" t="s">
        <v>1732</v>
      </c>
      <c r="G767" t="s">
        <v>1738</v>
      </c>
      <c r="H767" t="s">
        <v>2020</v>
      </c>
      <c r="I767" s="57">
        <v>44580</v>
      </c>
      <c r="J767" s="13" t="s">
        <v>2032</v>
      </c>
    </row>
    <row r="768" spans="1:10" x14ac:dyDescent="0.35">
      <c r="A768" t="s">
        <v>156</v>
      </c>
      <c r="B768" s="7" t="s">
        <v>985</v>
      </c>
    </row>
    <row r="769" spans="1:10" x14ac:dyDescent="0.35">
      <c r="A769" t="s">
        <v>142</v>
      </c>
      <c r="B769" s="7" t="s">
        <v>971</v>
      </c>
      <c r="C769">
        <v>2E-3</v>
      </c>
      <c r="D769" t="s">
        <v>1720</v>
      </c>
      <c r="E769" t="s">
        <v>1721</v>
      </c>
      <c r="G769" t="s">
        <v>1742</v>
      </c>
      <c r="H769" t="s">
        <v>2010</v>
      </c>
      <c r="I769" s="57">
        <v>44574</v>
      </c>
      <c r="J769" s="13" t="s">
        <v>2013</v>
      </c>
    </row>
    <row r="770" spans="1:10" x14ac:dyDescent="0.35">
      <c r="A770" t="s">
        <v>450</v>
      </c>
      <c r="B770" s="7" t="s">
        <v>1274</v>
      </c>
      <c r="C770">
        <v>8.0000000000000004E-4</v>
      </c>
      <c r="D770" t="s">
        <v>1720</v>
      </c>
      <c r="E770" t="s">
        <v>1721</v>
      </c>
      <c r="G770" t="s">
        <v>1742</v>
      </c>
      <c r="H770" t="s">
        <v>2010</v>
      </c>
      <c r="I770" s="57">
        <v>44574</v>
      </c>
      <c r="J770" s="13" t="s">
        <v>2013</v>
      </c>
    </row>
    <row r="771" spans="1:10" x14ac:dyDescent="0.35">
      <c r="A771" t="s">
        <v>155</v>
      </c>
      <c r="B771" s="7" t="s">
        <v>984</v>
      </c>
    </row>
    <row r="772" spans="1:10" x14ac:dyDescent="0.35">
      <c r="A772" t="s">
        <v>154</v>
      </c>
      <c r="B772" s="7" t="s">
        <v>983</v>
      </c>
    </row>
    <row r="773" spans="1:10" x14ac:dyDescent="0.35">
      <c r="A773" t="s">
        <v>735</v>
      </c>
      <c r="B773" s="7" t="s">
        <v>1559</v>
      </c>
    </row>
    <row r="774" spans="1:10" x14ac:dyDescent="0.35">
      <c r="A774" t="s">
        <v>153</v>
      </c>
      <c r="B774" s="7" t="s">
        <v>982</v>
      </c>
    </row>
    <row r="775" spans="1:10" x14ac:dyDescent="0.35">
      <c r="A775" t="s">
        <v>152</v>
      </c>
      <c r="B775" s="7" t="s">
        <v>981</v>
      </c>
    </row>
    <row r="776" spans="1:10" x14ac:dyDescent="0.35">
      <c r="A776" t="s">
        <v>151</v>
      </c>
      <c r="B776" s="7" t="s">
        <v>980</v>
      </c>
      <c r="J776" s="13"/>
    </row>
    <row r="777" spans="1:10" x14ac:dyDescent="0.35">
      <c r="A777" t="s">
        <v>770</v>
      </c>
      <c r="B777" s="7" t="s">
        <v>1594</v>
      </c>
    </row>
    <row r="778" spans="1:10" x14ac:dyDescent="0.35">
      <c r="A778" t="s">
        <v>150</v>
      </c>
      <c r="B778" s="7" t="s">
        <v>979</v>
      </c>
    </row>
    <row r="779" spans="1:10" x14ac:dyDescent="0.35">
      <c r="A779" t="s">
        <v>738</v>
      </c>
      <c r="B779" s="7" t="s">
        <v>1562</v>
      </c>
    </row>
    <row r="780" spans="1:10" x14ac:dyDescent="0.35">
      <c r="A780" t="s">
        <v>148</v>
      </c>
      <c r="B780" s="7" t="s">
        <v>977</v>
      </c>
    </row>
    <row r="781" spans="1:10" x14ac:dyDescent="0.35">
      <c r="A781" t="s">
        <v>729</v>
      </c>
      <c r="B781" s="7" t="s">
        <v>1553</v>
      </c>
    </row>
    <row r="782" spans="1:10" x14ac:dyDescent="0.35">
      <c r="A782" t="s">
        <v>147</v>
      </c>
      <c r="B782" s="7" t="s">
        <v>976</v>
      </c>
    </row>
    <row r="783" spans="1:10" x14ac:dyDescent="0.35">
      <c r="A783" t="s">
        <v>146</v>
      </c>
      <c r="B783" s="7" t="s">
        <v>975</v>
      </c>
    </row>
    <row r="784" spans="1:10" x14ac:dyDescent="0.35">
      <c r="A784" t="s">
        <v>700</v>
      </c>
      <c r="B784" s="7" t="s">
        <v>1524</v>
      </c>
    </row>
    <row r="785" spans="1:10" x14ac:dyDescent="0.35">
      <c r="A785" t="s">
        <v>698</v>
      </c>
      <c r="B785" s="7" t="s">
        <v>1522</v>
      </c>
    </row>
    <row r="786" spans="1:10" x14ac:dyDescent="0.35">
      <c r="A786" t="s">
        <v>145</v>
      </c>
      <c r="B786" s="7" t="s">
        <v>974</v>
      </c>
    </row>
    <row r="787" spans="1:10" x14ac:dyDescent="0.35">
      <c r="A787" t="s">
        <v>144</v>
      </c>
      <c r="B787" s="7" t="s">
        <v>973</v>
      </c>
    </row>
    <row r="788" spans="1:10" x14ac:dyDescent="0.35">
      <c r="A788" t="s">
        <v>143</v>
      </c>
      <c r="B788" s="7" t="s">
        <v>972</v>
      </c>
    </row>
    <row r="789" spans="1:10" x14ac:dyDescent="0.35">
      <c r="A789" t="s">
        <v>657</v>
      </c>
      <c r="B789" s="7" t="s">
        <v>1481</v>
      </c>
    </row>
    <row r="790" spans="1:10" x14ac:dyDescent="0.35">
      <c r="A790" s="26" t="s">
        <v>3410</v>
      </c>
      <c r="B790" s="26"/>
      <c r="C790" s="26"/>
      <c r="D790" s="26"/>
      <c r="E790" s="26"/>
      <c r="F790" s="26"/>
      <c r="G790" s="26"/>
      <c r="H790" s="26"/>
      <c r="I790" s="26"/>
      <c r="J790" s="26"/>
    </row>
    <row r="791" spans="1:10" x14ac:dyDescent="0.35">
      <c r="A791" t="s">
        <v>672</v>
      </c>
      <c r="B791" s="7" t="s">
        <v>1496</v>
      </c>
    </row>
    <row r="792" spans="1:10" x14ac:dyDescent="0.35">
      <c r="A792" t="s">
        <v>51</v>
      </c>
      <c r="B792" s="7" t="s">
        <v>880</v>
      </c>
      <c r="C792">
        <v>0.2</v>
      </c>
      <c r="D792" t="s">
        <v>1720</v>
      </c>
      <c r="E792" t="s">
        <v>1721</v>
      </c>
      <c r="G792" t="s">
        <v>1742</v>
      </c>
      <c r="H792" t="s">
        <v>2010</v>
      </c>
      <c r="I792" s="57">
        <v>44574</v>
      </c>
      <c r="J792" s="13" t="s">
        <v>2013</v>
      </c>
    </row>
    <row r="793" spans="1:10" x14ac:dyDescent="0.35">
      <c r="A793" t="s">
        <v>87</v>
      </c>
      <c r="B793" s="7" t="s">
        <v>916</v>
      </c>
      <c r="C793">
        <v>0.9</v>
      </c>
      <c r="D793" t="s">
        <v>1720</v>
      </c>
      <c r="E793" t="s">
        <v>1721</v>
      </c>
      <c r="F793" t="s">
        <v>1960</v>
      </c>
      <c r="G793" t="s">
        <v>1748</v>
      </c>
      <c r="H793" t="s">
        <v>1956</v>
      </c>
      <c r="I793" s="57">
        <v>44574</v>
      </c>
      <c r="J793" t="s">
        <v>1955</v>
      </c>
    </row>
    <row r="794" spans="1:10" x14ac:dyDescent="0.35">
      <c r="A794" t="s">
        <v>212</v>
      </c>
      <c r="B794" s="7" t="s">
        <v>1039</v>
      </c>
      <c r="C794">
        <f>9.5*10^-1</f>
        <v>0.95000000000000007</v>
      </c>
      <c r="D794" t="s">
        <v>1720</v>
      </c>
      <c r="E794" t="s">
        <v>1724</v>
      </c>
      <c r="F794" t="s">
        <v>1732</v>
      </c>
      <c r="G794" t="s">
        <v>1738</v>
      </c>
      <c r="H794" t="s">
        <v>2020</v>
      </c>
      <c r="I794" s="57">
        <v>44580</v>
      </c>
      <c r="J794" s="13" t="s">
        <v>2024</v>
      </c>
    </row>
    <row r="795" spans="1:10" x14ac:dyDescent="0.35">
      <c r="A795" t="s">
        <v>141</v>
      </c>
      <c r="B795" s="7" t="s">
        <v>970</v>
      </c>
      <c r="C795">
        <f>0.01*10^3</f>
        <v>10</v>
      </c>
      <c r="D795" t="s">
        <v>1720</v>
      </c>
      <c r="E795" t="s">
        <v>1721</v>
      </c>
      <c r="F795" t="s">
        <v>2046</v>
      </c>
      <c r="G795" t="s">
        <v>1738</v>
      </c>
      <c r="H795" t="s">
        <v>2020</v>
      </c>
      <c r="I795" s="57">
        <v>44580</v>
      </c>
      <c r="J795" s="13" t="s">
        <v>2077</v>
      </c>
    </row>
    <row r="796" spans="1:10" x14ac:dyDescent="0.35">
      <c r="A796" t="s">
        <v>141</v>
      </c>
      <c r="B796" s="7" t="s">
        <v>970</v>
      </c>
      <c r="C796">
        <f>0.69*10^3</f>
        <v>690</v>
      </c>
      <c r="D796" t="s">
        <v>1720</v>
      </c>
      <c r="E796" t="s">
        <v>1724</v>
      </c>
      <c r="F796" t="s">
        <v>2046</v>
      </c>
      <c r="G796" t="s">
        <v>1738</v>
      </c>
      <c r="H796" t="s">
        <v>2020</v>
      </c>
      <c r="I796" s="57">
        <v>44580</v>
      </c>
      <c r="J796" s="13" t="s">
        <v>2077</v>
      </c>
    </row>
    <row r="797" spans="1:10" x14ac:dyDescent="0.35">
      <c r="A797" t="s">
        <v>137</v>
      </c>
      <c r="B797" s="7" t="s">
        <v>966</v>
      </c>
    </row>
    <row r="798" spans="1:10" x14ac:dyDescent="0.35">
      <c r="A798" t="s">
        <v>136</v>
      </c>
      <c r="B798" s="7" t="s">
        <v>965</v>
      </c>
    </row>
    <row r="799" spans="1:10" x14ac:dyDescent="0.35">
      <c r="A799" t="s">
        <v>135</v>
      </c>
      <c r="B799" s="7" t="s">
        <v>964</v>
      </c>
      <c r="G799" s="38"/>
    </row>
    <row r="800" spans="1:10" x14ac:dyDescent="0.35">
      <c r="A800" t="s">
        <v>741</v>
      </c>
      <c r="B800" s="7" t="s">
        <v>1565</v>
      </c>
    </row>
    <row r="801" spans="1:10" x14ac:dyDescent="0.35">
      <c r="A801" t="s">
        <v>115</v>
      </c>
      <c r="B801" s="7" t="s">
        <v>944</v>
      </c>
      <c r="C801">
        <v>1E-3</v>
      </c>
      <c r="D801" t="s">
        <v>1720</v>
      </c>
      <c r="E801" t="s">
        <v>1721</v>
      </c>
      <c r="F801" t="s">
        <v>2016</v>
      </c>
      <c r="G801" t="s">
        <v>1742</v>
      </c>
      <c r="H801" t="s">
        <v>2010</v>
      </c>
      <c r="I801" s="57">
        <v>44574</v>
      </c>
      <c r="J801" s="13" t="s">
        <v>2013</v>
      </c>
    </row>
    <row r="802" spans="1:10" x14ac:dyDescent="0.35">
      <c r="A802" t="s">
        <v>286</v>
      </c>
      <c r="B802" s="7" t="s">
        <v>1111</v>
      </c>
      <c r="C802">
        <v>1.4999999999999999E-2</v>
      </c>
      <c r="D802" t="s">
        <v>1720</v>
      </c>
      <c r="E802" t="s">
        <v>1721</v>
      </c>
      <c r="F802" t="s">
        <v>1978</v>
      </c>
      <c r="G802" t="s">
        <v>1979</v>
      </c>
      <c r="H802" t="s">
        <v>1981</v>
      </c>
      <c r="I802" s="57">
        <v>44574</v>
      </c>
      <c r="J802" s="13" t="s">
        <v>1980</v>
      </c>
    </row>
    <row r="803" spans="1:10" x14ac:dyDescent="0.35">
      <c r="A803" t="s">
        <v>175</v>
      </c>
      <c r="B803" s="7" t="s">
        <v>1004</v>
      </c>
      <c r="C803">
        <v>0.2</v>
      </c>
      <c r="D803" t="s">
        <v>1720</v>
      </c>
      <c r="E803" t="s">
        <v>1721</v>
      </c>
      <c r="F803" t="s">
        <v>1962</v>
      </c>
      <c r="G803" t="s">
        <v>2006</v>
      </c>
      <c r="H803" t="s">
        <v>2007</v>
      </c>
      <c r="I803" s="57">
        <v>44574</v>
      </c>
      <c r="J803" t="s">
        <v>2008</v>
      </c>
    </row>
    <row r="804" spans="1:10" x14ac:dyDescent="0.35">
      <c r="A804" t="s">
        <v>510</v>
      </c>
      <c r="B804" s="7" t="s">
        <v>1334</v>
      </c>
      <c r="C804">
        <f>0.0018*10^3</f>
        <v>1.8</v>
      </c>
      <c r="D804" t="s">
        <v>1720</v>
      </c>
      <c r="E804" t="s">
        <v>1721</v>
      </c>
      <c r="F804" t="s">
        <v>1959</v>
      </c>
      <c r="G804" t="s">
        <v>1748</v>
      </c>
      <c r="H804" t="s">
        <v>1956</v>
      </c>
      <c r="I804" s="57">
        <v>44574</v>
      </c>
      <c r="J804" t="s">
        <v>1955</v>
      </c>
    </row>
    <row r="805" spans="1:10" x14ac:dyDescent="0.35">
      <c r="A805" t="s">
        <v>510</v>
      </c>
      <c r="B805" s="7" t="s">
        <v>1334</v>
      </c>
      <c r="C805">
        <f>0.0018*10^3</f>
        <v>1.8</v>
      </c>
      <c r="D805" t="s">
        <v>1720</v>
      </c>
      <c r="E805" t="s">
        <v>1721</v>
      </c>
      <c r="F805" t="s">
        <v>1959</v>
      </c>
      <c r="G805" t="s">
        <v>2006</v>
      </c>
      <c r="H805" t="s">
        <v>2007</v>
      </c>
      <c r="I805" s="57">
        <v>44574</v>
      </c>
      <c r="J805" s="13" t="s">
        <v>2008</v>
      </c>
    </row>
    <row r="806" spans="1:10" x14ac:dyDescent="0.35">
      <c r="A806" t="s">
        <v>134</v>
      </c>
      <c r="B806" s="7" t="s">
        <v>963</v>
      </c>
    </row>
    <row r="807" spans="1:10" x14ac:dyDescent="0.35">
      <c r="A807" t="s">
        <v>133</v>
      </c>
      <c r="B807" s="7" t="s">
        <v>962</v>
      </c>
    </row>
    <row r="808" spans="1:10" x14ac:dyDescent="0.35">
      <c r="A808" t="s">
        <v>132</v>
      </c>
      <c r="B808" s="7" t="s">
        <v>961</v>
      </c>
    </row>
    <row r="809" spans="1:10" x14ac:dyDescent="0.35">
      <c r="A809" t="s">
        <v>131</v>
      </c>
      <c r="B809" s="7" t="s">
        <v>960</v>
      </c>
    </row>
    <row r="810" spans="1:10" x14ac:dyDescent="0.35">
      <c r="A810" t="s">
        <v>739</v>
      </c>
      <c r="B810" s="7" t="s">
        <v>1563</v>
      </c>
    </row>
    <row r="811" spans="1:10" x14ac:dyDescent="0.35">
      <c r="A811" t="s">
        <v>130</v>
      </c>
      <c r="B811" s="7" t="s">
        <v>959</v>
      </c>
    </row>
    <row r="812" spans="1:10" x14ac:dyDescent="0.35">
      <c r="A812" t="s">
        <v>129</v>
      </c>
      <c r="B812" s="7" t="s">
        <v>958</v>
      </c>
    </row>
    <row r="813" spans="1:10" x14ac:dyDescent="0.35">
      <c r="A813" t="s">
        <v>128</v>
      </c>
      <c r="B813" s="7" t="s">
        <v>957</v>
      </c>
    </row>
    <row r="814" spans="1:10" x14ac:dyDescent="0.35">
      <c r="A814" s="26" t="s">
        <v>3332</v>
      </c>
      <c r="B814" s="26" t="s">
        <v>3333</v>
      </c>
      <c r="C814" s="26"/>
      <c r="D814" s="26"/>
      <c r="E814" s="26"/>
      <c r="F814" s="26"/>
      <c r="G814" s="26"/>
      <c r="H814" s="26"/>
      <c r="I814" s="26"/>
      <c r="J814" s="26"/>
    </row>
    <row r="815" spans="1:10" x14ac:dyDescent="0.35">
      <c r="A815" s="6" t="s">
        <v>788</v>
      </c>
      <c r="B815" t="s">
        <v>1611</v>
      </c>
    </row>
    <row r="816" spans="1:10" x14ac:dyDescent="0.35">
      <c r="A816" t="s">
        <v>127</v>
      </c>
      <c r="B816" s="7" t="s">
        <v>956</v>
      </c>
    </row>
    <row r="817" spans="1:10" x14ac:dyDescent="0.35">
      <c r="A817" t="s">
        <v>126</v>
      </c>
      <c r="B817" s="7" t="s">
        <v>955</v>
      </c>
    </row>
    <row r="818" spans="1:10" x14ac:dyDescent="0.35">
      <c r="A818" t="s">
        <v>823</v>
      </c>
      <c r="B818" s="7" t="s">
        <v>1645</v>
      </c>
    </row>
    <row r="819" spans="1:10" x14ac:dyDescent="0.35">
      <c r="A819" t="s">
        <v>125</v>
      </c>
      <c r="B819" s="7" t="s">
        <v>954</v>
      </c>
    </row>
    <row r="820" spans="1:10" x14ac:dyDescent="0.35">
      <c r="A820" t="s">
        <v>124</v>
      </c>
      <c r="B820" s="7" t="s">
        <v>953</v>
      </c>
    </row>
    <row r="821" spans="1:10" x14ac:dyDescent="0.35">
      <c r="A821" t="s">
        <v>810</v>
      </c>
      <c r="B821" s="7" t="s">
        <v>1633</v>
      </c>
    </row>
    <row r="822" spans="1:10" x14ac:dyDescent="0.35">
      <c r="A822" t="s">
        <v>680</v>
      </c>
      <c r="B822" s="7" t="s">
        <v>1504</v>
      </c>
    </row>
    <row r="823" spans="1:10" x14ac:dyDescent="0.35">
      <c r="A823" t="s">
        <v>123</v>
      </c>
      <c r="B823" s="7" t="s">
        <v>952</v>
      </c>
    </row>
    <row r="824" spans="1:10" x14ac:dyDescent="0.35">
      <c r="A824" t="s">
        <v>121</v>
      </c>
      <c r="B824" s="7" t="s">
        <v>950</v>
      </c>
    </row>
    <row r="825" spans="1:10" x14ac:dyDescent="0.35">
      <c r="A825" t="s">
        <v>120</v>
      </c>
      <c r="B825" s="7" t="s">
        <v>949</v>
      </c>
    </row>
    <row r="826" spans="1:10" x14ac:dyDescent="0.35">
      <c r="A826" t="s">
        <v>119</v>
      </c>
      <c r="B826" s="7" t="s">
        <v>948</v>
      </c>
      <c r="C826">
        <f>0.88*10^3</f>
        <v>880</v>
      </c>
      <c r="D826" t="s">
        <v>1720</v>
      </c>
      <c r="E826" t="s">
        <v>1724</v>
      </c>
      <c r="F826" t="s">
        <v>1740</v>
      </c>
      <c r="G826" t="s">
        <v>1738</v>
      </c>
      <c r="H826" t="s">
        <v>2020</v>
      </c>
      <c r="I826" s="57">
        <v>44580</v>
      </c>
      <c r="J826" t="s">
        <v>4158</v>
      </c>
    </row>
    <row r="827" spans="1:10" x14ac:dyDescent="0.35">
      <c r="A827" t="s">
        <v>119</v>
      </c>
      <c r="B827" s="7" t="s">
        <v>948</v>
      </c>
      <c r="C827">
        <f>0.039*10^3</f>
        <v>39</v>
      </c>
      <c r="D827" t="s">
        <v>1720</v>
      </c>
      <c r="E827" t="s">
        <v>1724</v>
      </c>
      <c r="F827" t="s">
        <v>1740</v>
      </c>
      <c r="G827" t="s">
        <v>1738</v>
      </c>
      <c r="H827" t="s">
        <v>2020</v>
      </c>
      <c r="I827" s="57">
        <v>44580</v>
      </c>
      <c r="J827" t="s">
        <v>4158</v>
      </c>
    </row>
    <row r="828" spans="1:10" x14ac:dyDescent="0.35">
      <c r="A828" t="s">
        <v>118</v>
      </c>
      <c r="B828" s="7" t="s">
        <v>947</v>
      </c>
    </row>
    <row r="829" spans="1:10" x14ac:dyDescent="0.35">
      <c r="A829" t="s">
        <v>117</v>
      </c>
      <c r="B829" s="7" t="s">
        <v>946</v>
      </c>
    </row>
    <row r="830" spans="1:10" x14ac:dyDescent="0.35">
      <c r="A830" t="s">
        <v>775</v>
      </c>
      <c r="B830" s="7" t="s">
        <v>1599</v>
      </c>
      <c r="C830">
        <v>0.18</v>
      </c>
      <c r="D830" t="s">
        <v>1720</v>
      </c>
      <c r="E830" t="s">
        <v>1721</v>
      </c>
      <c r="F830" t="s">
        <v>1963</v>
      </c>
      <c r="G830" t="s">
        <v>1748</v>
      </c>
      <c r="H830" t="s">
        <v>1956</v>
      </c>
      <c r="I830" s="57">
        <v>44574</v>
      </c>
      <c r="J830" t="s">
        <v>1955</v>
      </c>
    </row>
    <row r="831" spans="1:10" x14ac:dyDescent="0.35">
      <c r="A831" t="s">
        <v>775</v>
      </c>
      <c r="B831" s="7" t="s">
        <v>1599</v>
      </c>
      <c r="C831">
        <v>0.18</v>
      </c>
      <c r="D831" t="s">
        <v>1720</v>
      </c>
      <c r="E831" t="s">
        <v>1721</v>
      </c>
      <c r="F831" t="s">
        <v>4132</v>
      </c>
      <c r="G831" t="s">
        <v>2006</v>
      </c>
      <c r="H831" t="s">
        <v>2007</v>
      </c>
      <c r="I831" s="57">
        <v>44574</v>
      </c>
      <c r="J831" t="s">
        <v>2008</v>
      </c>
    </row>
    <row r="832" spans="1:10" x14ac:dyDescent="0.35">
      <c r="A832" t="s">
        <v>379</v>
      </c>
      <c r="B832" s="7" t="s">
        <v>1203</v>
      </c>
      <c r="C832">
        <v>2.0000000000000001E-4</v>
      </c>
      <c r="D832" t="s">
        <v>1720</v>
      </c>
      <c r="E832" t="s">
        <v>1721</v>
      </c>
      <c r="F832" t="s">
        <v>2005</v>
      </c>
      <c r="G832" t="s">
        <v>2006</v>
      </c>
      <c r="H832" t="s">
        <v>2007</v>
      </c>
      <c r="I832" s="57">
        <v>44574</v>
      </c>
      <c r="J832" t="s">
        <v>2008</v>
      </c>
    </row>
    <row r="833" spans="1:10" x14ac:dyDescent="0.35">
      <c r="A833" t="s">
        <v>116</v>
      </c>
      <c r="B833" s="7" t="s">
        <v>945</v>
      </c>
    </row>
    <row r="834" spans="1:10" x14ac:dyDescent="0.35">
      <c r="A834" t="s">
        <v>114</v>
      </c>
      <c r="B834" s="7" t="s">
        <v>943</v>
      </c>
    </row>
    <row r="835" spans="1:10" x14ac:dyDescent="0.35">
      <c r="A835" t="s">
        <v>113</v>
      </c>
      <c r="B835" s="7" t="s">
        <v>942</v>
      </c>
    </row>
    <row r="836" spans="1:10" x14ac:dyDescent="0.35">
      <c r="A836" t="s">
        <v>767</v>
      </c>
      <c r="B836" s="7" t="s">
        <v>1591</v>
      </c>
    </row>
    <row r="837" spans="1:10" x14ac:dyDescent="0.35">
      <c r="A837" t="s">
        <v>112</v>
      </c>
      <c r="B837" s="7" t="s">
        <v>941</v>
      </c>
    </row>
    <row r="838" spans="1:10" x14ac:dyDescent="0.35">
      <c r="A838" t="s">
        <v>111</v>
      </c>
      <c r="B838" s="7" t="s">
        <v>940</v>
      </c>
    </row>
    <row r="839" spans="1:10" x14ac:dyDescent="0.35">
      <c r="A839" t="s">
        <v>110</v>
      </c>
      <c r="B839" s="7" t="s">
        <v>939</v>
      </c>
    </row>
    <row r="840" spans="1:10" x14ac:dyDescent="0.35">
      <c r="A840" s="26" t="s">
        <v>360</v>
      </c>
      <c r="B840" s="25" t="s">
        <v>1184</v>
      </c>
      <c r="C840" s="26">
        <v>5</v>
      </c>
      <c r="D840" s="26" t="s">
        <v>1720</v>
      </c>
      <c r="E840" s="26" t="s">
        <v>1721</v>
      </c>
      <c r="F840" s="26" t="s">
        <v>1953</v>
      </c>
      <c r="G840" s="26" t="s">
        <v>1979</v>
      </c>
      <c r="H840" s="26" t="s">
        <v>1981</v>
      </c>
      <c r="I840" s="48">
        <v>44574</v>
      </c>
      <c r="J840" s="26" t="s">
        <v>1980</v>
      </c>
    </row>
    <row r="841" spans="1:10" x14ac:dyDescent="0.35">
      <c r="A841" t="s">
        <v>109</v>
      </c>
      <c r="B841" s="7" t="s">
        <v>938</v>
      </c>
    </row>
    <row r="842" spans="1:10" x14ac:dyDescent="0.35">
      <c r="A842" t="s">
        <v>108</v>
      </c>
      <c r="B842" s="7" t="s">
        <v>937</v>
      </c>
    </row>
    <row r="843" spans="1:10" x14ac:dyDescent="0.35">
      <c r="A843" t="s">
        <v>492</v>
      </c>
      <c r="B843" s="7" t="s">
        <v>1316</v>
      </c>
      <c r="C843">
        <v>5</v>
      </c>
      <c r="D843" t="s">
        <v>1720</v>
      </c>
      <c r="E843" t="s">
        <v>1721</v>
      </c>
      <c r="F843" t="s">
        <v>1957</v>
      </c>
      <c r="G843" t="s">
        <v>1979</v>
      </c>
      <c r="H843" t="s">
        <v>1981</v>
      </c>
      <c r="I843" s="57">
        <v>44574</v>
      </c>
      <c r="J843" t="s">
        <v>1980</v>
      </c>
    </row>
    <row r="844" spans="1:10" x14ac:dyDescent="0.35">
      <c r="A844" t="s">
        <v>107</v>
      </c>
      <c r="B844" s="7" t="s">
        <v>936</v>
      </c>
    </row>
    <row r="845" spans="1:10" x14ac:dyDescent="0.35">
      <c r="A845" t="s">
        <v>106</v>
      </c>
      <c r="B845" s="7" t="s">
        <v>935</v>
      </c>
    </row>
    <row r="846" spans="1:10" x14ac:dyDescent="0.35">
      <c r="A846" t="s">
        <v>105</v>
      </c>
      <c r="B846" s="7" t="s">
        <v>934</v>
      </c>
    </row>
    <row r="847" spans="1:10" x14ac:dyDescent="0.35">
      <c r="A847" t="s">
        <v>104</v>
      </c>
      <c r="B847" s="7" t="s">
        <v>933</v>
      </c>
    </row>
    <row r="848" spans="1:10" x14ac:dyDescent="0.35">
      <c r="A848" t="s">
        <v>103</v>
      </c>
      <c r="B848" s="7" t="s">
        <v>932</v>
      </c>
    </row>
    <row r="849" spans="1:10" x14ac:dyDescent="0.35">
      <c r="A849" t="s">
        <v>102</v>
      </c>
      <c r="B849" s="7" t="s">
        <v>931</v>
      </c>
    </row>
    <row r="850" spans="1:10" x14ac:dyDescent="0.35">
      <c r="A850" t="s">
        <v>573</v>
      </c>
      <c r="B850" t="s">
        <v>1397</v>
      </c>
    </row>
    <row r="851" spans="1:10" x14ac:dyDescent="0.35">
      <c r="A851" t="s">
        <v>101</v>
      </c>
      <c r="B851" s="7" t="s">
        <v>930</v>
      </c>
    </row>
    <row r="852" spans="1:10" x14ac:dyDescent="0.35">
      <c r="A852" t="s">
        <v>100</v>
      </c>
      <c r="B852" s="7" t="s">
        <v>929</v>
      </c>
    </row>
    <row r="853" spans="1:10" x14ac:dyDescent="0.35">
      <c r="A853" t="s">
        <v>806</v>
      </c>
      <c r="B853" s="7" t="s">
        <v>1629</v>
      </c>
    </row>
    <row r="854" spans="1:10" x14ac:dyDescent="0.35">
      <c r="A854" t="s">
        <v>99</v>
      </c>
      <c r="B854" s="7" t="s">
        <v>928</v>
      </c>
    </row>
    <row r="855" spans="1:10" x14ac:dyDescent="0.35">
      <c r="A855" t="s">
        <v>98</v>
      </c>
      <c r="B855" s="7" t="s">
        <v>927</v>
      </c>
    </row>
    <row r="856" spans="1:10" x14ac:dyDescent="0.35">
      <c r="A856" t="s">
        <v>97</v>
      </c>
      <c r="B856" s="7" t="s">
        <v>926</v>
      </c>
    </row>
    <row r="857" spans="1:10" x14ac:dyDescent="0.35">
      <c r="A857" t="s">
        <v>96</v>
      </c>
      <c r="B857" s="7" t="s">
        <v>925</v>
      </c>
    </row>
    <row r="858" spans="1:10" x14ac:dyDescent="0.35">
      <c r="A858" t="s">
        <v>95</v>
      </c>
      <c r="B858" s="7" t="s">
        <v>924</v>
      </c>
    </row>
    <row r="859" spans="1:10" x14ac:dyDescent="0.35">
      <c r="A859" t="s">
        <v>93</v>
      </c>
      <c r="B859" s="7" t="s">
        <v>922</v>
      </c>
    </row>
    <row r="860" spans="1:10" x14ac:dyDescent="0.35">
      <c r="A860" t="s">
        <v>379</v>
      </c>
      <c r="B860" s="7" t="s">
        <v>1203</v>
      </c>
      <c r="C860">
        <v>0.02</v>
      </c>
      <c r="D860" t="s">
        <v>1720</v>
      </c>
      <c r="E860" t="s">
        <v>1724</v>
      </c>
      <c r="F860" t="s">
        <v>2005</v>
      </c>
      <c r="G860" t="s">
        <v>2006</v>
      </c>
      <c r="H860" t="s">
        <v>2007</v>
      </c>
      <c r="I860" s="57">
        <v>44574</v>
      </c>
      <c r="J860" t="s">
        <v>2008</v>
      </c>
    </row>
    <row r="861" spans="1:10" x14ac:dyDescent="0.35">
      <c r="A861" t="s">
        <v>764</v>
      </c>
      <c r="B861" s="7" t="s">
        <v>1588</v>
      </c>
      <c r="C861">
        <v>1.3</v>
      </c>
      <c r="D861" t="s">
        <v>1720</v>
      </c>
      <c r="E861" t="s">
        <v>1721</v>
      </c>
      <c r="F861" t="s">
        <v>1961</v>
      </c>
      <c r="G861" t="s">
        <v>1979</v>
      </c>
      <c r="H861" t="s">
        <v>1981</v>
      </c>
      <c r="I861" s="57">
        <v>44574</v>
      </c>
      <c r="J861" t="s">
        <v>1980</v>
      </c>
    </row>
    <row r="862" spans="1:10" x14ac:dyDescent="0.35">
      <c r="A862" t="s">
        <v>372</v>
      </c>
      <c r="B862" s="7" t="s">
        <v>1196</v>
      </c>
      <c r="C862">
        <v>10</v>
      </c>
      <c r="D862" t="s">
        <v>1720</v>
      </c>
      <c r="E862" t="s">
        <v>1721</v>
      </c>
      <c r="F862" t="s">
        <v>1983</v>
      </c>
      <c r="G862" t="s">
        <v>1979</v>
      </c>
      <c r="H862" t="s">
        <v>1981</v>
      </c>
      <c r="I862" s="57">
        <v>44574</v>
      </c>
      <c r="J862" t="s">
        <v>1980</v>
      </c>
    </row>
    <row r="863" spans="1:10" x14ac:dyDescent="0.35">
      <c r="A863" t="s">
        <v>436</v>
      </c>
      <c r="B863" s="7" t="s">
        <v>1260</v>
      </c>
      <c r="C863">
        <v>2</v>
      </c>
      <c r="D863" t="s">
        <v>1720</v>
      </c>
      <c r="E863" t="s">
        <v>1721</v>
      </c>
      <c r="F863" t="s">
        <v>1965</v>
      </c>
      <c r="G863" t="s">
        <v>1748</v>
      </c>
      <c r="H863" t="s">
        <v>1956</v>
      </c>
      <c r="I863" s="57">
        <v>44574</v>
      </c>
      <c r="J863" t="s">
        <v>1955</v>
      </c>
    </row>
    <row r="864" spans="1:10" x14ac:dyDescent="0.35">
      <c r="A864" t="s">
        <v>436</v>
      </c>
      <c r="B864" s="7" t="s">
        <v>1260</v>
      </c>
      <c r="C864">
        <v>2</v>
      </c>
      <c r="D864" t="s">
        <v>1720</v>
      </c>
      <c r="E864" t="s">
        <v>1721</v>
      </c>
      <c r="F864" t="s">
        <v>1965</v>
      </c>
      <c r="G864" t="s">
        <v>2006</v>
      </c>
      <c r="H864" t="s">
        <v>2007</v>
      </c>
      <c r="I864" s="57">
        <v>44574</v>
      </c>
      <c r="J864" t="s">
        <v>2008</v>
      </c>
    </row>
    <row r="865" spans="1:10" x14ac:dyDescent="0.35">
      <c r="A865" t="s">
        <v>92</v>
      </c>
      <c r="B865" s="7" t="s">
        <v>921</v>
      </c>
    </row>
    <row r="866" spans="1:10" x14ac:dyDescent="0.35">
      <c r="A866" t="s">
        <v>91</v>
      </c>
      <c r="B866" s="7" t="s">
        <v>920</v>
      </c>
    </row>
    <row r="867" spans="1:10" x14ac:dyDescent="0.35">
      <c r="A867" t="s">
        <v>702</v>
      </c>
      <c r="B867" s="7" t="s">
        <v>1526</v>
      </c>
    </row>
    <row r="868" spans="1:10" x14ac:dyDescent="0.35">
      <c r="A868" t="s">
        <v>90</v>
      </c>
      <c r="B868" s="7" t="s">
        <v>919</v>
      </c>
    </row>
    <row r="869" spans="1:10" x14ac:dyDescent="0.35">
      <c r="A869" t="s">
        <v>89</v>
      </c>
      <c r="B869" s="7" t="s">
        <v>918</v>
      </c>
    </row>
    <row r="870" spans="1:10" x14ac:dyDescent="0.35">
      <c r="A870" t="s">
        <v>88</v>
      </c>
      <c r="B870" s="7" t="s">
        <v>917</v>
      </c>
    </row>
    <row r="871" spans="1:10" x14ac:dyDescent="0.35">
      <c r="A871" t="s">
        <v>87</v>
      </c>
      <c r="B871" s="7" t="s">
        <v>916</v>
      </c>
      <c r="C871">
        <f>0.0035*10^3</f>
        <v>3.5</v>
      </c>
      <c r="D871" t="s">
        <v>1720</v>
      </c>
      <c r="E871" t="s">
        <v>1721</v>
      </c>
      <c r="F871" t="s">
        <v>2034</v>
      </c>
      <c r="G871" t="s">
        <v>1738</v>
      </c>
      <c r="H871" t="s">
        <v>2020</v>
      </c>
      <c r="I871" s="57">
        <v>44580</v>
      </c>
      <c r="J871" s="13" t="s">
        <v>2035</v>
      </c>
    </row>
    <row r="872" spans="1:10" x14ac:dyDescent="0.35">
      <c r="A872" t="s">
        <v>87</v>
      </c>
      <c r="B872" s="7" t="s">
        <v>916</v>
      </c>
      <c r="C872">
        <f>0.18*10^3</f>
        <v>180</v>
      </c>
      <c r="D872" t="s">
        <v>1720</v>
      </c>
      <c r="E872" t="s">
        <v>1724</v>
      </c>
      <c r="F872" t="s">
        <v>1732</v>
      </c>
      <c r="G872" t="s">
        <v>1738</v>
      </c>
      <c r="H872" t="s">
        <v>2020</v>
      </c>
      <c r="I872" s="57">
        <v>44580</v>
      </c>
      <c r="J872" s="13" t="s">
        <v>2035</v>
      </c>
    </row>
    <row r="873" spans="1:10" x14ac:dyDescent="0.35">
      <c r="A873" t="s">
        <v>86</v>
      </c>
      <c r="B873" s="7" t="s">
        <v>915</v>
      </c>
    </row>
    <row r="874" spans="1:10" x14ac:dyDescent="0.35">
      <c r="A874" t="s">
        <v>85</v>
      </c>
      <c r="B874" s="7" t="s">
        <v>914</v>
      </c>
    </row>
    <row r="875" spans="1:10" x14ac:dyDescent="0.35">
      <c r="A875" t="s">
        <v>84</v>
      </c>
      <c r="B875" s="7" t="s">
        <v>913</v>
      </c>
    </row>
    <row r="876" spans="1:10" x14ac:dyDescent="0.35">
      <c r="A876" t="s">
        <v>83</v>
      </c>
      <c r="B876" s="7" t="s">
        <v>912</v>
      </c>
    </row>
    <row r="877" spans="1:10" x14ac:dyDescent="0.35">
      <c r="A877" t="s">
        <v>685</v>
      </c>
      <c r="B877" s="7" t="s">
        <v>1509</v>
      </c>
    </row>
    <row r="878" spans="1:10" x14ac:dyDescent="0.35">
      <c r="A878" t="s">
        <v>82</v>
      </c>
      <c r="B878" s="7" t="s">
        <v>911</v>
      </c>
    </row>
    <row r="879" spans="1:10" x14ac:dyDescent="0.35">
      <c r="A879" t="s">
        <v>81</v>
      </c>
      <c r="B879" s="7" t="s">
        <v>910</v>
      </c>
    </row>
    <row r="880" spans="1:10" x14ac:dyDescent="0.35">
      <c r="A880" t="s">
        <v>679</v>
      </c>
      <c r="B880" s="7" t="s">
        <v>1503</v>
      </c>
    </row>
    <row r="881" spans="1:10" x14ac:dyDescent="0.35">
      <c r="A881" t="s">
        <v>606</v>
      </c>
      <c r="B881" s="7" t="s">
        <v>1430</v>
      </c>
      <c r="C881">
        <v>16</v>
      </c>
      <c r="D881" t="s">
        <v>1720</v>
      </c>
      <c r="E881" t="s">
        <v>1721</v>
      </c>
      <c r="F881" t="s">
        <v>4132</v>
      </c>
      <c r="G881" t="s">
        <v>2006</v>
      </c>
      <c r="H881" t="s">
        <v>2007</v>
      </c>
      <c r="I881" s="57">
        <v>44574</v>
      </c>
      <c r="J881" t="s">
        <v>4135</v>
      </c>
    </row>
    <row r="882" spans="1:10" x14ac:dyDescent="0.35">
      <c r="A882" t="s">
        <v>175</v>
      </c>
      <c r="B882" s="7" t="s">
        <v>1004</v>
      </c>
      <c r="C882">
        <v>0.2</v>
      </c>
      <c r="D882" t="s">
        <v>1720</v>
      </c>
      <c r="E882" t="s">
        <v>1721</v>
      </c>
      <c r="F882" t="s">
        <v>1962</v>
      </c>
      <c r="G882" t="s">
        <v>1738</v>
      </c>
      <c r="H882" t="s">
        <v>2020</v>
      </c>
      <c r="I882" s="57">
        <v>44580</v>
      </c>
      <c r="J882" s="13" t="s">
        <v>4141</v>
      </c>
    </row>
    <row r="883" spans="1:10" x14ac:dyDescent="0.35">
      <c r="A883" t="s">
        <v>647</v>
      </c>
      <c r="B883" s="7" t="s">
        <v>1471</v>
      </c>
      <c r="C883">
        <v>1E-3</v>
      </c>
      <c r="D883" t="s">
        <v>1720</v>
      </c>
      <c r="E883" t="s">
        <v>1721</v>
      </c>
      <c r="F883" t="s">
        <v>2016</v>
      </c>
      <c r="G883" t="s">
        <v>1742</v>
      </c>
      <c r="H883" t="s">
        <v>2010</v>
      </c>
      <c r="I883" s="57">
        <v>44574</v>
      </c>
      <c r="J883" s="13" t="s">
        <v>2013</v>
      </c>
    </row>
    <row r="884" spans="1:10" x14ac:dyDescent="0.35">
      <c r="A884" t="s">
        <v>80</v>
      </c>
      <c r="B884" s="7" t="s">
        <v>909</v>
      </c>
    </row>
    <row r="885" spans="1:10" x14ac:dyDescent="0.35">
      <c r="A885" t="s">
        <v>272</v>
      </c>
      <c r="B885" s="7" t="s">
        <v>1098</v>
      </c>
      <c r="C885">
        <v>7.8</v>
      </c>
      <c r="D885" t="s">
        <v>1720</v>
      </c>
      <c r="E885" t="s">
        <v>1721</v>
      </c>
      <c r="F885" t="s">
        <v>1961</v>
      </c>
      <c r="G885" t="s">
        <v>1748</v>
      </c>
      <c r="H885" t="s">
        <v>1956</v>
      </c>
      <c r="I885" s="57">
        <v>44574</v>
      </c>
      <c r="J885" s="13" t="s">
        <v>4133</v>
      </c>
    </row>
    <row r="886" spans="1:10" x14ac:dyDescent="0.35">
      <c r="A886" t="s">
        <v>605</v>
      </c>
      <c r="B886" s="7" t="s">
        <v>1429</v>
      </c>
      <c r="C886">
        <v>6.4999999999999997E-3</v>
      </c>
      <c r="D886" t="s">
        <v>1720</v>
      </c>
      <c r="E886" t="s">
        <v>1721</v>
      </c>
      <c r="G886" t="s">
        <v>1742</v>
      </c>
      <c r="H886" t="s">
        <v>2010</v>
      </c>
      <c r="I886" s="57">
        <v>44574</v>
      </c>
      <c r="J886" s="13" t="s">
        <v>2013</v>
      </c>
    </row>
    <row r="887" spans="1:10" x14ac:dyDescent="0.35">
      <c r="A887" t="s">
        <v>79</v>
      </c>
      <c r="B887" s="7" t="s">
        <v>908</v>
      </c>
      <c r="C887">
        <f>34*10^3</f>
        <v>34000</v>
      </c>
      <c r="D887" t="s">
        <v>1720</v>
      </c>
      <c r="E887" t="s">
        <v>1724</v>
      </c>
      <c r="F887" t="s">
        <v>4163</v>
      </c>
      <c r="G887" t="s">
        <v>1738</v>
      </c>
      <c r="H887" t="s">
        <v>2020</v>
      </c>
      <c r="I887" s="57">
        <v>44580</v>
      </c>
      <c r="J887" t="s">
        <v>4164</v>
      </c>
    </row>
    <row r="888" spans="1:10" x14ac:dyDescent="0.35">
      <c r="A888" t="s">
        <v>79</v>
      </c>
      <c r="B888" s="7" t="s">
        <v>908</v>
      </c>
      <c r="C888">
        <f>0.0081*10^3</f>
        <v>8.1</v>
      </c>
      <c r="D888" t="s">
        <v>1720</v>
      </c>
      <c r="E888" t="s">
        <v>1724</v>
      </c>
      <c r="F888" t="s">
        <v>4163</v>
      </c>
      <c r="G888" t="s">
        <v>1738</v>
      </c>
      <c r="H888" t="s">
        <v>2020</v>
      </c>
      <c r="I888" s="57">
        <v>44580</v>
      </c>
      <c r="J888" t="s">
        <v>4164</v>
      </c>
    </row>
    <row r="889" spans="1:10" x14ac:dyDescent="0.35">
      <c r="A889" t="s">
        <v>78</v>
      </c>
      <c r="B889" s="7" t="s">
        <v>907</v>
      </c>
    </row>
    <row r="890" spans="1:10" x14ac:dyDescent="0.35">
      <c r="A890" t="s">
        <v>699</v>
      </c>
      <c r="B890" s="7" t="s">
        <v>1523</v>
      </c>
    </row>
    <row r="891" spans="1:10" x14ac:dyDescent="0.35">
      <c r="A891" t="s">
        <v>77</v>
      </c>
      <c r="B891" s="7" t="s">
        <v>906</v>
      </c>
    </row>
    <row r="892" spans="1:10" x14ac:dyDescent="0.35">
      <c r="A892" t="s">
        <v>768</v>
      </c>
      <c r="B892" s="7" t="s">
        <v>1592</v>
      </c>
    </row>
    <row r="893" spans="1:10" x14ac:dyDescent="0.35">
      <c r="A893" t="s">
        <v>76</v>
      </c>
      <c r="B893" s="7" t="s">
        <v>905</v>
      </c>
    </row>
    <row r="894" spans="1:10" x14ac:dyDescent="0.35">
      <c r="A894" t="s">
        <v>468</v>
      </c>
      <c r="B894" s="7" t="s">
        <v>1292</v>
      </c>
      <c r="C894">
        <v>10</v>
      </c>
      <c r="D894" t="s">
        <v>1720</v>
      </c>
      <c r="E894" t="s">
        <v>1721</v>
      </c>
      <c r="F894" t="s">
        <v>1957</v>
      </c>
      <c r="G894" t="s">
        <v>1748</v>
      </c>
      <c r="H894" t="s">
        <v>1956</v>
      </c>
      <c r="I894" s="57">
        <v>44574</v>
      </c>
      <c r="J894" t="s">
        <v>1955</v>
      </c>
    </row>
    <row r="895" spans="1:10" x14ac:dyDescent="0.35">
      <c r="A895" t="s">
        <v>468</v>
      </c>
      <c r="B895" s="7" t="s">
        <v>1292</v>
      </c>
      <c r="C895">
        <v>10</v>
      </c>
      <c r="D895" t="s">
        <v>1720</v>
      </c>
      <c r="E895" t="s">
        <v>1721</v>
      </c>
      <c r="F895" t="s">
        <v>4132</v>
      </c>
      <c r="G895" t="s">
        <v>2006</v>
      </c>
      <c r="H895" t="s">
        <v>2007</v>
      </c>
      <c r="I895" s="57">
        <v>44574</v>
      </c>
      <c r="J895" s="13" t="s">
        <v>2008</v>
      </c>
    </row>
    <row r="896" spans="1:10" x14ac:dyDescent="0.35">
      <c r="A896" t="s">
        <v>175</v>
      </c>
      <c r="B896" s="7" t="s">
        <v>1004</v>
      </c>
      <c r="C896">
        <v>0.2</v>
      </c>
      <c r="D896" t="s">
        <v>1720</v>
      </c>
      <c r="E896" t="s">
        <v>1721</v>
      </c>
      <c r="F896" t="s">
        <v>1962</v>
      </c>
      <c r="G896" t="s">
        <v>1748</v>
      </c>
      <c r="H896" t="s">
        <v>1956</v>
      </c>
      <c r="I896" s="57">
        <v>44574</v>
      </c>
      <c r="J896" s="13" t="s">
        <v>1955</v>
      </c>
    </row>
    <row r="897" spans="1:10" x14ac:dyDescent="0.35">
      <c r="A897" t="s">
        <v>175</v>
      </c>
      <c r="B897" s="7" t="s">
        <v>1004</v>
      </c>
      <c r="C897">
        <v>0.2</v>
      </c>
      <c r="D897" t="s">
        <v>1720</v>
      </c>
      <c r="E897" t="s">
        <v>1721</v>
      </c>
      <c r="F897" t="s">
        <v>1962</v>
      </c>
      <c r="G897" t="s">
        <v>1979</v>
      </c>
      <c r="H897" t="s">
        <v>1981</v>
      </c>
      <c r="I897" s="57">
        <v>44574</v>
      </c>
      <c r="J897" s="13" t="s">
        <v>1980</v>
      </c>
    </row>
    <row r="898" spans="1:10" x14ac:dyDescent="0.35">
      <c r="A898" t="s">
        <v>175</v>
      </c>
      <c r="B898" s="7" t="s">
        <v>1004</v>
      </c>
      <c r="C898">
        <v>3.3</v>
      </c>
      <c r="D898" t="s">
        <v>1720</v>
      </c>
      <c r="E898" t="s">
        <v>1724</v>
      </c>
      <c r="F898" t="s">
        <v>1962</v>
      </c>
      <c r="G898" t="s">
        <v>1979</v>
      </c>
      <c r="H898" t="s">
        <v>1981</v>
      </c>
      <c r="I898" s="57">
        <v>44574</v>
      </c>
      <c r="J898" s="13" t="s">
        <v>1980</v>
      </c>
    </row>
    <row r="899" spans="1:10" x14ac:dyDescent="0.35">
      <c r="A899" t="s">
        <v>212</v>
      </c>
      <c r="B899" s="7" t="s">
        <v>1039</v>
      </c>
      <c r="C899">
        <v>0.01</v>
      </c>
      <c r="D899" t="s">
        <v>1720</v>
      </c>
      <c r="E899" t="s">
        <v>1721</v>
      </c>
      <c r="G899" t="s">
        <v>1742</v>
      </c>
      <c r="H899" t="s">
        <v>2010</v>
      </c>
      <c r="I899" s="57">
        <v>44574</v>
      </c>
      <c r="J899" s="13" t="s">
        <v>2013</v>
      </c>
    </row>
    <row r="900" spans="1:10" x14ac:dyDescent="0.35">
      <c r="A900" t="s">
        <v>191</v>
      </c>
      <c r="B900" s="7" t="s">
        <v>1019</v>
      </c>
      <c r="C900">
        <f>0.0062*10^3</f>
        <v>6.2</v>
      </c>
      <c r="D900" t="s">
        <v>1720</v>
      </c>
      <c r="E900" t="s">
        <v>1721</v>
      </c>
      <c r="F900" t="s">
        <v>1957</v>
      </c>
      <c r="G900" t="s">
        <v>1748</v>
      </c>
      <c r="H900" t="s">
        <v>1956</v>
      </c>
      <c r="I900" s="57">
        <v>44574</v>
      </c>
      <c r="J900" s="13" t="s">
        <v>1955</v>
      </c>
    </row>
    <row r="901" spans="1:10" x14ac:dyDescent="0.35">
      <c r="A901" t="s">
        <v>191</v>
      </c>
      <c r="B901" s="7" t="s">
        <v>1019</v>
      </c>
      <c r="C901">
        <f>0.0062*10^3</f>
        <v>6.2</v>
      </c>
      <c r="D901" t="s">
        <v>1720</v>
      </c>
      <c r="E901" t="s">
        <v>1721</v>
      </c>
      <c r="F901" t="s">
        <v>4132</v>
      </c>
      <c r="G901" t="s">
        <v>2006</v>
      </c>
      <c r="H901" t="s">
        <v>2007</v>
      </c>
      <c r="I901" s="57">
        <v>44574</v>
      </c>
      <c r="J901" s="13" t="s">
        <v>2008</v>
      </c>
    </row>
    <row r="902" spans="1:10" x14ac:dyDescent="0.35">
      <c r="A902" t="s">
        <v>749</v>
      </c>
      <c r="B902" s="7" t="s">
        <v>1573</v>
      </c>
      <c r="C902">
        <v>3.4</v>
      </c>
      <c r="D902" t="s">
        <v>1720</v>
      </c>
      <c r="E902" t="s">
        <v>1721</v>
      </c>
      <c r="F902" t="s">
        <v>1973</v>
      </c>
      <c r="G902" t="s">
        <v>1748</v>
      </c>
      <c r="H902" t="s">
        <v>1956</v>
      </c>
      <c r="I902" s="57">
        <v>44574</v>
      </c>
      <c r="J902" s="13" t="s">
        <v>1955</v>
      </c>
    </row>
    <row r="903" spans="1:10" x14ac:dyDescent="0.35">
      <c r="A903" t="s">
        <v>791</v>
      </c>
      <c r="B903" s="7" t="s">
        <v>1614</v>
      </c>
    </row>
    <row r="904" spans="1:10" x14ac:dyDescent="0.35">
      <c r="A904" t="s">
        <v>3414</v>
      </c>
      <c r="B904" s="7" t="s">
        <v>3419</v>
      </c>
      <c r="C904">
        <v>0.05</v>
      </c>
      <c r="D904" t="s">
        <v>1720</v>
      </c>
      <c r="E904" t="s">
        <v>1721</v>
      </c>
      <c r="F904" t="s">
        <v>2005</v>
      </c>
      <c r="G904" t="s">
        <v>2006</v>
      </c>
      <c r="H904" t="s">
        <v>2007</v>
      </c>
      <c r="I904" s="57">
        <v>44574</v>
      </c>
      <c r="J904" t="s">
        <v>2008</v>
      </c>
    </row>
    <row r="905" spans="1:10" x14ac:dyDescent="0.35">
      <c r="A905" t="s">
        <v>510</v>
      </c>
      <c r="B905" s="7" t="s">
        <v>1334</v>
      </c>
      <c r="C905">
        <f>0.0018*10^3</f>
        <v>1.8</v>
      </c>
      <c r="D905" t="s">
        <v>1720</v>
      </c>
      <c r="E905" t="s">
        <v>1721</v>
      </c>
      <c r="F905" t="s">
        <v>1959</v>
      </c>
      <c r="G905" t="s">
        <v>1979</v>
      </c>
      <c r="H905" t="s">
        <v>1981</v>
      </c>
      <c r="I905" s="57">
        <v>44574</v>
      </c>
      <c r="J905" t="s">
        <v>1980</v>
      </c>
    </row>
    <row r="906" spans="1:10" x14ac:dyDescent="0.35">
      <c r="A906" t="s">
        <v>593</v>
      </c>
      <c r="B906" s="7" t="s">
        <v>1417</v>
      </c>
      <c r="C906">
        <v>0.1</v>
      </c>
      <c r="D906" t="s">
        <v>1720</v>
      </c>
      <c r="E906" t="s">
        <v>1721</v>
      </c>
      <c r="F906" t="s">
        <v>1972</v>
      </c>
      <c r="G906" t="s">
        <v>1748</v>
      </c>
      <c r="H906" t="s">
        <v>1956</v>
      </c>
      <c r="I906" s="57">
        <v>44574</v>
      </c>
      <c r="J906" t="s">
        <v>1955</v>
      </c>
    </row>
    <row r="907" spans="1:10" x14ac:dyDescent="0.35">
      <c r="A907" t="s">
        <v>593</v>
      </c>
      <c r="B907" s="7" t="s">
        <v>1417</v>
      </c>
      <c r="C907">
        <v>0.1</v>
      </c>
      <c r="D907" t="s">
        <v>1720</v>
      </c>
      <c r="E907" t="s">
        <v>1721</v>
      </c>
      <c r="G907" t="s">
        <v>1742</v>
      </c>
      <c r="H907" t="s">
        <v>2010</v>
      </c>
      <c r="I907" s="57">
        <v>44574</v>
      </c>
      <c r="J907" s="13" t="s">
        <v>2013</v>
      </c>
    </row>
    <row r="908" spans="1:10" x14ac:dyDescent="0.35">
      <c r="A908" s="32" t="s">
        <v>75</v>
      </c>
      <c r="B908" s="33" t="s">
        <v>904</v>
      </c>
      <c r="C908" s="32">
        <f>0.038*10^3</f>
        <v>38</v>
      </c>
      <c r="D908" s="32" t="s">
        <v>1720</v>
      </c>
      <c r="E908" s="32" t="s">
        <v>1721</v>
      </c>
      <c r="F908" s="32" t="s">
        <v>1732</v>
      </c>
      <c r="G908" s="32" t="s">
        <v>1738</v>
      </c>
      <c r="H908" s="32" t="s">
        <v>2020</v>
      </c>
      <c r="I908" s="59">
        <v>44580</v>
      </c>
      <c r="J908" s="40" t="s">
        <v>2036</v>
      </c>
    </row>
    <row r="909" spans="1:10" x14ac:dyDescent="0.35">
      <c r="A909" t="s">
        <v>12</v>
      </c>
      <c r="B909" s="7" t="s">
        <v>841</v>
      </c>
      <c r="C909">
        <v>3.0000000000000001E-3</v>
      </c>
      <c r="D909" t="s">
        <v>1720</v>
      </c>
      <c r="E909" t="s">
        <v>1721</v>
      </c>
      <c r="F909" t="s">
        <v>1968</v>
      </c>
      <c r="G909" t="s">
        <v>2006</v>
      </c>
      <c r="H909" t="s">
        <v>2007</v>
      </c>
      <c r="I909" s="57">
        <v>44574</v>
      </c>
      <c r="J909" s="13" t="s">
        <v>2008</v>
      </c>
    </row>
    <row r="910" spans="1:10" x14ac:dyDescent="0.35">
      <c r="A910" t="s">
        <v>775</v>
      </c>
      <c r="B910" s="7" t="s">
        <v>1599</v>
      </c>
      <c r="C910">
        <v>0.18</v>
      </c>
      <c r="D910" t="s">
        <v>1720</v>
      </c>
      <c r="E910" t="s">
        <v>1721</v>
      </c>
      <c r="F910" t="s">
        <v>1963</v>
      </c>
      <c r="G910" t="s">
        <v>1979</v>
      </c>
      <c r="H910" t="s">
        <v>1981</v>
      </c>
      <c r="I910" s="57">
        <v>44574</v>
      </c>
      <c r="J910" t="s">
        <v>1980</v>
      </c>
    </row>
    <row r="911" spans="1:10" x14ac:dyDescent="0.35">
      <c r="A911" t="s">
        <v>12</v>
      </c>
      <c r="B911" s="7" t="s">
        <v>841</v>
      </c>
      <c r="C911">
        <v>0.06</v>
      </c>
      <c r="D911" t="s">
        <v>1720</v>
      </c>
      <c r="E911" t="s">
        <v>1724</v>
      </c>
      <c r="F911" t="s">
        <v>1968</v>
      </c>
      <c r="G911" t="s">
        <v>2006</v>
      </c>
      <c r="H911" t="s">
        <v>2007</v>
      </c>
      <c r="I911" s="57">
        <v>44574</v>
      </c>
      <c r="J911" s="13" t="s">
        <v>2009</v>
      </c>
    </row>
    <row r="912" spans="1:10" x14ac:dyDescent="0.35">
      <c r="A912" t="s">
        <v>468</v>
      </c>
      <c r="B912" s="7" t="s">
        <v>1292</v>
      </c>
      <c r="C912">
        <v>10</v>
      </c>
      <c r="D912" t="s">
        <v>1720</v>
      </c>
      <c r="E912" t="s">
        <v>1721</v>
      </c>
      <c r="G912" t="s">
        <v>1817</v>
      </c>
      <c r="H912" t="s">
        <v>2003</v>
      </c>
      <c r="I912" s="57">
        <v>44574</v>
      </c>
      <c r="J912" s="13" t="s">
        <v>2004</v>
      </c>
    </row>
    <row r="913" spans="1:10" x14ac:dyDescent="0.35">
      <c r="A913" s="32" t="s">
        <v>75</v>
      </c>
      <c r="B913" s="33" t="s">
        <v>904</v>
      </c>
      <c r="C913" s="32">
        <f>0.1*10^3</f>
        <v>100</v>
      </c>
      <c r="D913" s="32" t="s">
        <v>1720</v>
      </c>
      <c r="E913" s="32" t="s">
        <v>1724</v>
      </c>
      <c r="F913" s="32" t="s">
        <v>1732</v>
      </c>
      <c r="G913" s="32" t="s">
        <v>1738</v>
      </c>
      <c r="H913" s="32" t="s">
        <v>2020</v>
      </c>
      <c r="I913" s="59">
        <v>44580</v>
      </c>
      <c r="J913" s="40" t="s">
        <v>2036</v>
      </c>
    </row>
    <row r="914" spans="1:10" x14ac:dyDescent="0.35">
      <c r="A914" t="s">
        <v>74</v>
      </c>
      <c r="B914" s="7" t="s">
        <v>903</v>
      </c>
    </row>
    <row r="915" spans="1:10" x14ac:dyDescent="0.35">
      <c r="A915" t="s">
        <v>73</v>
      </c>
      <c r="B915" s="7" t="s">
        <v>902</v>
      </c>
    </row>
    <row r="916" spans="1:10" x14ac:dyDescent="0.35">
      <c r="A916" t="s">
        <v>757</v>
      </c>
      <c r="B916" s="7" t="s">
        <v>1581</v>
      </c>
    </row>
    <row r="917" spans="1:10" x14ac:dyDescent="0.35">
      <c r="A917" t="s">
        <v>72</v>
      </c>
      <c r="B917" s="7" t="s">
        <v>901</v>
      </c>
    </row>
    <row r="918" spans="1:10" x14ac:dyDescent="0.35">
      <c r="A918" t="s">
        <v>350</v>
      </c>
      <c r="B918" s="7" t="s">
        <v>1174</v>
      </c>
      <c r="C918">
        <v>3.0000000000000001E-3</v>
      </c>
      <c r="D918" t="s">
        <v>1720</v>
      </c>
      <c r="E918" t="s">
        <v>1721</v>
      </c>
      <c r="F918" t="s">
        <v>1968</v>
      </c>
      <c r="G918" t="s">
        <v>2006</v>
      </c>
      <c r="H918" t="s">
        <v>2007</v>
      </c>
      <c r="I918" s="57">
        <v>44574</v>
      </c>
      <c r="J918" s="13" t="s">
        <v>2008</v>
      </c>
    </row>
    <row r="919" spans="1:10" x14ac:dyDescent="0.35">
      <c r="A919" t="s">
        <v>71</v>
      </c>
      <c r="B919" s="7" t="s">
        <v>900</v>
      </c>
    </row>
    <row r="920" spans="1:10" x14ac:dyDescent="0.35">
      <c r="A920" t="s">
        <v>706</v>
      </c>
      <c r="B920" s="7" t="s">
        <v>1530</v>
      </c>
    </row>
    <row r="921" spans="1:10" x14ac:dyDescent="0.35">
      <c r="A921" t="s">
        <v>70</v>
      </c>
      <c r="B921" s="7" t="s">
        <v>899</v>
      </c>
    </row>
    <row r="922" spans="1:10" x14ac:dyDescent="0.35">
      <c r="A922" t="s">
        <v>69</v>
      </c>
      <c r="B922" s="7" t="s">
        <v>898</v>
      </c>
    </row>
    <row r="923" spans="1:10" x14ac:dyDescent="0.35">
      <c r="A923" t="s">
        <v>68</v>
      </c>
      <c r="B923" s="7" t="s">
        <v>897</v>
      </c>
    </row>
    <row r="924" spans="1:10" x14ac:dyDescent="0.35">
      <c r="A924" t="s">
        <v>67</v>
      </c>
      <c r="B924" s="7" t="s">
        <v>896</v>
      </c>
    </row>
    <row r="925" spans="1:10" x14ac:dyDescent="0.35">
      <c r="A925" t="s">
        <v>66</v>
      </c>
      <c r="B925" s="7" t="s">
        <v>895</v>
      </c>
    </row>
    <row r="926" spans="1:10" x14ac:dyDescent="0.35">
      <c r="A926" t="s">
        <v>65</v>
      </c>
      <c r="B926" s="7" t="s">
        <v>894</v>
      </c>
    </row>
    <row r="927" spans="1:10" x14ac:dyDescent="0.35">
      <c r="A927" t="s">
        <v>64</v>
      </c>
      <c r="B927" s="7" t="s">
        <v>893</v>
      </c>
    </row>
    <row r="928" spans="1:10" x14ac:dyDescent="0.35">
      <c r="A928" t="s">
        <v>63</v>
      </c>
      <c r="B928" s="7" t="s">
        <v>892</v>
      </c>
    </row>
    <row r="929" spans="1:10" x14ac:dyDescent="0.35">
      <c r="A929" t="s">
        <v>62</v>
      </c>
      <c r="B929" s="7" t="s">
        <v>891</v>
      </c>
    </row>
    <row r="930" spans="1:10" x14ac:dyDescent="0.35">
      <c r="A930" t="s">
        <v>61</v>
      </c>
      <c r="B930" s="7" t="s">
        <v>890</v>
      </c>
    </row>
    <row r="931" spans="1:10" x14ac:dyDescent="0.35">
      <c r="A931" t="s">
        <v>60</v>
      </c>
      <c r="B931" s="7" t="s">
        <v>889</v>
      </c>
      <c r="C931">
        <f>0.11*10^3</f>
        <v>110</v>
      </c>
      <c r="D931" t="s">
        <v>1720</v>
      </c>
      <c r="E931" t="s">
        <v>1721</v>
      </c>
      <c r="F931" t="s">
        <v>1732</v>
      </c>
      <c r="G931" t="s">
        <v>1738</v>
      </c>
      <c r="H931" t="s">
        <v>2020</v>
      </c>
      <c r="I931" s="57">
        <v>44580</v>
      </c>
      <c r="J931" t="s">
        <v>2026</v>
      </c>
    </row>
    <row r="932" spans="1:10" x14ac:dyDescent="0.35">
      <c r="A932" t="s">
        <v>350</v>
      </c>
      <c r="B932" s="7" t="s">
        <v>1174</v>
      </c>
      <c r="C932">
        <v>0.06</v>
      </c>
      <c r="D932" t="s">
        <v>1720</v>
      </c>
      <c r="E932" t="s">
        <v>1724</v>
      </c>
      <c r="F932" t="s">
        <v>1968</v>
      </c>
      <c r="G932" t="s">
        <v>2006</v>
      </c>
      <c r="H932" t="s">
        <v>2007</v>
      </c>
      <c r="I932" s="57">
        <v>44574</v>
      </c>
      <c r="J932" s="13" t="s">
        <v>2008</v>
      </c>
    </row>
    <row r="933" spans="1:10" x14ac:dyDescent="0.35">
      <c r="A933" t="s">
        <v>272</v>
      </c>
      <c r="B933" s="7" t="s">
        <v>1098</v>
      </c>
      <c r="C933">
        <v>3</v>
      </c>
      <c r="D933" t="s">
        <v>1720</v>
      </c>
      <c r="E933" t="s">
        <v>1721</v>
      </c>
      <c r="G933" t="s">
        <v>1742</v>
      </c>
      <c r="H933" t="s">
        <v>2012</v>
      </c>
      <c r="I933" s="57">
        <v>44574</v>
      </c>
      <c r="J933" s="13" t="s">
        <v>2013</v>
      </c>
    </row>
    <row r="934" spans="1:10" x14ac:dyDescent="0.35">
      <c r="A934" t="s">
        <v>379</v>
      </c>
      <c r="B934" s="7" t="s">
        <v>1203</v>
      </c>
      <c r="C934">
        <v>2E-3</v>
      </c>
      <c r="D934" t="s">
        <v>1720</v>
      </c>
      <c r="E934" t="s">
        <v>1721</v>
      </c>
      <c r="F934" t="s">
        <v>1964</v>
      </c>
      <c r="G934" t="s">
        <v>1748</v>
      </c>
      <c r="H934" t="s">
        <v>1956</v>
      </c>
      <c r="I934" s="57">
        <v>44574</v>
      </c>
      <c r="J934" s="13" t="s">
        <v>1955</v>
      </c>
    </row>
    <row r="935" spans="1:10" x14ac:dyDescent="0.35">
      <c r="A935" t="s">
        <v>379</v>
      </c>
      <c r="B935" s="7" t="s">
        <v>1203</v>
      </c>
      <c r="C935">
        <v>0.02</v>
      </c>
      <c r="D935" t="s">
        <v>1720</v>
      </c>
      <c r="E935" t="s">
        <v>1724</v>
      </c>
      <c r="F935" t="s">
        <v>2005</v>
      </c>
      <c r="G935" t="s">
        <v>1979</v>
      </c>
      <c r="H935" t="s">
        <v>1981</v>
      </c>
      <c r="I935" s="57">
        <v>44574</v>
      </c>
      <c r="J935" t="s">
        <v>1980</v>
      </c>
    </row>
    <row r="936" spans="1:10" x14ac:dyDescent="0.35">
      <c r="A936" t="s">
        <v>379</v>
      </c>
      <c r="B936" s="7" t="s">
        <v>1203</v>
      </c>
      <c r="C936">
        <v>2E-3</v>
      </c>
      <c r="D936" t="s">
        <v>1720</v>
      </c>
      <c r="E936" t="s">
        <v>1721</v>
      </c>
      <c r="F936" t="s">
        <v>1964</v>
      </c>
      <c r="G936" t="s">
        <v>1979</v>
      </c>
      <c r="H936" t="s">
        <v>1981</v>
      </c>
      <c r="I936" s="57">
        <v>44574</v>
      </c>
      <c r="J936" t="s">
        <v>1980</v>
      </c>
    </row>
    <row r="937" spans="1:10" x14ac:dyDescent="0.35">
      <c r="A937" t="s">
        <v>450</v>
      </c>
      <c r="B937" s="7" t="s">
        <v>1274</v>
      </c>
      <c r="C937">
        <v>0.04</v>
      </c>
      <c r="D937" t="s">
        <v>1720</v>
      </c>
      <c r="E937" t="s">
        <v>1721</v>
      </c>
      <c r="F937" t="s">
        <v>2005</v>
      </c>
      <c r="G937" t="s">
        <v>2006</v>
      </c>
      <c r="H937" t="s">
        <v>2007</v>
      </c>
      <c r="I937" s="57">
        <v>44574</v>
      </c>
      <c r="J937" t="s">
        <v>2008</v>
      </c>
    </row>
    <row r="938" spans="1:10" x14ac:dyDescent="0.35">
      <c r="A938" t="s">
        <v>191</v>
      </c>
      <c r="B938" s="7" t="s">
        <v>1019</v>
      </c>
      <c r="C938">
        <f>0.0062*10^3</f>
        <v>6.2</v>
      </c>
      <c r="D938" t="s">
        <v>1720</v>
      </c>
      <c r="E938" t="s">
        <v>1721</v>
      </c>
      <c r="G938" t="s">
        <v>1817</v>
      </c>
      <c r="H938" t="s">
        <v>2003</v>
      </c>
      <c r="I938" s="57">
        <v>44574</v>
      </c>
      <c r="J938" s="13" t="s">
        <v>2004</v>
      </c>
    </row>
    <row r="939" spans="1:10" x14ac:dyDescent="0.35">
      <c r="A939" s="26" t="s">
        <v>3371</v>
      </c>
      <c r="B939" s="26" t="s">
        <v>3372</v>
      </c>
      <c r="C939" s="26">
        <v>65</v>
      </c>
      <c r="D939" s="26" t="s">
        <v>1720</v>
      </c>
      <c r="E939" s="26" t="s">
        <v>1721</v>
      </c>
      <c r="F939" s="26"/>
      <c r="G939" s="26" t="s">
        <v>1817</v>
      </c>
      <c r="H939" t="s">
        <v>2003</v>
      </c>
      <c r="I939" s="57">
        <v>44574</v>
      </c>
      <c r="J939" s="26" t="s">
        <v>2004</v>
      </c>
    </row>
    <row r="940" spans="1:10" x14ac:dyDescent="0.35">
      <c r="A940" t="s">
        <v>60</v>
      </c>
      <c r="B940" s="7" t="s">
        <v>889</v>
      </c>
      <c r="C940">
        <f>0.98*10^3</f>
        <v>980</v>
      </c>
      <c r="D940" t="s">
        <v>1720</v>
      </c>
      <c r="E940" t="s">
        <v>1724</v>
      </c>
      <c r="F940" t="s">
        <v>1732</v>
      </c>
      <c r="G940" t="s">
        <v>1738</v>
      </c>
      <c r="H940" t="s">
        <v>2020</v>
      </c>
      <c r="I940" s="57">
        <v>44580</v>
      </c>
      <c r="J940" t="s">
        <v>2026</v>
      </c>
    </row>
    <row r="941" spans="1:10" x14ac:dyDescent="0.35">
      <c r="A941" s="26" t="s">
        <v>3326</v>
      </c>
      <c r="B941" s="26" t="s">
        <v>3327</v>
      </c>
      <c r="C941" s="26">
        <f>0.029*10^3</f>
        <v>29</v>
      </c>
      <c r="D941" s="26" t="s">
        <v>1720</v>
      </c>
      <c r="E941" s="26" t="s">
        <v>1724</v>
      </c>
      <c r="F941" s="26" t="s">
        <v>1740</v>
      </c>
      <c r="G941" s="26" t="s">
        <v>1738</v>
      </c>
      <c r="H941" s="26" t="s">
        <v>2020</v>
      </c>
      <c r="I941" s="48">
        <v>44580</v>
      </c>
      <c r="J941" s="26" t="s">
        <v>3453</v>
      </c>
    </row>
    <row r="942" spans="1:10" x14ac:dyDescent="0.35">
      <c r="A942" t="s">
        <v>140</v>
      </c>
      <c r="B942" s="7" t="s">
        <v>969</v>
      </c>
      <c r="C942">
        <v>0.03</v>
      </c>
      <c r="D942" t="s">
        <v>1720</v>
      </c>
      <c r="E942" t="s">
        <v>1721</v>
      </c>
      <c r="F942" t="s">
        <v>1989</v>
      </c>
      <c r="G942" t="s">
        <v>1738</v>
      </c>
      <c r="H942" t="s">
        <v>4124</v>
      </c>
      <c r="I942" s="57">
        <v>44580</v>
      </c>
      <c r="J942" s="13" t="s">
        <v>4128</v>
      </c>
    </row>
    <row r="943" spans="1:10" x14ac:dyDescent="0.35">
      <c r="A943" t="s">
        <v>212</v>
      </c>
      <c r="B943" s="7" t="s">
        <v>1039</v>
      </c>
      <c r="C943">
        <v>0.01</v>
      </c>
      <c r="D943" t="s">
        <v>1720</v>
      </c>
      <c r="E943" t="s">
        <v>1721</v>
      </c>
      <c r="G943" t="s">
        <v>1817</v>
      </c>
      <c r="H943" t="s">
        <v>2003</v>
      </c>
      <c r="I943" s="57">
        <v>44574</v>
      </c>
      <c r="J943" s="26" t="s">
        <v>2004</v>
      </c>
    </row>
    <row r="944" spans="1:10" x14ac:dyDescent="0.35">
      <c r="A944" t="s">
        <v>51</v>
      </c>
      <c r="B944" s="7" t="s">
        <v>880</v>
      </c>
      <c r="C944">
        <v>3</v>
      </c>
      <c r="D944" t="s">
        <v>1720</v>
      </c>
      <c r="E944" t="s">
        <v>1721</v>
      </c>
      <c r="F944" t="s">
        <v>1978</v>
      </c>
      <c r="G944" t="s">
        <v>2006</v>
      </c>
      <c r="H944" t="s">
        <v>2007</v>
      </c>
      <c r="I944" s="57">
        <v>44574</v>
      </c>
      <c r="J944" s="13" t="s">
        <v>2008</v>
      </c>
    </row>
    <row r="945" spans="1:10" x14ac:dyDescent="0.35">
      <c r="A945" s="26" t="s">
        <v>3326</v>
      </c>
      <c r="B945" s="26" t="s">
        <v>3327</v>
      </c>
      <c r="C945" s="26">
        <f>0.006*10^3</f>
        <v>6</v>
      </c>
      <c r="D945" s="26" t="s">
        <v>1720</v>
      </c>
      <c r="E945" s="26" t="s">
        <v>1721</v>
      </c>
      <c r="F945" s="26" t="s">
        <v>1740</v>
      </c>
      <c r="G945" s="26" t="s">
        <v>1738</v>
      </c>
      <c r="H945" s="26" t="s">
        <v>2020</v>
      </c>
      <c r="I945" s="48">
        <v>44580</v>
      </c>
      <c r="J945" s="26" t="s">
        <v>3453</v>
      </c>
    </row>
    <row r="946" spans="1:10" x14ac:dyDescent="0.35">
      <c r="A946" s="26" t="s">
        <v>3371</v>
      </c>
      <c r="B946" s="26" t="s">
        <v>3372</v>
      </c>
      <c r="C946" s="26">
        <v>65</v>
      </c>
      <c r="D946" s="26" t="s">
        <v>1720</v>
      </c>
      <c r="E946" t="s">
        <v>1721</v>
      </c>
      <c r="F946" t="s">
        <v>2005</v>
      </c>
      <c r="G946" t="s">
        <v>2006</v>
      </c>
      <c r="H946" t="s">
        <v>2007</v>
      </c>
      <c r="I946" s="57">
        <v>44574</v>
      </c>
      <c r="J946" t="s">
        <v>2008</v>
      </c>
    </row>
    <row r="947" spans="1:10" x14ac:dyDescent="0.35">
      <c r="A947" t="s">
        <v>436</v>
      </c>
      <c r="B947" s="7" t="s">
        <v>1260</v>
      </c>
      <c r="C947">
        <v>2</v>
      </c>
      <c r="D947" t="s">
        <v>1720</v>
      </c>
      <c r="E947" t="s">
        <v>1721</v>
      </c>
      <c r="F947" t="s">
        <v>1965</v>
      </c>
      <c r="G947" t="s">
        <v>1979</v>
      </c>
      <c r="H947" t="s">
        <v>1981</v>
      </c>
      <c r="I947" s="57">
        <v>44574</v>
      </c>
      <c r="J947" t="s">
        <v>1980</v>
      </c>
    </row>
    <row r="948" spans="1:10" x14ac:dyDescent="0.35">
      <c r="A948" t="s">
        <v>415</v>
      </c>
      <c r="B948" s="7" t="s">
        <v>1239</v>
      </c>
      <c r="C948">
        <v>1E-3</v>
      </c>
      <c r="D948" t="s">
        <v>1720</v>
      </c>
      <c r="E948" t="s">
        <v>1721</v>
      </c>
      <c r="G948" t="s">
        <v>1742</v>
      </c>
      <c r="H948" t="s">
        <v>2010</v>
      </c>
      <c r="I948" s="57">
        <v>44574</v>
      </c>
      <c r="J948" t="s">
        <v>2013</v>
      </c>
    </row>
    <row r="949" spans="1:10" x14ac:dyDescent="0.35">
      <c r="A949" t="s">
        <v>59</v>
      </c>
      <c r="B949" s="7" t="s">
        <v>888</v>
      </c>
      <c r="C949">
        <f>0.0014*10^3</f>
        <v>1.4</v>
      </c>
      <c r="D949" t="s">
        <v>1720</v>
      </c>
      <c r="E949" t="s">
        <v>1721</v>
      </c>
      <c r="F949" t="s">
        <v>2037</v>
      </c>
      <c r="G949" t="s">
        <v>1738</v>
      </c>
      <c r="H949" t="s">
        <v>2020</v>
      </c>
      <c r="I949" s="57">
        <v>44580</v>
      </c>
      <c r="J949" s="13" t="s">
        <v>2038</v>
      </c>
    </row>
    <row r="950" spans="1:10" x14ac:dyDescent="0.35">
      <c r="A950" t="s">
        <v>59</v>
      </c>
      <c r="B950" s="7" t="s">
        <v>888</v>
      </c>
      <c r="C950">
        <f>0.0047*10^3</f>
        <v>4.7</v>
      </c>
      <c r="D950" t="s">
        <v>1720</v>
      </c>
      <c r="E950" t="s">
        <v>1724</v>
      </c>
      <c r="F950" t="s">
        <v>1732</v>
      </c>
      <c r="G950" t="s">
        <v>1738</v>
      </c>
      <c r="H950" t="s">
        <v>2020</v>
      </c>
      <c r="I950" s="57">
        <v>44580</v>
      </c>
      <c r="J950" s="13" t="s">
        <v>2038</v>
      </c>
    </row>
    <row r="951" spans="1:10" x14ac:dyDescent="0.35">
      <c r="A951" t="s">
        <v>58</v>
      </c>
      <c r="B951" s="7" t="s">
        <v>887</v>
      </c>
    </row>
    <row r="952" spans="1:10" x14ac:dyDescent="0.35">
      <c r="A952" t="s">
        <v>57</v>
      </c>
      <c r="B952" s="7" t="s">
        <v>886</v>
      </c>
    </row>
    <row r="953" spans="1:10" x14ac:dyDescent="0.35">
      <c r="A953" t="s">
        <v>56</v>
      </c>
      <c r="B953" s="7" t="s">
        <v>885</v>
      </c>
    </row>
    <row r="954" spans="1:10" x14ac:dyDescent="0.35">
      <c r="A954" t="s">
        <v>55</v>
      </c>
      <c r="B954" s="7" t="s">
        <v>884</v>
      </c>
    </row>
    <row r="955" spans="1:10" x14ac:dyDescent="0.35">
      <c r="A955" t="s">
        <v>54</v>
      </c>
      <c r="B955" s="7" t="s">
        <v>883</v>
      </c>
    </row>
    <row r="956" spans="1:10" x14ac:dyDescent="0.35">
      <c r="A956" t="s">
        <v>53</v>
      </c>
      <c r="B956" s="7" t="s">
        <v>882</v>
      </c>
    </row>
    <row r="957" spans="1:10" x14ac:dyDescent="0.35">
      <c r="A957" t="s">
        <v>544</v>
      </c>
      <c r="B957" s="7" t="s">
        <v>1368</v>
      </c>
      <c r="C957">
        <v>0.23</v>
      </c>
      <c r="D957" t="s">
        <v>1720</v>
      </c>
      <c r="E957" t="s">
        <v>1721</v>
      </c>
      <c r="F957" t="s">
        <v>4132</v>
      </c>
      <c r="G957" t="s">
        <v>2006</v>
      </c>
      <c r="H957" t="s">
        <v>2007</v>
      </c>
      <c r="I957" s="57">
        <v>44574</v>
      </c>
      <c r="J957" s="13" t="s">
        <v>2008</v>
      </c>
    </row>
    <row r="958" spans="1:10" x14ac:dyDescent="0.35">
      <c r="A958" t="s">
        <v>52</v>
      </c>
      <c r="B958" s="7" t="s">
        <v>881</v>
      </c>
      <c r="C958">
        <f>1*10^-2</f>
        <v>0.01</v>
      </c>
      <c r="D958" t="s">
        <v>1720</v>
      </c>
      <c r="E958" t="s">
        <v>1721</v>
      </c>
      <c r="F958" t="s">
        <v>1987</v>
      </c>
      <c r="G958" t="s">
        <v>1738</v>
      </c>
      <c r="H958" t="s">
        <v>4124</v>
      </c>
      <c r="I958" s="57">
        <v>44580</v>
      </c>
      <c r="J958" s="13" t="s">
        <v>4125</v>
      </c>
    </row>
    <row r="959" spans="1:10" x14ac:dyDescent="0.35">
      <c r="A959" t="s">
        <v>51</v>
      </c>
      <c r="B959" s="7" t="s">
        <v>880</v>
      </c>
      <c r="C959">
        <f>0.012*10^3</f>
        <v>12</v>
      </c>
      <c r="D959" t="s">
        <v>1720</v>
      </c>
      <c r="E959" t="s">
        <v>1721</v>
      </c>
      <c r="F959" t="s">
        <v>1732</v>
      </c>
      <c r="G959" t="s">
        <v>1738</v>
      </c>
      <c r="H959" t="s">
        <v>2020</v>
      </c>
      <c r="I959" s="57">
        <v>44580</v>
      </c>
      <c r="J959" s="13" t="s">
        <v>2039</v>
      </c>
    </row>
    <row r="960" spans="1:10" x14ac:dyDescent="0.35">
      <c r="A960" t="s">
        <v>51</v>
      </c>
      <c r="B960" s="7" t="s">
        <v>880</v>
      </c>
      <c r="C960">
        <f>0.11*10^3</f>
        <v>110</v>
      </c>
      <c r="D960" t="s">
        <v>1720</v>
      </c>
      <c r="E960" t="s">
        <v>1724</v>
      </c>
      <c r="F960" t="s">
        <v>1732</v>
      </c>
      <c r="G960" t="s">
        <v>1738</v>
      </c>
      <c r="H960" t="s">
        <v>2020</v>
      </c>
      <c r="I960" s="57">
        <v>44580</v>
      </c>
      <c r="J960" s="13" t="s">
        <v>2039</v>
      </c>
    </row>
    <row r="961" spans="1:10" x14ac:dyDescent="0.35">
      <c r="A961" t="s">
        <v>50</v>
      </c>
      <c r="B961" s="7" t="s">
        <v>879</v>
      </c>
      <c r="C961">
        <f>0.004*10^3</f>
        <v>4</v>
      </c>
      <c r="D961" t="s">
        <v>1720</v>
      </c>
      <c r="E961" t="s">
        <v>1721</v>
      </c>
      <c r="F961" t="s">
        <v>1732</v>
      </c>
      <c r="G961" t="s">
        <v>1738</v>
      </c>
      <c r="H961" t="s">
        <v>2020</v>
      </c>
      <c r="I961" s="57">
        <v>44580</v>
      </c>
      <c r="J961" t="s">
        <v>2040</v>
      </c>
    </row>
    <row r="962" spans="1:10" x14ac:dyDescent="0.35">
      <c r="A962" t="s">
        <v>50</v>
      </c>
      <c r="B962" s="7" t="s">
        <v>879</v>
      </c>
      <c r="C962">
        <f>0.036*10^3</f>
        <v>36</v>
      </c>
      <c r="D962" t="s">
        <v>1720</v>
      </c>
      <c r="E962" t="s">
        <v>1724</v>
      </c>
      <c r="F962" t="s">
        <v>1732</v>
      </c>
      <c r="G962" t="s">
        <v>1738</v>
      </c>
      <c r="H962" t="s">
        <v>2020</v>
      </c>
      <c r="I962" s="57">
        <v>44580</v>
      </c>
      <c r="J962" t="s">
        <v>2040</v>
      </c>
    </row>
    <row r="963" spans="1:10" x14ac:dyDescent="0.35">
      <c r="A963" t="s">
        <v>759</v>
      </c>
      <c r="B963" s="7" t="s">
        <v>1583</v>
      </c>
    </row>
    <row r="964" spans="1:10" x14ac:dyDescent="0.35">
      <c r="A964" t="s">
        <v>49</v>
      </c>
      <c r="B964" s="7" t="s">
        <v>878</v>
      </c>
      <c r="C964">
        <f>0.26*10^3</f>
        <v>260</v>
      </c>
      <c r="D964" t="s">
        <v>1720</v>
      </c>
      <c r="E964" t="s">
        <v>1724</v>
      </c>
      <c r="F964" t="s">
        <v>1806</v>
      </c>
      <c r="G964" t="s">
        <v>1738</v>
      </c>
      <c r="H964" t="s">
        <v>2020</v>
      </c>
      <c r="I964" s="57">
        <v>44580</v>
      </c>
      <c r="J964" t="s">
        <v>4165</v>
      </c>
    </row>
    <row r="965" spans="1:10" x14ac:dyDescent="0.35">
      <c r="A965" t="s">
        <v>579</v>
      </c>
      <c r="B965" s="7" t="s">
        <v>1403</v>
      </c>
      <c r="C965">
        <v>0.1</v>
      </c>
      <c r="D965" t="s">
        <v>1720</v>
      </c>
      <c r="E965" t="s">
        <v>1721</v>
      </c>
      <c r="F965" t="s">
        <v>1985</v>
      </c>
      <c r="G965" t="s">
        <v>1979</v>
      </c>
      <c r="H965" t="s">
        <v>1981</v>
      </c>
      <c r="I965" s="57">
        <v>44574</v>
      </c>
      <c r="J965" t="s">
        <v>1980</v>
      </c>
    </row>
    <row r="966" spans="1:10" x14ac:dyDescent="0.35">
      <c r="A966" t="s">
        <v>212</v>
      </c>
      <c r="B966" s="7" t="s">
        <v>1039</v>
      </c>
      <c r="C966">
        <v>0.01</v>
      </c>
      <c r="D966" t="s">
        <v>1720</v>
      </c>
      <c r="E966" t="s">
        <v>1721</v>
      </c>
      <c r="F966" t="s">
        <v>2005</v>
      </c>
      <c r="G966" t="s">
        <v>2006</v>
      </c>
      <c r="H966" t="s">
        <v>2007</v>
      </c>
      <c r="I966" s="57">
        <v>44574</v>
      </c>
      <c r="J966" s="13" t="s">
        <v>2008</v>
      </c>
    </row>
    <row r="967" spans="1:10" x14ac:dyDescent="0.35">
      <c r="A967" t="s">
        <v>606</v>
      </c>
      <c r="B967" s="7" t="s">
        <v>1430</v>
      </c>
      <c r="C967">
        <v>16</v>
      </c>
      <c r="D967" t="s">
        <v>1720</v>
      </c>
      <c r="E967" t="s">
        <v>1721</v>
      </c>
      <c r="F967" t="s">
        <v>1957</v>
      </c>
      <c r="G967" t="s">
        <v>1979</v>
      </c>
      <c r="H967" t="s">
        <v>1981</v>
      </c>
      <c r="I967" s="57">
        <v>44574</v>
      </c>
      <c r="J967" t="s">
        <v>1980</v>
      </c>
    </row>
    <row r="968" spans="1:10" x14ac:dyDescent="0.35">
      <c r="A968" t="s">
        <v>47</v>
      </c>
      <c r="B968" s="7" t="s">
        <v>876</v>
      </c>
      <c r="C968">
        <v>0.5</v>
      </c>
      <c r="D968" t="s">
        <v>1720</v>
      </c>
      <c r="E968" t="s">
        <v>1721</v>
      </c>
      <c r="G968" t="s">
        <v>1817</v>
      </c>
      <c r="H968" t="s">
        <v>2003</v>
      </c>
      <c r="I968" s="57">
        <v>44574</v>
      </c>
      <c r="J968" s="26" t="s">
        <v>2004</v>
      </c>
    </row>
    <row r="969" spans="1:10" x14ac:dyDescent="0.35">
      <c r="A969" t="s">
        <v>351</v>
      </c>
      <c r="B969" s="7" t="s">
        <v>1175</v>
      </c>
      <c r="C969">
        <v>7</v>
      </c>
      <c r="D969" t="s">
        <v>1720</v>
      </c>
      <c r="E969" t="s">
        <v>1721</v>
      </c>
      <c r="F969" t="s">
        <v>1971</v>
      </c>
      <c r="G969" t="s">
        <v>1748</v>
      </c>
      <c r="H969" t="s">
        <v>1956</v>
      </c>
      <c r="I969" s="57">
        <v>44574</v>
      </c>
      <c r="J969" s="13" t="s">
        <v>1955</v>
      </c>
    </row>
    <row r="970" spans="1:10" x14ac:dyDescent="0.35">
      <c r="A970" t="s">
        <v>49</v>
      </c>
      <c r="B970" s="7" t="s">
        <v>878</v>
      </c>
      <c r="C970">
        <f>0.0056*10^3</f>
        <v>5.6</v>
      </c>
      <c r="D970" t="s">
        <v>1720</v>
      </c>
      <c r="E970" t="s">
        <v>1724</v>
      </c>
      <c r="F970" t="s">
        <v>1806</v>
      </c>
      <c r="G970" t="s">
        <v>1738</v>
      </c>
      <c r="H970" t="s">
        <v>2020</v>
      </c>
      <c r="I970" s="57">
        <v>44580</v>
      </c>
      <c r="J970" t="s">
        <v>4165</v>
      </c>
    </row>
    <row r="971" spans="1:10" x14ac:dyDescent="0.35">
      <c r="A971" t="s">
        <v>48</v>
      </c>
      <c r="B971" s="7" t="s">
        <v>877</v>
      </c>
    </row>
    <row r="972" spans="1:10" x14ac:dyDescent="0.35">
      <c r="A972" t="s">
        <v>46</v>
      </c>
      <c r="B972" s="7" t="s">
        <v>875</v>
      </c>
    </row>
    <row r="973" spans="1:10" x14ac:dyDescent="0.35">
      <c r="A973" t="s">
        <v>45</v>
      </c>
      <c r="B973" s="7" t="s">
        <v>874</v>
      </c>
    </row>
    <row r="974" spans="1:10" x14ac:dyDescent="0.35">
      <c r="A974" t="s">
        <v>44</v>
      </c>
      <c r="B974" s="7" t="s">
        <v>873</v>
      </c>
    </row>
    <row r="975" spans="1:10" x14ac:dyDescent="0.35">
      <c r="A975" t="s">
        <v>43</v>
      </c>
      <c r="B975" s="7" t="s">
        <v>872</v>
      </c>
      <c r="C975">
        <f>0.24*10^3</f>
        <v>240</v>
      </c>
      <c r="D975" t="s">
        <v>1720</v>
      </c>
      <c r="E975" t="s">
        <v>1724</v>
      </c>
      <c r="F975" t="s">
        <v>4166</v>
      </c>
      <c r="G975" t="s">
        <v>1738</v>
      </c>
      <c r="H975" t="s">
        <v>4124</v>
      </c>
      <c r="I975" s="57">
        <v>44580</v>
      </c>
      <c r="J975" t="s">
        <v>4167</v>
      </c>
    </row>
    <row r="976" spans="1:10" x14ac:dyDescent="0.35">
      <c r="A976" t="s">
        <v>43</v>
      </c>
      <c r="B976" s="7" t="s">
        <v>872</v>
      </c>
      <c r="C976">
        <f>0.011*10^3</f>
        <v>11</v>
      </c>
      <c r="D976" t="s">
        <v>1720</v>
      </c>
      <c r="E976" t="s">
        <v>1721</v>
      </c>
      <c r="F976" t="s">
        <v>4166</v>
      </c>
      <c r="G976" t="s">
        <v>1738</v>
      </c>
      <c r="H976" t="s">
        <v>4124</v>
      </c>
      <c r="I976" s="57">
        <v>44580</v>
      </c>
      <c r="J976" t="s">
        <v>4167</v>
      </c>
    </row>
    <row r="977" spans="1:10" x14ac:dyDescent="0.35">
      <c r="A977" t="s">
        <v>42</v>
      </c>
      <c r="B977" s="7" t="s">
        <v>871</v>
      </c>
    </row>
    <row r="978" spans="1:10" x14ac:dyDescent="0.35">
      <c r="A978" s="26" t="s">
        <v>3414</v>
      </c>
      <c r="B978" s="26" t="s">
        <v>3419</v>
      </c>
      <c r="C978" s="26">
        <f>0.0048*10^3</f>
        <v>4.8</v>
      </c>
      <c r="D978" s="26" t="s">
        <v>1720</v>
      </c>
      <c r="E978" s="26" t="s">
        <v>1724</v>
      </c>
      <c r="F978" s="26" t="s">
        <v>1732</v>
      </c>
      <c r="G978" s="26" t="s">
        <v>1738</v>
      </c>
      <c r="H978" s="26" t="s">
        <v>2020</v>
      </c>
      <c r="I978" s="48">
        <v>44580</v>
      </c>
      <c r="J978" s="26" t="s">
        <v>3448</v>
      </c>
    </row>
    <row r="979" spans="1:10" x14ac:dyDescent="0.35">
      <c r="A979" t="s">
        <v>35</v>
      </c>
      <c r="B979" s="7" t="s">
        <v>864</v>
      </c>
      <c r="C979">
        <v>7</v>
      </c>
      <c r="D979" t="s">
        <v>1720</v>
      </c>
      <c r="E979" t="s">
        <v>1721</v>
      </c>
      <c r="G979" t="s">
        <v>1742</v>
      </c>
      <c r="H979" t="s">
        <v>2012</v>
      </c>
      <c r="I979" s="57">
        <v>44574</v>
      </c>
      <c r="J979" t="s">
        <v>2013</v>
      </c>
    </row>
    <row r="980" spans="1:10" x14ac:dyDescent="0.35">
      <c r="A980" s="26" t="s">
        <v>3414</v>
      </c>
      <c r="B980" s="26" t="s">
        <v>3419</v>
      </c>
      <c r="C980" s="26">
        <f>(0.000055)*10^3</f>
        <v>5.5E-2</v>
      </c>
      <c r="D980" s="26" t="s">
        <v>1720</v>
      </c>
      <c r="E980" s="26" t="s">
        <v>1721</v>
      </c>
      <c r="F980" s="26" t="s">
        <v>3449</v>
      </c>
      <c r="G980" s="26" t="s">
        <v>1738</v>
      </c>
      <c r="H980" s="26" t="s">
        <v>2020</v>
      </c>
      <c r="I980" s="48">
        <v>44580</v>
      </c>
      <c r="J980" s="26" t="s">
        <v>3448</v>
      </c>
    </row>
    <row r="981" spans="1:10" x14ac:dyDescent="0.35">
      <c r="A981" t="s">
        <v>41</v>
      </c>
      <c r="B981" s="7" t="s">
        <v>870</v>
      </c>
    </row>
    <row r="982" spans="1:10" x14ac:dyDescent="0.35">
      <c r="A982" t="s">
        <v>40</v>
      </c>
      <c r="B982" s="7" t="s">
        <v>869</v>
      </c>
    </row>
    <row r="983" spans="1:10" x14ac:dyDescent="0.35">
      <c r="A983" t="s">
        <v>39</v>
      </c>
      <c r="B983" s="7" t="s">
        <v>868</v>
      </c>
    </row>
    <row r="984" spans="1:10" x14ac:dyDescent="0.35">
      <c r="A984" s="26" t="s">
        <v>3347</v>
      </c>
      <c r="B984" s="26" t="s">
        <v>3348</v>
      </c>
      <c r="C984" s="26"/>
      <c r="D984" s="26"/>
      <c r="E984" s="26"/>
      <c r="F984" s="26"/>
      <c r="G984" s="26"/>
      <c r="H984" s="26"/>
      <c r="I984" s="26"/>
      <c r="J984" s="26"/>
    </row>
    <row r="985" spans="1:10" x14ac:dyDescent="0.35">
      <c r="A985" s="26" t="s">
        <v>3334</v>
      </c>
      <c r="B985" s="26" t="s">
        <v>867</v>
      </c>
      <c r="C985" s="26"/>
      <c r="D985" s="26"/>
      <c r="E985" s="26"/>
      <c r="F985" s="26"/>
      <c r="G985" s="26"/>
      <c r="H985" s="26"/>
      <c r="I985" s="26"/>
      <c r="J985" s="26"/>
    </row>
    <row r="986" spans="1:10" x14ac:dyDescent="0.35">
      <c r="A986" s="26" t="s">
        <v>3330</v>
      </c>
      <c r="B986" s="26" t="s">
        <v>3331</v>
      </c>
      <c r="C986" s="26"/>
      <c r="D986" s="26"/>
      <c r="E986" s="26"/>
      <c r="F986" s="26"/>
      <c r="G986" s="26"/>
      <c r="H986" s="26"/>
      <c r="I986" s="26"/>
      <c r="J986" s="26"/>
    </row>
    <row r="987" spans="1:10" x14ac:dyDescent="0.35">
      <c r="A987" t="s">
        <v>36</v>
      </c>
      <c r="B987" s="7" t="s">
        <v>865</v>
      </c>
    </row>
    <row r="988" spans="1:10" x14ac:dyDescent="0.35">
      <c r="A988" s="4" t="s">
        <v>825</v>
      </c>
      <c r="B988" s="7" t="s">
        <v>1647</v>
      </c>
    </row>
    <row r="989" spans="1:10" x14ac:dyDescent="0.35">
      <c r="A989" t="s">
        <v>35</v>
      </c>
      <c r="B989" s="7" t="s">
        <v>864</v>
      </c>
      <c r="C989">
        <f>0.011*10^3</f>
        <v>11</v>
      </c>
      <c r="D989" t="s">
        <v>1720</v>
      </c>
      <c r="E989" t="s">
        <v>1721</v>
      </c>
      <c r="F989" t="s">
        <v>1732</v>
      </c>
      <c r="G989" t="s">
        <v>1738</v>
      </c>
      <c r="H989" t="s">
        <v>2020</v>
      </c>
      <c r="I989" s="57">
        <v>44580</v>
      </c>
      <c r="J989" s="13" t="s">
        <v>2041</v>
      </c>
    </row>
    <row r="990" spans="1:10" x14ac:dyDescent="0.35">
      <c r="A990" t="s">
        <v>35</v>
      </c>
      <c r="B990" s="7" t="s">
        <v>864</v>
      </c>
      <c r="C990">
        <f>0.1*10^3</f>
        <v>100</v>
      </c>
      <c r="D990" t="s">
        <v>1720</v>
      </c>
      <c r="E990" t="s">
        <v>1724</v>
      </c>
      <c r="F990" t="s">
        <v>2063</v>
      </c>
      <c r="G990" t="s">
        <v>1738</v>
      </c>
      <c r="H990" t="s">
        <v>2020</v>
      </c>
      <c r="I990" s="57">
        <v>44580</v>
      </c>
      <c r="J990" s="13" t="s">
        <v>2042</v>
      </c>
    </row>
    <row r="991" spans="1:10" x14ac:dyDescent="0.35">
      <c r="A991" t="s">
        <v>34</v>
      </c>
      <c r="B991" s="7" t="s">
        <v>863</v>
      </c>
    </row>
    <row r="992" spans="1:10" x14ac:dyDescent="0.35">
      <c r="A992" t="s">
        <v>32</v>
      </c>
      <c r="B992" s="7" t="s">
        <v>861</v>
      </c>
      <c r="C992">
        <f>0.013*10^3</f>
        <v>13</v>
      </c>
      <c r="D992" t="s">
        <v>1720</v>
      </c>
      <c r="E992" t="s">
        <v>1721</v>
      </c>
      <c r="F992" t="s">
        <v>1732</v>
      </c>
      <c r="G992" t="s">
        <v>1738</v>
      </c>
      <c r="H992" t="s">
        <v>2020</v>
      </c>
      <c r="I992" s="57">
        <v>44580</v>
      </c>
      <c r="J992" s="13" t="s">
        <v>2042</v>
      </c>
    </row>
    <row r="993" spans="1:10" x14ac:dyDescent="0.35">
      <c r="A993" t="s">
        <v>32</v>
      </c>
      <c r="B993" s="7" t="s">
        <v>861</v>
      </c>
      <c r="C993">
        <f>0.054*10^3</f>
        <v>54</v>
      </c>
      <c r="D993" t="s">
        <v>1720</v>
      </c>
      <c r="E993" t="s">
        <v>1724</v>
      </c>
      <c r="F993" t="s">
        <v>1732</v>
      </c>
      <c r="G993" t="s">
        <v>1738</v>
      </c>
      <c r="H993" t="s">
        <v>2020</v>
      </c>
      <c r="I993" s="57">
        <v>44580</v>
      </c>
      <c r="J993" s="13" t="s">
        <v>2042</v>
      </c>
    </row>
    <row r="994" spans="1:10" x14ac:dyDescent="0.35">
      <c r="A994" t="s">
        <v>349</v>
      </c>
      <c r="B994" s="7" t="s">
        <v>1173</v>
      </c>
      <c r="C994">
        <v>0.17</v>
      </c>
      <c r="D994" t="s">
        <v>1720</v>
      </c>
      <c r="E994" t="s">
        <v>1721</v>
      </c>
      <c r="F994" t="s">
        <v>1986</v>
      </c>
      <c r="G994" t="s">
        <v>1979</v>
      </c>
      <c r="H994" t="s">
        <v>1981</v>
      </c>
      <c r="I994" s="57">
        <v>44574</v>
      </c>
      <c r="J994" t="s">
        <v>1980</v>
      </c>
    </row>
    <row r="995" spans="1:10" x14ac:dyDescent="0.35">
      <c r="A995" t="s">
        <v>691</v>
      </c>
      <c r="B995" s="7" t="s">
        <v>1515</v>
      </c>
    </row>
    <row r="996" spans="1:10" x14ac:dyDescent="0.35">
      <c r="A996" t="s">
        <v>31</v>
      </c>
      <c r="B996" s="7" t="s">
        <v>860</v>
      </c>
    </row>
    <row r="997" spans="1:10" x14ac:dyDescent="0.35">
      <c r="A997" t="s">
        <v>30</v>
      </c>
      <c r="B997" s="7" t="s">
        <v>859</v>
      </c>
    </row>
    <row r="998" spans="1:10" x14ac:dyDescent="0.35">
      <c r="A998" t="s">
        <v>29</v>
      </c>
      <c r="B998" s="7" t="s">
        <v>858</v>
      </c>
    </row>
    <row r="999" spans="1:10" x14ac:dyDescent="0.35">
      <c r="A999" t="s">
        <v>349</v>
      </c>
      <c r="B999" s="7" t="s">
        <v>1173</v>
      </c>
      <c r="C999">
        <v>0.17</v>
      </c>
      <c r="D999" t="s">
        <v>1720</v>
      </c>
      <c r="E999" t="s">
        <v>1724</v>
      </c>
      <c r="F999" t="s">
        <v>1986</v>
      </c>
      <c r="G999" t="s">
        <v>1979</v>
      </c>
      <c r="H999" t="s">
        <v>1981</v>
      </c>
      <c r="I999" s="57">
        <v>44574</v>
      </c>
      <c r="J999" t="s">
        <v>1980</v>
      </c>
    </row>
    <row r="1000" spans="1:10" x14ac:dyDescent="0.35">
      <c r="A1000" t="s">
        <v>28</v>
      </c>
      <c r="B1000" s="7" t="s">
        <v>857</v>
      </c>
    </row>
    <row r="1001" spans="1:10" x14ac:dyDescent="0.35">
      <c r="A1001" t="s">
        <v>351</v>
      </c>
      <c r="B1001" s="7" t="s">
        <v>1175</v>
      </c>
      <c r="C1001">
        <v>7</v>
      </c>
      <c r="D1001" t="s">
        <v>1720</v>
      </c>
      <c r="E1001" t="s">
        <v>1721</v>
      </c>
      <c r="F1001" t="s">
        <v>4132</v>
      </c>
      <c r="G1001" t="s">
        <v>2006</v>
      </c>
      <c r="H1001" t="s">
        <v>2007</v>
      </c>
      <c r="I1001" s="57">
        <v>44574</v>
      </c>
      <c r="J1001" s="13" t="s">
        <v>2008</v>
      </c>
    </row>
    <row r="1002" spans="1:10" x14ac:dyDescent="0.35">
      <c r="A1002" t="s">
        <v>27</v>
      </c>
      <c r="B1002" s="7" t="s">
        <v>856</v>
      </c>
    </row>
    <row r="1003" spans="1:10" s="26" customFormat="1" x14ac:dyDescent="0.35">
      <c r="A1003" t="s">
        <v>20</v>
      </c>
      <c r="B1003" s="7" t="s">
        <v>849</v>
      </c>
      <c r="C1003">
        <v>2.6</v>
      </c>
      <c r="D1003" t="s">
        <v>1720</v>
      </c>
      <c r="E1003" t="s">
        <v>1721</v>
      </c>
      <c r="F1003" t="s">
        <v>4132</v>
      </c>
      <c r="G1003" t="s">
        <v>2006</v>
      </c>
      <c r="H1003" t="s">
        <v>2007</v>
      </c>
      <c r="I1003" s="57">
        <v>44574</v>
      </c>
      <c r="J1003" s="13" t="s">
        <v>2008</v>
      </c>
    </row>
    <row r="1004" spans="1:10" x14ac:dyDescent="0.35">
      <c r="A1004" t="s">
        <v>26</v>
      </c>
      <c r="B1004" s="7" t="s">
        <v>855</v>
      </c>
    </row>
    <row r="1005" spans="1:10" x14ac:dyDescent="0.35">
      <c r="A1005" t="s">
        <v>25</v>
      </c>
      <c r="B1005" s="7" t="s">
        <v>854</v>
      </c>
      <c r="C1005">
        <f>0.013*10^3</f>
        <v>13</v>
      </c>
      <c r="D1005" t="s">
        <v>1720</v>
      </c>
      <c r="E1005" t="s">
        <v>1721</v>
      </c>
      <c r="F1005" t="s">
        <v>1988</v>
      </c>
      <c r="G1005" t="s">
        <v>1738</v>
      </c>
      <c r="H1005" t="s">
        <v>4124</v>
      </c>
      <c r="I1005" s="57">
        <v>44580</v>
      </c>
      <c r="J1005" t="s">
        <v>2043</v>
      </c>
    </row>
    <row r="1006" spans="1:10" x14ac:dyDescent="0.35">
      <c r="A1006" t="s">
        <v>25</v>
      </c>
      <c r="B1006" s="7" t="s">
        <v>854</v>
      </c>
      <c r="C1006">
        <f>10*10^3</f>
        <v>10000</v>
      </c>
      <c r="D1006" t="s">
        <v>1720</v>
      </c>
      <c r="E1006" t="s">
        <v>1724</v>
      </c>
      <c r="F1006" t="s">
        <v>1988</v>
      </c>
      <c r="G1006" t="s">
        <v>1738</v>
      </c>
      <c r="H1006" t="s">
        <v>4124</v>
      </c>
      <c r="I1006" s="57">
        <v>44580</v>
      </c>
      <c r="J1006" s="13" t="s">
        <v>4127</v>
      </c>
    </row>
    <row r="1007" spans="1:10" x14ac:dyDescent="0.35">
      <c r="A1007" t="s">
        <v>590</v>
      </c>
      <c r="B1007" s="7" t="s">
        <v>1414</v>
      </c>
      <c r="C1007">
        <v>10</v>
      </c>
      <c r="D1007" t="s">
        <v>1720</v>
      </c>
      <c r="E1007" t="s">
        <v>1721</v>
      </c>
      <c r="F1007" t="s">
        <v>1961</v>
      </c>
      <c r="G1007" t="s">
        <v>1748</v>
      </c>
      <c r="H1007" t="s">
        <v>1956</v>
      </c>
      <c r="I1007" s="57">
        <v>44574</v>
      </c>
      <c r="J1007" s="13" t="s">
        <v>4134</v>
      </c>
    </row>
    <row r="1008" spans="1:10" x14ac:dyDescent="0.35">
      <c r="A1008" t="s">
        <v>727</v>
      </c>
      <c r="B1008" s="7" t="s">
        <v>1551</v>
      </c>
    </row>
    <row r="1009" spans="1:10" x14ac:dyDescent="0.35">
      <c r="A1009" t="s">
        <v>774</v>
      </c>
      <c r="B1009" s="7" t="s">
        <v>1598</v>
      </c>
    </row>
    <row r="1010" spans="1:10" x14ac:dyDescent="0.35">
      <c r="A1010" t="s">
        <v>24</v>
      </c>
      <c r="B1010" s="7" t="s">
        <v>853</v>
      </c>
    </row>
    <row r="1011" spans="1:10" s="26" customFormat="1" x14ac:dyDescent="0.35">
      <c r="A1011" t="s">
        <v>23</v>
      </c>
      <c r="B1011" s="7" t="s">
        <v>852</v>
      </c>
      <c r="C1011"/>
      <c r="D1011"/>
      <c r="E1011"/>
      <c r="F1011"/>
      <c r="G1011"/>
      <c r="H1011"/>
      <c r="I1011"/>
      <c r="J1011"/>
    </row>
    <row r="1012" spans="1:10" s="26" customFormat="1" x14ac:dyDescent="0.35">
      <c r="A1012" s="26" t="s">
        <v>3375</v>
      </c>
      <c r="B1012" s="26" t="s">
        <v>3376</v>
      </c>
      <c r="C1012">
        <v>8.0000000000000002E-3</v>
      </c>
      <c r="D1012" t="s">
        <v>1720</v>
      </c>
      <c r="E1012" t="s">
        <v>1721</v>
      </c>
      <c r="F1012"/>
      <c r="G1012" t="s">
        <v>1742</v>
      </c>
      <c r="H1012" t="s">
        <v>2010</v>
      </c>
      <c r="I1012" s="57">
        <v>44574</v>
      </c>
      <c r="J1012" t="s">
        <v>2011</v>
      </c>
    </row>
    <row r="1013" spans="1:10" s="26" customFormat="1" x14ac:dyDescent="0.35">
      <c r="A1013" t="s">
        <v>468</v>
      </c>
      <c r="B1013" s="7" t="s">
        <v>1292</v>
      </c>
      <c r="C1013">
        <v>10</v>
      </c>
      <c r="D1013" t="s">
        <v>1720</v>
      </c>
      <c r="E1013" t="s">
        <v>1721</v>
      </c>
      <c r="F1013" t="s">
        <v>1957</v>
      </c>
      <c r="G1013" t="s">
        <v>1979</v>
      </c>
      <c r="H1013" t="s">
        <v>1981</v>
      </c>
      <c r="I1013" s="57">
        <v>44574</v>
      </c>
      <c r="J1013" t="s">
        <v>1980</v>
      </c>
    </row>
    <row r="1014" spans="1:10" x14ac:dyDescent="0.35">
      <c r="A1014" t="s">
        <v>22</v>
      </c>
      <c r="B1014" s="7" t="s">
        <v>851</v>
      </c>
    </row>
    <row r="1015" spans="1:10" x14ac:dyDescent="0.35">
      <c r="A1015" t="s">
        <v>21</v>
      </c>
      <c r="B1015" s="7" t="s">
        <v>850</v>
      </c>
    </row>
    <row r="1016" spans="1:10" x14ac:dyDescent="0.35">
      <c r="A1016" t="s">
        <v>19</v>
      </c>
      <c r="B1016" s="7" t="s">
        <v>848</v>
      </c>
      <c r="C1016">
        <f>1.4*10^3</f>
        <v>1400</v>
      </c>
      <c r="D1016" t="s">
        <v>1720</v>
      </c>
      <c r="E1016" t="s">
        <v>1724</v>
      </c>
      <c r="F1016" t="s">
        <v>1732</v>
      </c>
      <c r="G1016" t="s">
        <v>1738</v>
      </c>
      <c r="H1016" t="s">
        <v>2020</v>
      </c>
      <c r="I1016" s="57">
        <v>44580</v>
      </c>
      <c r="J1016" s="13" t="s">
        <v>2064</v>
      </c>
    </row>
    <row r="1017" spans="1:10" x14ac:dyDescent="0.35">
      <c r="A1017" t="s">
        <v>19</v>
      </c>
      <c r="B1017" s="7" t="s">
        <v>848</v>
      </c>
      <c r="C1017">
        <f>0.22*10^3</f>
        <v>220</v>
      </c>
      <c r="D1017" t="s">
        <v>1720</v>
      </c>
      <c r="E1017" t="s">
        <v>1721</v>
      </c>
      <c r="F1017" t="s">
        <v>1732</v>
      </c>
      <c r="G1017" t="s">
        <v>1738</v>
      </c>
      <c r="H1017" t="s">
        <v>2020</v>
      </c>
      <c r="I1017" s="57">
        <v>44580</v>
      </c>
      <c r="J1017" s="13" t="s">
        <v>2064</v>
      </c>
    </row>
    <row r="1018" spans="1:10" x14ac:dyDescent="0.35">
      <c r="A1018" t="s">
        <v>18</v>
      </c>
      <c r="B1018" s="7" t="s">
        <v>847</v>
      </c>
    </row>
    <row r="1019" spans="1:10" x14ac:dyDescent="0.35">
      <c r="A1019" t="s">
        <v>122</v>
      </c>
      <c r="B1019" s="7" t="s">
        <v>951</v>
      </c>
      <c r="C1019" s="26">
        <f>0.065*10^3</f>
        <v>65</v>
      </c>
      <c r="D1019" s="26" t="s">
        <v>1720</v>
      </c>
      <c r="E1019" s="26" t="s">
        <v>1721</v>
      </c>
      <c r="F1019" s="26" t="s">
        <v>2030</v>
      </c>
      <c r="G1019" s="26" t="s">
        <v>1738</v>
      </c>
      <c r="H1019" s="26" t="s">
        <v>2020</v>
      </c>
      <c r="I1019" s="48">
        <v>44580</v>
      </c>
      <c r="J1019" s="39" t="s">
        <v>2031</v>
      </c>
    </row>
    <row r="1020" spans="1:10" s="26" customFormat="1" x14ac:dyDescent="0.35">
      <c r="A1020" t="s">
        <v>17</v>
      </c>
      <c r="B1020" s="7" t="s">
        <v>846</v>
      </c>
      <c r="C1020"/>
      <c r="D1020"/>
      <c r="E1020"/>
      <c r="F1020"/>
      <c r="G1020"/>
      <c r="H1020"/>
      <c r="I1020"/>
      <c r="J1020"/>
    </row>
    <row r="1021" spans="1:10" s="26" customFormat="1" x14ac:dyDescent="0.35">
      <c r="A1021" t="s">
        <v>16</v>
      </c>
      <c r="B1021" s="7" t="s">
        <v>845</v>
      </c>
      <c r="C1021"/>
      <c r="D1021"/>
      <c r="E1021"/>
      <c r="F1021"/>
      <c r="G1021"/>
      <c r="H1021"/>
      <c r="I1021"/>
      <c r="J1021"/>
    </row>
    <row r="1022" spans="1:10" x14ac:dyDescent="0.35">
      <c r="A1022" t="s">
        <v>15</v>
      </c>
      <c r="B1022" s="7" t="s">
        <v>844</v>
      </c>
    </row>
    <row r="1023" spans="1:10" x14ac:dyDescent="0.35">
      <c r="A1023" t="s">
        <v>14</v>
      </c>
      <c r="B1023" s="7" t="s">
        <v>843</v>
      </c>
    </row>
    <row r="1024" spans="1:10" x14ac:dyDescent="0.35">
      <c r="A1024" t="s">
        <v>191</v>
      </c>
      <c r="B1024" s="7" t="s">
        <v>1019</v>
      </c>
      <c r="C1024">
        <f>0.0062*10^3</f>
        <v>6.2</v>
      </c>
      <c r="D1024" t="s">
        <v>1720</v>
      </c>
      <c r="E1024" t="s">
        <v>1721</v>
      </c>
      <c r="F1024" t="s">
        <v>1957</v>
      </c>
      <c r="G1024" t="s">
        <v>1979</v>
      </c>
      <c r="H1024" t="s">
        <v>1981</v>
      </c>
      <c r="I1024" s="57">
        <v>44574</v>
      </c>
      <c r="J1024" s="13" t="s">
        <v>1980</v>
      </c>
    </row>
    <row r="1025" spans="1:10" x14ac:dyDescent="0.35">
      <c r="A1025" t="s">
        <v>13</v>
      </c>
      <c r="B1025" s="7" t="s">
        <v>842</v>
      </c>
    </row>
    <row r="1026" spans="1:10" x14ac:dyDescent="0.35">
      <c r="A1026" t="s">
        <v>11</v>
      </c>
      <c r="B1026" s="7" t="s">
        <v>840</v>
      </c>
    </row>
    <row r="1027" spans="1:10" x14ac:dyDescent="0.35">
      <c r="A1027" t="s">
        <v>10</v>
      </c>
      <c r="B1027" s="7" t="s">
        <v>839</v>
      </c>
    </row>
    <row r="1028" spans="1:10" s="26" customFormat="1" x14ac:dyDescent="0.35">
      <c r="A1028" t="s">
        <v>9</v>
      </c>
      <c r="B1028" s="7" t="s">
        <v>838</v>
      </c>
      <c r="C1028"/>
      <c r="D1028"/>
      <c r="E1028"/>
      <c r="F1028"/>
      <c r="G1028"/>
      <c r="H1028"/>
      <c r="I1028"/>
      <c r="J1028"/>
    </row>
    <row r="1029" spans="1:10" s="26" customFormat="1" x14ac:dyDescent="0.35">
      <c r="A1029" t="s">
        <v>226</v>
      </c>
      <c r="B1029" s="7" t="s">
        <v>1053</v>
      </c>
      <c r="C1029">
        <f>0.12*10^3</f>
        <v>120</v>
      </c>
      <c r="D1029" t="s">
        <v>1720</v>
      </c>
      <c r="E1029" t="s">
        <v>1721</v>
      </c>
      <c r="F1029" t="s">
        <v>1732</v>
      </c>
      <c r="G1029" t="s">
        <v>1738</v>
      </c>
      <c r="H1029" t="s">
        <v>2020</v>
      </c>
      <c r="I1029" s="57">
        <v>44580</v>
      </c>
      <c r="J1029" t="s">
        <v>2023</v>
      </c>
    </row>
    <row r="1030" spans="1:10" x14ac:dyDescent="0.35">
      <c r="A1030" t="s">
        <v>8</v>
      </c>
      <c r="B1030" s="7" t="s">
        <v>837</v>
      </c>
    </row>
    <row r="1031" spans="1:10" x14ac:dyDescent="0.35">
      <c r="A1031" s="26" t="s">
        <v>3414</v>
      </c>
      <c r="B1031" s="26" t="s">
        <v>3419</v>
      </c>
      <c r="C1031" s="26">
        <v>0.05</v>
      </c>
      <c r="D1031" s="26" t="s">
        <v>1720</v>
      </c>
      <c r="E1031" s="26" t="s">
        <v>1721</v>
      </c>
      <c r="F1031" s="26" t="s">
        <v>3456</v>
      </c>
      <c r="G1031" s="26" t="s">
        <v>1979</v>
      </c>
      <c r="H1031" s="26" t="s">
        <v>1981</v>
      </c>
      <c r="I1031" s="48">
        <v>44574</v>
      </c>
      <c r="J1031" s="39" t="s">
        <v>1980</v>
      </c>
    </row>
    <row r="1032" spans="1:10" x14ac:dyDescent="0.35">
      <c r="A1032" t="s">
        <v>272</v>
      </c>
      <c r="B1032" s="7" t="s">
        <v>1098</v>
      </c>
      <c r="C1032">
        <v>7.8</v>
      </c>
      <c r="D1032" t="s">
        <v>1720</v>
      </c>
      <c r="E1032" t="s">
        <v>1721</v>
      </c>
      <c r="F1032" t="s">
        <v>4132</v>
      </c>
      <c r="G1032" t="s">
        <v>2006</v>
      </c>
      <c r="H1032" t="s">
        <v>2007</v>
      </c>
      <c r="I1032" s="57">
        <v>44574</v>
      </c>
      <c r="J1032" t="s">
        <v>2008</v>
      </c>
    </row>
    <row r="1033" spans="1:10" x14ac:dyDescent="0.35">
      <c r="A1033" t="s">
        <v>814</v>
      </c>
      <c r="B1033" s="7" t="s">
        <v>1637</v>
      </c>
    </row>
    <row r="1034" spans="1:10" x14ac:dyDescent="0.35">
      <c r="A1034" s="1" t="s">
        <v>7</v>
      </c>
      <c r="B1034" s="7" t="s">
        <v>836</v>
      </c>
    </row>
    <row r="1035" spans="1:10" x14ac:dyDescent="0.35">
      <c r="A1035" t="s">
        <v>634</v>
      </c>
      <c r="B1035" s="7" t="s">
        <v>1458</v>
      </c>
      <c r="C1035">
        <v>1</v>
      </c>
      <c r="D1035" t="s">
        <v>1720</v>
      </c>
      <c r="E1035" t="s">
        <v>1721</v>
      </c>
      <c r="F1035" t="s">
        <v>2014</v>
      </c>
      <c r="G1035" t="s">
        <v>1742</v>
      </c>
      <c r="H1035" t="s">
        <v>2012</v>
      </c>
      <c r="I1035" s="57">
        <v>44574</v>
      </c>
      <c r="J1035" s="13" t="s">
        <v>2013</v>
      </c>
    </row>
    <row r="1036" spans="1:10" x14ac:dyDescent="0.35">
      <c r="A1036" t="s">
        <v>47</v>
      </c>
      <c r="B1036" s="7" t="s">
        <v>876</v>
      </c>
      <c r="C1036">
        <v>0.5</v>
      </c>
      <c r="D1036" t="s">
        <v>1720</v>
      </c>
      <c r="E1036" t="s">
        <v>1721</v>
      </c>
      <c r="G1036" t="s">
        <v>1742</v>
      </c>
      <c r="H1036" t="s">
        <v>2010</v>
      </c>
      <c r="I1036" s="57">
        <v>44574</v>
      </c>
      <c r="J1036" t="s">
        <v>2013</v>
      </c>
    </row>
    <row r="1037" spans="1:10" x14ac:dyDescent="0.35">
      <c r="A1037" s="26" t="s">
        <v>3325</v>
      </c>
      <c r="B1037" s="26"/>
      <c r="C1037" s="26"/>
      <c r="D1037" s="26"/>
      <c r="E1037" s="26"/>
      <c r="F1037" s="26"/>
      <c r="G1037" s="26"/>
      <c r="H1037" s="26"/>
      <c r="I1037" s="26"/>
      <c r="J1037" s="26"/>
    </row>
    <row r="1038" spans="1:10" x14ac:dyDescent="0.35">
      <c r="A1038" t="s">
        <v>6</v>
      </c>
      <c r="B1038" s="7" t="s">
        <v>835</v>
      </c>
    </row>
    <row r="1039" spans="1:10" x14ac:dyDescent="0.35">
      <c r="A1039" t="s">
        <v>5</v>
      </c>
      <c r="B1039" s="7" t="s">
        <v>834</v>
      </c>
    </row>
    <row r="1040" spans="1:10" x14ac:dyDescent="0.35">
      <c r="A1040" t="s">
        <v>4</v>
      </c>
      <c r="B1040" s="7" t="s">
        <v>833</v>
      </c>
    </row>
    <row r="1041" spans="1:10" x14ac:dyDescent="0.35">
      <c r="A1041" t="s">
        <v>736</v>
      </c>
      <c r="B1041" s="7" t="s">
        <v>1560</v>
      </c>
    </row>
    <row r="1042" spans="1:10" x14ac:dyDescent="0.35">
      <c r="A1042" t="s">
        <v>737</v>
      </c>
      <c r="B1042" s="7" t="s">
        <v>1561</v>
      </c>
    </row>
    <row r="1043" spans="1:10" x14ac:dyDescent="0.35">
      <c r="A1043" t="s">
        <v>12</v>
      </c>
      <c r="B1043" s="7" t="s">
        <v>841</v>
      </c>
      <c r="C1043">
        <v>3.0000000000000001E-3</v>
      </c>
      <c r="D1043" t="s">
        <v>1720</v>
      </c>
      <c r="E1043" t="s">
        <v>1721</v>
      </c>
      <c r="F1043" t="s">
        <v>1968</v>
      </c>
      <c r="G1043" t="s">
        <v>1979</v>
      </c>
      <c r="H1043" t="s">
        <v>1981</v>
      </c>
      <c r="I1043" s="57">
        <v>44574</v>
      </c>
      <c r="J1043" s="13" t="s">
        <v>1980</v>
      </c>
    </row>
    <row r="1044" spans="1:10" x14ac:dyDescent="0.35">
      <c r="A1044" t="s">
        <v>3</v>
      </c>
      <c r="B1044" s="7" t="s">
        <v>832</v>
      </c>
    </row>
    <row r="1045" spans="1:10" x14ac:dyDescent="0.35">
      <c r="A1045" t="s">
        <v>2</v>
      </c>
      <c r="B1045" s="7" t="s">
        <v>831</v>
      </c>
      <c r="C1045">
        <f>0.028*10^3</f>
        <v>28</v>
      </c>
      <c r="D1045" t="s">
        <v>1720</v>
      </c>
      <c r="E1045" t="s">
        <v>1721</v>
      </c>
      <c r="F1045" t="s">
        <v>1732</v>
      </c>
      <c r="G1045" t="s">
        <v>1738</v>
      </c>
      <c r="H1045" t="s">
        <v>2020</v>
      </c>
      <c r="I1045" s="57">
        <v>44580</v>
      </c>
      <c r="J1045" s="13" t="s">
        <v>2065</v>
      </c>
    </row>
    <row r="1046" spans="1:10" s="26" customFormat="1" x14ac:dyDescent="0.35">
      <c r="A1046" t="s">
        <v>226</v>
      </c>
      <c r="B1046" s="7" t="s">
        <v>1053</v>
      </c>
      <c r="C1046">
        <f>1.1*10^3</f>
        <v>1100</v>
      </c>
      <c r="D1046" t="s">
        <v>1720</v>
      </c>
      <c r="E1046" t="s">
        <v>1724</v>
      </c>
      <c r="F1046" t="s">
        <v>1732</v>
      </c>
      <c r="G1046" t="s">
        <v>1738</v>
      </c>
      <c r="H1046" t="s">
        <v>2020</v>
      </c>
      <c r="I1046" s="57">
        <v>44580</v>
      </c>
      <c r="J1046" t="s">
        <v>2023</v>
      </c>
    </row>
    <row r="1047" spans="1:10" s="26" customFormat="1" x14ac:dyDescent="0.35">
      <c r="A1047" t="s">
        <v>2</v>
      </c>
      <c r="B1047" s="7" t="s">
        <v>831</v>
      </c>
      <c r="C1047">
        <f>0.25*10^3</f>
        <v>250</v>
      </c>
      <c r="D1047" t="s">
        <v>1720</v>
      </c>
      <c r="E1047" t="s">
        <v>1724</v>
      </c>
      <c r="F1047" t="s">
        <v>1732</v>
      </c>
      <c r="G1047" t="s">
        <v>1738</v>
      </c>
      <c r="H1047" t="s">
        <v>2020</v>
      </c>
      <c r="I1047" s="57">
        <v>44580</v>
      </c>
      <c r="J1047" s="13" t="s">
        <v>2065</v>
      </c>
    </row>
    <row r="1048" spans="1:10" x14ac:dyDescent="0.35">
      <c r="A1048" t="s">
        <v>94</v>
      </c>
      <c r="B1048" s="7" t="s">
        <v>923</v>
      </c>
      <c r="C1048">
        <f>1.3*10^3</f>
        <v>1300</v>
      </c>
      <c r="D1048" t="s">
        <v>1720</v>
      </c>
      <c r="E1048" t="s">
        <v>1721</v>
      </c>
      <c r="F1048" t="s">
        <v>1732</v>
      </c>
      <c r="G1048" t="s">
        <v>1738</v>
      </c>
      <c r="H1048" t="s">
        <v>2020</v>
      </c>
      <c r="I1048" s="57">
        <v>44580</v>
      </c>
      <c r="J1048" t="s">
        <v>2033</v>
      </c>
    </row>
    <row r="1049" spans="1:10" s="26" customFormat="1" x14ac:dyDescent="0.35">
      <c r="A1049" t="s">
        <v>1</v>
      </c>
      <c r="B1049" s="7" t="s">
        <v>830</v>
      </c>
      <c r="C1049"/>
      <c r="D1049"/>
      <c r="E1049"/>
      <c r="F1049"/>
      <c r="G1049"/>
      <c r="H1049"/>
      <c r="I1049"/>
      <c r="J1049"/>
    </row>
    <row r="1050" spans="1:10" s="26" customFormat="1" x14ac:dyDescent="0.35">
      <c r="A1050" t="s">
        <v>0</v>
      </c>
      <c r="B1050" s="7" t="s">
        <v>829</v>
      </c>
      <c r="C1050">
        <f>25*10^3</f>
        <v>25000</v>
      </c>
      <c r="D1050" t="s">
        <v>1720</v>
      </c>
      <c r="E1050" t="s">
        <v>1724</v>
      </c>
      <c r="F1050" t="s">
        <v>4163</v>
      </c>
      <c r="G1050" t="s">
        <v>1738</v>
      </c>
      <c r="H1050" t="s">
        <v>4124</v>
      </c>
      <c r="I1050" s="57">
        <v>44580</v>
      </c>
      <c r="J1050" t="s">
        <v>4168</v>
      </c>
    </row>
    <row r="1051" spans="1:10" x14ac:dyDescent="0.35">
      <c r="A1051" t="s">
        <v>122</v>
      </c>
      <c r="B1051" s="7" t="s">
        <v>951</v>
      </c>
      <c r="C1051" s="26">
        <f>1.5*10^3</f>
        <v>1500</v>
      </c>
      <c r="D1051" s="26" t="s">
        <v>1720</v>
      </c>
      <c r="E1051" s="26" t="s">
        <v>1724</v>
      </c>
      <c r="F1051" s="26" t="s">
        <v>2030</v>
      </c>
      <c r="G1051" s="26" t="s">
        <v>1738</v>
      </c>
      <c r="H1051" s="26" t="s">
        <v>2020</v>
      </c>
      <c r="I1051" s="48">
        <v>44580</v>
      </c>
      <c r="J1051" s="39" t="s">
        <v>2031</v>
      </c>
    </row>
    <row r="1052" spans="1:10" x14ac:dyDescent="0.35">
      <c r="A1052" t="s">
        <v>94</v>
      </c>
      <c r="B1052" s="7" t="s">
        <v>923</v>
      </c>
      <c r="C1052">
        <f>4.6*10^3</f>
        <v>4600</v>
      </c>
      <c r="D1052" t="s">
        <v>1720</v>
      </c>
      <c r="E1052" t="s">
        <v>1721</v>
      </c>
      <c r="F1052" t="s">
        <v>1732</v>
      </c>
      <c r="G1052" t="s">
        <v>1738</v>
      </c>
      <c r="H1052" t="s">
        <v>2020</v>
      </c>
      <c r="I1052" s="57">
        <v>44580</v>
      </c>
      <c r="J1052" t="s">
        <v>2033</v>
      </c>
    </row>
    <row r="1053" spans="1:10" x14ac:dyDescent="0.35">
      <c r="A1053" t="s">
        <v>0</v>
      </c>
      <c r="B1053" s="7" t="s">
        <v>829</v>
      </c>
      <c r="C1053">
        <f>0.0031*10^3</f>
        <v>3.1</v>
      </c>
      <c r="D1053" t="s">
        <v>1720</v>
      </c>
      <c r="E1053" t="s">
        <v>1724</v>
      </c>
      <c r="F1053" t="s">
        <v>4163</v>
      </c>
      <c r="G1053" t="s">
        <v>1738</v>
      </c>
      <c r="H1053" t="s">
        <v>4124</v>
      </c>
      <c r="I1053" s="57">
        <v>44580</v>
      </c>
      <c r="J1053" t="s">
        <v>4168</v>
      </c>
    </row>
    <row r="1054" spans="1:10" x14ac:dyDescent="0.35">
      <c r="A1054" t="s">
        <v>820</v>
      </c>
      <c r="B1054" s="7" t="s">
        <v>1642</v>
      </c>
    </row>
    <row r="1055" spans="1:10" x14ac:dyDescent="0.35">
      <c r="A1055" t="s">
        <v>12</v>
      </c>
      <c r="B1055" s="7" t="s">
        <v>841</v>
      </c>
      <c r="C1055">
        <v>0.06</v>
      </c>
      <c r="D1055" t="s">
        <v>1720</v>
      </c>
      <c r="E1055" t="s">
        <v>1724</v>
      </c>
      <c r="F1055" t="s">
        <v>1968</v>
      </c>
      <c r="G1055" t="s">
        <v>1979</v>
      </c>
      <c r="H1055" t="s">
        <v>1981</v>
      </c>
      <c r="I1055" s="57">
        <v>44574</v>
      </c>
      <c r="J1055" s="13" t="s">
        <v>1980</v>
      </c>
    </row>
    <row r="1056" spans="1:10" x14ac:dyDescent="0.35">
      <c r="A1056" t="s">
        <v>350</v>
      </c>
      <c r="B1056" s="7" t="s">
        <v>1174</v>
      </c>
      <c r="C1056">
        <v>3.0000000000000001E-3</v>
      </c>
      <c r="D1056" t="s">
        <v>1720</v>
      </c>
      <c r="E1056" t="s">
        <v>1721</v>
      </c>
      <c r="F1056" t="s">
        <v>1968</v>
      </c>
      <c r="G1056" t="s">
        <v>1979</v>
      </c>
      <c r="H1056" t="s">
        <v>1981</v>
      </c>
      <c r="I1056" s="57">
        <v>44574</v>
      </c>
      <c r="J1056" s="13" t="s">
        <v>1980</v>
      </c>
    </row>
    <row r="1057" spans="1:10" x14ac:dyDescent="0.35">
      <c r="A1057" s="26" t="s">
        <v>3377</v>
      </c>
      <c r="B1057" s="26" t="s">
        <v>3339</v>
      </c>
      <c r="C1057" s="26"/>
      <c r="D1057" s="26"/>
      <c r="E1057" s="26"/>
      <c r="F1057" s="26"/>
      <c r="G1057" s="26"/>
      <c r="H1057" s="26"/>
      <c r="I1057" s="26"/>
      <c r="J1057" s="26"/>
    </row>
    <row r="1058" spans="1:10" x14ac:dyDescent="0.35">
      <c r="A1058" s="26" t="s">
        <v>3393</v>
      </c>
      <c r="B1058" s="26" t="s">
        <v>3348</v>
      </c>
      <c r="C1058" s="26"/>
      <c r="D1058" s="26"/>
      <c r="E1058" s="26"/>
      <c r="F1058" s="26"/>
      <c r="G1058" s="26"/>
      <c r="H1058" s="26"/>
      <c r="I1058" s="26"/>
      <c r="J1058" s="26"/>
    </row>
    <row r="1059" spans="1:10" x14ac:dyDescent="0.35">
      <c r="A1059" s="26" t="s">
        <v>3394</v>
      </c>
      <c r="B1059" s="26" t="s">
        <v>3395</v>
      </c>
      <c r="C1059" s="26"/>
      <c r="D1059" s="26"/>
      <c r="E1059" s="26"/>
      <c r="F1059" s="26"/>
      <c r="G1059" s="26"/>
      <c r="H1059" s="26"/>
      <c r="I1059" s="26"/>
      <c r="J1059" s="26"/>
    </row>
    <row r="1060" spans="1:10" x14ac:dyDescent="0.35">
      <c r="A1060" s="26" t="s">
        <v>3396</v>
      </c>
      <c r="B1060" s="26" t="s">
        <v>3397</v>
      </c>
      <c r="C1060" s="26"/>
      <c r="D1060" s="26"/>
      <c r="E1060" s="26"/>
      <c r="F1060" s="26"/>
      <c r="G1060" s="26"/>
      <c r="H1060" s="26"/>
      <c r="I1060" s="26"/>
      <c r="J1060" s="26"/>
    </row>
    <row r="1061" spans="1:10" x14ac:dyDescent="0.35">
      <c r="A1061" s="26" t="s">
        <v>3398</v>
      </c>
      <c r="B1061" s="26" t="s">
        <v>3352</v>
      </c>
      <c r="C1061" s="26"/>
      <c r="D1061" s="26"/>
      <c r="E1061" s="26"/>
      <c r="F1061" s="26"/>
      <c r="G1061" s="26"/>
      <c r="H1061" s="26"/>
      <c r="I1061" s="26"/>
      <c r="J1061" s="26"/>
    </row>
    <row r="1062" spans="1:10" x14ac:dyDescent="0.35">
      <c r="A1062" s="26" t="s">
        <v>3399</v>
      </c>
      <c r="B1062" s="26" t="s">
        <v>3400</v>
      </c>
      <c r="C1062" s="26"/>
      <c r="D1062" s="26"/>
      <c r="E1062" s="26"/>
      <c r="F1062" s="26"/>
      <c r="G1062" s="26"/>
      <c r="H1062" s="26"/>
      <c r="I1062" s="26"/>
      <c r="J1062" s="26"/>
    </row>
    <row r="1063" spans="1:10" x14ac:dyDescent="0.35">
      <c r="A1063" s="26" t="s">
        <v>3401</v>
      </c>
      <c r="B1063" s="26" t="s">
        <v>3402</v>
      </c>
      <c r="C1063" s="26"/>
      <c r="D1063" s="26"/>
      <c r="E1063" s="26"/>
      <c r="F1063" s="26"/>
      <c r="G1063" s="26"/>
      <c r="H1063" s="26"/>
      <c r="I1063" s="26"/>
      <c r="J1063" s="26"/>
    </row>
    <row r="1064" spans="1:10" x14ac:dyDescent="0.35">
      <c r="A1064" t="s">
        <v>459</v>
      </c>
      <c r="B1064" s="7" t="s">
        <v>1283</v>
      </c>
      <c r="C1064">
        <v>6.9999999999999994E-5</v>
      </c>
      <c r="D1064" t="s">
        <v>1720</v>
      </c>
      <c r="E1064" t="s">
        <v>1721</v>
      </c>
      <c r="G1064" t="s">
        <v>1742</v>
      </c>
      <c r="H1064" t="s">
        <v>2010</v>
      </c>
      <c r="I1064" s="57">
        <v>44574</v>
      </c>
      <c r="J1064" s="13" t="s">
        <v>2013</v>
      </c>
    </row>
    <row r="1065" spans="1:10" x14ac:dyDescent="0.35">
      <c r="A1065" s="26" t="s">
        <v>3375</v>
      </c>
      <c r="B1065" s="26" t="s">
        <v>3376</v>
      </c>
      <c r="C1065" s="35">
        <f>(0.000065)*10^3</f>
        <v>6.4999999999999988E-2</v>
      </c>
      <c r="D1065" t="s">
        <v>1720</v>
      </c>
      <c r="E1065" t="s">
        <v>1724</v>
      </c>
      <c r="F1065" t="s">
        <v>3446</v>
      </c>
      <c r="G1065" t="s">
        <v>1738</v>
      </c>
      <c r="H1065" t="s">
        <v>2020</v>
      </c>
      <c r="I1065" s="57">
        <v>44580</v>
      </c>
      <c r="J1065" t="s">
        <v>3445</v>
      </c>
    </row>
    <row r="1066" spans="1:10" x14ac:dyDescent="0.35">
      <c r="A1066" s="26" t="s">
        <v>3375</v>
      </c>
      <c r="B1066" s="26" t="s">
        <v>3376</v>
      </c>
      <c r="C1066" s="35">
        <f>(0.000013)*10^3</f>
        <v>1.2999999999999999E-2</v>
      </c>
      <c r="D1066" t="s">
        <v>1720</v>
      </c>
      <c r="E1066" t="s">
        <v>1721</v>
      </c>
      <c r="F1066" t="s">
        <v>3447</v>
      </c>
      <c r="G1066" t="s">
        <v>1738</v>
      </c>
      <c r="H1066" t="s">
        <v>2020</v>
      </c>
      <c r="I1066" s="57">
        <v>44580</v>
      </c>
      <c r="J1066" t="s">
        <v>3445</v>
      </c>
    </row>
    <row r="1067" spans="1:10" x14ac:dyDescent="0.35">
      <c r="A1067" s="26" t="s">
        <v>3378</v>
      </c>
      <c r="B1067" s="26" t="s">
        <v>3341</v>
      </c>
      <c r="C1067" s="26"/>
      <c r="D1067" s="26"/>
      <c r="E1067" s="26"/>
      <c r="F1067" s="26"/>
      <c r="G1067" s="26"/>
      <c r="H1067" s="26"/>
      <c r="I1067" s="26"/>
      <c r="J1067" s="26"/>
    </row>
    <row r="1068" spans="1:10" x14ac:dyDescent="0.35">
      <c r="A1068" s="26" t="s">
        <v>3379</v>
      </c>
      <c r="B1068" s="26" t="s">
        <v>3380</v>
      </c>
      <c r="C1068" s="26"/>
      <c r="D1068" s="26"/>
      <c r="E1068" s="26"/>
      <c r="F1068" s="26"/>
      <c r="G1068" s="26"/>
      <c r="H1068" s="26"/>
      <c r="I1068" s="26"/>
      <c r="J1068" s="26"/>
    </row>
    <row r="1069" spans="1:10" x14ac:dyDescent="0.35">
      <c r="A1069" s="26" t="s">
        <v>3381</v>
      </c>
      <c r="B1069" s="26" t="s">
        <v>3382</v>
      </c>
      <c r="C1069" s="26"/>
      <c r="D1069" s="26"/>
      <c r="E1069" s="26"/>
      <c r="F1069" s="26"/>
      <c r="G1069" s="26"/>
      <c r="H1069" s="26"/>
      <c r="I1069" s="26"/>
      <c r="J1069" s="26"/>
    </row>
    <row r="1070" spans="1:10" x14ac:dyDescent="0.35">
      <c r="A1070" s="26" t="s">
        <v>3383</v>
      </c>
      <c r="B1070" s="26" t="s">
        <v>3384</v>
      </c>
      <c r="C1070" s="26"/>
      <c r="D1070" s="26"/>
      <c r="E1070" s="26"/>
      <c r="F1070" s="26"/>
      <c r="G1070" s="26"/>
      <c r="H1070" s="26"/>
      <c r="I1070" s="26"/>
      <c r="J1070" s="26"/>
    </row>
    <row r="1071" spans="1:10" x14ac:dyDescent="0.35">
      <c r="A1071" s="26" t="s">
        <v>3385</v>
      </c>
      <c r="B1071" s="26" t="s">
        <v>3386</v>
      </c>
      <c r="C1071" s="26"/>
      <c r="D1071" s="26"/>
      <c r="E1071" s="26"/>
      <c r="F1071" s="26"/>
      <c r="G1071" s="26"/>
      <c r="H1071" s="26"/>
      <c r="I1071" s="26"/>
      <c r="J1071" s="26"/>
    </row>
    <row r="1072" spans="1:10" x14ac:dyDescent="0.35">
      <c r="A1072" t="s">
        <v>350</v>
      </c>
      <c r="B1072" s="7" t="s">
        <v>1174</v>
      </c>
      <c r="C1072">
        <v>0.06</v>
      </c>
      <c r="D1072" t="s">
        <v>1720</v>
      </c>
      <c r="E1072" t="s">
        <v>1724</v>
      </c>
      <c r="F1072" t="s">
        <v>1968</v>
      </c>
      <c r="G1072" t="s">
        <v>1979</v>
      </c>
      <c r="H1072" t="s">
        <v>1981</v>
      </c>
      <c r="I1072" s="57">
        <v>44574</v>
      </c>
      <c r="J1072" s="13" t="s">
        <v>1980</v>
      </c>
    </row>
    <row r="1073" spans="1:10" x14ac:dyDescent="0.35">
      <c r="A1073" t="s">
        <v>59</v>
      </c>
      <c r="B1073" s="7" t="s">
        <v>888</v>
      </c>
      <c r="C1073">
        <v>0.03</v>
      </c>
      <c r="D1073" t="s">
        <v>1720</v>
      </c>
      <c r="E1073" t="s">
        <v>1721</v>
      </c>
      <c r="G1073" t="s">
        <v>1742</v>
      </c>
      <c r="H1073" t="s">
        <v>2010</v>
      </c>
      <c r="I1073" s="57">
        <v>44574</v>
      </c>
      <c r="J1073" s="13" t="s">
        <v>2013</v>
      </c>
    </row>
    <row r="1074" spans="1:10" x14ac:dyDescent="0.35">
      <c r="A1074" t="s">
        <v>629</v>
      </c>
      <c r="B1074" s="7" t="s">
        <v>1453</v>
      </c>
      <c r="C1074">
        <v>5</v>
      </c>
      <c r="D1074" t="s">
        <v>1720</v>
      </c>
      <c r="E1074" t="s">
        <v>1721</v>
      </c>
      <c r="G1074" t="s">
        <v>1742</v>
      </c>
      <c r="H1074" t="s">
        <v>2010</v>
      </c>
      <c r="I1074" s="57">
        <v>44574</v>
      </c>
      <c r="J1074" s="13" t="s">
        <v>2013</v>
      </c>
    </row>
    <row r="1075" spans="1:10" x14ac:dyDescent="0.35">
      <c r="A1075" t="s">
        <v>590</v>
      </c>
      <c r="B1075" s="7" t="s">
        <v>1414</v>
      </c>
      <c r="C1075">
        <v>10</v>
      </c>
      <c r="D1075" t="s">
        <v>1720</v>
      </c>
      <c r="E1075" t="s">
        <v>1721</v>
      </c>
      <c r="F1075" t="s">
        <v>1961</v>
      </c>
      <c r="G1075" t="s">
        <v>1742</v>
      </c>
      <c r="H1075" t="s">
        <v>2010</v>
      </c>
      <c r="I1075" s="57">
        <v>44574</v>
      </c>
      <c r="J1075" s="13" t="s">
        <v>2013</v>
      </c>
    </row>
    <row r="1076" spans="1:10" x14ac:dyDescent="0.35">
      <c r="A1076" t="s">
        <v>578</v>
      </c>
      <c r="B1076" s="7" t="s">
        <v>1402</v>
      </c>
      <c r="C1076">
        <v>50</v>
      </c>
      <c r="D1076" t="s">
        <v>1720</v>
      </c>
      <c r="E1076" t="s">
        <v>1721</v>
      </c>
      <c r="G1076" t="s">
        <v>1742</v>
      </c>
      <c r="H1076" t="s">
        <v>2010</v>
      </c>
      <c r="I1076" s="57">
        <v>44574</v>
      </c>
      <c r="J1076" s="13" t="s">
        <v>2013</v>
      </c>
    </row>
    <row r="1077" spans="1:10" x14ac:dyDescent="0.35">
      <c r="A1077" t="s">
        <v>377</v>
      </c>
      <c r="B1077" s="7" t="s">
        <v>1201</v>
      </c>
      <c r="C1077">
        <v>3</v>
      </c>
      <c r="D1077" t="s">
        <v>1720</v>
      </c>
      <c r="E1077" t="s">
        <v>1721</v>
      </c>
      <c r="G1077" t="s">
        <v>1742</v>
      </c>
      <c r="H1077" t="s">
        <v>2012</v>
      </c>
      <c r="I1077" s="57">
        <v>44574</v>
      </c>
      <c r="J1077" s="13" t="s">
        <v>2013</v>
      </c>
    </row>
    <row r="1078" spans="1:10" x14ac:dyDescent="0.35">
      <c r="A1078" t="s">
        <v>580</v>
      </c>
      <c r="B1078" s="7" t="s">
        <v>1404</v>
      </c>
      <c r="C1078">
        <v>0.6</v>
      </c>
      <c r="D1078" t="s">
        <v>1720</v>
      </c>
      <c r="E1078" t="s">
        <v>1721</v>
      </c>
      <c r="G1078" t="s">
        <v>1742</v>
      </c>
      <c r="H1078" t="s">
        <v>2010</v>
      </c>
      <c r="I1078" s="57">
        <v>44574</v>
      </c>
      <c r="J1078" s="13" t="s">
        <v>2013</v>
      </c>
    </row>
    <row r="1079" spans="1:10" x14ac:dyDescent="0.35">
      <c r="A1079" t="s">
        <v>424</v>
      </c>
      <c r="B1079" s="7" t="s">
        <v>1248</v>
      </c>
      <c r="C1079">
        <v>0.24</v>
      </c>
      <c r="D1079" t="s">
        <v>1720</v>
      </c>
      <c r="E1079" t="s">
        <v>1721</v>
      </c>
      <c r="G1079" t="s">
        <v>1817</v>
      </c>
      <c r="H1079" t="s">
        <v>2003</v>
      </c>
      <c r="I1079" s="57">
        <v>44574</v>
      </c>
      <c r="J1079" s="26" t="s">
        <v>2004</v>
      </c>
    </row>
    <row r="1080" spans="1:10" x14ac:dyDescent="0.35">
      <c r="A1080" s="47" t="s">
        <v>3387</v>
      </c>
      <c r="B1080" s="47" t="s">
        <v>3388</v>
      </c>
      <c r="D1080" t="s">
        <v>3428</v>
      </c>
    </row>
    <row r="1081" spans="1:10" x14ac:dyDescent="0.35">
      <c r="A1081" t="s">
        <v>450</v>
      </c>
      <c r="B1081" s="7" t="s">
        <v>1274</v>
      </c>
      <c r="C1081">
        <v>0.04</v>
      </c>
      <c r="D1081" t="s">
        <v>1720</v>
      </c>
      <c r="E1081" t="s">
        <v>1721</v>
      </c>
      <c r="F1081" t="s">
        <v>1978</v>
      </c>
      <c r="G1081" t="s">
        <v>1979</v>
      </c>
      <c r="H1081" t="s">
        <v>1981</v>
      </c>
      <c r="I1081" s="57">
        <v>44574</v>
      </c>
      <c r="J1081" t="s">
        <v>1980</v>
      </c>
    </row>
    <row r="1082" spans="1:10" x14ac:dyDescent="0.35">
      <c r="A1082" s="26" t="s">
        <v>3389</v>
      </c>
      <c r="B1082" s="26" t="s">
        <v>3390</v>
      </c>
      <c r="C1082" s="26"/>
      <c r="D1082" s="26"/>
      <c r="E1082" s="26"/>
      <c r="F1082" s="26"/>
      <c r="G1082" s="26"/>
      <c r="H1082" s="26"/>
      <c r="I1082" s="26"/>
      <c r="J1082" s="26"/>
    </row>
    <row r="1083" spans="1:10" x14ac:dyDescent="0.35">
      <c r="A1083" t="s">
        <v>507</v>
      </c>
      <c r="B1083" s="7" t="s">
        <v>1331</v>
      </c>
      <c r="C1083">
        <v>0.2</v>
      </c>
      <c r="D1083" t="s">
        <v>1720</v>
      </c>
      <c r="E1083" t="s">
        <v>1721</v>
      </c>
      <c r="F1083" t="s">
        <v>1957</v>
      </c>
      <c r="G1083" t="s">
        <v>1748</v>
      </c>
      <c r="H1083" t="s">
        <v>1956</v>
      </c>
      <c r="I1083" s="57">
        <v>44574</v>
      </c>
      <c r="J1083" t="s">
        <v>1955</v>
      </c>
    </row>
    <row r="1084" spans="1:10" x14ac:dyDescent="0.35">
      <c r="A1084" t="s">
        <v>507</v>
      </c>
      <c r="B1084" s="7" t="s">
        <v>1331</v>
      </c>
      <c r="C1084">
        <v>0.2</v>
      </c>
      <c r="D1084" t="s">
        <v>1720</v>
      </c>
      <c r="E1084" t="s">
        <v>1721</v>
      </c>
      <c r="G1084" t="s">
        <v>1817</v>
      </c>
      <c r="H1084" t="s">
        <v>2003</v>
      </c>
      <c r="I1084" s="57">
        <v>44574</v>
      </c>
      <c r="J1084" s="13" t="s">
        <v>2004</v>
      </c>
    </row>
    <row r="1085" spans="1:10" x14ac:dyDescent="0.35">
      <c r="A1085" t="s">
        <v>51</v>
      </c>
      <c r="B1085" s="7" t="s">
        <v>880</v>
      </c>
      <c r="C1085">
        <v>3</v>
      </c>
      <c r="D1085" t="s">
        <v>1720</v>
      </c>
      <c r="E1085" t="s">
        <v>1721</v>
      </c>
      <c r="F1085" t="s">
        <v>1978</v>
      </c>
      <c r="G1085" t="s">
        <v>1979</v>
      </c>
      <c r="H1085" t="s">
        <v>1981</v>
      </c>
      <c r="I1085" s="57">
        <v>44574</v>
      </c>
      <c r="J1085" s="13" t="s">
        <v>1980</v>
      </c>
    </row>
    <row r="1086" spans="1:10" x14ac:dyDescent="0.35">
      <c r="A1086" s="26" t="s">
        <v>3371</v>
      </c>
      <c r="B1086" s="26" t="s">
        <v>3372</v>
      </c>
      <c r="C1086" s="26">
        <v>800</v>
      </c>
      <c r="D1086" t="s">
        <v>1720</v>
      </c>
      <c r="E1086" t="s">
        <v>1721</v>
      </c>
      <c r="F1086" t="s">
        <v>3459</v>
      </c>
      <c r="G1086" s="26" t="s">
        <v>1979</v>
      </c>
      <c r="H1086" s="26" t="s">
        <v>1981</v>
      </c>
      <c r="I1086" s="48">
        <v>44574</v>
      </c>
      <c r="J1086" s="26" t="s">
        <v>1980</v>
      </c>
    </row>
    <row r="1087" spans="1:10" x14ac:dyDescent="0.35">
      <c r="A1087" s="26" t="s">
        <v>3371</v>
      </c>
      <c r="B1087" s="26" t="s">
        <v>3372</v>
      </c>
      <c r="C1087" s="26">
        <v>27000</v>
      </c>
      <c r="D1087" s="26" t="s">
        <v>1720</v>
      </c>
      <c r="E1087" s="26" t="s">
        <v>1724</v>
      </c>
      <c r="F1087" t="s">
        <v>3459</v>
      </c>
      <c r="G1087" s="26" t="s">
        <v>1979</v>
      </c>
      <c r="H1087" s="26" t="s">
        <v>1981</v>
      </c>
      <c r="I1087" s="48">
        <v>44574</v>
      </c>
      <c r="J1087" s="26" t="s">
        <v>1980</v>
      </c>
    </row>
    <row r="1088" spans="1:10" x14ac:dyDescent="0.35">
      <c r="A1088" t="s">
        <v>544</v>
      </c>
      <c r="B1088" s="7" t="s">
        <v>1368</v>
      </c>
      <c r="C1088">
        <v>0.23</v>
      </c>
      <c r="D1088" t="s">
        <v>1720</v>
      </c>
      <c r="E1088" t="s">
        <v>1721</v>
      </c>
      <c r="F1088" t="s">
        <v>1970</v>
      </c>
      <c r="G1088" t="s">
        <v>1748</v>
      </c>
      <c r="H1088" t="s">
        <v>1956</v>
      </c>
      <c r="I1088" s="57">
        <v>44574</v>
      </c>
      <c r="J1088" s="13" t="s">
        <v>1955</v>
      </c>
    </row>
    <row r="1089" spans="1:10" x14ac:dyDescent="0.35">
      <c r="A1089" t="s">
        <v>444</v>
      </c>
      <c r="B1089" s="7" t="s">
        <v>1268</v>
      </c>
      <c r="C1089">
        <v>1</v>
      </c>
      <c r="D1089" t="s">
        <v>1720</v>
      </c>
      <c r="E1089" t="s">
        <v>1721</v>
      </c>
      <c r="F1089" t="s">
        <v>1965</v>
      </c>
      <c r="G1089" t="s">
        <v>1748</v>
      </c>
      <c r="H1089" t="s">
        <v>1956</v>
      </c>
      <c r="I1089" s="57">
        <v>44574</v>
      </c>
      <c r="J1089" s="13" t="s">
        <v>1955</v>
      </c>
    </row>
    <row r="1090" spans="1:10" x14ac:dyDescent="0.35">
      <c r="A1090" t="s">
        <v>444</v>
      </c>
      <c r="B1090" s="7" t="s">
        <v>1268</v>
      </c>
      <c r="C1090">
        <v>1</v>
      </c>
      <c r="D1090" t="s">
        <v>1720</v>
      </c>
      <c r="E1090" t="s">
        <v>1721</v>
      </c>
      <c r="F1090" t="s">
        <v>4132</v>
      </c>
      <c r="G1090" t="s">
        <v>2006</v>
      </c>
      <c r="H1090" t="s">
        <v>2007</v>
      </c>
      <c r="I1090" s="57">
        <v>44574</v>
      </c>
      <c r="J1090" s="13" t="s">
        <v>2008</v>
      </c>
    </row>
    <row r="1091" spans="1:10" x14ac:dyDescent="0.35">
      <c r="A1091" t="s">
        <v>544</v>
      </c>
      <c r="B1091" s="7" t="s">
        <v>1368</v>
      </c>
      <c r="C1091">
        <v>0.23</v>
      </c>
      <c r="D1091" t="s">
        <v>1720</v>
      </c>
      <c r="E1091" t="s">
        <v>1721</v>
      </c>
      <c r="F1091" t="s">
        <v>1970</v>
      </c>
      <c r="G1091" t="s">
        <v>1979</v>
      </c>
      <c r="H1091" t="s">
        <v>1981</v>
      </c>
      <c r="I1091" s="57">
        <v>44574</v>
      </c>
      <c r="J1091" s="13" t="s">
        <v>1980</v>
      </c>
    </row>
    <row r="1092" spans="1:10" x14ac:dyDescent="0.35">
      <c r="A1092" t="s">
        <v>212</v>
      </c>
      <c r="B1092" s="7" t="s">
        <v>1039</v>
      </c>
      <c r="C1092">
        <v>0.01</v>
      </c>
      <c r="D1092" t="s">
        <v>1720</v>
      </c>
      <c r="E1092" t="s">
        <v>1721</v>
      </c>
      <c r="F1092" t="s">
        <v>1984</v>
      </c>
      <c r="G1092" t="s">
        <v>1979</v>
      </c>
      <c r="H1092" t="s">
        <v>1981</v>
      </c>
      <c r="I1092" s="57">
        <v>44574</v>
      </c>
      <c r="J1092" s="13" t="s">
        <v>1980</v>
      </c>
    </row>
    <row r="1093" spans="1:10" x14ac:dyDescent="0.35">
      <c r="A1093" t="s">
        <v>35</v>
      </c>
      <c r="B1093" s="7" t="s">
        <v>864</v>
      </c>
      <c r="C1093">
        <v>1.1000000000000001</v>
      </c>
      <c r="D1093" t="s">
        <v>1720</v>
      </c>
      <c r="E1093" t="s">
        <v>1721</v>
      </c>
      <c r="G1093" t="s">
        <v>2006</v>
      </c>
      <c r="H1093" t="s">
        <v>2007</v>
      </c>
      <c r="I1093" s="57">
        <v>44574</v>
      </c>
      <c r="J1093" t="s">
        <v>2008</v>
      </c>
    </row>
    <row r="1094" spans="1:10" x14ac:dyDescent="0.35">
      <c r="A1094" t="s">
        <v>351</v>
      </c>
      <c r="B1094" s="7" t="s">
        <v>1175</v>
      </c>
      <c r="C1094">
        <v>7</v>
      </c>
      <c r="D1094" t="s">
        <v>1720</v>
      </c>
      <c r="E1094" t="s">
        <v>1721</v>
      </c>
      <c r="F1094" t="s">
        <v>1971</v>
      </c>
      <c r="G1094" t="s">
        <v>1979</v>
      </c>
      <c r="H1094" t="s">
        <v>1981</v>
      </c>
      <c r="I1094" s="57">
        <v>44574</v>
      </c>
      <c r="J1094" s="13" t="s">
        <v>4126</v>
      </c>
    </row>
    <row r="1095" spans="1:10" x14ac:dyDescent="0.35">
      <c r="A1095" t="s">
        <v>593</v>
      </c>
      <c r="B1095" s="7" t="s">
        <v>1417</v>
      </c>
      <c r="C1095">
        <v>0.1</v>
      </c>
      <c r="D1095" t="s">
        <v>1720</v>
      </c>
      <c r="E1095" t="s">
        <v>1721</v>
      </c>
      <c r="F1095" t="s">
        <v>1972</v>
      </c>
      <c r="G1095" t="s">
        <v>1979</v>
      </c>
      <c r="H1095" t="s">
        <v>1981</v>
      </c>
      <c r="I1095" s="57">
        <v>44574</v>
      </c>
      <c r="J1095" s="13" t="s">
        <v>1980</v>
      </c>
    </row>
    <row r="1096" spans="1:10" x14ac:dyDescent="0.35">
      <c r="A1096" t="s">
        <v>20</v>
      </c>
      <c r="B1096" s="7" t="s">
        <v>849</v>
      </c>
      <c r="C1096">
        <v>2.6</v>
      </c>
      <c r="D1096" t="s">
        <v>1720</v>
      </c>
      <c r="E1096" t="s">
        <v>1721</v>
      </c>
      <c r="F1096" t="s">
        <v>1971</v>
      </c>
      <c r="G1096" t="s">
        <v>1748</v>
      </c>
      <c r="H1096" t="s">
        <v>1956</v>
      </c>
      <c r="I1096" s="57">
        <v>44574</v>
      </c>
      <c r="J1096" s="13" t="s">
        <v>1955</v>
      </c>
    </row>
    <row r="1097" spans="1:10" x14ac:dyDescent="0.35">
      <c r="A1097" t="s">
        <v>47</v>
      </c>
      <c r="B1097" s="7" t="s">
        <v>876</v>
      </c>
      <c r="C1097">
        <v>0.5</v>
      </c>
      <c r="D1097" t="s">
        <v>1720</v>
      </c>
      <c r="E1097" t="s">
        <v>1721</v>
      </c>
      <c r="F1097" t="s">
        <v>1984</v>
      </c>
      <c r="G1097" t="s">
        <v>2006</v>
      </c>
      <c r="H1097" t="s">
        <v>2007</v>
      </c>
      <c r="I1097" s="57">
        <v>44574</v>
      </c>
      <c r="J1097" t="s">
        <v>2008</v>
      </c>
    </row>
    <row r="1098" spans="1:10" x14ac:dyDescent="0.35">
      <c r="A1098" t="s">
        <v>20</v>
      </c>
      <c r="B1098" s="7" t="s">
        <v>849</v>
      </c>
      <c r="C1098">
        <v>2.6</v>
      </c>
      <c r="D1098" t="s">
        <v>1720</v>
      </c>
      <c r="E1098" t="s">
        <v>1721</v>
      </c>
      <c r="F1098" t="s">
        <v>1971</v>
      </c>
      <c r="G1098" t="s">
        <v>1979</v>
      </c>
      <c r="H1098" t="s">
        <v>1981</v>
      </c>
      <c r="I1098" s="57">
        <v>44574</v>
      </c>
      <c r="J1098" s="13" t="s">
        <v>4126</v>
      </c>
    </row>
    <row r="1099" spans="1:10" x14ac:dyDescent="0.35">
      <c r="A1099" t="s">
        <v>25</v>
      </c>
      <c r="B1099" s="7" t="s">
        <v>854</v>
      </c>
      <c r="C1099">
        <v>13</v>
      </c>
      <c r="D1099" t="s">
        <v>1720</v>
      </c>
      <c r="E1099" t="s">
        <v>1721</v>
      </c>
      <c r="F1099" t="s">
        <v>1988</v>
      </c>
      <c r="G1099" t="s">
        <v>1979</v>
      </c>
      <c r="H1099" t="s">
        <v>1981</v>
      </c>
      <c r="I1099" s="57">
        <v>44574</v>
      </c>
      <c r="J1099" s="13" t="s">
        <v>1980</v>
      </c>
    </row>
    <row r="1100" spans="1:10" x14ac:dyDescent="0.35">
      <c r="A1100" t="s">
        <v>25</v>
      </c>
      <c r="B1100" s="7" t="s">
        <v>854</v>
      </c>
      <c r="C1100">
        <v>10000</v>
      </c>
      <c r="D1100" t="s">
        <v>1720</v>
      </c>
      <c r="E1100" t="s">
        <v>1724</v>
      </c>
      <c r="F1100" t="s">
        <v>1988</v>
      </c>
      <c r="G1100" t="s">
        <v>1979</v>
      </c>
      <c r="H1100" t="s">
        <v>1981</v>
      </c>
      <c r="I1100" s="57">
        <v>44574</v>
      </c>
      <c r="J1100" s="13" t="s">
        <v>1980</v>
      </c>
    </row>
    <row r="1101" spans="1:10" x14ac:dyDescent="0.35">
      <c r="A1101" t="s">
        <v>140</v>
      </c>
      <c r="B1101" s="7" t="s">
        <v>969</v>
      </c>
      <c r="C1101">
        <v>0.03</v>
      </c>
      <c r="D1101" t="s">
        <v>1720</v>
      </c>
      <c r="E1101" t="s">
        <v>1721</v>
      </c>
      <c r="F1101" t="s">
        <v>1989</v>
      </c>
      <c r="G1101" t="s">
        <v>1979</v>
      </c>
      <c r="H1101" t="s">
        <v>1981</v>
      </c>
      <c r="I1101" s="57">
        <v>44574</v>
      </c>
      <c r="J1101" s="13" t="s">
        <v>1980</v>
      </c>
    </row>
    <row r="1102" spans="1:10" x14ac:dyDescent="0.35">
      <c r="A1102" t="s">
        <v>272</v>
      </c>
      <c r="B1102" s="7" t="s">
        <v>1098</v>
      </c>
      <c r="C1102">
        <v>7.8</v>
      </c>
      <c r="D1102" t="s">
        <v>1720</v>
      </c>
      <c r="E1102" t="s">
        <v>1721</v>
      </c>
      <c r="F1102" t="s">
        <v>1961</v>
      </c>
      <c r="G1102" t="s">
        <v>1979</v>
      </c>
      <c r="H1102" t="s">
        <v>1981</v>
      </c>
      <c r="I1102" s="57">
        <v>44574</v>
      </c>
      <c r="J1102" s="13" t="s">
        <v>1980</v>
      </c>
    </row>
    <row r="1103" spans="1:10" x14ac:dyDescent="0.35">
      <c r="A1103" s="26" t="s">
        <v>3359</v>
      </c>
      <c r="B1103" s="26" t="s">
        <v>3360</v>
      </c>
      <c r="C1103">
        <v>4.0000000000000001E-3</v>
      </c>
      <c r="D1103" t="s">
        <v>1720</v>
      </c>
      <c r="E1103" t="s">
        <v>1721</v>
      </c>
      <c r="F1103" t="s">
        <v>2005</v>
      </c>
      <c r="G1103" t="s">
        <v>2006</v>
      </c>
      <c r="H1103" t="s">
        <v>2007</v>
      </c>
      <c r="I1103" s="57">
        <v>44574</v>
      </c>
      <c r="J1103" t="s">
        <v>2008</v>
      </c>
    </row>
    <row r="1104" spans="1:10" x14ac:dyDescent="0.35">
      <c r="A1104" t="s">
        <v>444</v>
      </c>
      <c r="B1104" s="7" t="s">
        <v>1268</v>
      </c>
      <c r="C1104">
        <v>1</v>
      </c>
      <c r="D1104" t="s">
        <v>1720</v>
      </c>
      <c r="E1104" t="s">
        <v>1721</v>
      </c>
      <c r="F1104" t="s">
        <v>1965</v>
      </c>
      <c r="G1104" t="s">
        <v>1979</v>
      </c>
      <c r="H1104" t="s">
        <v>1981</v>
      </c>
      <c r="I1104" s="57">
        <v>44574</v>
      </c>
      <c r="J1104" s="13" t="s">
        <v>1980</v>
      </c>
    </row>
    <row r="1105" spans="1:10" x14ac:dyDescent="0.35">
      <c r="A1105" t="s">
        <v>415</v>
      </c>
      <c r="B1105" s="7" t="s">
        <v>1239</v>
      </c>
      <c r="C1105">
        <v>1E-3</v>
      </c>
      <c r="D1105" t="s">
        <v>1720</v>
      </c>
      <c r="E1105" t="s">
        <v>1721</v>
      </c>
      <c r="F1105" t="s">
        <v>1987</v>
      </c>
      <c r="G1105" t="s">
        <v>1979</v>
      </c>
      <c r="H1105" t="s">
        <v>1981</v>
      </c>
      <c r="I1105" s="57">
        <v>44574</v>
      </c>
      <c r="J1105" s="13" t="s">
        <v>1980</v>
      </c>
    </row>
    <row r="1106" spans="1:10" x14ac:dyDescent="0.35">
      <c r="A1106" t="s">
        <v>35</v>
      </c>
      <c r="B1106" s="7" t="s">
        <v>864</v>
      </c>
      <c r="C1106">
        <v>1</v>
      </c>
      <c r="D1106" t="s">
        <v>1720</v>
      </c>
      <c r="E1106" t="s">
        <v>1721</v>
      </c>
      <c r="F1106" t="s">
        <v>1990</v>
      </c>
      <c r="G1106" t="s">
        <v>1979</v>
      </c>
      <c r="H1106" t="s">
        <v>1981</v>
      </c>
      <c r="I1106" s="57">
        <v>44574</v>
      </c>
      <c r="J1106" t="s">
        <v>1980</v>
      </c>
    </row>
    <row r="1107" spans="1:10" s="26" customFormat="1" x14ac:dyDescent="0.35">
      <c r="A1107" t="s">
        <v>47</v>
      </c>
      <c r="B1107" s="7" t="s">
        <v>876</v>
      </c>
      <c r="C1107">
        <v>0.5</v>
      </c>
      <c r="D1107" t="s">
        <v>1720</v>
      </c>
      <c r="E1107" t="s">
        <v>1721</v>
      </c>
      <c r="F1107" t="s">
        <v>1984</v>
      </c>
      <c r="G1107" t="s">
        <v>1979</v>
      </c>
      <c r="H1107" t="s">
        <v>1981</v>
      </c>
      <c r="I1107" s="57">
        <v>44574</v>
      </c>
      <c r="J1107" t="s">
        <v>1980</v>
      </c>
    </row>
    <row r="1108" spans="1:10" x14ac:dyDescent="0.35">
      <c r="A1108" s="26" t="s">
        <v>3359</v>
      </c>
      <c r="B1108" s="26" t="s">
        <v>3360</v>
      </c>
      <c r="C1108" s="26">
        <v>4.0000000000000001E-3</v>
      </c>
      <c r="D1108" s="26" t="s">
        <v>1720</v>
      </c>
      <c r="E1108" s="26" t="s">
        <v>1721</v>
      </c>
      <c r="F1108" s="26" t="s">
        <v>3452</v>
      </c>
      <c r="G1108" s="26" t="s">
        <v>1979</v>
      </c>
      <c r="H1108" s="26" t="s">
        <v>1981</v>
      </c>
      <c r="I1108" s="48">
        <v>44574</v>
      </c>
      <c r="J1108" s="26" t="s">
        <v>1980</v>
      </c>
    </row>
    <row r="1109" spans="1:10" x14ac:dyDescent="0.35">
      <c r="A1109" t="s">
        <v>719</v>
      </c>
      <c r="B1109" s="7" t="s">
        <v>1543</v>
      </c>
      <c r="C1109">
        <v>4.5999999999999999E-2</v>
      </c>
      <c r="D1109" t="s">
        <v>1720</v>
      </c>
      <c r="E1109" t="s">
        <v>1721</v>
      </c>
      <c r="F1109" t="s">
        <v>1974</v>
      </c>
      <c r="G1109" t="s">
        <v>1748</v>
      </c>
      <c r="H1109" t="s">
        <v>1956</v>
      </c>
      <c r="I1109" s="57">
        <v>44574</v>
      </c>
      <c r="J1109" s="13" t="s">
        <v>2001</v>
      </c>
    </row>
    <row r="1110" spans="1:10" x14ac:dyDescent="0.35">
      <c r="A1110" t="s">
        <v>59</v>
      </c>
      <c r="B1110" s="7" t="s">
        <v>888</v>
      </c>
      <c r="C1110">
        <v>0.4</v>
      </c>
      <c r="D1110" t="s">
        <v>1720</v>
      </c>
      <c r="E1110" t="s">
        <v>1721</v>
      </c>
      <c r="F1110" t="s">
        <v>1978</v>
      </c>
      <c r="G1110" t="s">
        <v>1979</v>
      </c>
      <c r="H1110" t="s">
        <v>1981</v>
      </c>
      <c r="I1110" s="57">
        <v>44574</v>
      </c>
      <c r="J1110" s="13" t="s">
        <v>1980</v>
      </c>
    </row>
    <row r="1111" spans="1:10" x14ac:dyDescent="0.35">
      <c r="A1111" t="s">
        <v>577</v>
      </c>
      <c r="B1111" s="7" t="s">
        <v>1401</v>
      </c>
      <c r="C1111">
        <v>2.5000000000000001E-2</v>
      </c>
      <c r="D1111" t="s">
        <v>1720</v>
      </c>
      <c r="E1111" t="s">
        <v>1721</v>
      </c>
      <c r="F1111" t="s">
        <v>1978</v>
      </c>
      <c r="G1111" t="s">
        <v>1979</v>
      </c>
      <c r="H1111" t="s">
        <v>1981</v>
      </c>
      <c r="I1111" s="57">
        <v>44574</v>
      </c>
      <c r="J1111" s="13" t="s">
        <v>1980</v>
      </c>
    </row>
    <row r="1112" spans="1:10" x14ac:dyDescent="0.35">
      <c r="A1112" t="s">
        <v>590</v>
      </c>
      <c r="B1112" s="7" t="s">
        <v>1414</v>
      </c>
      <c r="C1112">
        <v>10</v>
      </c>
      <c r="D1112" t="s">
        <v>1720</v>
      </c>
      <c r="E1112" t="s">
        <v>1721</v>
      </c>
      <c r="F1112" t="s">
        <v>1961</v>
      </c>
      <c r="G1112" t="s">
        <v>1979</v>
      </c>
      <c r="H1112" t="s">
        <v>1981</v>
      </c>
      <c r="I1112" s="57">
        <v>44574</v>
      </c>
      <c r="J1112" s="13" t="s">
        <v>1980</v>
      </c>
    </row>
    <row r="1113" spans="1:10" x14ac:dyDescent="0.35">
      <c r="A1113" t="s">
        <v>59</v>
      </c>
      <c r="B1113" s="7" t="s">
        <v>888</v>
      </c>
      <c r="C1113">
        <v>0.4</v>
      </c>
      <c r="D1113" t="s">
        <v>1720</v>
      </c>
      <c r="E1113" t="s">
        <v>1721</v>
      </c>
      <c r="F1113" t="s">
        <v>1978</v>
      </c>
      <c r="G1113" t="s">
        <v>2006</v>
      </c>
      <c r="H1113" t="s">
        <v>2007</v>
      </c>
      <c r="I1113" s="57">
        <v>44574</v>
      </c>
      <c r="J1113" s="13" t="s">
        <v>4129</v>
      </c>
    </row>
    <row r="1114" spans="1:10" x14ac:dyDescent="0.35">
      <c r="A1114" t="s">
        <v>341</v>
      </c>
      <c r="B1114" s="7" t="s">
        <v>1165</v>
      </c>
      <c r="C1114">
        <f>0.0016*10^3</f>
        <v>1.6</v>
      </c>
      <c r="D1114" t="s">
        <v>1720</v>
      </c>
      <c r="E1114" t="s">
        <v>1721</v>
      </c>
      <c r="F1114" t="s">
        <v>1975</v>
      </c>
      <c r="G1114" t="s">
        <v>1748</v>
      </c>
      <c r="H1114" t="s">
        <v>1956</v>
      </c>
      <c r="I1114" s="57">
        <v>44574</v>
      </c>
      <c r="J1114" s="13" t="s">
        <v>1955</v>
      </c>
    </row>
    <row r="1115" spans="1:10" x14ac:dyDescent="0.35">
      <c r="A1115" t="s">
        <v>341</v>
      </c>
      <c r="B1115" s="7" t="s">
        <v>1165</v>
      </c>
      <c r="C1115">
        <f>0.0016*10^3</f>
        <v>1.6</v>
      </c>
      <c r="D1115" t="s">
        <v>1720</v>
      </c>
      <c r="E1115" t="s">
        <v>1721</v>
      </c>
      <c r="F1115" t="s">
        <v>1975</v>
      </c>
      <c r="G1115" t="s">
        <v>1979</v>
      </c>
      <c r="H1115" t="s">
        <v>1981</v>
      </c>
      <c r="I1115" s="57">
        <v>44574</v>
      </c>
      <c r="J1115" s="13" t="s">
        <v>1980</v>
      </c>
    </row>
    <row r="1116" spans="1:10" x14ac:dyDescent="0.35">
      <c r="A1116" t="s">
        <v>578</v>
      </c>
      <c r="B1116" s="7" t="s">
        <v>1402</v>
      </c>
      <c r="C1116">
        <v>110</v>
      </c>
      <c r="D1116" t="s">
        <v>1720</v>
      </c>
      <c r="E1116" t="s">
        <v>1721</v>
      </c>
      <c r="F1116" t="s">
        <v>1991</v>
      </c>
      <c r="G1116" t="s">
        <v>1979</v>
      </c>
      <c r="H1116" t="s">
        <v>1981</v>
      </c>
      <c r="I1116" s="57">
        <v>44574</v>
      </c>
      <c r="J1116" t="s">
        <v>1980</v>
      </c>
    </row>
    <row r="1117" spans="1:10" x14ac:dyDescent="0.35">
      <c r="A1117" t="s">
        <v>629</v>
      </c>
      <c r="B1117" s="7" t="s">
        <v>1453</v>
      </c>
      <c r="C1117">
        <v>4</v>
      </c>
      <c r="D1117" t="s">
        <v>1720</v>
      </c>
      <c r="E1117" t="s">
        <v>1721</v>
      </c>
      <c r="F1117" t="s">
        <v>2005</v>
      </c>
      <c r="G1117" t="s">
        <v>2006</v>
      </c>
      <c r="H1117" t="s">
        <v>2007</v>
      </c>
      <c r="I1117" s="57">
        <v>44574</v>
      </c>
      <c r="J1117" t="s">
        <v>2008</v>
      </c>
    </row>
    <row r="1118" spans="1:10" x14ac:dyDescent="0.35">
      <c r="A1118" s="26" t="s">
        <v>3391</v>
      </c>
      <c r="B1118" s="26" t="s">
        <v>3392</v>
      </c>
      <c r="C1118" s="26"/>
      <c r="D1118" s="26"/>
      <c r="E1118" s="26"/>
      <c r="F1118" s="26"/>
      <c r="G1118" s="26"/>
      <c r="H1118" s="26"/>
      <c r="I1118" s="26"/>
      <c r="J1118" s="26"/>
    </row>
    <row r="1119" spans="1:10" x14ac:dyDescent="0.35">
      <c r="A1119" t="s">
        <v>577</v>
      </c>
      <c r="B1119" s="7" t="s">
        <v>1401</v>
      </c>
      <c r="C1119">
        <v>2.5000000000000001E-2</v>
      </c>
      <c r="D1119" t="s">
        <v>1720</v>
      </c>
      <c r="E1119" t="s">
        <v>1721</v>
      </c>
      <c r="F1119" t="s">
        <v>1978</v>
      </c>
      <c r="G1119" t="s">
        <v>2006</v>
      </c>
      <c r="H1119" t="s">
        <v>2007</v>
      </c>
      <c r="I1119" s="57">
        <v>44574</v>
      </c>
      <c r="J1119" s="13" t="s">
        <v>4129</v>
      </c>
    </row>
    <row r="1120" spans="1:10" x14ac:dyDescent="0.35">
      <c r="A1120" t="s">
        <v>424</v>
      </c>
      <c r="B1120" s="7" t="s">
        <v>1248</v>
      </c>
      <c r="C1120">
        <v>0.24</v>
      </c>
      <c r="D1120" t="s">
        <v>1720</v>
      </c>
      <c r="E1120" t="s">
        <v>1721</v>
      </c>
      <c r="F1120" t="s">
        <v>1976</v>
      </c>
      <c r="G1120" t="s">
        <v>1748</v>
      </c>
      <c r="H1120" t="s">
        <v>1956</v>
      </c>
      <c r="I1120" s="57">
        <v>44574</v>
      </c>
      <c r="J1120" s="13" t="s">
        <v>1955</v>
      </c>
    </row>
    <row r="1121" spans="1:10" x14ac:dyDescent="0.35">
      <c r="A1121" t="s">
        <v>424</v>
      </c>
      <c r="B1121" s="7" t="s">
        <v>1248</v>
      </c>
      <c r="C1121">
        <v>0.24</v>
      </c>
      <c r="D1121" t="s">
        <v>1720</v>
      </c>
      <c r="E1121" t="s">
        <v>1721</v>
      </c>
      <c r="F1121" t="s">
        <v>1976</v>
      </c>
      <c r="G1121" t="s">
        <v>1979</v>
      </c>
      <c r="H1121" t="s">
        <v>1981</v>
      </c>
      <c r="I1121" s="57">
        <v>44574</v>
      </c>
      <c r="J1121" s="13" t="s">
        <v>2058</v>
      </c>
    </row>
    <row r="1122" spans="1:10" s="26" customFormat="1" x14ac:dyDescent="0.35">
      <c r="A1122" t="s">
        <v>507</v>
      </c>
      <c r="B1122" s="7" t="s">
        <v>1331</v>
      </c>
      <c r="C1122">
        <v>0.2</v>
      </c>
      <c r="D1122" t="s">
        <v>1720</v>
      </c>
      <c r="E1122" t="s">
        <v>1721</v>
      </c>
      <c r="F1122" t="s">
        <v>1957</v>
      </c>
      <c r="G1122" t="s">
        <v>1979</v>
      </c>
      <c r="H1122" t="s">
        <v>1981</v>
      </c>
      <c r="I1122" s="57">
        <v>44574</v>
      </c>
      <c r="J1122" s="13" t="s">
        <v>1980</v>
      </c>
    </row>
    <row r="1123" spans="1:10" x14ac:dyDescent="0.35">
      <c r="A1123" t="s">
        <v>590</v>
      </c>
      <c r="B1123" s="7" t="s">
        <v>1414</v>
      </c>
      <c r="C1123">
        <v>10</v>
      </c>
      <c r="D1123" t="s">
        <v>1720</v>
      </c>
      <c r="E1123" t="s">
        <v>1721</v>
      </c>
      <c r="F1123" s="26" t="s">
        <v>4132</v>
      </c>
      <c r="G1123" s="26" t="s">
        <v>2006</v>
      </c>
      <c r="H1123" s="26" t="s">
        <v>2007</v>
      </c>
      <c r="I1123" s="48">
        <v>44574</v>
      </c>
      <c r="J1123" s="39" t="s">
        <v>4136</v>
      </c>
    </row>
    <row r="1124" spans="1:10" x14ac:dyDescent="0.35">
      <c r="A1124" t="s">
        <v>341</v>
      </c>
      <c r="B1124" s="7" t="s">
        <v>1165</v>
      </c>
      <c r="C1124">
        <f>0.0016*10^3</f>
        <v>1.6</v>
      </c>
      <c r="D1124" t="s">
        <v>1720</v>
      </c>
      <c r="E1124" t="s">
        <v>1721</v>
      </c>
      <c r="F1124" t="s">
        <v>2005</v>
      </c>
      <c r="G1124" t="s">
        <v>2006</v>
      </c>
      <c r="H1124" t="s">
        <v>2007</v>
      </c>
      <c r="I1124" s="57">
        <v>44574</v>
      </c>
      <c r="J1124" s="13" t="s">
        <v>2008</v>
      </c>
    </row>
    <row r="1125" spans="1:10" x14ac:dyDescent="0.35">
      <c r="A1125" t="s">
        <v>578</v>
      </c>
      <c r="B1125" s="7" t="s">
        <v>1402</v>
      </c>
      <c r="C1125">
        <v>110</v>
      </c>
      <c r="D1125" t="s">
        <v>1720</v>
      </c>
      <c r="E1125" t="s">
        <v>1721</v>
      </c>
      <c r="F1125" t="s">
        <v>2005</v>
      </c>
      <c r="G1125" t="s">
        <v>2006</v>
      </c>
      <c r="H1125" t="s">
        <v>2007</v>
      </c>
      <c r="I1125" s="57">
        <v>44574</v>
      </c>
      <c r="J1125" t="s">
        <v>2008</v>
      </c>
    </row>
    <row r="1126" spans="1:10" x14ac:dyDescent="0.35">
      <c r="A1126" s="26" t="s">
        <v>1879</v>
      </c>
      <c r="B1126" s="26" t="s">
        <v>3344</v>
      </c>
      <c r="C1126" s="26"/>
      <c r="D1126" s="26"/>
      <c r="E1126" s="26"/>
      <c r="F1126" s="26"/>
      <c r="G1126" s="26"/>
      <c r="H1126" s="26"/>
      <c r="I1126" s="26"/>
      <c r="J1126" s="26"/>
    </row>
    <row r="1127" spans="1:10" x14ac:dyDescent="0.35">
      <c r="A1127" t="s">
        <v>424</v>
      </c>
      <c r="B1127" s="7" t="s">
        <v>1248</v>
      </c>
      <c r="C1127">
        <v>0.24</v>
      </c>
      <c r="D1127" t="s">
        <v>1720</v>
      </c>
      <c r="E1127" t="s">
        <v>1721</v>
      </c>
      <c r="F1127" t="s">
        <v>4132</v>
      </c>
      <c r="G1127" t="s">
        <v>2006</v>
      </c>
      <c r="H1127" t="s">
        <v>2007</v>
      </c>
      <c r="I1127" s="57">
        <v>44574</v>
      </c>
      <c r="J1127" s="13" t="s">
        <v>2008</v>
      </c>
    </row>
    <row r="1128" spans="1:10" x14ac:dyDescent="0.35">
      <c r="A1128" t="s">
        <v>507</v>
      </c>
      <c r="B1128" s="7" t="s">
        <v>1331</v>
      </c>
      <c r="C1128">
        <v>0.2</v>
      </c>
      <c r="D1128" t="s">
        <v>1720</v>
      </c>
      <c r="E1128" t="s">
        <v>1721</v>
      </c>
      <c r="F1128" t="s">
        <v>4132</v>
      </c>
      <c r="G1128" t="s">
        <v>2006</v>
      </c>
      <c r="H1128" t="s">
        <v>2007</v>
      </c>
      <c r="I1128" s="57">
        <v>44574</v>
      </c>
      <c r="J1128" t="s">
        <v>2008</v>
      </c>
    </row>
    <row r="1129" spans="1:10" ht="15" customHeight="1" x14ac:dyDescent="0.35">
      <c r="A1129" t="s">
        <v>578</v>
      </c>
      <c r="B1129" s="7" t="s">
        <v>1402</v>
      </c>
      <c r="C1129">
        <v>110</v>
      </c>
      <c r="D1129" t="s">
        <v>1720</v>
      </c>
      <c r="E1129" t="s">
        <v>1721</v>
      </c>
      <c r="F1129" t="s">
        <v>2005</v>
      </c>
      <c r="G1129" t="s">
        <v>1748</v>
      </c>
      <c r="H1129" s="53" t="s">
        <v>4137</v>
      </c>
      <c r="I1129" s="57">
        <v>44574</v>
      </c>
      <c r="J1129" t="s">
        <v>1955</v>
      </c>
    </row>
    <row r="1130" spans="1:10" hidden="1" x14ac:dyDescent="0.35"/>
    <row r="1131" spans="1:10" x14ac:dyDescent="0.35">
      <c r="A1131" s="26" t="s">
        <v>3405</v>
      </c>
      <c r="B1131" s="26" t="s">
        <v>3406</v>
      </c>
      <c r="C1131" s="26">
        <v>1</v>
      </c>
      <c r="D1131" s="26" t="s">
        <v>1720</v>
      </c>
      <c r="E1131" s="26" t="s">
        <v>1721</v>
      </c>
      <c r="F1131" s="26" t="s">
        <v>4132</v>
      </c>
      <c r="G1131" s="26" t="s">
        <v>1748</v>
      </c>
      <c r="H1131" t="s">
        <v>1956</v>
      </c>
      <c r="I1131" s="57">
        <v>44574</v>
      </c>
      <c r="J1131" s="13" t="s">
        <v>1955</v>
      </c>
    </row>
  </sheetData>
  <autoFilter ref="A1:J1129" xr:uid="{111A11DA-732C-456A-AFF5-F9B31F2D0474}">
    <sortState xmlns:xlrd2="http://schemas.microsoft.com/office/spreadsheetml/2017/richdata2" ref="A2:J1126">
      <sortCondition ref="A1:A1129"/>
    </sortState>
  </autoFilter>
  <phoneticPr fontId="8" type="noConversion"/>
  <hyperlinks>
    <hyperlink ref="A983" r:id="rId1" display="DTXSID5037523" xr:uid="{237B788C-13C6-4A83-8CE8-F2DA0367A86F}"/>
    <hyperlink ref="A982" r:id="rId2" display="DTXSID1032482" xr:uid="{3AB85127-D4E6-43D8-9F69-83271EE40F35}"/>
    <hyperlink ref="A981" r:id="rId3" display="DTXSID4058499" xr:uid="{28A0579C-0E68-4582-94C4-38147934FAC0}"/>
    <hyperlink ref="A977" r:id="rId4" display="DTXSID9037539" xr:uid="{94539DF8-3EAD-40DE-8A82-B8E2832FDFE5}"/>
    <hyperlink ref="A975" r:id="rId5" display="DTXSID1032640" xr:uid="{1AB29DE2-703F-435B-88F0-0123E80D0155}"/>
    <hyperlink ref="A974" r:id="rId6" display="DTXSID2052736" xr:uid="{D67A8430-F000-4CEF-9DFC-9DD566C9BBD1}"/>
    <hyperlink ref="A973" r:id="rId7" display="DTXSID6020147" xr:uid="{8BE9C14C-7658-4505-89B5-5EDA0EC0CFE3}"/>
    <hyperlink ref="A972" r:id="rId8" display="DTXSID5020819" xr:uid="{209A4D06-8D6A-47A7-B3FB-E1D1227B8036}"/>
    <hyperlink ref="A1097" r:id="rId9" display="DTXSID5037571" xr:uid="{99FE63FB-D421-4789-A6CA-937F677235D8}"/>
    <hyperlink ref="A971" r:id="rId10" display="DTXSID1023445" xr:uid="{C9049902-CC5D-4D19-B026-8545C27CBE1F}"/>
    <hyperlink ref="A964" r:id="rId11" display="DTXSID0020442" xr:uid="{B8AE2019-BDCB-4BDF-B97C-2BD5AD162A4A}"/>
    <hyperlink ref="A961" r:id="rId12" display="DTXSID4024195" xr:uid="{5DC03A48-FDA9-470E-8111-D376A3B21274}"/>
    <hyperlink ref="A958" r:id="rId13" display="DTXSID9020322" xr:uid="{759125EE-81EB-4954-A6A2-AC7FD21BA068}"/>
    <hyperlink ref="A956" r:id="rId14" display="DTXSID9034868" xr:uid="{A3A12870-223B-4591-89DF-49B689AF4700}"/>
    <hyperlink ref="A955" r:id="rId15" display="DTXSID2020636" xr:uid="{192B453E-6D41-40A2-BC2F-F55CA2E2CAB9}"/>
    <hyperlink ref="A954" r:id="rId16" display="DTXSID9024194" xr:uid="{091EDF7E-2B8F-42B1-8587-8895738DF7E4}"/>
    <hyperlink ref="A953" r:id="rId17" display="DTXSID5040675" xr:uid="{A46CDFAD-F320-4DB6-87E1-5641578A23C9}"/>
    <hyperlink ref="A952" r:id="rId18" display="DTXSID8023975" xr:uid="{F97FBD50-D26B-4954-B3CB-420701E450FB}"/>
    <hyperlink ref="A951" r:id="rId19" display="DTXSID1024465" xr:uid="{95A33D0A-8390-44F8-8500-20F2553048B2}"/>
    <hyperlink ref="A1113" r:id="rId20" display="DTXSID6023737" xr:uid="{4BA81408-070A-467C-AE1B-A74B0E57782E}"/>
    <hyperlink ref="A931" r:id="rId21" display="DTXSID40869118" xr:uid="{341C679A-E23E-4BBC-B610-346EBABABCF3}"/>
    <hyperlink ref="A930" r:id="rId22" display="DTXSID5023114" xr:uid="{23067C5E-9378-4765-AFE9-25B13D9B8029}"/>
    <hyperlink ref="A929" r:id="rId23" display="DTXSID4020161" xr:uid="{073DB6E9-E783-4CDE-9FD4-90EC889CCDFD}"/>
    <hyperlink ref="A928" r:id="rId24" display="DTXSID4020878" xr:uid="{6FECCC98-5526-4862-ADCF-EB6AA4206F91}"/>
    <hyperlink ref="A927" r:id="rId25" display="DTXSID4022658" xr:uid="{4018E9B6-BEB3-40DE-9452-1FA6FE30D26C}"/>
    <hyperlink ref="A926" r:id="rId26" display="DTXSID8020913" xr:uid="{A5DE2D59-9757-418B-9FC1-EDC1AC5A4A49}"/>
    <hyperlink ref="A925" r:id="rId27" display="DTXSID0023955" xr:uid="{14CA63EB-70E8-47E2-950A-6169D0107DE3}"/>
    <hyperlink ref="A924" r:id="rId28" display="DTXSID9020877" xr:uid="{703B12B2-7113-4483-855E-AB9477A1DFEA}"/>
    <hyperlink ref="J444" r:id="rId29" xr:uid="{903143D4-FAFB-4231-8709-7B2700086468}"/>
    <hyperlink ref="J296" r:id="rId30" xr:uid="{42428286-9CAF-48B8-9D90-AA52DF308FEB}"/>
    <hyperlink ref="J297" r:id="rId31" xr:uid="{BEC02B47-DA01-4441-B1EA-F94E97DC8E0A}"/>
    <hyperlink ref="J442" r:id="rId32" xr:uid="{11710790-AB7A-4A2A-9E81-07E939AFD4B0}"/>
    <hyperlink ref="J1088" r:id="rId33" xr:uid="{67F5CF62-FAD6-4D53-BEEA-C487EEECC7E7}"/>
    <hyperlink ref="J969" r:id="rId34" xr:uid="{1FC664E1-C932-4705-A2EE-4233108A9F1A}"/>
    <hyperlink ref="J94" r:id="rId35" xr:uid="{ECE35127-E78B-4D66-A16F-9C4B3771BC25}"/>
    <hyperlink ref="J1096" r:id="rId36" xr:uid="{44DFBF02-9A51-4D6D-BD35-A5433794AEA1}"/>
    <hyperlink ref="J885" r:id="rId37" xr:uid="{213FFD58-1474-4D6E-8D91-F020C67F13ED}"/>
    <hyperlink ref="J1089" r:id="rId38" xr:uid="{AC829DAE-6C82-4398-B0E1-E51512D1A4BF}"/>
    <hyperlink ref="J902" r:id="rId39" xr:uid="{3E8E4DA1-B7C5-428B-87A7-66F1B55232BC}"/>
    <hyperlink ref="J409" r:id="rId40" display="https://www2.gov.bc.ca/assets/gov/environment/air-land-water/water/waterquality/water-quality-guidelines/bc_env_working_water_quality_guidelines.pdf" xr:uid="{DF1A2DCE-999A-48CC-8EC3-56CBE96AEE3B}"/>
    <hyperlink ref="J568" r:id="rId41" xr:uid="{27306975-645E-4830-909F-07ADF8E66F77}"/>
    <hyperlink ref="J1007" r:id="rId42" xr:uid="{07FB16FC-1342-4F9B-9B56-A97325B0ABF3}"/>
    <hyperlink ref="J485" r:id="rId43" xr:uid="{6FF91C63-41DC-4C08-8504-74A18C8B0D26}"/>
    <hyperlink ref="J354" r:id="rId44" xr:uid="{51122D90-28E7-432C-A385-9F5D3BB6B37F}"/>
    <hyperlink ref="J675" r:id="rId45" xr:uid="{6FC2CE94-8CB5-4565-9506-3B9AF992382E}"/>
    <hyperlink ref="J656" r:id="rId46" xr:uid="{81B5096F-40F4-457C-90CF-FB5A939FE611}"/>
    <hyperlink ref="J680" r:id="rId47" xr:uid="{16A75709-68F5-4E87-9B1D-BDFC896A30F5}"/>
    <hyperlink ref="J61:J69" r:id="rId48" display="https://www2.gov.bc.ca/assets/gov/environment/air-land-water/water/waterquality/water-quality-guidelines/bc_env_working_water_quality_guidelines.pdf" xr:uid="{41AB813E-10C1-4556-B64F-397EC536AFF4}"/>
    <hyperlink ref="J1113" r:id="rId49" xr:uid="{01091F52-EDC1-4FE6-8A5A-03676ED5E6A9}"/>
    <hyperlink ref="J595" r:id="rId50" xr:uid="{824448B7-BCB5-4FFA-BA19-F503481D88B4}"/>
    <hyperlink ref="J394" r:id="rId51" location="section-13" xr:uid="{61C1B90F-0C6A-4FCD-8D0C-6847DA8F3E20}"/>
    <hyperlink ref="J439" r:id="rId52" location="section-13" xr:uid="{38C38B8E-6A12-4116-A400-A3DFC1107529}"/>
    <hyperlink ref="J1035" r:id="rId53" location="section-13" xr:uid="{5C01FE7E-B745-447B-B511-E11E332DC3BE}"/>
    <hyperlink ref="J631" r:id="rId54" location="section-13" xr:uid="{C752CB6A-6353-4487-B153-9EFCE892A2C3}"/>
    <hyperlink ref="J453" r:id="rId55" location="section-13" xr:uid="{5577E274-1CE6-433D-B744-9E2647D024C5}"/>
    <hyperlink ref="J576" r:id="rId56" location="section-13" xr:uid="{3F17675E-3A6D-443A-9D89-F0F89E0E1C6C}"/>
    <hyperlink ref="J577" r:id="rId57" location="section-13" xr:uid="{0F6C4E76-38B6-4708-AB42-C839A4EF15D4}"/>
    <hyperlink ref="J267" r:id="rId58" location="section-13" xr:uid="{E4542B15-15F3-4F7F-B491-9659D750A9BF}"/>
    <hyperlink ref="J443" r:id="rId59" location="section-13" xr:uid="{D937050C-0BE6-41B5-B8BF-6390BE8407A0}"/>
    <hyperlink ref="J440" r:id="rId60" location="section-13" xr:uid="{D6AE052C-AE40-4D4D-91CA-038C97D88CB4}"/>
    <hyperlink ref="J269" r:id="rId61" location="section-13" xr:uid="{13ADAAC6-601A-4855-89D3-C9CCAD88C4B5}"/>
    <hyperlink ref="J701" r:id="rId62" location="section-13" xr:uid="{B76DC644-451C-4B67-97C9-957674BBB604}"/>
    <hyperlink ref="J769" r:id="rId63" location="section-13" xr:uid="{3233AAB3-B4BE-4AE7-9381-6E64D75B2867}"/>
    <hyperlink ref="J770" r:id="rId64" location="section-13" xr:uid="{F1509CEA-571F-40E3-AD15-5DE3A7A8DC11}"/>
    <hyperlink ref="A792" r:id="rId65" display="DTXSID2024113" xr:uid="{E3558533-1198-4E11-BE90-4BCCC6AC67BC}"/>
    <hyperlink ref="J792" r:id="rId66" location="section-13" xr:uid="{6D7EA2C5-C48E-4327-981F-82A854D2A5EF}"/>
    <hyperlink ref="A299" r:id="rId67" display="DTXSID9020322" xr:uid="{CBD30521-AE24-4378-9A5B-1FD02DFE791D}"/>
    <hyperlink ref="J299" r:id="rId68" location="section-13" xr:uid="{A1FBE0D6-9B77-4036-B9C7-083326B73750}"/>
    <hyperlink ref="J801" r:id="rId69" location="section-13" xr:uid="{EB242146-DC8C-4550-B321-584B7B92369C}"/>
    <hyperlink ref="J883" r:id="rId70" location="section-13" xr:uid="{707CC95E-ABDB-4ECE-8214-E6AEA79937F0}"/>
    <hyperlink ref="J886" r:id="rId71" location="section-13" xr:uid="{9707483B-E037-4F3D-891E-4F9481813834}"/>
    <hyperlink ref="J268" r:id="rId72" location="section-13" xr:uid="{65674ADD-0C7D-4243-A826-EFA2F2D2F762}"/>
    <hyperlink ref="J284" r:id="rId73" location="section-13" xr:uid="{C526337B-F464-4331-A157-FFAC343E3A17}"/>
    <hyperlink ref="J933" r:id="rId74" location="section-13" xr:uid="{61E920E3-CC7C-47B1-87F8-CF64423CB038}"/>
    <hyperlink ref="J1064" r:id="rId75" location="section-13" xr:uid="{03F923B2-05E3-4916-9B5A-28E9AE25317A}"/>
    <hyperlink ref="A1073" r:id="rId76" display="DTXSID6023737" xr:uid="{41B65CC9-66CB-4AF3-BB02-07DA9C1B24DA}"/>
    <hyperlink ref="J1073" r:id="rId77" location="section-13" xr:uid="{026D0109-1B0E-4BFE-832D-1CCD718C460E}"/>
    <hyperlink ref="J1074" r:id="rId78" location="section-13" xr:uid="{638645B5-1CF5-4281-A3D1-3EAE648B3225}"/>
    <hyperlink ref="J1076" r:id="rId79" location="section-13" xr:uid="{A2D86E73-4E6B-459A-B454-1F90C7651AFE}"/>
    <hyperlink ref="J1077" r:id="rId80" location="section-13" xr:uid="{BD82BD08-A3E5-4D3E-BA7D-6C10D5A52B09}"/>
    <hyperlink ref="J1078" r:id="rId81" location="section-13" xr:uid="{5154253E-F64B-4E18-9717-B045D639C976}"/>
    <hyperlink ref="J396" r:id="rId82" xr:uid="{F0E5E9FA-ECE0-47F7-BB37-9533A9E67297}"/>
    <hyperlink ref="J547" r:id="rId83" xr:uid="{26631442-1BB0-4F37-9372-6C1E371D1242}"/>
    <hyperlink ref="J1019" r:id="rId84" xr:uid="{3F830F00-BB82-472F-A065-B334099F11B6}"/>
    <hyperlink ref="J871" r:id="rId85" xr:uid="{E32B676D-25B3-4091-9D23-222C965C960A}"/>
    <hyperlink ref="J908" r:id="rId86" xr:uid="{3182EE6E-15E9-4DA3-9FDC-62C9D28D3BAF}"/>
    <hyperlink ref="A949" r:id="rId87" display="DTXSID6023737" xr:uid="{BEE951D0-0576-4F5E-B597-061B3E7544E1}"/>
    <hyperlink ref="J949" r:id="rId88" xr:uid="{16BC2B38-C6DF-4401-8D29-3AD4E97F4373}"/>
    <hyperlink ref="A959" r:id="rId89" display="DTXSID2024113" xr:uid="{F40608B9-8962-473A-8989-B4523813F10E}"/>
    <hyperlink ref="J959" r:id="rId90" xr:uid="{F575AD2D-F649-4532-B8D8-679A1366CA3B}"/>
    <hyperlink ref="J989" r:id="rId91" xr:uid="{E8D4262C-39F3-4603-B966-D693E41445C2}"/>
    <hyperlink ref="J992" r:id="rId92" xr:uid="{116B124C-BF20-4A1E-B524-B01C9833486A}"/>
    <hyperlink ref="J502" r:id="rId93" xr:uid="{5B11CAF3-7606-42E1-B21C-FADAE127A065}"/>
    <hyperlink ref="J632" r:id="rId94" xr:uid="{E10BAE2B-1C51-4908-AC65-6EC9E6D0A886}"/>
    <hyperlink ref="J1051" r:id="rId95" xr:uid="{CB18779E-B9EF-4A8B-AE6C-D7E25E35B213}"/>
    <hyperlink ref="J872" r:id="rId96" xr:uid="{613A3A5D-2054-4D46-9290-2EB0D6144F17}"/>
    <hyperlink ref="J913" r:id="rId97" xr:uid="{2818EFB5-C0B1-4029-A5B1-BDBAFD086490}"/>
    <hyperlink ref="A940" r:id="rId98" display="DTXSID40869118" xr:uid="{071AE6E9-DCCB-47A7-9565-1F0163B1C8C7}"/>
    <hyperlink ref="A950" r:id="rId99" display="DTXSID6023737" xr:uid="{115B1066-7B8D-4C67-BBF3-199D8DB74ECD}"/>
    <hyperlink ref="J950" r:id="rId100" xr:uid="{C3765185-FDB5-49DB-AB3C-DCF776B78A12}"/>
    <hyperlink ref="A960" r:id="rId101" display="DTXSID2024113" xr:uid="{9984369E-6E41-49B3-B72A-A5A15254EF9A}"/>
    <hyperlink ref="J960" r:id="rId102" xr:uid="{85985EEE-6292-4B16-9768-0AF9EC2926D0}"/>
    <hyperlink ref="A962" r:id="rId103" display="DTXSID4024195" xr:uid="{AECF2EF3-E125-42BE-86E0-2E6F0447D47A}"/>
    <hyperlink ref="J990" r:id="rId104" xr:uid="{194A264D-9ACA-4D0B-9EC8-E514874832B5}"/>
    <hyperlink ref="J993" r:id="rId105" xr:uid="{2F9F65B3-4850-4134-8EC8-872B89754637}"/>
    <hyperlink ref="J1047" r:id="rId106" xr:uid="{D28AA3DE-4590-4433-8E5A-294160FC56A4}"/>
    <hyperlink ref="J1045" r:id="rId107" xr:uid="{EBEE236C-9E5A-4AB9-839C-6AC9B9423E83}"/>
    <hyperlink ref="J45" r:id="rId108" xr:uid="{CD32D048-9EF0-42F4-BE0C-B0B2CCB248D1}"/>
    <hyperlink ref="J44" r:id="rId109" xr:uid="{8368D211-796A-4CBD-B850-A75D9A03A344}"/>
    <hyperlink ref="J99" r:id="rId110" xr:uid="{E2CBAB7B-0996-4F1A-8159-0ABAC710D6C3}"/>
    <hyperlink ref="J98" r:id="rId111" xr:uid="{AD8125C7-F913-4D39-BA58-AAC3798C984A}"/>
    <hyperlink ref="J114" r:id="rId112" xr:uid="{8F7982D8-B341-4912-A0B2-1AA5E209860E}"/>
    <hyperlink ref="J112" r:id="rId113" xr:uid="{863715F9-BE3F-439C-8DCE-0FC8FF849BCB}"/>
    <hyperlink ref="J130" r:id="rId114" xr:uid="{EB6B90CD-9939-441A-A968-94AF30201980}"/>
    <hyperlink ref="J129" r:id="rId115" xr:uid="{CE44B6D1-D9F2-47D4-A4CC-56C25A31DF8C}"/>
    <hyperlink ref="J165" r:id="rId116" xr:uid="{1646A4BE-8F91-492B-BF2B-F848326D529E}"/>
    <hyperlink ref="J164" r:id="rId117" xr:uid="{48A118D9-0C7D-49FE-98BF-3B29689C594C}"/>
    <hyperlink ref="J452" r:id="rId118" xr:uid="{E9FE419E-F14B-47FD-92FD-D9D2895C26F2}"/>
    <hyperlink ref="J451" r:id="rId119" xr:uid="{2D606F14-E46F-4CAA-B677-E5B8E048486F}"/>
    <hyperlink ref="J470" r:id="rId120" xr:uid="{E2654B95-D22E-4788-A308-5912E4B76359}"/>
    <hyperlink ref="J469" r:id="rId121" xr:uid="{A4FC1DA4-F2FD-410B-B8B1-349DF8ACDF64}"/>
    <hyperlink ref="J475" r:id="rId122" xr:uid="{987AA4F8-20F9-4AA2-9487-1207AC2D0E50}"/>
    <hyperlink ref="J474" r:id="rId123" xr:uid="{B9EE3F16-91F3-4F55-931A-0B13CB3456CC}"/>
    <hyperlink ref="J796" r:id="rId124" xr:uid="{6FA4A1A2-B6ED-481C-BE7B-43559F9DE6B9}"/>
    <hyperlink ref="J795" r:id="rId125" xr:uid="{A7EA24D1-4BB3-4903-A05C-4C5E2F9BD63E}"/>
    <hyperlink ref="J26" r:id="rId126" xr:uid="{F8FC0FE7-2297-441C-8777-E4A910691837}"/>
    <hyperlink ref="J760" r:id="rId127" xr:uid="{C4F05A36-BD57-4292-8A3D-956CBF8EFC69}"/>
    <hyperlink ref="J326" r:id="rId128" xr:uid="{D0D6AFBF-0B51-4770-AED3-7C11F37AA230}"/>
    <hyperlink ref="J349" r:id="rId129" xr:uid="{7880D0DF-F226-4444-A035-2B0F9FB2D6E2}"/>
    <hyperlink ref="J766" r:id="rId130" xr:uid="{01808BEF-0C83-4553-8DBA-D844C7F9386B}"/>
    <hyperlink ref="J312" r:id="rId131" xr:uid="{AC3C3670-6668-4990-83C2-D449B6DBD220}"/>
    <hyperlink ref="J1031" r:id="rId132" xr:uid="{43DF401D-4BE1-4CC8-A234-0FB5409D40F9}"/>
    <hyperlink ref="J259" r:id="rId133" xr:uid="{F033820F-AACD-4573-896E-A3067266AB25}"/>
    <hyperlink ref="J308" r:id="rId134" location="section-13" xr:uid="{43440040-5AB0-4368-B2CB-162F3A58B111}"/>
    <hyperlink ref="A1036" r:id="rId135" display="DTXSID5037571" xr:uid="{0F5F89A1-B18A-498A-88B2-D85E1B5E5A96}"/>
    <hyperlink ref="A700" r:id="rId136" display="DTXSID40869118" xr:uid="{EC07726A-71D7-4E47-8D89-B5F81CD4F5BE}"/>
    <hyperlink ref="J755" r:id="rId137" xr:uid="{1B7C4220-4979-4116-A3C8-9086570AFFEA}"/>
    <hyperlink ref="J912" r:id="rId138" xr:uid="{9C5AA38C-542A-4F70-843B-217D7DE7B14C}"/>
    <hyperlink ref="J209" r:id="rId139" xr:uid="{320086D9-9A86-4C7F-9E78-D65F5D8FB3C2}"/>
    <hyperlink ref="A968" r:id="rId140" display="DTXSID5037571" xr:uid="{26E15117-8816-4DC9-A7A2-83D05F959DB6}"/>
    <hyperlink ref="J751" r:id="rId141" xr:uid="{1D063303-8C95-4A85-8DF4-F4D9AE7D8BD6}"/>
    <hyperlink ref="J744" r:id="rId142" xr:uid="{6A155A0D-A5C8-419F-B3B0-4C54A727C77D}"/>
    <hyperlink ref="J445" r:id="rId143" xr:uid="{765457BA-A100-44FC-B193-3DF00BD152CB}"/>
    <hyperlink ref="J763" r:id="rId144" xr:uid="{4981D50D-C15A-45D2-919B-487415DE2FFD}"/>
    <hyperlink ref="J802" r:id="rId145" xr:uid="{A54EF3BB-FB68-4455-9AC9-22FDE3581387}"/>
    <hyperlink ref="A1107" r:id="rId146" display="DTXSID5037571" xr:uid="{9F234407-3BD6-4EAE-9A9C-CF5716194BCA}"/>
    <hyperlink ref="J938" r:id="rId147" xr:uid="{E046F4A5-6010-447D-8294-CB083F755BE0}"/>
    <hyperlink ref="J1072" r:id="rId148" xr:uid="{AB7AE10D-3F89-4704-97C8-B80EDFB564EE}"/>
    <hyperlink ref="J932" r:id="rId149" xr:uid="{1F16E21D-2FEE-4E83-8FB8-3ADE08CD193B}"/>
    <hyperlink ref="J1056" r:id="rId150" xr:uid="{73961763-0DBF-4EB5-8939-2BF29D91E0D9}"/>
    <hyperlink ref="J918" r:id="rId151" xr:uid="{CCCE35FB-18C9-471F-AC24-5C93C90BDAE3}"/>
    <hyperlink ref="J1043" r:id="rId152" xr:uid="{D4537C73-EACC-4127-AC72-F52F101C00FC}"/>
    <hyperlink ref="J909" r:id="rId153" xr:uid="{AB75A841-DC00-484B-993C-1990FBB8A5D4}"/>
    <hyperlink ref="A944" r:id="rId154" display="DTXSID2024113" xr:uid="{B70534F0-120A-4924-B8F7-2967F072BB29}"/>
    <hyperlink ref="A1085" r:id="rId155" display="DTXSID2024113" xr:uid="{D2AFF10E-C03F-4829-8CD4-7C3699A877F4}"/>
    <hyperlink ref="J1085" r:id="rId156" xr:uid="{6F6FC08F-E99A-42BF-B079-924F2CE48ED3}"/>
    <hyperlink ref="J944" r:id="rId157" xr:uid="{D59C73D2-58AA-466E-BD34-5B0D0622ACF3}"/>
    <hyperlink ref="A759" r:id="rId158" display="DTXSID9020322" xr:uid="{5BAA3E0F-ED61-4176-813B-C848186B97B0}"/>
    <hyperlink ref="J759" r:id="rId159" xr:uid="{B9E66CE7-F6BA-4ECC-A168-97B235C49CE8}"/>
    <hyperlink ref="J958" r:id="rId160" xr:uid="{3558055C-6ACB-4078-BDA7-D318D8B8D478}"/>
    <hyperlink ref="J1092" r:id="rId161" xr:uid="{FAC50529-4B4E-4B46-BC63-3ED7F181FE20}"/>
    <hyperlink ref="J966" r:id="rId162" xr:uid="{B63C3261-C966-4E65-BD12-FD65BA35CD19}"/>
    <hyperlink ref="J1094" r:id="rId163" xr:uid="{5F2E0F6D-7D40-4973-92E9-5A5D6BD4C208}"/>
    <hyperlink ref="J1099" r:id="rId164" xr:uid="{8C19B418-8BFD-486B-95DC-C23ED6349090}"/>
    <hyperlink ref="J1006" r:id="rId165" xr:uid="{FDD0AE3C-950E-4428-BDE3-6A5998B9D654}"/>
    <hyperlink ref="J1100" r:id="rId166" xr:uid="{2ACE6E7D-B8E8-498D-8CE0-75F159543049}"/>
    <hyperlink ref="J942" r:id="rId167" xr:uid="{4D9FE103-A35A-4B47-BFC7-581AEB4A76C3}"/>
    <hyperlink ref="J1101" r:id="rId168" xr:uid="{60C61FB9-BF89-4D2B-944A-EFBA0A9E59E2}"/>
    <hyperlink ref="J1105" r:id="rId169" xr:uid="{6245721D-3253-4D9D-8A42-37DA19121B5A}"/>
    <hyperlink ref="A1110" r:id="rId170" display="DTXSID6023737" xr:uid="{39929A40-577A-4690-98FE-5CBD6A15D52C}"/>
    <hyperlink ref="J1111" r:id="rId171" xr:uid="{FA17F467-573A-4807-A98F-C266989E118C}"/>
    <hyperlink ref="J1119" r:id="rId172" xr:uid="{62024FC3-41D5-4BDE-B0E8-75AC1B087899}"/>
    <hyperlink ref="J462" r:id="rId173" xr:uid="{DC1A6199-0FD9-4C2C-9E71-CC9C199F4DCF}"/>
    <hyperlink ref="J647" r:id="rId174" xr:uid="{98D3402C-9C2A-4AC6-8143-2DCF37C9870A}"/>
    <hyperlink ref="J1098" r:id="rId175" xr:uid="{1A91CF2D-2103-4E13-A03F-0CF8D68F4169}"/>
    <hyperlink ref="J1121" r:id="rId176" display="https://www2.gov.bc.ca/assets/gov/environment/air-land-water/water/waterquality/water-quality-guidelines/bc_env_working_water_quality_guidelines.pdf" xr:uid="{1E0172C0-C20A-4352-A561-9248D81AD79B}"/>
    <hyperlink ref="J567" r:id="rId177" xr:uid="{EC463789-0CE2-4197-9AF0-DC2135F9B973}"/>
    <hyperlink ref="J272" r:id="rId178" xr:uid="{2652058E-8B89-4D69-AD91-D0E9113C6E24}"/>
    <hyperlink ref="J753" r:id="rId179" xr:uid="{EAD67412-4AAC-4967-96AF-69CFDD98C568}"/>
    <hyperlink ref="J231" r:id="rId180" xr:uid="{6DCF3683-1CF7-4D7F-B1CF-35E583AE13D3}"/>
    <hyperlink ref="J756" r:id="rId181" xr:uid="{5CB20E05-84BD-4714-B50C-1D4EEAEF4A82}"/>
    <hyperlink ref="J133" r:id="rId182" xr:uid="{2A145DA6-0B74-4C91-8469-8481ED856586}"/>
    <hyperlink ref="J882" r:id="rId183" xr:uid="{1FFB4771-C091-4CF8-AA34-E09C99849AC3}"/>
    <hyperlink ref="J260" r:id="rId184" xr:uid="{32B5D2C4-C38D-40D3-8480-E9EF4294545C}"/>
    <hyperlink ref="J414" r:id="rId185" xr:uid="{22680847-FC99-4B84-A954-D67EF303EF1E}"/>
    <hyperlink ref="J338" r:id="rId186" xr:uid="{1BE5FDF1-994A-48A5-9040-7BD7C1E45CF4}"/>
    <hyperlink ref="J274" r:id="rId187" xr:uid="{302B6C8A-B555-4458-AC6C-045F7F3B403A}"/>
    <hyperlink ref="J1131" r:id="rId188" xr:uid="{7153A53F-2A19-4827-89A3-3487A9630DC9}"/>
    <hyperlink ref="J27" r:id="rId189" xr:uid="{18701CF8-46F7-4A71-84AA-8227239CB4FE}"/>
    <hyperlink ref="A970" r:id="rId190" display="DTXSID0020442" xr:uid="{C31A7F8F-7472-423E-A9AA-DE20E6F09EA6}"/>
    <hyperlink ref="A976" r:id="rId191" display="DTXSID1032640" xr:uid="{C681E09C-5F7F-4126-B392-418FA13098C9}"/>
  </hyperlinks>
  <pageMargins left="0.7" right="0.7" top="0.75" bottom="0.75" header="0.3" footer="0.3"/>
  <pageSetup paperSize="9" orientation="portrait" horizontalDpi="4294967293" verticalDpi="0" r:id="rId19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442AF-CD8F-4ECF-9BF1-A076B48823BC}">
  <dimension ref="A1:B883"/>
  <sheetViews>
    <sheetView workbookViewId="0">
      <selection activeCell="F9" sqref="F9"/>
    </sheetView>
  </sheetViews>
  <sheetFormatPr defaultRowHeight="14.5" x14ac:dyDescent="0.35"/>
  <cols>
    <col min="1" max="1" width="12.54296875" customWidth="1"/>
    <col min="2" max="2" width="21.7265625" customWidth="1"/>
    <col min="4" max="4" width="12.54296875" customWidth="1"/>
    <col min="5" max="5" width="28.1796875" customWidth="1"/>
  </cols>
  <sheetData>
    <row r="1" spans="1:2" x14ac:dyDescent="0.35">
      <c r="A1" s="19" t="s">
        <v>828</v>
      </c>
      <c r="B1" s="19" t="s">
        <v>1650</v>
      </c>
    </row>
    <row r="2" spans="1:2" x14ac:dyDescent="0.35">
      <c r="A2" t="s">
        <v>0</v>
      </c>
      <c r="B2" s="7" t="s">
        <v>829</v>
      </c>
    </row>
    <row r="3" spans="1:2" x14ac:dyDescent="0.35">
      <c r="A3" t="s">
        <v>1</v>
      </c>
      <c r="B3" s="7" t="s">
        <v>830</v>
      </c>
    </row>
    <row r="4" spans="1:2" x14ac:dyDescent="0.35">
      <c r="A4" t="s">
        <v>2</v>
      </c>
      <c r="B4" s="7" t="s">
        <v>831</v>
      </c>
    </row>
    <row r="5" spans="1:2" x14ac:dyDescent="0.35">
      <c r="A5" t="s">
        <v>3</v>
      </c>
      <c r="B5" s="7" t="s">
        <v>832</v>
      </c>
    </row>
    <row r="6" spans="1:2" x14ac:dyDescent="0.35">
      <c r="A6" t="s">
        <v>4</v>
      </c>
      <c r="B6" s="7" t="s">
        <v>833</v>
      </c>
    </row>
    <row r="7" spans="1:2" x14ac:dyDescent="0.35">
      <c r="A7" t="s">
        <v>5</v>
      </c>
      <c r="B7" s="7" t="s">
        <v>834</v>
      </c>
    </row>
    <row r="8" spans="1:2" x14ac:dyDescent="0.35">
      <c r="A8" t="s">
        <v>6</v>
      </c>
      <c r="B8" s="7" t="s">
        <v>835</v>
      </c>
    </row>
    <row r="9" spans="1:2" x14ac:dyDescent="0.35">
      <c r="A9" s="1" t="s">
        <v>7</v>
      </c>
      <c r="B9" s="7" t="s">
        <v>836</v>
      </c>
    </row>
    <row r="10" spans="1:2" x14ac:dyDescent="0.35">
      <c r="A10" t="s">
        <v>8</v>
      </c>
      <c r="B10" s="7" t="s">
        <v>837</v>
      </c>
    </row>
    <row r="11" spans="1:2" x14ac:dyDescent="0.35">
      <c r="A11" t="s">
        <v>9</v>
      </c>
      <c r="B11" s="7" t="s">
        <v>838</v>
      </c>
    </row>
    <row r="12" spans="1:2" x14ac:dyDescent="0.35">
      <c r="A12" t="s">
        <v>10</v>
      </c>
      <c r="B12" s="7" t="s">
        <v>839</v>
      </c>
    </row>
    <row r="13" spans="1:2" x14ac:dyDescent="0.35">
      <c r="A13" t="s">
        <v>11</v>
      </c>
      <c r="B13" s="7" t="s">
        <v>840</v>
      </c>
    </row>
    <row r="14" spans="1:2" x14ac:dyDescent="0.35">
      <c r="A14" t="s">
        <v>12</v>
      </c>
      <c r="B14" s="7" t="s">
        <v>841</v>
      </c>
    </row>
    <row r="15" spans="1:2" x14ac:dyDescent="0.35">
      <c r="A15" t="s">
        <v>13</v>
      </c>
      <c r="B15" s="7" t="s">
        <v>842</v>
      </c>
    </row>
    <row r="16" spans="1:2" x14ac:dyDescent="0.35">
      <c r="A16" t="s">
        <v>14</v>
      </c>
      <c r="B16" s="7" t="s">
        <v>843</v>
      </c>
    </row>
    <row r="17" spans="1:2" x14ac:dyDescent="0.35">
      <c r="A17" t="s">
        <v>15</v>
      </c>
      <c r="B17" s="7" t="s">
        <v>844</v>
      </c>
    </row>
    <row r="18" spans="1:2" x14ac:dyDescent="0.35">
      <c r="A18" t="s">
        <v>16</v>
      </c>
      <c r="B18" s="7" t="s">
        <v>845</v>
      </c>
    </row>
    <row r="19" spans="1:2" x14ac:dyDescent="0.35">
      <c r="A19" t="s">
        <v>17</v>
      </c>
      <c r="B19" s="7" t="s">
        <v>846</v>
      </c>
    </row>
    <row r="20" spans="1:2" x14ac:dyDescent="0.35">
      <c r="A20" t="s">
        <v>18</v>
      </c>
      <c r="B20" s="7" t="s">
        <v>847</v>
      </c>
    </row>
    <row r="21" spans="1:2" x14ac:dyDescent="0.35">
      <c r="A21" t="s">
        <v>19</v>
      </c>
      <c r="B21" s="7" t="s">
        <v>848</v>
      </c>
    </row>
    <row r="22" spans="1:2" x14ac:dyDescent="0.35">
      <c r="A22" t="s">
        <v>20</v>
      </c>
      <c r="B22" s="7" t="s">
        <v>849</v>
      </c>
    </row>
    <row r="23" spans="1:2" x14ac:dyDescent="0.35">
      <c r="A23" t="s">
        <v>21</v>
      </c>
      <c r="B23" s="7" t="s">
        <v>850</v>
      </c>
    </row>
    <row r="24" spans="1:2" x14ac:dyDescent="0.35">
      <c r="A24" t="s">
        <v>22</v>
      </c>
      <c r="B24" s="7" t="s">
        <v>851</v>
      </c>
    </row>
    <row r="25" spans="1:2" x14ac:dyDescent="0.35">
      <c r="A25" t="s">
        <v>23</v>
      </c>
      <c r="B25" s="7" t="s">
        <v>852</v>
      </c>
    </row>
    <row r="26" spans="1:2" x14ac:dyDescent="0.35">
      <c r="A26" t="s">
        <v>24</v>
      </c>
      <c r="B26" s="7" t="s">
        <v>853</v>
      </c>
    </row>
    <row r="27" spans="1:2" x14ac:dyDescent="0.35">
      <c r="A27" t="s">
        <v>25</v>
      </c>
      <c r="B27" s="7" t="s">
        <v>854</v>
      </c>
    </row>
    <row r="28" spans="1:2" x14ac:dyDescent="0.35">
      <c r="A28" t="s">
        <v>26</v>
      </c>
      <c r="B28" s="7" t="s">
        <v>855</v>
      </c>
    </row>
    <row r="29" spans="1:2" x14ac:dyDescent="0.35">
      <c r="A29" t="s">
        <v>27</v>
      </c>
      <c r="B29" s="7" t="s">
        <v>856</v>
      </c>
    </row>
    <row r="30" spans="1:2" x14ac:dyDescent="0.35">
      <c r="A30" t="s">
        <v>28</v>
      </c>
      <c r="B30" s="7" t="s">
        <v>857</v>
      </c>
    </row>
    <row r="31" spans="1:2" x14ac:dyDescent="0.35">
      <c r="A31" t="s">
        <v>29</v>
      </c>
      <c r="B31" s="7" t="s">
        <v>858</v>
      </c>
    </row>
    <row r="32" spans="1:2" x14ac:dyDescent="0.35">
      <c r="A32" t="s">
        <v>30</v>
      </c>
      <c r="B32" s="7" t="s">
        <v>859</v>
      </c>
    </row>
    <row r="33" spans="1:2" x14ac:dyDescent="0.35">
      <c r="A33" t="s">
        <v>31</v>
      </c>
      <c r="B33" s="7" t="s">
        <v>860</v>
      </c>
    </row>
    <row r="34" spans="1:2" x14ac:dyDescent="0.35">
      <c r="A34" t="s">
        <v>32</v>
      </c>
      <c r="B34" s="7" t="s">
        <v>861</v>
      </c>
    </row>
    <row r="35" spans="1:2" x14ac:dyDescent="0.35">
      <c r="A35" t="s">
        <v>620</v>
      </c>
      <c r="B35" s="7" t="s">
        <v>1444</v>
      </c>
    </row>
    <row r="36" spans="1:2" x14ac:dyDescent="0.35">
      <c r="A36" t="s">
        <v>34</v>
      </c>
      <c r="B36" s="7" t="s">
        <v>863</v>
      </c>
    </row>
    <row r="37" spans="1:2" x14ac:dyDescent="0.35">
      <c r="A37" t="s">
        <v>487</v>
      </c>
      <c r="B37" s="7" t="s">
        <v>1311</v>
      </c>
    </row>
    <row r="38" spans="1:2" x14ac:dyDescent="0.35">
      <c r="A38" t="s">
        <v>36</v>
      </c>
      <c r="B38" s="7" t="s">
        <v>865</v>
      </c>
    </row>
    <row r="39" spans="1:2" x14ac:dyDescent="0.35">
      <c r="A39" t="s">
        <v>37</v>
      </c>
      <c r="B39" s="7" t="s">
        <v>866</v>
      </c>
    </row>
    <row r="40" spans="1:2" x14ac:dyDescent="0.35">
      <c r="A40" s="1" t="s">
        <v>38</v>
      </c>
      <c r="B40" s="7" t="s">
        <v>867</v>
      </c>
    </row>
    <row r="41" spans="1:2" x14ac:dyDescent="0.35">
      <c r="A41" t="s">
        <v>39</v>
      </c>
      <c r="B41" s="7" t="s">
        <v>868</v>
      </c>
    </row>
    <row r="42" spans="1:2" x14ac:dyDescent="0.35">
      <c r="A42" t="s">
        <v>40</v>
      </c>
      <c r="B42" s="7" t="s">
        <v>869</v>
      </c>
    </row>
    <row r="43" spans="1:2" x14ac:dyDescent="0.35">
      <c r="A43" t="s">
        <v>41</v>
      </c>
      <c r="B43" s="7" t="s">
        <v>870</v>
      </c>
    </row>
    <row r="44" spans="1:2" x14ac:dyDescent="0.35">
      <c r="A44" t="s">
        <v>42</v>
      </c>
      <c r="B44" s="7" t="s">
        <v>871</v>
      </c>
    </row>
    <row r="45" spans="1:2" x14ac:dyDescent="0.35">
      <c r="A45" t="s">
        <v>43</v>
      </c>
      <c r="B45" s="7" t="s">
        <v>872</v>
      </c>
    </row>
    <row r="46" spans="1:2" x14ac:dyDescent="0.35">
      <c r="A46" t="s">
        <v>44</v>
      </c>
      <c r="B46" s="7" t="s">
        <v>873</v>
      </c>
    </row>
    <row r="47" spans="1:2" x14ac:dyDescent="0.35">
      <c r="A47" t="s">
        <v>45</v>
      </c>
      <c r="B47" s="7" t="s">
        <v>874</v>
      </c>
    </row>
    <row r="48" spans="1:2" x14ac:dyDescent="0.35">
      <c r="A48" t="s">
        <v>46</v>
      </c>
      <c r="B48" s="7" t="s">
        <v>875</v>
      </c>
    </row>
    <row r="49" spans="1:2" x14ac:dyDescent="0.35">
      <c r="A49" t="s">
        <v>47</v>
      </c>
      <c r="B49" s="7" t="s">
        <v>876</v>
      </c>
    </row>
    <row r="50" spans="1:2" x14ac:dyDescent="0.35">
      <c r="A50" t="s">
        <v>48</v>
      </c>
      <c r="B50" s="7" t="s">
        <v>877</v>
      </c>
    </row>
    <row r="51" spans="1:2" x14ac:dyDescent="0.35">
      <c r="A51" t="s">
        <v>49</v>
      </c>
      <c r="B51" s="7" t="s">
        <v>878</v>
      </c>
    </row>
    <row r="52" spans="1:2" x14ac:dyDescent="0.35">
      <c r="A52" t="s">
        <v>50</v>
      </c>
      <c r="B52" s="7" t="s">
        <v>879</v>
      </c>
    </row>
    <row r="53" spans="1:2" x14ac:dyDescent="0.35">
      <c r="A53" t="s">
        <v>216</v>
      </c>
      <c r="B53" s="7" t="s">
        <v>1043</v>
      </c>
    </row>
    <row r="54" spans="1:2" x14ac:dyDescent="0.35">
      <c r="A54" t="s">
        <v>52</v>
      </c>
      <c r="B54" s="7" t="s">
        <v>881</v>
      </c>
    </row>
    <row r="55" spans="1:2" x14ac:dyDescent="0.35">
      <c r="A55" t="s">
        <v>53</v>
      </c>
      <c r="B55" s="7" t="s">
        <v>882</v>
      </c>
    </row>
    <row r="56" spans="1:2" x14ac:dyDescent="0.35">
      <c r="A56" t="s">
        <v>54</v>
      </c>
      <c r="B56" s="7" t="s">
        <v>883</v>
      </c>
    </row>
    <row r="57" spans="1:2" x14ac:dyDescent="0.35">
      <c r="A57" t="s">
        <v>55</v>
      </c>
      <c r="B57" s="7" t="s">
        <v>884</v>
      </c>
    </row>
    <row r="58" spans="1:2" x14ac:dyDescent="0.35">
      <c r="A58" t="s">
        <v>56</v>
      </c>
      <c r="B58" s="7" t="s">
        <v>885</v>
      </c>
    </row>
    <row r="59" spans="1:2" x14ac:dyDescent="0.35">
      <c r="A59" t="s">
        <v>57</v>
      </c>
      <c r="B59" s="7" t="s">
        <v>886</v>
      </c>
    </row>
    <row r="60" spans="1:2" x14ac:dyDescent="0.35">
      <c r="A60" t="s">
        <v>58</v>
      </c>
      <c r="B60" s="7" t="s">
        <v>887</v>
      </c>
    </row>
    <row r="61" spans="1:2" x14ac:dyDescent="0.35">
      <c r="A61" s="6" t="s">
        <v>792</v>
      </c>
      <c r="B61" s="7" t="s">
        <v>1615</v>
      </c>
    </row>
    <row r="62" spans="1:2" x14ac:dyDescent="0.35">
      <c r="A62" t="s">
        <v>60</v>
      </c>
      <c r="B62" s="7" t="s">
        <v>889</v>
      </c>
    </row>
    <row r="63" spans="1:2" x14ac:dyDescent="0.35">
      <c r="A63" t="s">
        <v>61</v>
      </c>
      <c r="B63" s="7" t="s">
        <v>890</v>
      </c>
    </row>
    <row r="64" spans="1:2" x14ac:dyDescent="0.35">
      <c r="A64" t="s">
        <v>62</v>
      </c>
      <c r="B64" s="7" t="s">
        <v>891</v>
      </c>
    </row>
    <row r="65" spans="1:2" x14ac:dyDescent="0.35">
      <c r="A65" t="s">
        <v>63</v>
      </c>
      <c r="B65" s="7" t="s">
        <v>892</v>
      </c>
    </row>
    <row r="66" spans="1:2" x14ac:dyDescent="0.35">
      <c r="A66" t="s">
        <v>64</v>
      </c>
      <c r="B66" s="7" t="s">
        <v>893</v>
      </c>
    </row>
    <row r="67" spans="1:2" x14ac:dyDescent="0.35">
      <c r="A67" t="s">
        <v>65</v>
      </c>
      <c r="B67" s="7" t="s">
        <v>894</v>
      </c>
    </row>
    <row r="68" spans="1:2" x14ac:dyDescent="0.35">
      <c r="A68" t="s">
        <v>66</v>
      </c>
      <c r="B68" s="7" t="s">
        <v>895</v>
      </c>
    </row>
    <row r="69" spans="1:2" x14ac:dyDescent="0.35">
      <c r="A69" t="s">
        <v>67</v>
      </c>
      <c r="B69" s="7" t="s">
        <v>896</v>
      </c>
    </row>
    <row r="70" spans="1:2" x14ac:dyDescent="0.35">
      <c r="A70" t="s">
        <v>68</v>
      </c>
      <c r="B70" s="7" t="s">
        <v>897</v>
      </c>
    </row>
    <row r="71" spans="1:2" x14ac:dyDescent="0.35">
      <c r="A71" t="s">
        <v>69</v>
      </c>
      <c r="B71" s="7" t="s">
        <v>898</v>
      </c>
    </row>
    <row r="72" spans="1:2" x14ac:dyDescent="0.35">
      <c r="A72" t="s">
        <v>70</v>
      </c>
      <c r="B72" s="7" t="s">
        <v>899</v>
      </c>
    </row>
    <row r="73" spans="1:2" x14ac:dyDescent="0.35">
      <c r="A73" t="s">
        <v>71</v>
      </c>
      <c r="B73" s="7" t="s">
        <v>900</v>
      </c>
    </row>
    <row r="74" spans="1:2" x14ac:dyDescent="0.35">
      <c r="A74" t="s">
        <v>72</v>
      </c>
      <c r="B74" s="7" t="s">
        <v>901</v>
      </c>
    </row>
    <row r="75" spans="1:2" x14ac:dyDescent="0.35">
      <c r="A75" t="s">
        <v>73</v>
      </c>
      <c r="B75" s="7" t="s">
        <v>902</v>
      </c>
    </row>
    <row r="76" spans="1:2" x14ac:dyDescent="0.35">
      <c r="A76" t="s">
        <v>74</v>
      </c>
      <c r="B76" s="7" t="s">
        <v>903</v>
      </c>
    </row>
    <row r="77" spans="1:2" x14ac:dyDescent="0.35">
      <c r="A77" t="s">
        <v>33</v>
      </c>
      <c r="B77" s="7" t="s">
        <v>862</v>
      </c>
    </row>
    <row r="78" spans="1:2" x14ac:dyDescent="0.35">
      <c r="A78" t="s">
        <v>76</v>
      </c>
      <c r="B78" s="7" t="s">
        <v>905</v>
      </c>
    </row>
    <row r="79" spans="1:2" x14ac:dyDescent="0.35">
      <c r="A79" t="s">
        <v>77</v>
      </c>
      <c r="B79" s="7" t="s">
        <v>906</v>
      </c>
    </row>
    <row r="80" spans="1:2" x14ac:dyDescent="0.35">
      <c r="A80" t="s">
        <v>78</v>
      </c>
      <c r="B80" s="7" t="s">
        <v>907</v>
      </c>
    </row>
    <row r="81" spans="1:2" x14ac:dyDescent="0.35">
      <c r="A81" t="s">
        <v>79</v>
      </c>
      <c r="B81" s="7" t="s">
        <v>908</v>
      </c>
    </row>
    <row r="82" spans="1:2" x14ac:dyDescent="0.35">
      <c r="A82" t="s">
        <v>80</v>
      </c>
      <c r="B82" s="7" t="s">
        <v>909</v>
      </c>
    </row>
    <row r="83" spans="1:2" x14ac:dyDescent="0.35">
      <c r="A83" t="s">
        <v>81</v>
      </c>
      <c r="B83" s="7" t="s">
        <v>910</v>
      </c>
    </row>
    <row r="84" spans="1:2" x14ac:dyDescent="0.35">
      <c r="A84" t="s">
        <v>82</v>
      </c>
      <c r="B84" s="7" t="s">
        <v>911</v>
      </c>
    </row>
    <row r="85" spans="1:2" x14ac:dyDescent="0.35">
      <c r="A85" t="s">
        <v>83</v>
      </c>
      <c r="B85" s="7" t="s">
        <v>912</v>
      </c>
    </row>
    <row r="86" spans="1:2" x14ac:dyDescent="0.35">
      <c r="A86" t="s">
        <v>84</v>
      </c>
      <c r="B86" s="7" t="s">
        <v>913</v>
      </c>
    </row>
    <row r="87" spans="1:2" x14ac:dyDescent="0.35">
      <c r="A87" t="s">
        <v>85</v>
      </c>
      <c r="B87" s="7" t="s">
        <v>914</v>
      </c>
    </row>
    <row r="88" spans="1:2" x14ac:dyDescent="0.35">
      <c r="A88" t="s">
        <v>86</v>
      </c>
      <c r="B88" s="7" t="s">
        <v>915</v>
      </c>
    </row>
    <row r="89" spans="1:2" x14ac:dyDescent="0.35">
      <c r="A89" t="s">
        <v>87</v>
      </c>
      <c r="B89" s="7" t="s">
        <v>916</v>
      </c>
    </row>
    <row r="90" spans="1:2" x14ac:dyDescent="0.35">
      <c r="A90" t="s">
        <v>88</v>
      </c>
      <c r="B90" s="7" t="s">
        <v>917</v>
      </c>
    </row>
    <row r="91" spans="1:2" x14ac:dyDescent="0.35">
      <c r="A91" t="s">
        <v>89</v>
      </c>
      <c r="B91" s="7" t="s">
        <v>918</v>
      </c>
    </row>
    <row r="92" spans="1:2" x14ac:dyDescent="0.35">
      <c r="A92" t="s">
        <v>90</v>
      </c>
      <c r="B92" s="7" t="s">
        <v>919</v>
      </c>
    </row>
    <row r="93" spans="1:2" x14ac:dyDescent="0.35">
      <c r="A93" t="s">
        <v>91</v>
      </c>
      <c r="B93" s="7" t="s">
        <v>920</v>
      </c>
    </row>
    <row r="94" spans="1:2" x14ac:dyDescent="0.35">
      <c r="A94" t="s">
        <v>92</v>
      </c>
      <c r="B94" s="7" t="s">
        <v>921</v>
      </c>
    </row>
    <row r="95" spans="1:2" x14ac:dyDescent="0.35">
      <c r="A95" t="s">
        <v>93</v>
      </c>
      <c r="B95" s="7" t="s">
        <v>922</v>
      </c>
    </row>
    <row r="96" spans="1:2" x14ac:dyDescent="0.35">
      <c r="A96" t="s">
        <v>94</v>
      </c>
      <c r="B96" s="7" t="s">
        <v>923</v>
      </c>
    </row>
    <row r="97" spans="1:2" x14ac:dyDescent="0.35">
      <c r="A97" t="s">
        <v>95</v>
      </c>
      <c r="B97" s="7" t="s">
        <v>924</v>
      </c>
    </row>
    <row r="98" spans="1:2" x14ac:dyDescent="0.35">
      <c r="A98" t="s">
        <v>96</v>
      </c>
      <c r="B98" s="7" t="s">
        <v>925</v>
      </c>
    </row>
    <row r="99" spans="1:2" x14ac:dyDescent="0.35">
      <c r="A99" t="s">
        <v>97</v>
      </c>
      <c r="B99" s="7" t="s">
        <v>926</v>
      </c>
    </row>
    <row r="100" spans="1:2" x14ac:dyDescent="0.35">
      <c r="A100" t="s">
        <v>98</v>
      </c>
      <c r="B100" s="7" t="s">
        <v>927</v>
      </c>
    </row>
    <row r="101" spans="1:2" x14ac:dyDescent="0.35">
      <c r="A101" t="s">
        <v>99</v>
      </c>
      <c r="B101" s="7" t="s">
        <v>928</v>
      </c>
    </row>
    <row r="102" spans="1:2" x14ac:dyDescent="0.35">
      <c r="A102" t="s">
        <v>100</v>
      </c>
      <c r="B102" s="7" t="s">
        <v>929</v>
      </c>
    </row>
    <row r="103" spans="1:2" x14ac:dyDescent="0.35">
      <c r="A103" t="s">
        <v>406</v>
      </c>
      <c r="B103" s="7" t="s">
        <v>1230</v>
      </c>
    </row>
    <row r="104" spans="1:2" x14ac:dyDescent="0.35">
      <c r="A104" t="s">
        <v>102</v>
      </c>
      <c r="B104" s="7" t="s">
        <v>931</v>
      </c>
    </row>
    <row r="105" spans="1:2" x14ac:dyDescent="0.35">
      <c r="A105" t="s">
        <v>103</v>
      </c>
      <c r="B105" s="7" t="s">
        <v>932</v>
      </c>
    </row>
    <row r="106" spans="1:2" x14ac:dyDescent="0.35">
      <c r="A106" t="s">
        <v>104</v>
      </c>
      <c r="B106" s="7" t="s">
        <v>933</v>
      </c>
    </row>
    <row r="107" spans="1:2" x14ac:dyDescent="0.35">
      <c r="A107" t="s">
        <v>105</v>
      </c>
      <c r="B107" s="7" t="s">
        <v>934</v>
      </c>
    </row>
    <row r="108" spans="1:2" x14ac:dyDescent="0.35">
      <c r="A108" t="s">
        <v>106</v>
      </c>
      <c r="B108" s="7" t="s">
        <v>935</v>
      </c>
    </row>
    <row r="109" spans="1:2" x14ac:dyDescent="0.35">
      <c r="A109" t="s">
        <v>107</v>
      </c>
      <c r="B109" s="7" t="s">
        <v>936</v>
      </c>
    </row>
    <row r="110" spans="1:2" x14ac:dyDescent="0.35">
      <c r="A110" t="s">
        <v>108</v>
      </c>
      <c r="B110" s="7" t="s">
        <v>937</v>
      </c>
    </row>
    <row r="111" spans="1:2" x14ac:dyDescent="0.35">
      <c r="A111" t="s">
        <v>109</v>
      </c>
      <c r="B111" s="7" t="s">
        <v>938</v>
      </c>
    </row>
    <row r="112" spans="1:2" x14ac:dyDescent="0.35">
      <c r="A112" t="s">
        <v>110</v>
      </c>
      <c r="B112" s="7" t="s">
        <v>939</v>
      </c>
    </row>
    <row r="113" spans="1:2" x14ac:dyDescent="0.35">
      <c r="A113" t="s">
        <v>111</v>
      </c>
      <c r="B113" s="7" t="s">
        <v>940</v>
      </c>
    </row>
    <row r="114" spans="1:2" x14ac:dyDescent="0.35">
      <c r="A114" t="s">
        <v>112</v>
      </c>
      <c r="B114" s="7" t="s">
        <v>941</v>
      </c>
    </row>
    <row r="115" spans="1:2" x14ac:dyDescent="0.35">
      <c r="A115" t="s">
        <v>113</v>
      </c>
      <c r="B115" s="7" t="s">
        <v>942</v>
      </c>
    </row>
    <row r="116" spans="1:2" x14ac:dyDescent="0.35">
      <c r="A116" t="s">
        <v>114</v>
      </c>
      <c r="B116" s="7" t="s">
        <v>943</v>
      </c>
    </row>
    <row r="117" spans="1:2" x14ac:dyDescent="0.35">
      <c r="A117" t="s">
        <v>115</v>
      </c>
      <c r="B117" s="7" t="s">
        <v>944</v>
      </c>
    </row>
    <row r="118" spans="1:2" x14ac:dyDescent="0.35">
      <c r="A118" t="s">
        <v>116</v>
      </c>
      <c r="B118" s="7" t="s">
        <v>945</v>
      </c>
    </row>
    <row r="119" spans="1:2" x14ac:dyDescent="0.35">
      <c r="A119" t="s">
        <v>117</v>
      </c>
      <c r="B119" s="7" t="s">
        <v>946</v>
      </c>
    </row>
    <row r="120" spans="1:2" x14ac:dyDescent="0.35">
      <c r="A120" t="s">
        <v>118</v>
      </c>
      <c r="B120" s="7" t="s">
        <v>947</v>
      </c>
    </row>
    <row r="121" spans="1:2" x14ac:dyDescent="0.35">
      <c r="A121" t="s">
        <v>119</v>
      </c>
      <c r="B121" s="7" t="s">
        <v>948</v>
      </c>
    </row>
    <row r="122" spans="1:2" x14ac:dyDescent="0.35">
      <c r="A122" t="s">
        <v>120</v>
      </c>
      <c r="B122" s="7" t="s">
        <v>949</v>
      </c>
    </row>
    <row r="123" spans="1:2" x14ac:dyDescent="0.35">
      <c r="A123" t="s">
        <v>121</v>
      </c>
      <c r="B123" s="7" t="s">
        <v>950</v>
      </c>
    </row>
    <row r="124" spans="1:2" x14ac:dyDescent="0.35">
      <c r="A124" t="s">
        <v>122</v>
      </c>
      <c r="B124" s="7" t="s">
        <v>951</v>
      </c>
    </row>
    <row r="125" spans="1:2" x14ac:dyDescent="0.35">
      <c r="A125" t="s">
        <v>123</v>
      </c>
      <c r="B125" s="7" t="s">
        <v>952</v>
      </c>
    </row>
    <row r="126" spans="1:2" x14ac:dyDescent="0.35">
      <c r="A126" t="s">
        <v>124</v>
      </c>
      <c r="B126" s="7" t="s">
        <v>953</v>
      </c>
    </row>
    <row r="127" spans="1:2" x14ac:dyDescent="0.35">
      <c r="A127" t="s">
        <v>125</v>
      </c>
      <c r="B127" s="7" t="s">
        <v>954</v>
      </c>
    </row>
    <row r="128" spans="1:2" x14ac:dyDescent="0.35">
      <c r="A128" t="s">
        <v>126</v>
      </c>
      <c r="B128" s="7" t="s">
        <v>955</v>
      </c>
    </row>
    <row r="129" spans="1:2" x14ac:dyDescent="0.35">
      <c r="A129" t="s">
        <v>127</v>
      </c>
      <c r="B129" s="7" t="s">
        <v>956</v>
      </c>
    </row>
    <row r="130" spans="1:2" x14ac:dyDescent="0.35">
      <c r="A130" t="s">
        <v>128</v>
      </c>
      <c r="B130" s="7" t="s">
        <v>957</v>
      </c>
    </row>
    <row r="131" spans="1:2" x14ac:dyDescent="0.35">
      <c r="A131" t="s">
        <v>129</v>
      </c>
      <c r="B131" s="7" t="s">
        <v>958</v>
      </c>
    </row>
    <row r="132" spans="1:2" x14ac:dyDescent="0.35">
      <c r="A132" t="s">
        <v>130</v>
      </c>
      <c r="B132" s="7" t="s">
        <v>959</v>
      </c>
    </row>
    <row r="133" spans="1:2" x14ac:dyDescent="0.35">
      <c r="A133" t="s">
        <v>131</v>
      </c>
      <c r="B133" s="7" t="s">
        <v>960</v>
      </c>
    </row>
    <row r="134" spans="1:2" x14ac:dyDescent="0.35">
      <c r="A134" t="s">
        <v>132</v>
      </c>
      <c r="B134" s="7" t="s">
        <v>961</v>
      </c>
    </row>
    <row r="135" spans="1:2" x14ac:dyDescent="0.35">
      <c r="A135" t="s">
        <v>133</v>
      </c>
      <c r="B135" s="7" t="s">
        <v>962</v>
      </c>
    </row>
    <row r="136" spans="1:2" x14ac:dyDescent="0.35">
      <c r="A136" t="s">
        <v>134</v>
      </c>
      <c r="B136" s="7" t="s">
        <v>963</v>
      </c>
    </row>
    <row r="137" spans="1:2" x14ac:dyDescent="0.35">
      <c r="A137" t="s">
        <v>135</v>
      </c>
      <c r="B137" s="7" t="s">
        <v>964</v>
      </c>
    </row>
    <row r="138" spans="1:2" x14ac:dyDescent="0.35">
      <c r="A138" t="s">
        <v>136</v>
      </c>
      <c r="B138" s="7" t="s">
        <v>965</v>
      </c>
    </row>
    <row r="139" spans="1:2" x14ac:dyDescent="0.35">
      <c r="A139" t="s">
        <v>137</v>
      </c>
      <c r="B139" s="7" t="s">
        <v>966</v>
      </c>
    </row>
    <row r="140" spans="1:2" x14ac:dyDescent="0.35">
      <c r="A140" t="s">
        <v>138</v>
      </c>
      <c r="B140" s="7" t="s">
        <v>967</v>
      </c>
    </row>
    <row r="141" spans="1:2" x14ac:dyDescent="0.35">
      <c r="A141" t="s">
        <v>139</v>
      </c>
      <c r="B141" s="7" t="s">
        <v>968</v>
      </c>
    </row>
    <row r="142" spans="1:2" x14ac:dyDescent="0.35">
      <c r="A142" t="s">
        <v>140</v>
      </c>
      <c r="B142" s="7" t="s">
        <v>969</v>
      </c>
    </row>
    <row r="143" spans="1:2" x14ac:dyDescent="0.35">
      <c r="A143" t="s">
        <v>141</v>
      </c>
      <c r="B143" s="7" t="s">
        <v>970</v>
      </c>
    </row>
    <row r="144" spans="1:2" x14ac:dyDescent="0.35">
      <c r="A144" t="s">
        <v>142</v>
      </c>
      <c r="B144" s="7" t="s">
        <v>971</v>
      </c>
    </row>
    <row r="145" spans="1:2" x14ac:dyDescent="0.35">
      <c r="A145" t="s">
        <v>143</v>
      </c>
      <c r="B145" s="7" t="s">
        <v>972</v>
      </c>
    </row>
    <row r="146" spans="1:2" x14ac:dyDescent="0.35">
      <c r="A146" t="s">
        <v>144</v>
      </c>
      <c r="B146" s="7" t="s">
        <v>973</v>
      </c>
    </row>
    <row r="147" spans="1:2" x14ac:dyDescent="0.35">
      <c r="A147" t="s">
        <v>145</v>
      </c>
      <c r="B147" s="7" t="s">
        <v>974</v>
      </c>
    </row>
    <row r="148" spans="1:2" x14ac:dyDescent="0.35">
      <c r="A148" t="s">
        <v>146</v>
      </c>
      <c r="B148" s="7" t="s">
        <v>975</v>
      </c>
    </row>
    <row r="149" spans="1:2" x14ac:dyDescent="0.35">
      <c r="A149" t="s">
        <v>147</v>
      </c>
      <c r="B149" s="7" t="s">
        <v>976</v>
      </c>
    </row>
    <row r="150" spans="1:2" x14ac:dyDescent="0.35">
      <c r="A150" t="s">
        <v>148</v>
      </c>
      <c r="B150" s="7" t="s">
        <v>977</v>
      </c>
    </row>
    <row r="151" spans="1:2" x14ac:dyDescent="0.35">
      <c r="A151" t="s">
        <v>149</v>
      </c>
      <c r="B151" s="7" t="s">
        <v>978</v>
      </c>
    </row>
    <row r="152" spans="1:2" x14ac:dyDescent="0.35">
      <c r="A152" t="s">
        <v>150</v>
      </c>
      <c r="B152" s="7" t="s">
        <v>979</v>
      </c>
    </row>
    <row r="153" spans="1:2" x14ac:dyDescent="0.35">
      <c r="A153" t="s">
        <v>151</v>
      </c>
      <c r="B153" s="7" t="s">
        <v>980</v>
      </c>
    </row>
    <row r="154" spans="1:2" x14ac:dyDescent="0.35">
      <c r="A154" t="s">
        <v>152</v>
      </c>
      <c r="B154" s="7" t="s">
        <v>981</v>
      </c>
    </row>
    <row r="155" spans="1:2" x14ac:dyDescent="0.35">
      <c r="A155" t="s">
        <v>153</v>
      </c>
      <c r="B155" s="7" t="s">
        <v>982</v>
      </c>
    </row>
    <row r="156" spans="1:2" x14ac:dyDescent="0.35">
      <c r="A156" t="s">
        <v>154</v>
      </c>
      <c r="B156" s="7" t="s">
        <v>983</v>
      </c>
    </row>
    <row r="157" spans="1:2" x14ac:dyDescent="0.35">
      <c r="A157" t="s">
        <v>155</v>
      </c>
      <c r="B157" s="7" t="s">
        <v>984</v>
      </c>
    </row>
    <row r="158" spans="1:2" x14ac:dyDescent="0.35">
      <c r="A158" t="s">
        <v>156</v>
      </c>
      <c r="B158" s="7" t="s">
        <v>985</v>
      </c>
    </row>
    <row r="159" spans="1:2" x14ac:dyDescent="0.35">
      <c r="A159" t="s">
        <v>157</v>
      </c>
      <c r="B159" s="7" t="s">
        <v>986</v>
      </c>
    </row>
    <row r="160" spans="1:2" x14ac:dyDescent="0.35">
      <c r="A160" t="s">
        <v>158</v>
      </c>
      <c r="B160" s="7" t="s">
        <v>987</v>
      </c>
    </row>
    <row r="161" spans="1:2" x14ac:dyDescent="0.35">
      <c r="A161" t="s">
        <v>159</v>
      </c>
      <c r="B161" s="7" t="s">
        <v>988</v>
      </c>
    </row>
    <row r="162" spans="1:2" x14ac:dyDescent="0.35">
      <c r="A162" t="s">
        <v>160</v>
      </c>
      <c r="B162" s="7" t="s">
        <v>989</v>
      </c>
    </row>
    <row r="163" spans="1:2" x14ac:dyDescent="0.35">
      <c r="A163" t="s">
        <v>161</v>
      </c>
      <c r="B163" s="7" t="s">
        <v>990</v>
      </c>
    </row>
    <row r="164" spans="1:2" x14ac:dyDescent="0.35">
      <c r="A164" t="s">
        <v>162</v>
      </c>
      <c r="B164" s="7" t="s">
        <v>991</v>
      </c>
    </row>
    <row r="165" spans="1:2" x14ac:dyDescent="0.35">
      <c r="A165" t="s">
        <v>163</v>
      </c>
      <c r="B165" s="7" t="s">
        <v>992</v>
      </c>
    </row>
    <row r="166" spans="1:2" x14ac:dyDescent="0.35">
      <c r="A166" t="s">
        <v>164</v>
      </c>
      <c r="B166" s="7" t="s">
        <v>993</v>
      </c>
    </row>
    <row r="167" spans="1:2" x14ac:dyDescent="0.35">
      <c r="A167" t="s">
        <v>165</v>
      </c>
      <c r="B167" s="7" t="s">
        <v>994</v>
      </c>
    </row>
    <row r="168" spans="1:2" x14ac:dyDescent="0.35">
      <c r="A168" t="s">
        <v>166</v>
      </c>
      <c r="B168" s="7" t="s">
        <v>995</v>
      </c>
    </row>
    <row r="169" spans="1:2" x14ac:dyDescent="0.35">
      <c r="A169" t="s">
        <v>167</v>
      </c>
      <c r="B169" s="7" t="s">
        <v>996</v>
      </c>
    </row>
    <row r="170" spans="1:2" x14ac:dyDescent="0.35">
      <c r="A170" t="s">
        <v>168</v>
      </c>
      <c r="B170" s="7" t="s">
        <v>997</v>
      </c>
    </row>
    <row r="171" spans="1:2" x14ac:dyDescent="0.35">
      <c r="A171" t="s">
        <v>169</v>
      </c>
      <c r="B171" s="7" t="s">
        <v>998</v>
      </c>
    </row>
    <row r="172" spans="1:2" x14ac:dyDescent="0.35">
      <c r="A172" t="s">
        <v>170</v>
      </c>
      <c r="B172" s="7" t="s">
        <v>999</v>
      </c>
    </row>
    <row r="173" spans="1:2" x14ac:dyDescent="0.35">
      <c r="A173" t="s">
        <v>171</v>
      </c>
      <c r="B173" s="7" t="s">
        <v>1000</v>
      </c>
    </row>
    <row r="174" spans="1:2" x14ac:dyDescent="0.35">
      <c r="A174" t="s">
        <v>172</v>
      </c>
      <c r="B174" s="7" t="s">
        <v>1001</v>
      </c>
    </row>
    <row r="175" spans="1:2" x14ac:dyDescent="0.35">
      <c r="A175" t="s">
        <v>173</v>
      </c>
      <c r="B175" s="7" t="s">
        <v>1002</v>
      </c>
    </row>
    <row r="176" spans="1:2" x14ac:dyDescent="0.35">
      <c r="A176" t="s">
        <v>174</v>
      </c>
      <c r="B176" s="7" t="s">
        <v>1003</v>
      </c>
    </row>
    <row r="177" spans="1:2" x14ac:dyDescent="0.35">
      <c r="A177" t="s">
        <v>175</v>
      </c>
      <c r="B177" s="7" t="s">
        <v>1004</v>
      </c>
    </row>
    <row r="178" spans="1:2" x14ac:dyDescent="0.35">
      <c r="A178" t="s">
        <v>176</v>
      </c>
      <c r="B178" s="7" t="s">
        <v>1005</v>
      </c>
    </row>
    <row r="179" spans="1:2" x14ac:dyDescent="0.35">
      <c r="A179" t="s">
        <v>177</v>
      </c>
      <c r="B179" s="7" t="s">
        <v>1006</v>
      </c>
    </row>
    <row r="180" spans="1:2" x14ac:dyDescent="0.35">
      <c r="A180" t="s">
        <v>178</v>
      </c>
      <c r="B180" s="7" t="s">
        <v>1007</v>
      </c>
    </row>
    <row r="181" spans="1:2" x14ac:dyDescent="0.35">
      <c r="A181" t="s">
        <v>179</v>
      </c>
      <c r="B181" s="7" t="s">
        <v>1008</v>
      </c>
    </row>
    <row r="182" spans="1:2" x14ac:dyDescent="0.35">
      <c r="A182" t="s">
        <v>180</v>
      </c>
      <c r="B182" s="7" t="s">
        <v>1009</v>
      </c>
    </row>
    <row r="183" spans="1:2" x14ac:dyDescent="0.35">
      <c r="A183" t="s">
        <v>181</v>
      </c>
      <c r="B183" s="7" t="s">
        <v>1010</v>
      </c>
    </row>
    <row r="184" spans="1:2" x14ac:dyDescent="0.35">
      <c r="A184" t="s">
        <v>182</v>
      </c>
      <c r="B184" s="7" t="s">
        <v>1011</v>
      </c>
    </row>
    <row r="185" spans="1:2" x14ac:dyDescent="0.35">
      <c r="A185" t="s">
        <v>183</v>
      </c>
      <c r="B185" s="7" t="s">
        <v>1012</v>
      </c>
    </row>
    <row r="186" spans="1:2" x14ac:dyDescent="0.35">
      <c r="A186" s="2" t="s">
        <v>184</v>
      </c>
    </row>
    <row r="187" spans="1:2" x14ac:dyDescent="0.35">
      <c r="A187" t="s">
        <v>185</v>
      </c>
      <c r="B187" s="7" t="s">
        <v>1013</v>
      </c>
    </row>
    <row r="188" spans="1:2" x14ac:dyDescent="0.35">
      <c r="A188" t="s">
        <v>186</v>
      </c>
      <c r="B188" s="7" t="s">
        <v>1014</v>
      </c>
    </row>
    <row r="189" spans="1:2" x14ac:dyDescent="0.35">
      <c r="A189" t="s">
        <v>187</v>
      </c>
      <c r="B189" s="7" t="s">
        <v>1015</v>
      </c>
    </row>
    <row r="190" spans="1:2" x14ac:dyDescent="0.35">
      <c r="A190" t="s">
        <v>188</v>
      </c>
      <c r="B190" s="7" t="s">
        <v>1016</v>
      </c>
    </row>
    <row r="191" spans="1:2" x14ac:dyDescent="0.35">
      <c r="A191" t="s">
        <v>189</v>
      </c>
      <c r="B191" s="7" t="s">
        <v>1017</v>
      </c>
    </row>
    <row r="192" spans="1:2" x14ac:dyDescent="0.35">
      <c r="A192" t="s">
        <v>190</v>
      </c>
      <c r="B192" s="7" t="s">
        <v>1018</v>
      </c>
    </row>
    <row r="193" spans="1:2" x14ac:dyDescent="0.35">
      <c r="A193" t="s">
        <v>191</v>
      </c>
      <c r="B193" s="7" t="s">
        <v>1019</v>
      </c>
    </row>
    <row r="194" spans="1:2" x14ac:dyDescent="0.35">
      <c r="A194" t="s">
        <v>192</v>
      </c>
      <c r="B194" s="7" t="s">
        <v>1020</v>
      </c>
    </row>
    <row r="195" spans="1:2" x14ac:dyDescent="0.35">
      <c r="A195" t="s">
        <v>193</v>
      </c>
      <c r="B195" s="7" t="s">
        <v>1021</v>
      </c>
    </row>
    <row r="196" spans="1:2" x14ac:dyDescent="0.35">
      <c r="A196" t="s">
        <v>194</v>
      </c>
      <c r="B196" s="7" t="s">
        <v>1022</v>
      </c>
    </row>
    <row r="197" spans="1:2" x14ac:dyDescent="0.35">
      <c r="A197" t="s">
        <v>195</v>
      </c>
      <c r="B197" s="7" t="s">
        <v>1023</v>
      </c>
    </row>
    <row r="198" spans="1:2" x14ac:dyDescent="0.35">
      <c r="A198" t="s">
        <v>196</v>
      </c>
      <c r="B198" s="7" t="s">
        <v>1024</v>
      </c>
    </row>
    <row r="199" spans="1:2" x14ac:dyDescent="0.35">
      <c r="A199" t="s">
        <v>197</v>
      </c>
      <c r="B199" s="7" t="s">
        <v>1025</v>
      </c>
    </row>
    <row r="200" spans="1:2" x14ac:dyDescent="0.35">
      <c r="A200" t="s">
        <v>198</v>
      </c>
      <c r="B200" s="7" t="s">
        <v>1026</v>
      </c>
    </row>
    <row r="201" spans="1:2" x14ac:dyDescent="0.35">
      <c r="A201" t="s">
        <v>199</v>
      </c>
      <c r="B201" s="7" t="s">
        <v>1027</v>
      </c>
    </row>
    <row r="202" spans="1:2" x14ac:dyDescent="0.35">
      <c r="A202" t="s">
        <v>200</v>
      </c>
      <c r="B202" s="7" t="s">
        <v>1028</v>
      </c>
    </row>
    <row r="203" spans="1:2" x14ac:dyDescent="0.35">
      <c r="A203" t="s">
        <v>201</v>
      </c>
      <c r="B203" s="7" t="s">
        <v>1029</v>
      </c>
    </row>
    <row r="204" spans="1:2" x14ac:dyDescent="0.35">
      <c r="A204" t="s">
        <v>202</v>
      </c>
      <c r="B204" s="7" t="s">
        <v>1030</v>
      </c>
    </row>
    <row r="205" spans="1:2" x14ac:dyDescent="0.35">
      <c r="A205" s="2" t="s">
        <v>203</v>
      </c>
    </row>
    <row r="206" spans="1:2" x14ac:dyDescent="0.35">
      <c r="A206" t="s">
        <v>204</v>
      </c>
      <c r="B206" s="7" t="s">
        <v>1031</v>
      </c>
    </row>
    <row r="207" spans="1:2" x14ac:dyDescent="0.35">
      <c r="A207" t="s">
        <v>205</v>
      </c>
      <c r="B207" s="7" t="s">
        <v>1032</v>
      </c>
    </row>
    <row r="208" spans="1:2" x14ac:dyDescent="0.35">
      <c r="A208" t="s">
        <v>206</v>
      </c>
      <c r="B208" s="7" t="s">
        <v>1033</v>
      </c>
    </row>
    <row r="209" spans="1:2" x14ac:dyDescent="0.35">
      <c r="A209" t="s">
        <v>207</v>
      </c>
      <c r="B209" s="7" t="s">
        <v>1034</v>
      </c>
    </row>
    <row r="210" spans="1:2" x14ac:dyDescent="0.35">
      <c r="A210" t="s">
        <v>208</v>
      </c>
      <c r="B210" s="7" t="s">
        <v>1035</v>
      </c>
    </row>
    <row r="211" spans="1:2" x14ac:dyDescent="0.35">
      <c r="A211" t="s">
        <v>209</v>
      </c>
      <c r="B211" s="7" t="s">
        <v>1036</v>
      </c>
    </row>
    <row r="212" spans="1:2" x14ac:dyDescent="0.35">
      <c r="A212" t="s">
        <v>210</v>
      </c>
      <c r="B212" s="7" t="s">
        <v>1037</v>
      </c>
    </row>
    <row r="213" spans="1:2" x14ac:dyDescent="0.35">
      <c r="A213" t="s">
        <v>211</v>
      </c>
      <c r="B213" s="7" t="s">
        <v>1038</v>
      </c>
    </row>
    <row r="214" spans="1:2" x14ac:dyDescent="0.35">
      <c r="A214" t="s">
        <v>212</v>
      </c>
      <c r="B214" s="7" t="s">
        <v>1039</v>
      </c>
    </row>
    <row r="215" spans="1:2" x14ac:dyDescent="0.35">
      <c r="A215" t="s">
        <v>213</v>
      </c>
      <c r="B215" s="7" t="s">
        <v>1040</v>
      </c>
    </row>
    <row r="216" spans="1:2" x14ac:dyDescent="0.35">
      <c r="A216" t="s">
        <v>214</v>
      </c>
      <c r="B216" s="7" t="s">
        <v>1041</v>
      </c>
    </row>
    <row r="217" spans="1:2" x14ac:dyDescent="0.35">
      <c r="A217" t="s">
        <v>215</v>
      </c>
      <c r="B217" s="7" t="s">
        <v>1042</v>
      </c>
    </row>
    <row r="218" spans="1:2" x14ac:dyDescent="0.35">
      <c r="A218" t="s">
        <v>508</v>
      </c>
      <c r="B218" s="7" t="s">
        <v>1332</v>
      </c>
    </row>
    <row r="219" spans="1:2" x14ac:dyDescent="0.35">
      <c r="A219" t="s">
        <v>217</v>
      </c>
      <c r="B219" s="7" t="s">
        <v>1044</v>
      </c>
    </row>
    <row r="220" spans="1:2" x14ac:dyDescent="0.35">
      <c r="A220" t="s">
        <v>218</v>
      </c>
      <c r="B220" s="7" t="s">
        <v>1045</v>
      </c>
    </row>
    <row r="221" spans="1:2" x14ac:dyDescent="0.35">
      <c r="A221" t="s">
        <v>219</v>
      </c>
      <c r="B221" s="7" t="s">
        <v>1046</v>
      </c>
    </row>
    <row r="222" spans="1:2" x14ac:dyDescent="0.35">
      <c r="A222" t="s">
        <v>220</v>
      </c>
      <c r="B222" s="7" t="s">
        <v>1047</v>
      </c>
    </row>
    <row r="223" spans="1:2" x14ac:dyDescent="0.35">
      <c r="A223" t="s">
        <v>221</v>
      </c>
      <c r="B223" s="7" t="s">
        <v>1048</v>
      </c>
    </row>
    <row r="224" spans="1:2" x14ac:dyDescent="0.35">
      <c r="A224" t="s">
        <v>222</v>
      </c>
      <c r="B224" s="7" t="s">
        <v>1049</v>
      </c>
    </row>
    <row r="225" spans="1:2" x14ac:dyDescent="0.35">
      <c r="A225" t="s">
        <v>223</v>
      </c>
      <c r="B225" s="7" t="s">
        <v>1050</v>
      </c>
    </row>
    <row r="226" spans="1:2" x14ac:dyDescent="0.35">
      <c r="A226" t="s">
        <v>224</v>
      </c>
      <c r="B226" s="7" t="s">
        <v>1051</v>
      </c>
    </row>
    <row r="227" spans="1:2" x14ac:dyDescent="0.35">
      <c r="A227" t="s">
        <v>225</v>
      </c>
      <c r="B227" s="7" t="s">
        <v>1052</v>
      </c>
    </row>
    <row r="228" spans="1:2" x14ac:dyDescent="0.35">
      <c r="A228" t="s">
        <v>226</v>
      </c>
      <c r="B228" s="7" t="s">
        <v>1053</v>
      </c>
    </row>
    <row r="229" spans="1:2" x14ac:dyDescent="0.35">
      <c r="A229" t="s">
        <v>227</v>
      </c>
      <c r="B229" s="7" t="s">
        <v>1054</v>
      </c>
    </row>
    <row r="230" spans="1:2" x14ac:dyDescent="0.35">
      <c r="A230" t="s">
        <v>228</v>
      </c>
      <c r="B230" s="7" t="s">
        <v>1055</v>
      </c>
    </row>
    <row r="231" spans="1:2" x14ac:dyDescent="0.35">
      <c r="A231" t="s">
        <v>229</v>
      </c>
      <c r="B231" s="7" t="s">
        <v>1056</v>
      </c>
    </row>
    <row r="232" spans="1:2" x14ac:dyDescent="0.35">
      <c r="A232" t="s">
        <v>230</v>
      </c>
      <c r="B232" s="7" t="s">
        <v>1057</v>
      </c>
    </row>
    <row r="233" spans="1:2" x14ac:dyDescent="0.35">
      <c r="A233" t="s">
        <v>231</v>
      </c>
      <c r="B233" s="7" t="s">
        <v>1058</v>
      </c>
    </row>
    <row r="234" spans="1:2" x14ac:dyDescent="0.35">
      <c r="A234" t="s">
        <v>232</v>
      </c>
      <c r="B234" s="7" t="s">
        <v>1059</v>
      </c>
    </row>
    <row r="235" spans="1:2" x14ac:dyDescent="0.35">
      <c r="A235" t="s">
        <v>796</v>
      </c>
      <c r="B235" s="7" t="s">
        <v>1619</v>
      </c>
    </row>
    <row r="236" spans="1:2" x14ac:dyDescent="0.35">
      <c r="A236" t="s">
        <v>234</v>
      </c>
      <c r="B236" s="7" t="s">
        <v>1061</v>
      </c>
    </row>
    <row r="237" spans="1:2" x14ac:dyDescent="0.35">
      <c r="A237" t="s">
        <v>235</v>
      </c>
      <c r="B237" s="7" t="s">
        <v>1062</v>
      </c>
    </row>
    <row r="238" spans="1:2" x14ac:dyDescent="0.35">
      <c r="A238" t="s">
        <v>236</v>
      </c>
      <c r="B238" s="7" t="s">
        <v>1063</v>
      </c>
    </row>
    <row r="239" spans="1:2" x14ac:dyDescent="0.35">
      <c r="A239" t="s">
        <v>237</v>
      </c>
      <c r="B239" s="7" t="s">
        <v>897</v>
      </c>
    </row>
    <row r="240" spans="1:2" x14ac:dyDescent="0.35">
      <c r="A240" t="s">
        <v>238</v>
      </c>
      <c r="B240" s="7" t="s">
        <v>1064</v>
      </c>
    </row>
    <row r="241" spans="1:2" x14ac:dyDescent="0.35">
      <c r="A241" t="s">
        <v>239</v>
      </c>
      <c r="B241" s="7" t="s">
        <v>1065</v>
      </c>
    </row>
    <row r="242" spans="1:2" x14ac:dyDescent="0.35">
      <c r="A242" t="s">
        <v>240</v>
      </c>
      <c r="B242" s="7" t="s">
        <v>1066</v>
      </c>
    </row>
    <row r="243" spans="1:2" x14ac:dyDescent="0.35">
      <c r="A243" t="s">
        <v>241</v>
      </c>
      <c r="B243" s="7" t="s">
        <v>1067</v>
      </c>
    </row>
    <row r="244" spans="1:2" x14ac:dyDescent="0.35">
      <c r="A244" t="s">
        <v>242</v>
      </c>
      <c r="B244" s="7" t="s">
        <v>1068</v>
      </c>
    </row>
    <row r="245" spans="1:2" x14ac:dyDescent="0.35">
      <c r="A245" t="s">
        <v>243</v>
      </c>
      <c r="B245" s="7" t="s">
        <v>1069</v>
      </c>
    </row>
    <row r="246" spans="1:2" x14ac:dyDescent="0.35">
      <c r="A246" t="s">
        <v>244</v>
      </c>
      <c r="B246" s="7" t="s">
        <v>1070</v>
      </c>
    </row>
    <row r="247" spans="1:2" x14ac:dyDescent="0.35">
      <c r="A247" t="s">
        <v>245</v>
      </c>
      <c r="B247" s="7" t="s">
        <v>1071</v>
      </c>
    </row>
    <row r="248" spans="1:2" x14ac:dyDescent="0.35">
      <c r="A248" t="s">
        <v>246</v>
      </c>
      <c r="B248" s="7" t="s">
        <v>1072</v>
      </c>
    </row>
    <row r="249" spans="1:2" x14ac:dyDescent="0.35">
      <c r="A249" t="s">
        <v>247</v>
      </c>
      <c r="B249" s="7" t="s">
        <v>1073</v>
      </c>
    </row>
    <row r="250" spans="1:2" x14ac:dyDescent="0.35">
      <c r="A250" t="s">
        <v>248</v>
      </c>
      <c r="B250" s="7" t="s">
        <v>1074</v>
      </c>
    </row>
    <row r="251" spans="1:2" x14ac:dyDescent="0.35">
      <c r="A251" t="s">
        <v>249</v>
      </c>
      <c r="B251" s="7" t="s">
        <v>1075</v>
      </c>
    </row>
    <row r="252" spans="1:2" x14ac:dyDescent="0.35">
      <c r="A252" t="s">
        <v>250</v>
      </c>
      <c r="B252" s="7" t="s">
        <v>1076</v>
      </c>
    </row>
    <row r="253" spans="1:2" x14ac:dyDescent="0.35">
      <c r="A253" t="s">
        <v>251</v>
      </c>
      <c r="B253" s="7" t="s">
        <v>1077</v>
      </c>
    </row>
    <row r="254" spans="1:2" x14ac:dyDescent="0.35">
      <c r="A254" t="s">
        <v>252</v>
      </c>
      <c r="B254" s="7" t="s">
        <v>1078</v>
      </c>
    </row>
    <row r="255" spans="1:2" x14ac:dyDescent="0.35">
      <c r="A255" t="s">
        <v>253</v>
      </c>
      <c r="B255" s="7" t="s">
        <v>1079</v>
      </c>
    </row>
    <row r="256" spans="1:2" x14ac:dyDescent="0.35">
      <c r="A256" t="s">
        <v>254</v>
      </c>
      <c r="B256" s="7" t="s">
        <v>1080</v>
      </c>
    </row>
    <row r="257" spans="1:2" x14ac:dyDescent="0.35">
      <c r="A257" t="s">
        <v>806</v>
      </c>
      <c r="B257" s="7" t="s">
        <v>1629</v>
      </c>
    </row>
    <row r="258" spans="1:2" x14ac:dyDescent="0.35">
      <c r="A258" t="s">
        <v>256</v>
      </c>
      <c r="B258" s="7" t="s">
        <v>1082</v>
      </c>
    </row>
    <row r="259" spans="1:2" x14ac:dyDescent="0.35">
      <c r="A259" t="s">
        <v>257</v>
      </c>
      <c r="B259" s="7" t="s">
        <v>1083</v>
      </c>
    </row>
    <row r="260" spans="1:2" x14ac:dyDescent="0.35">
      <c r="A260" t="s">
        <v>258</v>
      </c>
      <c r="B260" s="7" t="s">
        <v>1084</v>
      </c>
    </row>
    <row r="261" spans="1:2" x14ac:dyDescent="0.35">
      <c r="A261" t="s">
        <v>259</v>
      </c>
      <c r="B261" s="7" t="s">
        <v>1085</v>
      </c>
    </row>
    <row r="262" spans="1:2" x14ac:dyDescent="0.35">
      <c r="A262" t="s">
        <v>260</v>
      </c>
      <c r="B262" s="7" t="s">
        <v>1086</v>
      </c>
    </row>
    <row r="263" spans="1:2" x14ac:dyDescent="0.35">
      <c r="A263" t="s">
        <v>261</v>
      </c>
      <c r="B263" s="7" t="s">
        <v>1087</v>
      </c>
    </row>
    <row r="264" spans="1:2" x14ac:dyDescent="0.35">
      <c r="A264" t="s">
        <v>262</v>
      </c>
      <c r="B264" s="7" t="s">
        <v>1088</v>
      </c>
    </row>
    <row r="265" spans="1:2" x14ac:dyDescent="0.35">
      <c r="A265" t="s">
        <v>263</v>
      </c>
      <c r="B265" s="7" t="s">
        <v>1089</v>
      </c>
    </row>
    <row r="266" spans="1:2" x14ac:dyDescent="0.35">
      <c r="A266" t="s">
        <v>264</v>
      </c>
      <c r="B266" s="7" t="s">
        <v>1090</v>
      </c>
    </row>
    <row r="267" spans="1:2" x14ac:dyDescent="0.35">
      <c r="A267" t="s">
        <v>265</v>
      </c>
      <c r="B267" s="7" t="s">
        <v>1091</v>
      </c>
    </row>
    <row r="268" spans="1:2" x14ac:dyDescent="0.35">
      <c r="A268" t="s">
        <v>266</v>
      </c>
      <c r="B268" s="7" t="s">
        <v>1092</v>
      </c>
    </row>
    <row r="269" spans="1:2" x14ac:dyDescent="0.35">
      <c r="A269" t="s">
        <v>267</v>
      </c>
      <c r="B269" s="7" t="s">
        <v>1093</v>
      </c>
    </row>
    <row r="270" spans="1:2" x14ac:dyDescent="0.35">
      <c r="A270" t="s">
        <v>268</v>
      </c>
      <c r="B270" s="7" t="s">
        <v>1094</v>
      </c>
    </row>
    <row r="271" spans="1:2" x14ac:dyDescent="0.35">
      <c r="A271" t="s">
        <v>269</v>
      </c>
      <c r="B271" s="7" t="s">
        <v>1095</v>
      </c>
    </row>
    <row r="272" spans="1:2" x14ac:dyDescent="0.35">
      <c r="A272" t="s">
        <v>270</v>
      </c>
      <c r="B272" s="7" t="s">
        <v>1096</v>
      </c>
    </row>
    <row r="273" spans="1:2" x14ac:dyDescent="0.35">
      <c r="A273" t="s">
        <v>271</v>
      </c>
      <c r="B273" s="7" t="s">
        <v>1097</v>
      </c>
    </row>
    <row r="274" spans="1:2" x14ac:dyDescent="0.35">
      <c r="A274" t="s">
        <v>272</v>
      </c>
      <c r="B274" s="7" t="s">
        <v>1098</v>
      </c>
    </row>
    <row r="275" spans="1:2" x14ac:dyDescent="0.35">
      <c r="A275" t="s">
        <v>273</v>
      </c>
      <c r="B275" s="7" t="s">
        <v>1099</v>
      </c>
    </row>
    <row r="276" spans="1:2" x14ac:dyDescent="0.35">
      <c r="A276" t="s">
        <v>274</v>
      </c>
      <c r="B276" s="7" t="s">
        <v>1100</v>
      </c>
    </row>
    <row r="277" spans="1:2" x14ac:dyDescent="0.35">
      <c r="A277" t="s">
        <v>275</v>
      </c>
      <c r="B277" s="7" t="s">
        <v>1101</v>
      </c>
    </row>
    <row r="278" spans="1:2" x14ac:dyDescent="0.35">
      <c r="A278" t="s">
        <v>276</v>
      </c>
      <c r="B278" s="7" t="s">
        <v>1102</v>
      </c>
    </row>
    <row r="279" spans="1:2" x14ac:dyDescent="0.35">
      <c r="A279" t="s">
        <v>277</v>
      </c>
      <c r="B279" s="7" t="s">
        <v>1103</v>
      </c>
    </row>
    <row r="280" spans="1:2" x14ac:dyDescent="0.35">
      <c r="A280" t="s">
        <v>278</v>
      </c>
      <c r="B280" s="7" t="s">
        <v>1104</v>
      </c>
    </row>
    <row r="281" spans="1:2" x14ac:dyDescent="0.35">
      <c r="A281" t="s">
        <v>279</v>
      </c>
      <c r="B281" s="7" t="s">
        <v>1105</v>
      </c>
    </row>
    <row r="282" spans="1:2" x14ac:dyDescent="0.35">
      <c r="A282" t="s">
        <v>280</v>
      </c>
      <c r="B282" s="7" t="s">
        <v>1106</v>
      </c>
    </row>
    <row r="283" spans="1:2" x14ac:dyDescent="0.35">
      <c r="A283" t="s">
        <v>281</v>
      </c>
      <c r="B283" s="7" t="s">
        <v>1107</v>
      </c>
    </row>
    <row r="284" spans="1:2" x14ac:dyDescent="0.35">
      <c r="A284" t="s">
        <v>282</v>
      </c>
      <c r="B284" s="7" t="s">
        <v>1108</v>
      </c>
    </row>
    <row r="285" spans="1:2" x14ac:dyDescent="0.35">
      <c r="A285" t="s">
        <v>283</v>
      </c>
      <c r="B285" s="7" t="s">
        <v>1109</v>
      </c>
    </row>
    <row r="286" spans="1:2" x14ac:dyDescent="0.35">
      <c r="A286" s="2" t="s">
        <v>284</v>
      </c>
    </row>
    <row r="287" spans="1:2" x14ac:dyDescent="0.35">
      <c r="A287" t="s">
        <v>285</v>
      </c>
      <c r="B287" s="7" t="s">
        <v>1110</v>
      </c>
    </row>
    <row r="288" spans="1:2" x14ac:dyDescent="0.35">
      <c r="A288" t="s">
        <v>101</v>
      </c>
      <c r="B288" s="7" t="s">
        <v>930</v>
      </c>
    </row>
    <row r="289" spans="1:2" x14ac:dyDescent="0.35">
      <c r="A289" t="s">
        <v>287</v>
      </c>
      <c r="B289" s="7" t="s">
        <v>1112</v>
      </c>
    </row>
    <row r="290" spans="1:2" x14ac:dyDescent="0.35">
      <c r="A290" t="s">
        <v>288</v>
      </c>
      <c r="B290" s="7" t="s">
        <v>1113</v>
      </c>
    </row>
    <row r="291" spans="1:2" x14ac:dyDescent="0.35">
      <c r="A291" t="s">
        <v>289</v>
      </c>
      <c r="B291" s="7" t="s">
        <v>1114</v>
      </c>
    </row>
    <row r="292" spans="1:2" x14ac:dyDescent="0.35">
      <c r="A292" t="s">
        <v>290</v>
      </c>
      <c r="B292" s="7" t="s">
        <v>1115</v>
      </c>
    </row>
    <row r="293" spans="1:2" x14ac:dyDescent="0.35">
      <c r="A293" t="s">
        <v>291</v>
      </c>
      <c r="B293" s="7" t="s">
        <v>1116</v>
      </c>
    </row>
    <row r="294" spans="1:2" x14ac:dyDescent="0.35">
      <c r="A294" t="s">
        <v>292</v>
      </c>
      <c r="B294" s="7" t="s">
        <v>1117</v>
      </c>
    </row>
    <row r="295" spans="1:2" x14ac:dyDescent="0.35">
      <c r="A295" t="s">
        <v>293</v>
      </c>
      <c r="B295" s="7" t="s">
        <v>1118</v>
      </c>
    </row>
    <row r="296" spans="1:2" x14ac:dyDescent="0.35">
      <c r="A296" t="s">
        <v>294</v>
      </c>
      <c r="B296" s="7" t="s">
        <v>1119</v>
      </c>
    </row>
    <row r="297" spans="1:2" x14ac:dyDescent="0.35">
      <c r="A297" t="s">
        <v>295</v>
      </c>
      <c r="B297" s="7" t="s">
        <v>1120</v>
      </c>
    </row>
    <row r="298" spans="1:2" x14ac:dyDescent="0.35">
      <c r="A298" t="s">
        <v>296</v>
      </c>
      <c r="B298" s="7" t="s">
        <v>1121</v>
      </c>
    </row>
    <row r="299" spans="1:2" x14ac:dyDescent="0.35">
      <c r="A299" t="s">
        <v>297</v>
      </c>
      <c r="B299" s="7" t="s">
        <v>1122</v>
      </c>
    </row>
    <row r="300" spans="1:2" x14ac:dyDescent="0.35">
      <c r="A300" t="s">
        <v>298</v>
      </c>
      <c r="B300" s="7" t="s">
        <v>1123</v>
      </c>
    </row>
    <row r="301" spans="1:2" x14ac:dyDescent="0.35">
      <c r="A301" t="s">
        <v>299</v>
      </c>
      <c r="B301" s="7" t="s">
        <v>1124</v>
      </c>
    </row>
    <row r="302" spans="1:2" x14ac:dyDescent="0.35">
      <c r="A302" t="s">
        <v>300</v>
      </c>
      <c r="B302" s="7" t="s">
        <v>1125</v>
      </c>
    </row>
    <row r="303" spans="1:2" x14ac:dyDescent="0.35">
      <c r="A303" t="s">
        <v>301</v>
      </c>
      <c r="B303" s="7" t="s">
        <v>1126</v>
      </c>
    </row>
    <row r="304" spans="1:2" x14ac:dyDescent="0.35">
      <c r="A304" t="s">
        <v>302</v>
      </c>
      <c r="B304" s="7" t="s">
        <v>1127</v>
      </c>
    </row>
    <row r="305" spans="1:2" x14ac:dyDescent="0.35">
      <c r="A305" t="s">
        <v>303</v>
      </c>
      <c r="B305" s="7" t="s">
        <v>1128</v>
      </c>
    </row>
    <row r="306" spans="1:2" x14ac:dyDescent="0.35">
      <c r="A306" t="s">
        <v>304</v>
      </c>
      <c r="B306" s="7" t="s">
        <v>1129</v>
      </c>
    </row>
    <row r="307" spans="1:2" x14ac:dyDescent="0.35">
      <c r="A307" t="s">
        <v>305</v>
      </c>
      <c r="B307" s="7" t="s">
        <v>1130</v>
      </c>
    </row>
    <row r="308" spans="1:2" x14ac:dyDescent="0.35">
      <c r="A308" t="s">
        <v>306</v>
      </c>
      <c r="B308" s="7" t="s">
        <v>1131</v>
      </c>
    </row>
    <row r="309" spans="1:2" x14ac:dyDescent="0.35">
      <c r="A309" t="s">
        <v>307</v>
      </c>
      <c r="B309" s="7" t="s">
        <v>1132</v>
      </c>
    </row>
    <row r="310" spans="1:2" x14ac:dyDescent="0.35">
      <c r="A310" t="s">
        <v>308</v>
      </c>
      <c r="B310" s="7" t="s">
        <v>1133</v>
      </c>
    </row>
    <row r="311" spans="1:2" x14ac:dyDescent="0.35">
      <c r="A311" t="s">
        <v>309</v>
      </c>
      <c r="B311" s="7" t="s">
        <v>1134</v>
      </c>
    </row>
    <row r="312" spans="1:2" x14ac:dyDescent="0.35">
      <c r="A312" t="s">
        <v>310</v>
      </c>
      <c r="B312" s="7" t="s">
        <v>1135</v>
      </c>
    </row>
    <row r="313" spans="1:2" x14ac:dyDescent="0.35">
      <c r="A313" t="s">
        <v>311</v>
      </c>
      <c r="B313" s="7" t="s">
        <v>1136</v>
      </c>
    </row>
    <row r="314" spans="1:2" x14ac:dyDescent="0.35">
      <c r="A314" t="s">
        <v>312</v>
      </c>
      <c r="B314" s="7" t="s">
        <v>1137</v>
      </c>
    </row>
    <row r="315" spans="1:2" x14ac:dyDescent="0.35">
      <c r="A315" t="s">
        <v>313</v>
      </c>
      <c r="B315" s="7" t="s">
        <v>1138</v>
      </c>
    </row>
    <row r="316" spans="1:2" x14ac:dyDescent="0.35">
      <c r="A316" t="s">
        <v>314</v>
      </c>
      <c r="B316" s="7" t="s">
        <v>1139</v>
      </c>
    </row>
    <row r="317" spans="1:2" x14ac:dyDescent="0.35">
      <c r="A317" t="s">
        <v>315</v>
      </c>
      <c r="B317" s="7" t="s">
        <v>1140</v>
      </c>
    </row>
    <row r="318" spans="1:2" x14ac:dyDescent="0.35">
      <c r="A318" t="s">
        <v>316</v>
      </c>
      <c r="B318" s="7" t="s">
        <v>1141</v>
      </c>
    </row>
    <row r="319" spans="1:2" x14ac:dyDescent="0.35">
      <c r="A319" t="s">
        <v>317</v>
      </c>
      <c r="B319" s="7" t="s">
        <v>1142</v>
      </c>
    </row>
    <row r="320" spans="1:2" x14ac:dyDescent="0.35">
      <c r="A320" t="s">
        <v>318</v>
      </c>
      <c r="B320" s="7" t="s">
        <v>1143</v>
      </c>
    </row>
    <row r="321" spans="1:2" x14ac:dyDescent="0.35">
      <c r="A321" t="s">
        <v>319</v>
      </c>
      <c r="B321" s="7" t="s">
        <v>1144</v>
      </c>
    </row>
    <row r="322" spans="1:2" x14ac:dyDescent="0.35">
      <c r="A322" t="s">
        <v>320</v>
      </c>
      <c r="B322" s="7" t="s">
        <v>1145</v>
      </c>
    </row>
    <row r="323" spans="1:2" x14ac:dyDescent="0.35">
      <c r="A323" t="s">
        <v>321</v>
      </c>
      <c r="B323" s="7" t="s">
        <v>1146</v>
      </c>
    </row>
    <row r="324" spans="1:2" x14ac:dyDescent="0.35">
      <c r="A324" t="s">
        <v>322</v>
      </c>
      <c r="B324" s="7" t="s">
        <v>1147</v>
      </c>
    </row>
    <row r="325" spans="1:2" x14ac:dyDescent="0.35">
      <c r="A325" t="s">
        <v>323</v>
      </c>
      <c r="B325" s="7" t="s">
        <v>1148</v>
      </c>
    </row>
    <row r="326" spans="1:2" x14ac:dyDescent="0.35">
      <c r="A326" t="s">
        <v>324</v>
      </c>
      <c r="B326" s="7" t="s">
        <v>1149</v>
      </c>
    </row>
    <row r="327" spans="1:2" x14ac:dyDescent="0.35">
      <c r="A327" t="s">
        <v>325</v>
      </c>
      <c r="B327" s="7" t="s">
        <v>1150</v>
      </c>
    </row>
    <row r="328" spans="1:2" x14ac:dyDescent="0.35">
      <c r="A328" t="s">
        <v>326</v>
      </c>
      <c r="B328" s="7" t="s">
        <v>1151</v>
      </c>
    </row>
    <row r="329" spans="1:2" x14ac:dyDescent="0.35">
      <c r="A329" t="s">
        <v>327</v>
      </c>
      <c r="B329" s="7" t="s">
        <v>1152</v>
      </c>
    </row>
    <row r="330" spans="1:2" x14ac:dyDescent="0.35">
      <c r="A330" t="s">
        <v>328</v>
      </c>
      <c r="B330" s="7" t="s">
        <v>1153</v>
      </c>
    </row>
    <row r="331" spans="1:2" x14ac:dyDescent="0.35">
      <c r="A331" t="s">
        <v>329</v>
      </c>
      <c r="B331" s="7" t="s">
        <v>1154</v>
      </c>
    </row>
    <row r="332" spans="1:2" x14ac:dyDescent="0.35">
      <c r="A332" t="s">
        <v>330</v>
      </c>
      <c r="B332" s="7" t="s">
        <v>1155</v>
      </c>
    </row>
    <row r="333" spans="1:2" x14ac:dyDescent="0.35">
      <c r="A333" t="s">
        <v>331</v>
      </c>
      <c r="B333" s="7" t="s">
        <v>1156</v>
      </c>
    </row>
    <row r="334" spans="1:2" x14ac:dyDescent="0.35">
      <c r="A334" t="s">
        <v>332</v>
      </c>
      <c r="B334" s="7" t="s">
        <v>1157</v>
      </c>
    </row>
    <row r="335" spans="1:2" x14ac:dyDescent="0.35">
      <c r="A335" t="s">
        <v>333</v>
      </c>
      <c r="B335" s="7" t="s">
        <v>1158</v>
      </c>
    </row>
    <row r="336" spans="1:2" x14ac:dyDescent="0.35">
      <c r="A336" t="s">
        <v>334</v>
      </c>
      <c r="B336" s="7" t="s">
        <v>1159</v>
      </c>
    </row>
    <row r="337" spans="1:2" x14ac:dyDescent="0.35">
      <c r="A337" t="s">
        <v>335</v>
      </c>
      <c r="B337" s="7" t="s">
        <v>1160</v>
      </c>
    </row>
    <row r="338" spans="1:2" x14ac:dyDescent="0.35">
      <c r="A338" t="s">
        <v>336</v>
      </c>
      <c r="B338" s="7" t="s">
        <v>1161</v>
      </c>
    </row>
    <row r="339" spans="1:2" x14ac:dyDescent="0.35">
      <c r="A339" t="s">
        <v>337</v>
      </c>
      <c r="B339" s="7" t="s">
        <v>1161</v>
      </c>
    </row>
    <row r="340" spans="1:2" x14ac:dyDescent="0.35">
      <c r="A340" t="s">
        <v>338</v>
      </c>
      <c r="B340" s="7" t="s">
        <v>1162</v>
      </c>
    </row>
    <row r="341" spans="1:2" x14ac:dyDescent="0.35">
      <c r="A341" t="s">
        <v>339</v>
      </c>
      <c r="B341" s="7" t="s">
        <v>1163</v>
      </c>
    </row>
    <row r="342" spans="1:2" x14ac:dyDescent="0.35">
      <c r="A342" t="s">
        <v>340</v>
      </c>
      <c r="B342" s="7" t="s">
        <v>1164</v>
      </c>
    </row>
    <row r="343" spans="1:2" x14ac:dyDescent="0.35">
      <c r="A343" t="s">
        <v>341</v>
      </c>
      <c r="B343" s="7" t="s">
        <v>1165</v>
      </c>
    </row>
    <row r="344" spans="1:2" x14ac:dyDescent="0.35">
      <c r="A344" t="s">
        <v>342</v>
      </c>
      <c r="B344" s="7" t="s">
        <v>1166</v>
      </c>
    </row>
    <row r="345" spans="1:2" x14ac:dyDescent="0.35">
      <c r="A345" t="s">
        <v>343</v>
      </c>
      <c r="B345" s="7" t="s">
        <v>1167</v>
      </c>
    </row>
    <row r="346" spans="1:2" x14ac:dyDescent="0.35">
      <c r="A346" t="s">
        <v>344</v>
      </c>
      <c r="B346" s="7" t="s">
        <v>1168</v>
      </c>
    </row>
    <row r="347" spans="1:2" x14ac:dyDescent="0.35">
      <c r="A347" t="s">
        <v>345</v>
      </c>
      <c r="B347" s="7" t="s">
        <v>1169</v>
      </c>
    </row>
    <row r="348" spans="1:2" x14ac:dyDescent="0.35">
      <c r="A348" t="s">
        <v>346</v>
      </c>
      <c r="B348" s="7" t="s">
        <v>1170</v>
      </c>
    </row>
    <row r="349" spans="1:2" x14ac:dyDescent="0.35">
      <c r="A349" t="s">
        <v>347</v>
      </c>
      <c r="B349" s="7" t="s">
        <v>1171</v>
      </c>
    </row>
    <row r="350" spans="1:2" x14ac:dyDescent="0.35">
      <c r="A350" t="s">
        <v>348</v>
      </c>
      <c r="B350" s="7" t="s">
        <v>1172</v>
      </c>
    </row>
    <row r="351" spans="1:2" x14ac:dyDescent="0.35">
      <c r="A351" t="s">
        <v>349</v>
      </c>
      <c r="B351" s="7" t="s">
        <v>1173</v>
      </c>
    </row>
    <row r="352" spans="1:2" x14ac:dyDescent="0.35">
      <c r="A352" t="s">
        <v>350</v>
      </c>
      <c r="B352" s="7" t="s">
        <v>1174</v>
      </c>
    </row>
    <row r="353" spans="1:2" x14ac:dyDescent="0.35">
      <c r="A353" t="s">
        <v>351</v>
      </c>
      <c r="B353" s="7" t="s">
        <v>1175</v>
      </c>
    </row>
    <row r="354" spans="1:2" x14ac:dyDescent="0.35">
      <c r="A354" t="s">
        <v>352</v>
      </c>
      <c r="B354" s="7" t="s">
        <v>1176</v>
      </c>
    </row>
    <row r="355" spans="1:2" x14ac:dyDescent="0.35">
      <c r="A355" t="s">
        <v>353</v>
      </c>
      <c r="B355" s="7" t="s">
        <v>1177</v>
      </c>
    </row>
    <row r="356" spans="1:2" x14ac:dyDescent="0.35">
      <c r="A356" t="s">
        <v>354</v>
      </c>
      <c r="B356" s="7" t="s">
        <v>1178</v>
      </c>
    </row>
    <row r="357" spans="1:2" x14ac:dyDescent="0.35">
      <c r="A357" t="s">
        <v>355</v>
      </c>
      <c r="B357" s="7" t="s">
        <v>1179</v>
      </c>
    </row>
    <row r="358" spans="1:2" x14ac:dyDescent="0.35">
      <c r="A358" t="s">
        <v>356</v>
      </c>
      <c r="B358" s="7" t="s">
        <v>1180</v>
      </c>
    </row>
    <row r="359" spans="1:2" x14ac:dyDescent="0.35">
      <c r="A359" t="s">
        <v>357</v>
      </c>
      <c r="B359" s="7" t="s">
        <v>1181</v>
      </c>
    </row>
    <row r="360" spans="1:2" x14ac:dyDescent="0.35">
      <c r="A360" t="s">
        <v>358</v>
      </c>
      <c r="B360" s="7" t="s">
        <v>1182</v>
      </c>
    </row>
    <row r="361" spans="1:2" x14ac:dyDescent="0.35">
      <c r="A361" t="s">
        <v>359</v>
      </c>
      <c r="B361" s="7" t="s">
        <v>1183</v>
      </c>
    </row>
    <row r="362" spans="1:2" x14ac:dyDescent="0.35">
      <c r="A362" t="s">
        <v>360</v>
      </c>
      <c r="B362" s="7" t="s">
        <v>1184</v>
      </c>
    </row>
    <row r="363" spans="1:2" x14ac:dyDescent="0.35">
      <c r="A363" t="s">
        <v>361</v>
      </c>
      <c r="B363" s="7" t="s">
        <v>1185</v>
      </c>
    </row>
    <row r="364" spans="1:2" x14ac:dyDescent="0.35">
      <c r="A364" t="s">
        <v>362</v>
      </c>
      <c r="B364" s="7" t="s">
        <v>1186</v>
      </c>
    </row>
    <row r="365" spans="1:2" x14ac:dyDescent="0.35">
      <c r="A365" t="s">
        <v>363</v>
      </c>
      <c r="B365" s="7" t="s">
        <v>1187</v>
      </c>
    </row>
    <row r="366" spans="1:2" x14ac:dyDescent="0.35">
      <c r="A366" t="s">
        <v>364</v>
      </c>
      <c r="B366" s="7" t="s">
        <v>1188</v>
      </c>
    </row>
    <row r="367" spans="1:2" x14ac:dyDescent="0.35">
      <c r="A367" t="s">
        <v>365</v>
      </c>
      <c r="B367" s="7" t="s">
        <v>1189</v>
      </c>
    </row>
    <row r="368" spans="1:2" x14ac:dyDescent="0.35">
      <c r="A368" t="s">
        <v>366</v>
      </c>
      <c r="B368" s="7" t="s">
        <v>1190</v>
      </c>
    </row>
    <row r="369" spans="1:2" x14ac:dyDescent="0.35">
      <c r="A369" t="s">
        <v>367</v>
      </c>
      <c r="B369" s="7" t="s">
        <v>1191</v>
      </c>
    </row>
    <row r="370" spans="1:2" x14ac:dyDescent="0.35">
      <c r="A370" t="s">
        <v>368</v>
      </c>
      <c r="B370" s="7" t="s">
        <v>1192</v>
      </c>
    </row>
    <row r="371" spans="1:2" x14ac:dyDescent="0.35">
      <c r="A371" t="s">
        <v>369</v>
      </c>
      <c r="B371" s="7" t="s">
        <v>1193</v>
      </c>
    </row>
    <row r="372" spans="1:2" x14ac:dyDescent="0.35">
      <c r="A372" t="s">
        <v>370</v>
      </c>
      <c r="B372" s="7" t="s">
        <v>1194</v>
      </c>
    </row>
    <row r="373" spans="1:2" x14ac:dyDescent="0.35">
      <c r="A373" t="s">
        <v>371</v>
      </c>
      <c r="B373" s="7" t="s">
        <v>1195</v>
      </c>
    </row>
    <row r="374" spans="1:2" x14ac:dyDescent="0.35">
      <c r="A374" t="s">
        <v>372</v>
      </c>
      <c r="B374" s="7" t="s">
        <v>1196</v>
      </c>
    </row>
    <row r="375" spans="1:2" x14ac:dyDescent="0.35">
      <c r="A375" t="s">
        <v>373</v>
      </c>
      <c r="B375" s="7" t="s">
        <v>1197</v>
      </c>
    </row>
    <row r="376" spans="1:2" x14ac:dyDescent="0.35">
      <c r="A376" t="s">
        <v>374</v>
      </c>
      <c r="B376" s="7" t="s">
        <v>1198</v>
      </c>
    </row>
    <row r="377" spans="1:2" x14ac:dyDescent="0.35">
      <c r="A377" t="s">
        <v>375</v>
      </c>
      <c r="B377" s="7" t="s">
        <v>1199</v>
      </c>
    </row>
    <row r="378" spans="1:2" x14ac:dyDescent="0.35">
      <c r="A378" t="s">
        <v>376</v>
      </c>
      <c r="B378" s="7" t="s">
        <v>1200</v>
      </c>
    </row>
    <row r="379" spans="1:2" x14ac:dyDescent="0.35">
      <c r="A379" t="s">
        <v>377</v>
      </c>
      <c r="B379" s="7" t="s">
        <v>1201</v>
      </c>
    </row>
    <row r="380" spans="1:2" x14ac:dyDescent="0.35">
      <c r="A380" t="s">
        <v>378</v>
      </c>
      <c r="B380" s="7" t="s">
        <v>1202</v>
      </c>
    </row>
    <row r="381" spans="1:2" x14ac:dyDescent="0.35">
      <c r="A381" t="s">
        <v>379</v>
      </c>
      <c r="B381" s="7" t="s">
        <v>1203</v>
      </c>
    </row>
    <row r="382" spans="1:2" x14ac:dyDescent="0.35">
      <c r="A382" t="s">
        <v>380</v>
      </c>
      <c r="B382" s="7" t="s">
        <v>1204</v>
      </c>
    </row>
    <row r="383" spans="1:2" x14ac:dyDescent="0.35">
      <c r="A383" t="s">
        <v>381</v>
      </c>
      <c r="B383" s="7" t="s">
        <v>1205</v>
      </c>
    </row>
    <row r="384" spans="1:2" x14ac:dyDescent="0.35">
      <c r="A384" t="s">
        <v>382</v>
      </c>
      <c r="B384" s="7" t="s">
        <v>1206</v>
      </c>
    </row>
    <row r="385" spans="1:2" x14ac:dyDescent="0.35">
      <c r="A385" t="s">
        <v>383</v>
      </c>
      <c r="B385" s="7" t="s">
        <v>1207</v>
      </c>
    </row>
    <row r="386" spans="1:2" x14ac:dyDescent="0.35">
      <c r="A386" t="s">
        <v>384</v>
      </c>
      <c r="B386" s="7" t="s">
        <v>1208</v>
      </c>
    </row>
    <row r="387" spans="1:2" x14ac:dyDescent="0.35">
      <c r="A387" t="s">
        <v>385</v>
      </c>
      <c r="B387" s="7" t="s">
        <v>1209</v>
      </c>
    </row>
    <row r="388" spans="1:2" x14ac:dyDescent="0.35">
      <c r="A388" t="s">
        <v>386</v>
      </c>
      <c r="B388" s="7" t="s">
        <v>1210</v>
      </c>
    </row>
    <row r="389" spans="1:2" x14ac:dyDescent="0.35">
      <c r="A389" t="s">
        <v>387</v>
      </c>
      <c r="B389" s="7" t="s">
        <v>1211</v>
      </c>
    </row>
    <row r="390" spans="1:2" x14ac:dyDescent="0.35">
      <c r="A390" t="s">
        <v>388</v>
      </c>
      <c r="B390" s="7" t="s">
        <v>1212</v>
      </c>
    </row>
    <row r="391" spans="1:2" x14ac:dyDescent="0.35">
      <c r="A391" t="s">
        <v>389</v>
      </c>
      <c r="B391" s="7" t="s">
        <v>1213</v>
      </c>
    </row>
    <row r="392" spans="1:2" x14ac:dyDescent="0.35">
      <c r="A392" t="s">
        <v>390</v>
      </c>
      <c r="B392" s="7" t="s">
        <v>1214</v>
      </c>
    </row>
    <row r="393" spans="1:2" x14ac:dyDescent="0.35">
      <c r="A393" t="s">
        <v>391</v>
      </c>
      <c r="B393" s="7" t="s">
        <v>1215</v>
      </c>
    </row>
    <row r="394" spans="1:2" x14ac:dyDescent="0.35">
      <c r="A394" t="s">
        <v>392</v>
      </c>
      <c r="B394" s="7" t="s">
        <v>1216</v>
      </c>
    </row>
    <row r="395" spans="1:2" x14ac:dyDescent="0.35">
      <c r="A395" t="s">
        <v>393</v>
      </c>
      <c r="B395" s="7" t="s">
        <v>1217</v>
      </c>
    </row>
    <row r="396" spans="1:2" x14ac:dyDescent="0.35">
      <c r="A396" t="s">
        <v>394</v>
      </c>
      <c r="B396" s="7" t="s">
        <v>1218</v>
      </c>
    </row>
    <row r="397" spans="1:2" x14ac:dyDescent="0.35">
      <c r="A397" t="s">
        <v>395</v>
      </c>
      <c r="B397" s="7" t="s">
        <v>1219</v>
      </c>
    </row>
    <row r="398" spans="1:2" x14ac:dyDescent="0.35">
      <c r="A398" t="s">
        <v>396</v>
      </c>
      <c r="B398" s="7" t="s">
        <v>1220</v>
      </c>
    </row>
    <row r="399" spans="1:2" x14ac:dyDescent="0.35">
      <c r="A399" t="s">
        <v>397</v>
      </c>
      <c r="B399" s="7" t="s">
        <v>1221</v>
      </c>
    </row>
    <row r="400" spans="1:2" x14ac:dyDescent="0.35">
      <c r="A400" t="s">
        <v>398</v>
      </c>
      <c r="B400" s="7" t="s">
        <v>1222</v>
      </c>
    </row>
    <row r="401" spans="1:2" x14ac:dyDescent="0.35">
      <c r="A401" t="s">
        <v>399</v>
      </c>
      <c r="B401" s="7" t="s">
        <v>1223</v>
      </c>
    </row>
    <row r="402" spans="1:2" x14ac:dyDescent="0.35">
      <c r="A402" t="s">
        <v>400</v>
      </c>
      <c r="B402" s="7" t="s">
        <v>1224</v>
      </c>
    </row>
    <row r="403" spans="1:2" x14ac:dyDescent="0.35">
      <c r="A403" t="s">
        <v>401</v>
      </c>
      <c r="B403" s="7" t="s">
        <v>1225</v>
      </c>
    </row>
    <row r="404" spans="1:2" x14ac:dyDescent="0.35">
      <c r="A404" t="s">
        <v>402</v>
      </c>
      <c r="B404" s="7" t="s">
        <v>1226</v>
      </c>
    </row>
    <row r="405" spans="1:2" x14ac:dyDescent="0.35">
      <c r="A405" t="s">
        <v>403</v>
      </c>
      <c r="B405" s="7" t="s">
        <v>1227</v>
      </c>
    </row>
    <row r="406" spans="1:2" x14ac:dyDescent="0.35">
      <c r="A406" t="s">
        <v>404</v>
      </c>
      <c r="B406" s="7" t="s">
        <v>1228</v>
      </c>
    </row>
    <row r="407" spans="1:2" x14ac:dyDescent="0.35">
      <c r="A407" t="s">
        <v>405</v>
      </c>
      <c r="B407" s="7" t="s">
        <v>1229</v>
      </c>
    </row>
    <row r="408" spans="1:2" x14ac:dyDescent="0.35">
      <c r="A408" t="s">
        <v>75</v>
      </c>
      <c r="B408" s="7" t="s">
        <v>904</v>
      </c>
    </row>
    <row r="409" spans="1:2" x14ac:dyDescent="0.35">
      <c r="A409" t="s">
        <v>407</v>
      </c>
      <c r="B409" s="7" t="s">
        <v>1231</v>
      </c>
    </row>
    <row r="410" spans="1:2" x14ac:dyDescent="0.35">
      <c r="A410" s="3" t="s">
        <v>408</v>
      </c>
      <c r="B410" s="7" t="s">
        <v>1232</v>
      </c>
    </row>
    <row r="411" spans="1:2" x14ac:dyDescent="0.35">
      <c r="A411" t="s">
        <v>409</v>
      </c>
      <c r="B411" s="7" t="s">
        <v>1233</v>
      </c>
    </row>
    <row r="412" spans="1:2" x14ac:dyDescent="0.35">
      <c r="A412" t="s">
        <v>410</v>
      </c>
      <c r="B412" s="7" t="s">
        <v>1234</v>
      </c>
    </row>
    <row r="413" spans="1:2" x14ac:dyDescent="0.35">
      <c r="A413" t="s">
        <v>411</v>
      </c>
      <c r="B413" s="7" t="s">
        <v>1235</v>
      </c>
    </row>
    <row r="414" spans="1:2" x14ac:dyDescent="0.35">
      <c r="A414" t="s">
        <v>412</v>
      </c>
      <c r="B414" s="7" t="s">
        <v>1236</v>
      </c>
    </row>
    <row r="415" spans="1:2" x14ac:dyDescent="0.35">
      <c r="A415" t="s">
        <v>413</v>
      </c>
      <c r="B415" s="7" t="s">
        <v>1237</v>
      </c>
    </row>
    <row r="416" spans="1:2" x14ac:dyDescent="0.35">
      <c r="A416" t="s">
        <v>414</v>
      </c>
      <c r="B416" s="7" t="s">
        <v>1238</v>
      </c>
    </row>
    <row r="417" spans="1:2" x14ac:dyDescent="0.35">
      <c r="A417" t="s">
        <v>415</v>
      </c>
      <c r="B417" s="7" t="s">
        <v>1239</v>
      </c>
    </row>
    <row r="418" spans="1:2" x14ac:dyDescent="0.35">
      <c r="A418" t="s">
        <v>416</v>
      </c>
      <c r="B418" s="7" t="s">
        <v>1240</v>
      </c>
    </row>
    <row r="419" spans="1:2" x14ac:dyDescent="0.35">
      <c r="A419" t="s">
        <v>417</v>
      </c>
      <c r="B419" s="7" t="s">
        <v>1241</v>
      </c>
    </row>
    <row r="420" spans="1:2" x14ac:dyDescent="0.35">
      <c r="A420" t="s">
        <v>418</v>
      </c>
      <c r="B420" s="7" t="s">
        <v>1242</v>
      </c>
    </row>
    <row r="421" spans="1:2" x14ac:dyDescent="0.35">
      <c r="A421" t="s">
        <v>419</v>
      </c>
      <c r="B421" s="7" t="s">
        <v>1243</v>
      </c>
    </row>
    <row r="422" spans="1:2" x14ac:dyDescent="0.35">
      <c r="A422" t="s">
        <v>420</v>
      </c>
      <c r="B422" s="7" t="s">
        <v>1244</v>
      </c>
    </row>
    <row r="423" spans="1:2" x14ac:dyDescent="0.35">
      <c r="A423" t="s">
        <v>421</v>
      </c>
      <c r="B423" s="7" t="s">
        <v>1245</v>
      </c>
    </row>
    <row r="424" spans="1:2" x14ac:dyDescent="0.35">
      <c r="A424" t="s">
        <v>422</v>
      </c>
      <c r="B424" s="7" t="s">
        <v>1246</v>
      </c>
    </row>
    <row r="425" spans="1:2" x14ac:dyDescent="0.35">
      <c r="A425" t="s">
        <v>423</v>
      </c>
      <c r="B425" s="7" t="s">
        <v>1247</v>
      </c>
    </row>
    <row r="426" spans="1:2" x14ac:dyDescent="0.35">
      <c r="A426" t="s">
        <v>424</v>
      </c>
      <c r="B426" s="7" t="s">
        <v>1248</v>
      </c>
    </row>
    <row r="427" spans="1:2" x14ac:dyDescent="0.35">
      <c r="A427" t="s">
        <v>425</v>
      </c>
      <c r="B427" s="7" t="s">
        <v>1249</v>
      </c>
    </row>
    <row r="428" spans="1:2" x14ac:dyDescent="0.35">
      <c r="A428" t="s">
        <v>426</v>
      </c>
      <c r="B428" s="7" t="s">
        <v>1250</v>
      </c>
    </row>
    <row r="429" spans="1:2" x14ac:dyDescent="0.35">
      <c r="A429" t="s">
        <v>427</v>
      </c>
      <c r="B429" s="7" t="s">
        <v>1251</v>
      </c>
    </row>
    <row r="430" spans="1:2" x14ac:dyDescent="0.35">
      <c r="A430" t="s">
        <v>428</v>
      </c>
      <c r="B430" s="7" t="s">
        <v>1252</v>
      </c>
    </row>
    <row r="431" spans="1:2" x14ac:dyDescent="0.35">
      <c r="A431" t="s">
        <v>429</v>
      </c>
      <c r="B431" s="7" t="s">
        <v>1253</v>
      </c>
    </row>
    <row r="432" spans="1:2" x14ac:dyDescent="0.35">
      <c r="A432" t="s">
        <v>430</v>
      </c>
      <c r="B432" s="7" t="s">
        <v>1254</v>
      </c>
    </row>
    <row r="433" spans="1:2" x14ac:dyDescent="0.35">
      <c r="A433" t="s">
        <v>431</v>
      </c>
      <c r="B433" s="7" t="s">
        <v>1255</v>
      </c>
    </row>
    <row r="434" spans="1:2" x14ac:dyDescent="0.35">
      <c r="A434" t="s">
        <v>432</v>
      </c>
      <c r="B434" s="7" t="s">
        <v>1256</v>
      </c>
    </row>
    <row r="435" spans="1:2" x14ac:dyDescent="0.35">
      <c r="A435" t="s">
        <v>433</v>
      </c>
      <c r="B435" s="7" t="s">
        <v>1257</v>
      </c>
    </row>
    <row r="436" spans="1:2" x14ac:dyDescent="0.35">
      <c r="A436" t="s">
        <v>434</v>
      </c>
      <c r="B436" s="7" t="s">
        <v>1258</v>
      </c>
    </row>
    <row r="437" spans="1:2" x14ac:dyDescent="0.35">
      <c r="A437" t="s">
        <v>446</v>
      </c>
      <c r="B437" s="7" t="s">
        <v>1270</v>
      </c>
    </row>
    <row r="438" spans="1:2" x14ac:dyDescent="0.35">
      <c r="A438" t="s">
        <v>436</v>
      </c>
      <c r="B438" s="7" t="s">
        <v>1260</v>
      </c>
    </row>
    <row r="439" spans="1:2" x14ac:dyDescent="0.35">
      <c r="A439" t="s">
        <v>437</v>
      </c>
      <c r="B439" s="7" t="s">
        <v>1261</v>
      </c>
    </row>
    <row r="440" spans="1:2" x14ac:dyDescent="0.35">
      <c r="A440" t="s">
        <v>438</v>
      </c>
      <c r="B440" s="7" t="s">
        <v>1262</v>
      </c>
    </row>
    <row r="441" spans="1:2" x14ac:dyDescent="0.35">
      <c r="A441" t="s">
        <v>439</v>
      </c>
      <c r="B441" s="7" t="s">
        <v>1263</v>
      </c>
    </row>
    <row r="442" spans="1:2" x14ac:dyDescent="0.35">
      <c r="A442" t="s">
        <v>440</v>
      </c>
      <c r="B442" s="7" t="s">
        <v>1264</v>
      </c>
    </row>
    <row r="443" spans="1:2" x14ac:dyDescent="0.35">
      <c r="A443" t="s">
        <v>441</v>
      </c>
      <c r="B443" s="7" t="s">
        <v>1265</v>
      </c>
    </row>
    <row r="444" spans="1:2" x14ac:dyDescent="0.35">
      <c r="A444" t="s">
        <v>442</v>
      </c>
      <c r="B444" s="7" t="s">
        <v>1266</v>
      </c>
    </row>
    <row r="445" spans="1:2" x14ac:dyDescent="0.35">
      <c r="A445" t="s">
        <v>443</v>
      </c>
      <c r="B445" s="7" t="s">
        <v>1267</v>
      </c>
    </row>
    <row r="446" spans="1:2" x14ac:dyDescent="0.35">
      <c r="A446" t="s">
        <v>444</v>
      </c>
      <c r="B446" s="7" t="s">
        <v>1268</v>
      </c>
    </row>
    <row r="447" spans="1:2" x14ac:dyDescent="0.35">
      <c r="A447" t="s">
        <v>445</v>
      </c>
      <c r="B447" s="7" t="s">
        <v>1269</v>
      </c>
    </row>
    <row r="448" spans="1:2" x14ac:dyDescent="0.35">
      <c r="A448" t="s">
        <v>598</v>
      </c>
      <c r="B448" s="7" t="s">
        <v>1422</v>
      </c>
    </row>
    <row r="449" spans="1:2" x14ac:dyDescent="0.35">
      <c r="A449" t="s">
        <v>447</v>
      </c>
      <c r="B449" s="7" t="s">
        <v>1271</v>
      </c>
    </row>
    <row r="450" spans="1:2" x14ac:dyDescent="0.35">
      <c r="A450" t="s">
        <v>448</v>
      </c>
      <c r="B450" s="7" t="s">
        <v>1272</v>
      </c>
    </row>
    <row r="451" spans="1:2" x14ac:dyDescent="0.35">
      <c r="A451" t="s">
        <v>233</v>
      </c>
      <c r="B451" s="7" t="s">
        <v>1060</v>
      </c>
    </row>
    <row r="452" spans="1:2" x14ac:dyDescent="0.35">
      <c r="A452" t="s">
        <v>286</v>
      </c>
      <c r="B452" s="7" t="s">
        <v>1111</v>
      </c>
    </row>
    <row r="453" spans="1:2" x14ac:dyDescent="0.35">
      <c r="A453" t="s">
        <v>451</v>
      </c>
      <c r="B453" s="7" t="s">
        <v>1275</v>
      </c>
    </row>
    <row r="454" spans="1:2" x14ac:dyDescent="0.35">
      <c r="A454" t="s">
        <v>452</v>
      </c>
      <c r="B454" s="7" t="s">
        <v>1276</v>
      </c>
    </row>
    <row r="455" spans="1:2" x14ac:dyDescent="0.35">
      <c r="A455" t="s">
        <v>453</v>
      </c>
      <c r="B455" s="7" t="s">
        <v>1277</v>
      </c>
    </row>
    <row r="456" spans="1:2" x14ac:dyDescent="0.35">
      <c r="A456" t="s">
        <v>454</v>
      </c>
      <c r="B456" s="7" t="s">
        <v>1278</v>
      </c>
    </row>
    <row r="457" spans="1:2" x14ac:dyDescent="0.35">
      <c r="A457" t="s">
        <v>455</v>
      </c>
      <c r="B457" s="7" t="s">
        <v>1279</v>
      </c>
    </row>
    <row r="458" spans="1:2" x14ac:dyDescent="0.35">
      <c r="A458" t="s">
        <v>456</v>
      </c>
      <c r="B458" s="7" t="s">
        <v>1280</v>
      </c>
    </row>
    <row r="459" spans="1:2" x14ac:dyDescent="0.35">
      <c r="A459" t="s">
        <v>457</v>
      </c>
      <c r="B459" s="7" t="s">
        <v>1281</v>
      </c>
    </row>
    <row r="460" spans="1:2" x14ac:dyDescent="0.35">
      <c r="A460" t="s">
        <v>458</v>
      </c>
      <c r="B460" s="7" t="s">
        <v>1282</v>
      </c>
    </row>
    <row r="461" spans="1:2" x14ac:dyDescent="0.35">
      <c r="A461" t="s">
        <v>467</v>
      </c>
      <c r="B461" s="7" t="s">
        <v>1291</v>
      </c>
    </row>
    <row r="462" spans="1:2" x14ac:dyDescent="0.35">
      <c r="A462" t="s">
        <v>460</v>
      </c>
      <c r="B462" s="7" t="s">
        <v>1284</v>
      </c>
    </row>
    <row r="463" spans="1:2" x14ac:dyDescent="0.35">
      <c r="A463" t="s">
        <v>461</v>
      </c>
      <c r="B463" s="7" t="s">
        <v>1285</v>
      </c>
    </row>
    <row r="464" spans="1:2" x14ac:dyDescent="0.35">
      <c r="A464" t="s">
        <v>462</v>
      </c>
      <c r="B464" s="7" t="s">
        <v>1286</v>
      </c>
    </row>
    <row r="465" spans="1:2" x14ac:dyDescent="0.35">
      <c r="A465" t="s">
        <v>463</v>
      </c>
      <c r="B465" s="7" t="s">
        <v>1287</v>
      </c>
    </row>
    <row r="466" spans="1:2" x14ac:dyDescent="0.35">
      <c r="A466" t="s">
        <v>464</v>
      </c>
      <c r="B466" s="7" t="s">
        <v>1288</v>
      </c>
    </row>
    <row r="467" spans="1:2" x14ac:dyDescent="0.35">
      <c r="A467" t="s">
        <v>465</v>
      </c>
      <c r="B467" s="7" t="s">
        <v>1289</v>
      </c>
    </row>
    <row r="468" spans="1:2" x14ac:dyDescent="0.35">
      <c r="A468" t="s">
        <v>449</v>
      </c>
      <c r="B468" s="7" t="s">
        <v>1273</v>
      </c>
    </row>
    <row r="469" spans="1:2" x14ac:dyDescent="0.35">
      <c r="A469" t="s">
        <v>435</v>
      </c>
      <c r="B469" s="7" t="s">
        <v>1259</v>
      </c>
    </row>
    <row r="470" spans="1:2" x14ac:dyDescent="0.35">
      <c r="A470" t="s">
        <v>468</v>
      </c>
      <c r="B470" s="7" t="s">
        <v>1292</v>
      </c>
    </row>
    <row r="471" spans="1:2" x14ac:dyDescent="0.35">
      <c r="A471" t="s">
        <v>469</v>
      </c>
      <c r="B471" s="7" t="s">
        <v>1293</v>
      </c>
    </row>
    <row r="472" spans="1:2" x14ac:dyDescent="0.35">
      <c r="A472" t="s">
        <v>470</v>
      </c>
      <c r="B472" s="7" t="s">
        <v>1294</v>
      </c>
    </row>
    <row r="473" spans="1:2" x14ac:dyDescent="0.35">
      <c r="A473" t="s">
        <v>471</v>
      </c>
      <c r="B473" s="7" t="s">
        <v>1295</v>
      </c>
    </row>
    <row r="474" spans="1:2" x14ac:dyDescent="0.35">
      <c r="A474" t="s">
        <v>472</v>
      </c>
      <c r="B474" s="7" t="s">
        <v>1296</v>
      </c>
    </row>
    <row r="475" spans="1:2" x14ac:dyDescent="0.35">
      <c r="A475" t="s">
        <v>473</v>
      </c>
      <c r="B475" s="7" t="s">
        <v>1297</v>
      </c>
    </row>
    <row r="476" spans="1:2" x14ac:dyDescent="0.35">
      <c r="A476" t="s">
        <v>474</v>
      </c>
      <c r="B476" s="7" t="s">
        <v>1298</v>
      </c>
    </row>
    <row r="477" spans="1:2" x14ac:dyDescent="0.35">
      <c r="A477" t="s">
        <v>475</v>
      </c>
      <c r="B477" s="7" t="s">
        <v>1299</v>
      </c>
    </row>
    <row r="478" spans="1:2" x14ac:dyDescent="0.35">
      <c r="A478" t="s">
        <v>476</v>
      </c>
      <c r="B478" s="7" t="s">
        <v>1300</v>
      </c>
    </row>
    <row r="479" spans="1:2" x14ac:dyDescent="0.35">
      <c r="A479" t="s">
        <v>477</v>
      </c>
      <c r="B479" s="7" t="s">
        <v>1301</v>
      </c>
    </row>
    <row r="480" spans="1:2" x14ac:dyDescent="0.35">
      <c r="A480" t="s">
        <v>478</v>
      </c>
      <c r="B480" s="7" t="s">
        <v>1302</v>
      </c>
    </row>
    <row r="481" spans="1:2" x14ac:dyDescent="0.35">
      <c r="A481" t="s">
        <v>479</v>
      </c>
      <c r="B481" s="7" t="s">
        <v>1303</v>
      </c>
    </row>
    <row r="482" spans="1:2" x14ac:dyDescent="0.35">
      <c r="A482" t="s">
        <v>480</v>
      </c>
      <c r="B482" s="7" t="s">
        <v>1304</v>
      </c>
    </row>
    <row r="483" spans="1:2" x14ac:dyDescent="0.35">
      <c r="A483" t="s">
        <v>481</v>
      </c>
      <c r="B483" s="7" t="s">
        <v>1305</v>
      </c>
    </row>
    <row r="484" spans="1:2" x14ac:dyDescent="0.35">
      <c r="A484" t="s">
        <v>482</v>
      </c>
      <c r="B484" s="7" t="s">
        <v>1306</v>
      </c>
    </row>
    <row r="485" spans="1:2" x14ac:dyDescent="0.35">
      <c r="A485" s="2" t="s">
        <v>483</v>
      </c>
      <c r="B485" t="s">
        <v>1307</v>
      </c>
    </row>
    <row r="486" spans="1:2" x14ac:dyDescent="0.35">
      <c r="A486" t="s">
        <v>484</v>
      </c>
      <c r="B486" s="7" t="s">
        <v>1308</v>
      </c>
    </row>
    <row r="487" spans="1:2" x14ac:dyDescent="0.35">
      <c r="A487" t="s">
        <v>485</v>
      </c>
      <c r="B487" s="7" t="s">
        <v>1309</v>
      </c>
    </row>
    <row r="488" spans="1:2" x14ac:dyDescent="0.35">
      <c r="A488" t="s">
        <v>486</v>
      </c>
      <c r="B488" s="7" t="s">
        <v>1310</v>
      </c>
    </row>
    <row r="489" spans="1:2" x14ac:dyDescent="0.35">
      <c r="A489" t="s">
        <v>255</v>
      </c>
      <c r="B489" s="7" t="s">
        <v>1081</v>
      </c>
    </row>
    <row r="490" spans="1:2" x14ac:dyDescent="0.35">
      <c r="A490" t="s">
        <v>488</v>
      </c>
      <c r="B490" s="7" t="s">
        <v>1312</v>
      </c>
    </row>
    <row r="491" spans="1:2" x14ac:dyDescent="0.35">
      <c r="A491" t="s">
        <v>489</v>
      </c>
      <c r="B491" s="7" t="s">
        <v>1313</v>
      </c>
    </row>
    <row r="492" spans="1:2" x14ac:dyDescent="0.35">
      <c r="A492" t="s">
        <v>490</v>
      </c>
      <c r="B492" s="7" t="s">
        <v>1314</v>
      </c>
    </row>
    <row r="493" spans="1:2" x14ac:dyDescent="0.35">
      <c r="A493" t="s">
        <v>491</v>
      </c>
      <c r="B493" s="7" t="s">
        <v>1315</v>
      </c>
    </row>
    <row r="494" spans="1:2" x14ac:dyDescent="0.35">
      <c r="A494" t="s">
        <v>492</v>
      </c>
      <c r="B494" s="7" t="s">
        <v>1316</v>
      </c>
    </row>
    <row r="495" spans="1:2" x14ac:dyDescent="0.35">
      <c r="A495" t="s">
        <v>493</v>
      </c>
      <c r="B495" s="7" t="s">
        <v>1317</v>
      </c>
    </row>
    <row r="496" spans="1:2" x14ac:dyDescent="0.35">
      <c r="A496" t="s">
        <v>494</v>
      </c>
      <c r="B496" s="7" t="s">
        <v>1318</v>
      </c>
    </row>
    <row r="497" spans="1:2" x14ac:dyDescent="0.35">
      <c r="A497" t="s">
        <v>495</v>
      </c>
      <c r="B497" s="7" t="s">
        <v>1319</v>
      </c>
    </row>
    <row r="498" spans="1:2" x14ac:dyDescent="0.35">
      <c r="A498" t="s">
        <v>496</v>
      </c>
      <c r="B498" s="7" t="s">
        <v>1320</v>
      </c>
    </row>
    <row r="499" spans="1:2" x14ac:dyDescent="0.35">
      <c r="A499" t="s">
        <v>497</v>
      </c>
      <c r="B499" s="7" t="s">
        <v>1321</v>
      </c>
    </row>
    <row r="500" spans="1:2" x14ac:dyDescent="0.35">
      <c r="A500" t="s">
        <v>498</v>
      </c>
      <c r="B500" s="7" t="s">
        <v>1322</v>
      </c>
    </row>
    <row r="501" spans="1:2" x14ac:dyDescent="0.35">
      <c r="A501" s="2" t="s">
        <v>499</v>
      </c>
      <c r="B501" s="7" t="s">
        <v>1323</v>
      </c>
    </row>
    <row r="502" spans="1:2" x14ac:dyDescent="0.35">
      <c r="A502" t="s">
        <v>500</v>
      </c>
      <c r="B502" s="7" t="s">
        <v>1324</v>
      </c>
    </row>
    <row r="503" spans="1:2" x14ac:dyDescent="0.35">
      <c r="A503" t="s">
        <v>501</v>
      </c>
      <c r="B503" s="7" t="s">
        <v>1325</v>
      </c>
    </row>
    <row r="504" spans="1:2" x14ac:dyDescent="0.35">
      <c r="A504" t="s">
        <v>502</v>
      </c>
      <c r="B504" s="7" t="s">
        <v>1326</v>
      </c>
    </row>
    <row r="505" spans="1:2" x14ac:dyDescent="0.35">
      <c r="A505" t="s">
        <v>503</v>
      </c>
      <c r="B505" s="7" t="s">
        <v>1327</v>
      </c>
    </row>
    <row r="506" spans="1:2" x14ac:dyDescent="0.35">
      <c r="A506" t="s">
        <v>504</v>
      </c>
      <c r="B506" s="7" t="s">
        <v>1328</v>
      </c>
    </row>
    <row r="507" spans="1:2" x14ac:dyDescent="0.35">
      <c r="A507" t="s">
        <v>505</v>
      </c>
      <c r="B507" s="7" t="s">
        <v>1329</v>
      </c>
    </row>
    <row r="508" spans="1:2" x14ac:dyDescent="0.35">
      <c r="A508" t="s">
        <v>506</v>
      </c>
      <c r="B508" s="7" t="s">
        <v>1330</v>
      </c>
    </row>
    <row r="509" spans="1:2" x14ac:dyDescent="0.35">
      <c r="A509" t="s">
        <v>507</v>
      </c>
      <c r="B509" s="7" t="s">
        <v>1331</v>
      </c>
    </row>
    <row r="510" spans="1:2" x14ac:dyDescent="0.35">
      <c r="A510" t="s">
        <v>450</v>
      </c>
      <c r="B510" s="7" t="s">
        <v>1274</v>
      </c>
    </row>
    <row r="511" spans="1:2" x14ac:dyDescent="0.35">
      <c r="A511" t="s">
        <v>509</v>
      </c>
      <c r="B511" s="7" t="s">
        <v>1333</v>
      </c>
    </row>
    <row r="512" spans="1:2" x14ac:dyDescent="0.35">
      <c r="A512" t="s">
        <v>510</v>
      </c>
      <c r="B512" s="7" t="s">
        <v>1334</v>
      </c>
    </row>
    <row r="513" spans="1:2" x14ac:dyDescent="0.35">
      <c r="A513" t="s">
        <v>511</v>
      </c>
      <c r="B513" s="7" t="s">
        <v>1335</v>
      </c>
    </row>
    <row r="514" spans="1:2" x14ac:dyDescent="0.35">
      <c r="A514" t="s">
        <v>512</v>
      </c>
      <c r="B514" s="7" t="s">
        <v>1336</v>
      </c>
    </row>
    <row r="515" spans="1:2" x14ac:dyDescent="0.35">
      <c r="A515" t="s">
        <v>513</v>
      </c>
      <c r="B515" s="7" t="s">
        <v>1337</v>
      </c>
    </row>
    <row r="516" spans="1:2" x14ac:dyDescent="0.35">
      <c r="A516" t="s">
        <v>514</v>
      </c>
      <c r="B516" s="7" t="s">
        <v>1338</v>
      </c>
    </row>
    <row r="517" spans="1:2" x14ac:dyDescent="0.35">
      <c r="A517" t="s">
        <v>515</v>
      </c>
      <c r="B517" s="7" t="s">
        <v>1339</v>
      </c>
    </row>
    <row r="518" spans="1:2" x14ac:dyDescent="0.35">
      <c r="A518" t="s">
        <v>516</v>
      </c>
      <c r="B518" s="7" t="s">
        <v>1340</v>
      </c>
    </row>
    <row r="519" spans="1:2" x14ac:dyDescent="0.35">
      <c r="A519" t="s">
        <v>517</v>
      </c>
      <c r="B519" s="7" t="s">
        <v>1341</v>
      </c>
    </row>
    <row r="520" spans="1:2" x14ac:dyDescent="0.35">
      <c r="A520" t="s">
        <v>518</v>
      </c>
      <c r="B520" s="7" t="s">
        <v>1342</v>
      </c>
    </row>
    <row r="521" spans="1:2" x14ac:dyDescent="0.35">
      <c r="A521" t="s">
        <v>519</v>
      </c>
      <c r="B521" s="7" t="s">
        <v>1343</v>
      </c>
    </row>
    <row r="522" spans="1:2" x14ac:dyDescent="0.35">
      <c r="A522" t="s">
        <v>520</v>
      </c>
      <c r="B522" s="7" t="s">
        <v>1344</v>
      </c>
    </row>
    <row r="523" spans="1:2" x14ac:dyDescent="0.35">
      <c r="A523" t="s">
        <v>521</v>
      </c>
      <c r="B523" s="7" t="s">
        <v>1345</v>
      </c>
    </row>
    <row r="524" spans="1:2" x14ac:dyDescent="0.35">
      <c r="A524" t="s">
        <v>522</v>
      </c>
      <c r="B524" s="7" t="s">
        <v>1346</v>
      </c>
    </row>
    <row r="525" spans="1:2" x14ac:dyDescent="0.35">
      <c r="A525" t="s">
        <v>523</v>
      </c>
      <c r="B525" s="7" t="s">
        <v>1347</v>
      </c>
    </row>
    <row r="526" spans="1:2" x14ac:dyDescent="0.35">
      <c r="A526" t="s">
        <v>524</v>
      </c>
      <c r="B526" s="7" t="s">
        <v>1348</v>
      </c>
    </row>
    <row r="527" spans="1:2" x14ac:dyDescent="0.35">
      <c r="A527" t="s">
        <v>525</v>
      </c>
      <c r="B527" s="7" t="s">
        <v>1349</v>
      </c>
    </row>
    <row r="528" spans="1:2" x14ac:dyDescent="0.35">
      <c r="A528" t="s">
        <v>526</v>
      </c>
      <c r="B528" s="7" t="s">
        <v>1350</v>
      </c>
    </row>
    <row r="529" spans="1:2" x14ac:dyDescent="0.35">
      <c r="A529" t="s">
        <v>527</v>
      </c>
      <c r="B529" s="7" t="s">
        <v>1351</v>
      </c>
    </row>
    <row r="530" spans="1:2" x14ac:dyDescent="0.35">
      <c r="A530" t="s">
        <v>528</v>
      </c>
      <c r="B530" s="7" t="s">
        <v>1352</v>
      </c>
    </row>
    <row r="531" spans="1:2" x14ac:dyDescent="0.35">
      <c r="A531" t="s">
        <v>529</v>
      </c>
      <c r="B531" s="7" t="s">
        <v>1353</v>
      </c>
    </row>
    <row r="532" spans="1:2" x14ac:dyDescent="0.35">
      <c r="A532" t="s">
        <v>530</v>
      </c>
      <c r="B532" s="7" t="s">
        <v>1354</v>
      </c>
    </row>
    <row r="533" spans="1:2" x14ac:dyDescent="0.35">
      <c r="A533" t="s">
        <v>531</v>
      </c>
      <c r="B533" s="7" t="s">
        <v>1355</v>
      </c>
    </row>
    <row r="534" spans="1:2" x14ac:dyDescent="0.35">
      <c r="A534" t="s">
        <v>532</v>
      </c>
      <c r="B534" s="7" t="s">
        <v>1356</v>
      </c>
    </row>
    <row r="535" spans="1:2" x14ac:dyDescent="0.35">
      <c r="A535" t="s">
        <v>533</v>
      </c>
      <c r="B535" s="7" t="s">
        <v>1357</v>
      </c>
    </row>
    <row r="536" spans="1:2" x14ac:dyDescent="0.35">
      <c r="A536" t="s">
        <v>534</v>
      </c>
      <c r="B536" s="7" t="s">
        <v>1358</v>
      </c>
    </row>
    <row r="537" spans="1:2" x14ac:dyDescent="0.35">
      <c r="A537" t="s">
        <v>535</v>
      </c>
      <c r="B537" s="7" t="s">
        <v>1359</v>
      </c>
    </row>
    <row r="538" spans="1:2" x14ac:dyDescent="0.35">
      <c r="A538" t="s">
        <v>536</v>
      </c>
      <c r="B538" s="7" t="s">
        <v>1360</v>
      </c>
    </row>
    <row r="539" spans="1:2" x14ac:dyDescent="0.35">
      <c r="A539" t="s">
        <v>537</v>
      </c>
      <c r="B539" s="7" t="s">
        <v>1361</v>
      </c>
    </row>
    <row r="540" spans="1:2" x14ac:dyDescent="0.35">
      <c r="A540" t="s">
        <v>538</v>
      </c>
      <c r="B540" s="7" t="s">
        <v>1362</v>
      </c>
    </row>
    <row r="541" spans="1:2" x14ac:dyDescent="0.35">
      <c r="A541" t="s">
        <v>539</v>
      </c>
      <c r="B541" s="7" t="s">
        <v>1363</v>
      </c>
    </row>
    <row r="542" spans="1:2" x14ac:dyDescent="0.35">
      <c r="A542" t="s">
        <v>540</v>
      </c>
      <c r="B542" s="7" t="s">
        <v>1364</v>
      </c>
    </row>
    <row r="543" spans="1:2" x14ac:dyDescent="0.35">
      <c r="A543" t="s">
        <v>541</v>
      </c>
      <c r="B543" s="7" t="s">
        <v>1365</v>
      </c>
    </row>
    <row r="544" spans="1:2" x14ac:dyDescent="0.35">
      <c r="A544" t="s">
        <v>542</v>
      </c>
      <c r="B544" s="7" t="s">
        <v>1366</v>
      </c>
    </row>
    <row r="545" spans="1:2" x14ac:dyDescent="0.35">
      <c r="A545" t="s">
        <v>543</v>
      </c>
      <c r="B545" s="7" t="s">
        <v>1367</v>
      </c>
    </row>
    <row r="546" spans="1:2" x14ac:dyDescent="0.35">
      <c r="A546" t="s">
        <v>544</v>
      </c>
      <c r="B546" s="7" t="s">
        <v>1368</v>
      </c>
    </row>
    <row r="547" spans="1:2" x14ac:dyDescent="0.35">
      <c r="A547" t="s">
        <v>545</v>
      </c>
      <c r="B547" s="7" t="s">
        <v>1369</v>
      </c>
    </row>
    <row r="548" spans="1:2" x14ac:dyDescent="0.35">
      <c r="A548" t="s">
        <v>546</v>
      </c>
      <c r="B548" s="7" t="s">
        <v>1370</v>
      </c>
    </row>
    <row r="549" spans="1:2" x14ac:dyDescent="0.35">
      <c r="A549" t="s">
        <v>547</v>
      </c>
      <c r="B549" s="7" t="s">
        <v>1371</v>
      </c>
    </row>
    <row r="550" spans="1:2" x14ac:dyDescent="0.35">
      <c r="A550" t="s">
        <v>548</v>
      </c>
      <c r="B550" s="7" t="s">
        <v>1372</v>
      </c>
    </row>
    <row r="551" spans="1:2" x14ac:dyDescent="0.35">
      <c r="A551" t="s">
        <v>549</v>
      </c>
      <c r="B551" s="7" t="s">
        <v>1373</v>
      </c>
    </row>
    <row r="552" spans="1:2" x14ac:dyDescent="0.35">
      <c r="A552" t="s">
        <v>550</v>
      </c>
      <c r="B552" s="7" t="s">
        <v>1374</v>
      </c>
    </row>
    <row r="553" spans="1:2" x14ac:dyDescent="0.35">
      <c r="A553" t="s">
        <v>551</v>
      </c>
      <c r="B553" s="7" t="s">
        <v>1375</v>
      </c>
    </row>
    <row r="554" spans="1:2" x14ac:dyDescent="0.35">
      <c r="A554" t="s">
        <v>552</v>
      </c>
      <c r="B554" s="7" t="s">
        <v>1376</v>
      </c>
    </row>
    <row r="555" spans="1:2" x14ac:dyDescent="0.35">
      <c r="A555" t="s">
        <v>553</v>
      </c>
      <c r="B555" s="7" t="s">
        <v>1377</v>
      </c>
    </row>
    <row r="556" spans="1:2" x14ac:dyDescent="0.35">
      <c r="A556" t="s">
        <v>554</v>
      </c>
      <c r="B556" s="7" t="s">
        <v>1378</v>
      </c>
    </row>
    <row r="557" spans="1:2" x14ac:dyDescent="0.35">
      <c r="A557" t="s">
        <v>555</v>
      </c>
      <c r="B557" s="7" t="s">
        <v>1379</v>
      </c>
    </row>
    <row r="558" spans="1:2" x14ac:dyDescent="0.35">
      <c r="A558" t="s">
        <v>556</v>
      </c>
      <c r="B558" s="7" t="s">
        <v>1380</v>
      </c>
    </row>
    <row r="559" spans="1:2" x14ac:dyDescent="0.35">
      <c r="A559" t="s">
        <v>557</v>
      </c>
      <c r="B559" s="7" t="s">
        <v>1381</v>
      </c>
    </row>
    <row r="560" spans="1:2" x14ac:dyDescent="0.35">
      <c r="A560" t="s">
        <v>558</v>
      </c>
      <c r="B560" s="7" t="s">
        <v>1382</v>
      </c>
    </row>
    <row r="561" spans="1:2" x14ac:dyDescent="0.35">
      <c r="A561" t="s">
        <v>559</v>
      </c>
      <c r="B561" s="7" t="s">
        <v>1383</v>
      </c>
    </row>
    <row r="562" spans="1:2" x14ac:dyDescent="0.35">
      <c r="A562" t="s">
        <v>560</v>
      </c>
      <c r="B562" s="7" t="s">
        <v>1384</v>
      </c>
    </row>
    <row r="563" spans="1:2" x14ac:dyDescent="0.35">
      <c r="A563" t="s">
        <v>561</v>
      </c>
      <c r="B563" s="7" t="s">
        <v>1385</v>
      </c>
    </row>
    <row r="564" spans="1:2" x14ac:dyDescent="0.35">
      <c r="A564" t="s">
        <v>562</v>
      </c>
      <c r="B564" s="7" t="s">
        <v>1386</v>
      </c>
    </row>
    <row r="565" spans="1:2" x14ac:dyDescent="0.35">
      <c r="A565" t="s">
        <v>563</v>
      </c>
      <c r="B565" s="7" t="s">
        <v>1387</v>
      </c>
    </row>
    <row r="566" spans="1:2" x14ac:dyDescent="0.35">
      <c r="A566" t="s">
        <v>564</v>
      </c>
      <c r="B566" s="7" t="s">
        <v>1388</v>
      </c>
    </row>
    <row r="567" spans="1:2" x14ac:dyDescent="0.35">
      <c r="A567" t="s">
        <v>565</v>
      </c>
      <c r="B567" s="7" t="s">
        <v>1389</v>
      </c>
    </row>
    <row r="568" spans="1:2" x14ac:dyDescent="0.35">
      <c r="A568" t="s">
        <v>566</v>
      </c>
      <c r="B568" s="7" t="s">
        <v>1390</v>
      </c>
    </row>
    <row r="569" spans="1:2" x14ac:dyDescent="0.35">
      <c r="A569" t="s">
        <v>567</v>
      </c>
      <c r="B569" s="7" t="s">
        <v>1391</v>
      </c>
    </row>
    <row r="570" spans="1:2" x14ac:dyDescent="0.35">
      <c r="A570" t="s">
        <v>568</v>
      </c>
      <c r="B570" s="7" t="s">
        <v>1392</v>
      </c>
    </row>
    <row r="571" spans="1:2" x14ac:dyDescent="0.35">
      <c r="A571" t="s">
        <v>569</v>
      </c>
      <c r="B571" s="7" t="s">
        <v>1393</v>
      </c>
    </row>
    <row r="572" spans="1:2" x14ac:dyDescent="0.35">
      <c r="A572" t="s">
        <v>570</v>
      </c>
      <c r="B572" s="7" t="s">
        <v>1394</v>
      </c>
    </row>
    <row r="573" spans="1:2" x14ac:dyDescent="0.35">
      <c r="A573" t="s">
        <v>571</v>
      </c>
      <c r="B573" s="7" t="s">
        <v>1395</v>
      </c>
    </row>
    <row r="574" spans="1:2" x14ac:dyDescent="0.35">
      <c r="A574" t="s">
        <v>572</v>
      </c>
      <c r="B574" s="7" t="s">
        <v>1396</v>
      </c>
    </row>
    <row r="575" spans="1:2" x14ac:dyDescent="0.35">
      <c r="A575" t="s">
        <v>573</v>
      </c>
      <c r="B575" t="s">
        <v>1397</v>
      </c>
    </row>
    <row r="576" spans="1:2" x14ac:dyDescent="0.35">
      <c r="A576" t="s">
        <v>574</v>
      </c>
      <c r="B576" s="7" t="s">
        <v>1398</v>
      </c>
    </row>
    <row r="577" spans="1:2" x14ac:dyDescent="0.35">
      <c r="A577" t="s">
        <v>575</v>
      </c>
      <c r="B577" s="7" t="s">
        <v>1399</v>
      </c>
    </row>
    <row r="578" spans="1:2" x14ac:dyDescent="0.35">
      <c r="A578" t="s">
        <v>576</v>
      </c>
      <c r="B578" s="7" t="s">
        <v>1400</v>
      </c>
    </row>
    <row r="579" spans="1:2" x14ac:dyDescent="0.35">
      <c r="A579" t="s">
        <v>51</v>
      </c>
      <c r="B579" s="7" t="s">
        <v>880</v>
      </c>
    </row>
    <row r="580" spans="1:2" x14ac:dyDescent="0.35">
      <c r="A580" t="s">
        <v>578</v>
      </c>
      <c r="B580" s="7" t="s">
        <v>1402</v>
      </c>
    </row>
    <row r="581" spans="1:2" x14ac:dyDescent="0.35">
      <c r="A581" t="s">
        <v>579</v>
      </c>
      <c r="B581" s="7" t="s">
        <v>1403</v>
      </c>
    </row>
    <row r="582" spans="1:2" x14ac:dyDescent="0.35">
      <c r="A582" t="s">
        <v>580</v>
      </c>
      <c r="B582" s="7" t="s">
        <v>1404</v>
      </c>
    </row>
    <row r="583" spans="1:2" x14ac:dyDescent="0.35">
      <c r="A583" t="s">
        <v>581</v>
      </c>
      <c r="B583" s="7" t="s">
        <v>1405</v>
      </c>
    </row>
    <row r="584" spans="1:2" x14ac:dyDescent="0.35">
      <c r="A584" t="s">
        <v>582</v>
      </c>
      <c r="B584" s="7" t="s">
        <v>1406</v>
      </c>
    </row>
    <row r="585" spans="1:2" x14ac:dyDescent="0.35">
      <c r="A585" t="s">
        <v>583</v>
      </c>
      <c r="B585" s="7" t="s">
        <v>1407</v>
      </c>
    </row>
    <row r="586" spans="1:2" x14ac:dyDescent="0.35">
      <c r="A586" t="s">
        <v>584</v>
      </c>
      <c r="B586" s="7" t="s">
        <v>1408</v>
      </c>
    </row>
    <row r="587" spans="1:2" x14ac:dyDescent="0.35">
      <c r="A587" t="s">
        <v>585</v>
      </c>
      <c r="B587" s="7" t="s">
        <v>1409</v>
      </c>
    </row>
    <row r="588" spans="1:2" x14ac:dyDescent="0.35">
      <c r="A588" t="s">
        <v>586</v>
      </c>
      <c r="B588" s="7" t="s">
        <v>1410</v>
      </c>
    </row>
    <row r="589" spans="1:2" x14ac:dyDescent="0.35">
      <c r="A589" t="s">
        <v>587</v>
      </c>
      <c r="B589" s="7" t="s">
        <v>1411</v>
      </c>
    </row>
    <row r="590" spans="1:2" x14ac:dyDescent="0.35">
      <c r="A590" t="s">
        <v>588</v>
      </c>
      <c r="B590" s="7" t="s">
        <v>1412</v>
      </c>
    </row>
    <row r="591" spans="1:2" x14ac:dyDescent="0.35">
      <c r="A591" t="s">
        <v>589</v>
      </c>
      <c r="B591" s="7" t="s">
        <v>1413</v>
      </c>
    </row>
    <row r="592" spans="1:2" x14ac:dyDescent="0.35">
      <c r="A592" t="s">
        <v>590</v>
      </c>
      <c r="B592" s="7" t="s">
        <v>1414</v>
      </c>
    </row>
    <row r="593" spans="1:2" x14ac:dyDescent="0.35">
      <c r="A593" t="s">
        <v>591</v>
      </c>
      <c r="B593" s="7" t="s">
        <v>1415</v>
      </c>
    </row>
    <row r="594" spans="1:2" x14ac:dyDescent="0.35">
      <c r="A594" t="s">
        <v>592</v>
      </c>
      <c r="B594" s="7" t="s">
        <v>1416</v>
      </c>
    </row>
    <row r="595" spans="1:2" x14ac:dyDescent="0.35">
      <c r="A595" t="s">
        <v>593</v>
      </c>
      <c r="B595" s="7" t="s">
        <v>1417</v>
      </c>
    </row>
    <row r="596" spans="1:2" x14ac:dyDescent="0.35">
      <c r="A596" t="s">
        <v>594</v>
      </c>
      <c r="B596" s="7" t="s">
        <v>1418</v>
      </c>
    </row>
    <row r="597" spans="1:2" x14ac:dyDescent="0.35">
      <c r="A597" t="s">
        <v>595</v>
      </c>
      <c r="B597" s="7" t="s">
        <v>1419</v>
      </c>
    </row>
    <row r="598" spans="1:2" x14ac:dyDescent="0.35">
      <c r="A598" t="s">
        <v>596</v>
      </c>
      <c r="B598" s="7" t="s">
        <v>1420</v>
      </c>
    </row>
    <row r="599" spans="1:2" x14ac:dyDescent="0.35">
      <c r="A599" t="s">
        <v>597</v>
      </c>
      <c r="B599" s="7" t="s">
        <v>1421</v>
      </c>
    </row>
    <row r="600" spans="1:2" x14ac:dyDescent="0.35">
      <c r="A600" t="s">
        <v>466</v>
      </c>
      <c r="B600" s="7" t="s">
        <v>1290</v>
      </c>
    </row>
    <row r="601" spans="1:2" x14ac:dyDescent="0.35">
      <c r="A601" t="s">
        <v>599</v>
      </c>
      <c r="B601" s="7" t="s">
        <v>1423</v>
      </c>
    </row>
    <row r="602" spans="1:2" x14ac:dyDescent="0.35">
      <c r="A602" t="s">
        <v>600</v>
      </c>
      <c r="B602" s="7" t="s">
        <v>1424</v>
      </c>
    </row>
    <row r="603" spans="1:2" x14ac:dyDescent="0.35">
      <c r="A603" t="s">
        <v>601</v>
      </c>
      <c r="B603" s="7" t="s">
        <v>1425</v>
      </c>
    </row>
    <row r="604" spans="1:2" x14ac:dyDescent="0.35">
      <c r="A604" t="s">
        <v>602</v>
      </c>
      <c r="B604" s="7" t="s">
        <v>1426</v>
      </c>
    </row>
    <row r="605" spans="1:2" x14ac:dyDescent="0.35">
      <c r="A605" t="s">
        <v>603</v>
      </c>
      <c r="B605" s="7" t="s">
        <v>1427</v>
      </c>
    </row>
    <row r="606" spans="1:2" x14ac:dyDescent="0.35">
      <c r="A606" t="s">
        <v>604</v>
      </c>
      <c r="B606" s="7" t="s">
        <v>1428</v>
      </c>
    </row>
    <row r="607" spans="1:2" x14ac:dyDescent="0.35">
      <c r="A607" t="s">
        <v>605</v>
      </c>
      <c r="B607" s="7" t="s">
        <v>1429</v>
      </c>
    </row>
    <row r="608" spans="1:2" x14ac:dyDescent="0.35">
      <c r="A608" t="s">
        <v>606</v>
      </c>
      <c r="B608" s="7" t="s">
        <v>1430</v>
      </c>
    </row>
    <row r="609" spans="1:2" x14ac:dyDescent="0.35">
      <c r="A609" t="s">
        <v>607</v>
      </c>
      <c r="B609" s="7" t="s">
        <v>1431</v>
      </c>
    </row>
    <row r="610" spans="1:2" x14ac:dyDescent="0.35">
      <c r="A610" t="s">
        <v>608</v>
      </c>
      <c r="B610" s="7" t="s">
        <v>1432</v>
      </c>
    </row>
    <row r="611" spans="1:2" x14ac:dyDescent="0.35">
      <c r="A611" t="s">
        <v>609</v>
      </c>
      <c r="B611" s="7" t="s">
        <v>1433</v>
      </c>
    </row>
    <row r="612" spans="1:2" x14ac:dyDescent="0.35">
      <c r="A612" t="s">
        <v>610</v>
      </c>
      <c r="B612" s="7" t="s">
        <v>1434</v>
      </c>
    </row>
    <row r="613" spans="1:2" x14ac:dyDescent="0.35">
      <c r="A613" t="s">
        <v>611</v>
      </c>
      <c r="B613" s="7" t="s">
        <v>1435</v>
      </c>
    </row>
    <row r="614" spans="1:2" x14ac:dyDescent="0.35">
      <c r="A614" t="s">
        <v>612</v>
      </c>
      <c r="B614" s="7" t="s">
        <v>1436</v>
      </c>
    </row>
    <row r="615" spans="1:2" x14ac:dyDescent="0.35">
      <c r="A615" t="s">
        <v>613</v>
      </c>
      <c r="B615" s="7" t="s">
        <v>1437</v>
      </c>
    </row>
    <row r="616" spans="1:2" x14ac:dyDescent="0.35">
      <c r="A616" t="s">
        <v>614</v>
      </c>
      <c r="B616" s="7" t="s">
        <v>1438</v>
      </c>
    </row>
    <row r="617" spans="1:2" x14ac:dyDescent="0.35">
      <c r="A617" t="s">
        <v>615</v>
      </c>
      <c r="B617" s="7" t="s">
        <v>1439</v>
      </c>
    </row>
    <row r="618" spans="1:2" x14ac:dyDescent="0.35">
      <c r="A618" t="s">
        <v>616</v>
      </c>
      <c r="B618" s="7" t="s">
        <v>1440</v>
      </c>
    </row>
    <row r="619" spans="1:2" x14ac:dyDescent="0.35">
      <c r="A619" t="s">
        <v>617</v>
      </c>
      <c r="B619" s="7" t="s">
        <v>1441</v>
      </c>
    </row>
    <row r="620" spans="1:2" x14ac:dyDescent="0.35">
      <c r="A620" t="s">
        <v>618</v>
      </c>
      <c r="B620" s="7" t="s">
        <v>1442</v>
      </c>
    </row>
    <row r="621" spans="1:2" x14ac:dyDescent="0.35">
      <c r="A621" t="s">
        <v>619</v>
      </c>
      <c r="B621" s="7" t="s">
        <v>1443</v>
      </c>
    </row>
    <row r="622" spans="1:2" x14ac:dyDescent="0.35">
      <c r="A622" t="s">
        <v>35</v>
      </c>
      <c r="B622" s="7" t="s">
        <v>864</v>
      </c>
    </row>
    <row r="623" spans="1:2" x14ac:dyDescent="0.35">
      <c r="A623" t="s">
        <v>621</v>
      </c>
      <c r="B623" s="7" t="s">
        <v>1445</v>
      </c>
    </row>
    <row r="624" spans="1:2" x14ac:dyDescent="0.35">
      <c r="A624" t="s">
        <v>622</v>
      </c>
      <c r="B624" s="7" t="s">
        <v>1446</v>
      </c>
    </row>
    <row r="625" spans="1:2" x14ac:dyDescent="0.35">
      <c r="A625" t="s">
        <v>623</v>
      </c>
      <c r="B625" s="7" t="s">
        <v>1447</v>
      </c>
    </row>
    <row r="626" spans="1:2" x14ac:dyDescent="0.35">
      <c r="A626" t="s">
        <v>624</v>
      </c>
      <c r="B626" s="7" t="s">
        <v>1448</v>
      </c>
    </row>
    <row r="627" spans="1:2" x14ac:dyDescent="0.35">
      <c r="A627" t="s">
        <v>625</v>
      </c>
      <c r="B627" s="7" t="s">
        <v>1449</v>
      </c>
    </row>
    <row r="628" spans="1:2" x14ac:dyDescent="0.35">
      <c r="A628" t="s">
        <v>626</v>
      </c>
      <c r="B628" s="7" t="s">
        <v>1450</v>
      </c>
    </row>
    <row r="629" spans="1:2" x14ac:dyDescent="0.35">
      <c r="A629" t="s">
        <v>627</v>
      </c>
      <c r="B629" s="7" t="s">
        <v>1451</v>
      </c>
    </row>
    <row r="630" spans="1:2" x14ac:dyDescent="0.35">
      <c r="A630" t="s">
        <v>628</v>
      </c>
      <c r="B630" s="7" t="s">
        <v>1452</v>
      </c>
    </row>
    <row r="631" spans="1:2" x14ac:dyDescent="0.35">
      <c r="A631" t="s">
        <v>629</v>
      </c>
      <c r="B631" s="7" t="s">
        <v>1453</v>
      </c>
    </row>
    <row r="632" spans="1:2" x14ac:dyDescent="0.35">
      <c r="A632" t="s">
        <v>630</v>
      </c>
      <c r="B632" s="7" t="s">
        <v>1454</v>
      </c>
    </row>
    <row r="633" spans="1:2" x14ac:dyDescent="0.35">
      <c r="A633" t="s">
        <v>631</v>
      </c>
      <c r="B633" s="7" t="s">
        <v>1455</v>
      </c>
    </row>
    <row r="634" spans="1:2" x14ac:dyDescent="0.35">
      <c r="A634" t="s">
        <v>632</v>
      </c>
      <c r="B634" s="7" t="s">
        <v>1456</v>
      </c>
    </row>
    <row r="635" spans="1:2" x14ac:dyDescent="0.35">
      <c r="A635" t="s">
        <v>633</v>
      </c>
      <c r="B635" s="7" t="s">
        <v>1457</v>
      </c>
    </row>
    <row r="636" spans="1:2" x14ac:dyDescent="0.35">
      <c r="A636" t="s">
        <v>634</v>
      </c>
      <c r="B636" s="7" t="s">
        <v>1458</v>
      </c>
    </row>
    <row r="637" spans="1:2" x14ac:dyDescent="0.35">
      <c r="A637" t="s">
        <v>635</v>
      </c>
      <c r="B637" s="7" t="s">
        <v>1459</v>
      </c>
    </row>
    <row r="638" spans="1:2" x14ac:dyDescent="0.35">
      <c r="A638" t="s">
        <v>636</v>
      </c>
      <c r="B638" s="7" t="s">
        <v>1460</v>
      </c>
    </row>
    <row r="639" spans="1:2" x14ac:dyDescent="0.35">
      <c r="A639" t="s">
        <v>637</v>
      </c>
      <c r="B639" s="7" t="s">
        <v>1461</v>
      </c>
    </row>
    <row r="640" spans="1:2" x14ac:dyDescent="0.35">
      <c r="A640" t="s">
        <v>638</v>
      </c>
      <c r="B640" s="7" t="s">
        <v>1462</v>
      </c>
    </row>
    <row r="641" spans="1:2" x14ac:dyDescent="0.35">
      <c r="A641" t="s">
        <v>639</v>
      </c>
      <c r="B641" s="7" t="s">
        <v>1463</v>
      </c>
    </row>
    <row r="642" spans="1:2" x14ac:dyDescent="0.35">
      <c r="A642" t="s">
        <v>640</v>
      </c>
      <c r="B642" s="7" t="s">
        <v>1464</v>
      </c>
    </row>
    <row r="643" spans="1:2" x14ac:dyDescent="0.35">
      <c r="A643" t="s">
        <v>641</v>
      </c>
      <c r="B643" s="7" t="s">
        <v>1465</v>
      </c>
    </row>
    <row r="644" spans="1:2" x14ac:dyDescent="0.35">
      <c r="A644" t="s">
        <v>642</v>
      </c>
      <c r="B644" s="7" t="s">
        <v>1466</v>
      </c>
    </row>
    <row r="645" spans="1:2" x14ac:dyDescent="0.35">
      <c r="A645" t="s">
        <v>643</v>
      </c>
      <c r="B645" s="7" t="s">
        <v>1467</v>
      </c>
    </row>
    <row r="646" spans="1:2" x14ac:dyDescent="0.35">
      <c r="A646" t="s">
        <v>644</v>
      </c>
      <c r="B646" s="7" t="s">
        <v>1468</v>
      </c>
    </row>
    <row r="647" spans="1:2" x14ac:dyDescent="0.35">
      <c r="A647" t="s">
        <v>645</v>
      </c>
      <c r="B647" s="7" t="s">
        <v>1469</v>
      </c>
    </row>
    <row r="648" spans="1:2" x14ac:dyDescent="0.35">
      <c r="A648" t="s">
        <v>646</v>
      </c>
      <c r="B648" s="7" t="s">
        <v>1470</v>
      </c>
    </row>
    <row r="649" spans="1:2" x14ac:dyDescent="0.35">
      <c r="A649" t="s">
        <v>647</v>
      </c>
      <c r="B649" s="7" t="s">
        <v>1471</v>
      </c>
    </row>
    <row r="650" spans="1:2" x14ac:dyDescent="0.35">
      <c r="A650" t="s">
        <v>648</v>
      </c>
      <c r="B650" s="7" t="s">
        <v>1472</v>
      </c>
    </row>
    <row r="651" spans="1:2" x14ac:dyDescent="0.35">
      <c r="A651" t="s">
        <v>649</v>
      </c>
      <c r="B651" s="7" t="s">
        <v>1473</v>
      </c>
    </row>
    <row r="652" spans="1:2" x14ac:dyDescent="0.35">
      <c r="A652" t="s">
        <v>650</v>
      </c>
      <c r="B652" s="7" t="s">
        <v>1474</v>
      </c>
    </row>
    <row r="653" spans="1:2" x14ac:dyDescent="0.35">
      <c r="A653" t="s">
        <v>651</v>
      </c>
      <c r="B653" s="7" t="s">
        <v>1475</v>
      </c>
    </row>
    <row r="654" spans="1:2" x14ac:dyDescent="0.35">
      <c r="A654" t="s">
        <v>652</v>
      </c>
      <c r="B654" s="7" t="s">
        <v>1476</v>
      </c>
    </row>
    <row r="655" spans="1:2" x14ac:dyDescent="0.35">
      <c r="A655" t="s">
        <v>653</v>
      </c>
      <c r="B655" s="7" t="s">
        <v>1477</v>
      </c>
    </row>
    <row r="656" spans="1:2" x14ac:dyDescent="0.35">
      <c r="A656" t="s">
        <v>654</v>
      </c>
      <c r="B656" s="7" t="s">
        <v>1478</v>
      </c>
    </row>
    <row r="657" spans="1:2" x14ac:dyDescent="0.35">
      <c r="A657" t="s">
        <v>655</v>
      </c>
      <c r="B657" s="7" t="s">
        <v>1479</v>
      </c>
    </row>
    <row r="658" spans="1:2" x14ac:dyDescent="0.35">
      <c r="A658" t="s">
        <v>656</v>
      </c>
      <c r="B658" s="7" t="s">
        <v>1480</v>
      </c>
    </row>
    <row r="659" spans="1:2" x14ac:dyDescent="0.35">
      <c r="A659" t="s">
        <v>657</v>
      </c>
      <c r="B659" s="7" t="s">
        <v>1481</v>
      </c>
    </row>
    <row r="660" spans="1:2" x14ac:dyDescent="0.35">
      <c r="A660" t="s">
        <v>658</v>
      </c>
      <c r="B660" s="7" t="s">
        <v>1482</v>
      </c>
    </row>
    <row r="661" spans="1:2" x14ac:dyDescent="0.35">
      <c r="A661" t="s">
        <v>659</v>
      </c>
      <c r="B661" s="7" t="s">
        <v>1483</v>
      </c>
    </row>
    <row r="662" spans="1:2" x14ac:dyDescent="0.35">
      <c r="A662" t="s">
        <v>660</v>
      </c>
      <c r="B662" s="7" t="s">
        <v>1484</v>
      </c>
    </row>
    <row r="663" spans="1:2" x14ac:dyDescent="0.35">
      <c r="A663" t="s">
        <v>661</v>
      </c>
      <c r="B663" s="7" t="s">
        <v>1485</v>
      </c>
    </row>
    <row r="664" spans="1:2" x14ac:dyDescent="0.35">
      <c r="A664" t="s">
        <v>662</v>
      </c>
      <c r="B664" s="7" t="s">
        <v>1486</v>
      </c>
    </row>
    <row r="665" spans="1:2" x14ac:dyDescent="0.35">
      <c r="A665" t="s">
        <v>663</v>
      </c>
      <c r="B665" s="7" t="s">
        <v>1487</v>
      </c>
    </row>
    <row r="666" spans="1:2" x14ac:dyDescent="0.35">
      <c r="A666" t="s">
        <v>664</v>
      </c>
      <c r="B666" s="7" t="s">
        <v>1488</v>
      </c>
    </row>
    <row r="667" spans="1:2" x14ac:dyDescent="0.35">
      <c r="A667" t="s">
        <v>665</v>
      </c>
      <c r="B667" s="7" t="s">
        <v>1489</v>
      </c>
    </row>
    <row r="668" spans="1:2" x14ac:dyDescent="0.35">
      <c r="A668" t="s">
        <v>666</v>
      </c>
      <c r="B668" s="7" t="s">
        <v>1490</v>
      </c>
    </row>
    <row r="669" spans="1:2" x14ac:dyDescent="0.35">
      <c r="A669" t="s">
        <v>667</v>
      </c>
      <c r="B669" s="7" t="s">
        <v>1491</v>
      </c>
    </row>
    <row r="670" spans="1:2" x14ac:dyDescent="0.35">
      <c r="A670" t="s">
        <v>668</v>
      </c>
      <c r="B670" s="7" t="s">
        <v>1492</v>
      </c>
    </row>
    <row r="671" spans="1:2" x14ac:dyDescent="0.35">
      <c r="A671" t="s">
        <v>669</v>
      </c>
      <c r="B671" s="7" t="s">
        <v>1493</v>
      </c>
    </row>
    <row r="672" spans="1:2" x14ac:dyDescent="0.35">
      <c r="A672" t="s">
        <v>670</v>
      </c>
      <c r="B672" s="7" t="s">
        <v>1494</v>
      </c>
    </row>
    <row r="673" spans="1:2" x14ac:dyDescent="0.35">
      <c r="A673" t="s">
        <v>671</v>
      </c>
      <c r="B673" s="7" t="s">
        <v>1495</v>
      </c>
    </row>
    <row r="674" spans="1:2" x14ac:dyDescent="0.35">
      <c r="A674" t="s">
        <v>672</v>
      </c>
      <c r="B674" s="7" t="s">
        <v>1496</v>
      </c>
    </row>
    <row r="675" spans="1:2" x14ac:dyDescent="0.35">
      <c r="A675" t="s">
        <v>673</v>
      </c>
      <c r="B675" s="7" t="s">
        <v>1497</v>
      </c>
    </row>
    <row r="676" spans="1:2" x14ac:dyDescent="0.35">
      <c r="A676" t="s">
        <v>674</v>
      </c>
      <c r="B676" s="7" t="s">
        <v>1498</v>
      </c>
    </row>
    <row r="677" spans="1:2" x14ac:dyDescent="0.35">
      <c r="A677" t="s">
        <v>675</v>
      </c>
      <c r="B677" s="7" t="s">
        <v>1499</v>
      </c>
    </row>
    <row r="678" spans="1:2" x14ac:dyDescent="0.35">
      <c r="A678" t="s">
        <v>676</v>
      </c>
      <c r="B678" s="7" t="s">
        <v>1500</v>
      </c>
    </row>
    <row r="679" spans="1:2" x14ac:dyDescent="0.35">
      <c r="A679" t="s">
        <v>677</v>
      </c>
      <c r="B679" s="7" t="s">
        <v>1501</v>
      </c>
    </row>
    <row r="680" spans="1:2" x14ac:dyDescent="0.35">
      <c r="A680" t="s">
        <v>678</v>
      </c>
      <c r="B680" s="7" t="s">
        <v>1502</v>
      </c>
    </row>
    <row r="681" spans="1:2" x14ac:dyDescent="0.35">
      <c r="A681" t="s">
        <v>679</v>
      </c>
      <c r="B681" s="7" t="s">
        <v>1503</v>
      </c>
    </row>
    <row r="682" spans="1:2" x14ac:dyDescent="0.35">
      <c r="A682" t="s">
        <v>680</v>
      </c>
      <c r="B682" s="7" t="s">
        <v>1504</v>
      </c>
    </row>
    <row r="683" spans="1:2" x14ac:dyDescent="0.35">
      <c r="A683" t="s">
        <v>681</v>
      </c>
      <c r="B683" s="7" t="s">
        <v>1505</v>
      </c>
    </row>
    <row r="684" spans="1:2" x14ac:dyDescent="0.35">
      <c r="A684" t="s">
        <v>682</v>
      </c>
      <c r="B684" s="7" t="s">
        <v>1506</v>
      </c>
    </row>
    <row r="685" spans="1:2" x14ac:dyDescent="0.35">
      <c r="A685" t="s">
        <v>683</v>
      </c>
      <c r="B685" s="7" t="s">
        <v>1507</v>
      </c>
    </row>
    <row r="686" spans="1:2" x14ac:dyDescent="0.35">
      <c r="A686" t="s">
        <v>684</v>
      </c>
      <c r="B686" s="7" t="s">
        <v>1508</v>
      </c>
    </row>
    <row r="687" spans="1:2" x14ac:dyDescent="0.35">
      <c r="A687" t="s">
        <v>685</v>
      </c>
      <c r="B687" s="7" t="s">
        <v>1509</v>
      </c>
    </row>
    <row r="688" spans="1:2" x14ac:dyDescent="0.35">
      <c r="A688" t="s">
        <v>686</v>
      </c>
      <c r="B688" s="7" t="s">
        <v>1510</v>
      </c>
    </row>
    <row r="689" spans="1:2" x14ac:dyDescent="0.35">
      <c r="A689" t="s">
        <v>687</v>
      </c>
      <c r="B689" s="7" t="s">
        <v>1511</v>
      </c>
    </row>
    <row r="690" spans="1:2" x14ac:dyDescent="0.35">
      <c r="A690" t="s">
        <v>688</v>
      </c>
      <c r="B690" s="7" t="s">
        <v>1512</v>
      </c>
    </row>
    <row r="691" spans="1:2" x14ac:dyDescent="0.35">
      <c r="A691" t="s">
        <v>689</v>
      </c>
      <c r="B691" s="7" t="s">
        <v>1513</v>
      </c>
    </row>
    <row r="692" spans="1:2" x14ac:dyDescent="0.35">
      <c r="A692" t="s">
        <v>690</v>
      </c>
      <c r="B692" s="7" t="s">
        <v>1514</v>
      </c>
    </row>
    <row r="693" spans="1:2" x14ac:dyDescent="0.35">
      <c r="A693" t="s">
        <v>691</v>
      </c>
      <c r="B693" s="7" t="s">
        <v>1515</v>
      </c>
    </row>
    <row r="694" spans="1:2" x14ac:dyDescent="0.35">
      <c r="A694" t="s">
        <v>692</v>
      </c>
      <c r="B694" s="7" t="s">
        <v>1516</v>
      </c>
    </row>
    <row r="695" spans="1:2" x14ac:dyDescent="0.35">
      <c r="A695" t="s">
        <v>693</v>
      </c>
      <c r="B695" s="7" t="s">
        <v>1517</v>
      </c>
    </row>
    <row r="696" spans="1:2" x14ac:dyDescent="0.35">
      <c r="A696" t="s">
        <v>694</v>
      </c>
      <c r="B696" s="7" t="s">
        <v>1518</v>
      </c>
    </row>
    <row r="697" spans="1:2" x14ac:dyDescent="0.35">
      <c r="A697" t="s">
        <v>695</v>
      </c>
      <c r="B697" s="7" t="s">
        <v>1519</v>
      </c>
    </row>
    <row r="698" spans="1:2" x14ac:dyDescent="0.35">
      <c r="A698" t="s">
        <v>696</v>
      </c>
      <c r="B698" s="7" t="s">
        <v>1520</v>
      </c>
    </row>
    <row r="699" spans="1:2" x14ac:dyDescent="0.35">
      <c r="A699" t="s">
        <v>697</v>
      </c>
      <c r="B699" s="7" t="s">
        <v>1521</v>
      </c>
    </row>
    <row r="700" spans="1:2" x14ac:dyDescent="0.35">
      <c r="A700" t="s">
        <v>698</v>
      </c>
      <c r="B700" s="7" t="s">
        <v>1522</v>
      </c>
    </row>
    <row r="701" spans="1:2" x14ac:dyDescent="0.35">
      <c r="A701" t="s">
        <v>699</v>
      </c>
      <c r="B701" s="7" t="s">
        <v>1523</v>
      </c>
    </row>
    <row r="702" spans="1:2" x14ac:dyDescent="0.35">
      <c r="A702" t="s">
        <v>700</v>
      </c>
      <c r="B702" s="7" t="s">
        <v>1524</v>
      </c>
    </row>
    <row r="703" spans="1:2" x14ac:dyDescent="0.35">
      <c r="A703" t="s">
        <v>701</v>
      </c>
      <c r="B703" s="7" t="s">
        <v>1525</v>
      </c>
    </row>
    <row r="704" spans="1:2" x14ac:dyDescent="0.35">
      <c r="A704" t="s">
        <v>702</v>
      </c>
      <c r="B704" s="7" t="s">
        <v>1526</v>
      </c>
    </row>
    <row r="705" spans="1:2" x14ac:dyDescent="0.35">
      <c r="A705" t="s">
        <v>703</v>
      </c>
      <c r="B705" s="7" t="s">
        <v>1527</v>
      </c>
    </row>
    <row r="706" spans="1:2" x14ac:dyDescent="0.35">
      <c r="A706" t="s">
        <v>704</v>
      </c>
      <c r="B706" s="7" t="s">
        <v>1528</v>
      </c>
    </row>
    <row r="707" spans="1:2" x14ac:dyDescent="0.35">
      <c r="A707" t="s">
        <v>705</v>
      </c>
      <c r="B707" s="7" t="s">
        <v>1529</v>
      </c>
    </row>
    <row r="708" spans="1:2" x14ac:dyDescent="0.35">
      <c r="A708" t="s">
        <v>706</v>
      </c>
      <c r="B708" s="7" t="s">
        <v>1530</v>
      </c>
    </row>
    <row r="709" spans="1:2" x14ac:dyDescent="0.35">
      <c r="A709" t="s">
        <v>707</v>
      </c>
      <c r="B709" s="7" t="s">
        <v>1531</v>
      </c>
    </row>
    <row r="710" spans="1:2" x14ac:dyDescent="0.35">
      <c r="A710" t="s">
        <v>708</v>
      </c>
      <c r="B710" s="7" t="s">
        <v>1532</v>
      </c>
    </row>
    <row r="711" spans="1:2" x14ac:dyDescent="0.35">
      <c r="A711" t="s">
        <v>709</v>
      </c>
      <c r="B711" s="7" t="s">
        <v>1533</v>
      </c>
    </row>
    <row r="712" spans="1:2" x14ac:dyDescent="0.35">
      <c r="A712" t="s">
        <v>710</v>
      </c>
      <c r="B712" s="7" t="s">
        <v>1534</v>
      </c>
    </row>
    <row r="713" spans="1:2" x14ac:dyDescent="0.35">
      <c r="A713" t="s">
        <v>711</v>
      </c>
      <c r="B713" s="7" t="s">
        <v>1535</v>
      </c>
    </row>
    <row r="714" spans="1:2" x14ac:dyDescent="0.35">
      <c r="A714" t="s">
        <v>712</v>
      </c>
      <c r="B714" s="7" t="s">
        <v>1536</v>
      </c>
    </row>
    <row r="715" spans="1:2" x14ac:dyDescent="0.35">
      <c r="A715" t="s">
        <v>713</v>
      </c>
      <c r="B715" s="7" t="s">
        <v>1537</v>
      </c>
    </row>
    <row r="716" spans="1:2" x14ac:dyDescent="0.35">
      <c r="A716" t="s">
        <v>714</v>
      </c>
      <c r="B716" s="7" t="s">
        <v>1538</v>
      </c>
    </row>
    <row r="717" spans="1:2" x14ac:dyDescent="0.35">
      <c r="A717" t="s">
        <v>715</v>
      </c>
      <c r="B717" s="7" t="s">
        <v>1539</v>
      </c>
    </row>
    <row r="718" spans="1:2" x14ac:dyDescent="0.35">
      <c r="A718" t="s">
        <v>716</v>
      </c>
      <c r="B718" s="7" t="s">
        <v>1540</v>
      </c>
    </row>
    <row r="719" spans="1:2" x14ac:dyDescent="0.35">
      <c r="A719" t="s">
        <v>717</v>
      </c>
      <c r="B719" s="7" t="s">
        <v>1541</v>
      </c>
    </row>
    <row r="720" spans="1:2" x14ac:dyDescent="0.35">
      <c r="A720" t="s">
        <v>718</v>
      </c>
      <c r="B720" s="7" t="s">
        <v>1542</v>
      </c>
    </row>
    <row r="721" spans="1:2" x14ac:dyDescent="0.35">
      <c r="A721" t="s">
        <v>719</v>
      </c>
      <c r="B721" s="7" t="s">
        <v>1543</v>
      </c>
    </row>
    <row r="722" spans="1:2" x14ac:dyDescent="0.35">
      <c r="A722" t="s">
        <v>720</v>
      </c>
      <c r="B722" s="7" t="s">
        <v>1544</v>
      </c>
    </row>
    <row r="723" spans="1:2" x14ac:dyDescent="0.35">
      <c r="A723" t="s">
        <v>721</v>
      </c>
      <c r="B723" s="7" t="s">
        <v>1545</v>
      </c>
    </row>
    <row r="724" spans="1:2" x14ac:dyDescent="0.35">
      <c r="A724" t="s">
        <v>722</v>
      </c>
      <c r="B724" s="7" t="s">
        <v>1546</v>
      </c>
    </row>
    <row r="725" spans="1:2" x14ac:dyDescent="0.35">
      <c r="A725" t="s">
        <v>723</v>
      </c>
      <c r="B725" s="7" t="s">
        <v>1547</v>
      </c>
    </row>
    <row r="726" spans="1:2" x14ac:dyDescent="0.35">
      <c r="A726" t="s">
        <v>724</v>
      </c>
      <c r="B726" s="7" t="s">
        <v>1548</v>
      </c>
    </row>
    <row r="727" spans="1:2" x14ac:dyDescent="0.35">
      <c r="A727" t="s">
        <v>725</v>
      </c>
      <c r="B727" s="7" t="s">
        <v>1549</v>
      </c>
    </row>
    <row r="728" spans="1:2" x14ac:dyDescent="0.35">
      <c r="A728" t="s">
        <v>726</v>
      </c>
      <c r="B728" s="7" t="s">
        <v>1550</v>
      </c>
    </row>
    <row r="729" spans="1:2" x14ac:dyDescent="0.35">
      <c r="A729" t="s">
        <v>727</v>
      </c>
      <c r="B729" s="7" t="s">
        <v>1551</v>
      </c>
    </row>
    <row r="730" spans="1:2" x14ac:dyDescent="0.35">
      <c r="A730" t="s">
        <v>728</v>
      </c>
      <c r="B730" s="7" t="s">
        <v>1552</v>
      </c>
    </row>
    <row r="731" spans="1:2" x14ac:dyDescent="0.35">
      <c r="A731" t="s">
        <v>729</v>
      </c>
      <c r="B731" s="7" t="s">
        <v>1553</v>
      </c>
    </row>
    <row r="732" spans="1:2" x14ac:dyDescent="0.35">
      <c r="A732" t="s">
        <v>730</v>
      </c>
      <c r="B732" s="7" t="s">
        <v>1554</v>
      </c>
    </row>
    <row r="733" spans="1:2" x14ac:dyDescent="0.35">
      <c r="A733" t="s">
        <v>731</v>
      </c>
      <c r="B733" s="7" t="s">
        <v>1555</v>
      </c>
    </row>
    <row r="734" spans="1:2" x14ac:dyDescent="0.35">
      <c r="A734" t="s">
        <v>732</v>
      </c>
      <c r="B734" s="7" t="s">
        <v>1556</v>
      </c>
    </row>
    <row r="735" spans="1:2" x14ac:dyDescent="0.35">
      <c r="A735" t="s">
        <v>733</v>
      </c>
      <c r="B735" s="7" t="s">
        <v>1557</v>
      </c>
    </row>
    <row r="736" spans="1:2" x14ac:dyDescent="0.35">
      <c r="A736" t="s">
        <v>734</v>
      </c>
      <c r="B736" s="7" t="s">
        <v>1558</v>
      </c>
    </row>
    <row r="737" spans="1:2" x14ac:dyDescent="0.35">
      <c r="A737" t="s">
        <v>735</v>
      </c>
      <c r="B737" s="7" t="s">
        <v>1559</v>
      </c>
    </row>
    <row r="738" spans="1:2" x14ac:dyDescent="0.35">
      <c r="A738" t="s">
        <v>736</v>
      </c>
      <c r="B738" s="7" t="s">
        <v>1560</v>
      </c>
    </row>
    <row r="739" spans="1:2" x14ac:dyDescent="0.35">
      <c r="A739" t="s">
        <v>737</v>
      </c>
      <c r="B739" s="7" t="s">
        <v>1561</v>
      </c>
    </row>
    <row r="740" spans="1:2" x14ac:dyDescent="0.35">
      <c r="A740" t="s">
        <v>738</v>
      </c>
      <c r="B740" s="7" t="s">
        <v>1562</v>
      </c>
    </row>
    <row r="741" spans="1:2" x14ac:dyDescent="0.35">
      <c r="A741" t="s">
        <v>739</v>
      </c>
      <c r="B741" s="7" t="s">
        <v>1563</v>
      </c>
    </row>
    <row r="742" spans="1:2" x14ac:dyDescent="0.35">
      <c r="A742" t="s">
        <v>740</v>
      </c>
      <c r="B742" s="7" t="s">
        <v>1564</v>
      </c>
    </row>
    <row r="743" spans="1:2" x14ac:dyDescent="0.35">
      <c r="A743" t="s">
        <v>741</v>
      </c>
      <c r="B743" s="7" t="s">
        <v>1565</v>
      </c>
    </row>
    <row r="744" spans="1:2" x14ac:dyDescent="0.35">
      <c r="A744" t="s">
        <v>742</v>
      </c>
      <c r="B744" s="7" t="s">
        <v>1566</v>
      </c>
    </row>
    <row r="745" spans="1:2" x14ac:dyDescent="0.35">
      <c r="A745" t="s">
        <v>743</v>
      </c>
      <c r="B745" s="7" t="s">
        <v>1567</v>
      </c>
    </row>
    <row r="746" spans="1:2" x14ac:dyDescent="0.35">
      <c r="A746" t="s">
        <v>744</v>
      </c>
      <c r="B746" s="7" t="s">
        <v>1568</v>
      </c>
    </row>
    <row r="747" spans="1:2" x14ac:dyDescent="0.35">
      <c r="A747" t="s">
        <v>745</v>
      </c>
      <c r="B747" s="7" t="s">
        <v>1569</v>
      </c>
    </row>
    <row r="748" spans="1:2" x14ac:dyDescent="0.35">
      <c r="A748" t="s">
        <v>746</v>
      </c>
      <c r="B748" s="7" t="s">
        <v>1570</v>
      </c>
    </row>
    <row r="749" spans="1:2" x14ac:dyDescent="0.35">
      <c r="A749" t="s">
        <v>747</v>
      </c>
      <c r="B749" s="7" t="s">
        <v>1571</v>
      </c>
    </row>
    <row r="750" spans="1:2" x14ac:dyDescent="0.35">
      <c r="A750" t="s">
        <v>748</v>
      </c>
      <c r="B750" s="7" t="s">
        <v>1572</v>
      </c>
    </row>
    <row r="751" spans="1:2" x14ac:dyDescent="0.35">
      <c r="A751" t="s">
        <v>749</v>
      </c>
      <c r="B751" s="7" t="s">
        <v>1573</v>
      </c>
    </row>
    <row r="752" spans="1:2" x14ac:dyDescent="0.35">
      <c r="A752" t="s">
        <v>750</v>
      </c>
      <c r="B752" s="7" t="s">
        <v>1574</v>
      </c>
    </row>
    <row r="753" spans="1:2" x14ac:dyDescent="0.35">
      <c r="A753" t="s">
        <v>751</v>
      </c>
      <c r="B753" s="7" t="s">
        <v>1575</v>
      </c>
    </row>
    <row r="754" spans="1:2" x14ac:dyDescent="0.35">
      <c r="A754" t="s">
        <v>752</v>
      </c>
      <c r="B754" s="7" t="s">
        <v>1576</v>
      </c>
    </row>
    <row r="755" spans="1:2" x14ac:dyDescent="0.35">
      <c r="A755" t="s">
        <v>753</v>
      </c>
      <c r="B755" s="7" t="s">
        <v>1577</v>
      </c>
    </row>
    <row r="756" spans="1:2" x14ac:dyDescent="0.35">
      <c r="A756" t="s">
        <v>754</v>
      </c>
      <c r="B756" s="7" t="s">
        <v>1578</v>
      </c>
    </row>
    <row r="757" spans="1:2" x14ac:dyDescent="0.35">
      <c r="A757" t="s">
        <v>755</v>
      </c>
      <c r="B757" s="7" t="s">
        <v>1579</v>
      </c>
    </row>
    <row r="758" spans="1:2" x14ac:dyDescent="0.35">
      <c r="A758" t="s">
        <v>756</v>
      </c>
      <c r="B758" s="7" t="s">
        <v>1580</v>
      </c>
    </row>
    <row r="759" spans="1:2" x14ac:dyDescent="0.35">
      <c r="A759" t="s">
        <v>757</v>
      </c>
      <c r="B759" s="7" t="s">
        <v>1581</v>
      </c>
    </row>
    <row r="760" spans="1:2" x14ac:dyDescent="0.35">
      <c r="A760" t="s">
        <v>758</v>
      </c>
      <c r="B760" s="7" t="s">
        <v>1582</v>
      </c>
    </row>
    <row r="761" spans="1:2" x14ac:dyDescent="0.35">
      <c r="A761" t="s">
        <v>759</v>
      </c>
      <c r="B761" s="7" t="s">
        <v>1583</v>
      </c>
    </row>
    <row r="762" spans="1:2" x14ac:dyDescent="0.35">
      <c r="A762" t="s">
        <v>760</v>
      </c>
      <c r="B762" s="7" t="s">
        <v>1584</v>
      </c>
    </row>
    <row r="763" spans="1:2" x14ac:dyDescent="0.35">
      <c r="A763" t="s">
        <v>761</v>
      </c>
      <c r="B763" s="7" t="s">
        <v>1585</v>
      </c>
    </row>
    <row r="764" spans="1:2" x14ac:dyDescent="0.35">
      <c r="A764" t="s">
        <v>762</v>
      </c>
      <c r="B764" s="7" t="s">
        <v>1586</v>
      </c>
    </row>
    <row r="765" spans="1:2" x14ac:dyDescent="0.35">
      <c r="A765" t="s">
        <v>763</v>
      </c>
      <c r="B765" s="7" t="s">
        <v>1587</v>
      </c>
    </row>
    <row r="766" spans="1:2" x14ac:dyDescent="0.35">
      <c r="A766" t="s">
        <v>764</v>
      </c>
      <c r="B766" s="7" t="s">
        <v>1588</v>
      </c>
    </row>
    <row r="767" spans="1:2" x14ac:dyDescent="0.35">
      <c r="A767" t="s">
        <v>765</v>
      </c>
      <c r="B767" s="7" t="s">
        <v>1589</v>
      </c>
    </row>
    <row r="768" spans="1:2" x14ac:dyDescent="0.35">
      <c r="A768" t="s">
        <v>766</v>
      </c>
      <c r="B768" s="7" t="s">
        <v>1590</v>
      </c>
    </row>
    <row r="769" spans="1:2" x14ac:dyDescent="0.35">
      <c r="A769" t="s">
        <v>767</v>
      </c>
      <c r="B769" s="7" t="s">
        <v>1591</v>
      </c>
    </row>
    <row r="770" spans="1:2" x14ac:dyDescent="0.35">
      <c r="A770" t="s">
        <v>768</v>
      </c>
      <c r="B770" s="7" t="s">
        <v>1592</v>
      </c>
    </row>
    <row r="771" spans="1:2" x14ac:dyDescent="0.35">
      <c r="A771" t="s">
        <v>769</v>
      </c>
      <c r="B771" s="7" t="s">
        <v>1593</v>
      </c>
    </row>
    <row r="772" spans="1:2" x14ac:dyDescent="0.35">
      <c r="A772" t="s">
        <v>770</v>
      </c>
      <c r="B772" s="7" t="s">
        <v>1594</v>
      </c>
    </row>
    <row r="773" spans="1:2" x14ac:dyDescent="0.35">
      <c r="A773" t="s">
        <v>771</v>
      </c>
      <c r="B773" s="7" t="s">
        <v>1595</v>
      </c>
    </row>
    <row r="774" spans="1:2" x14ac:dyDescent="0.35">
      <c r="A774" t="s">
        <v>772</v>
      </c>
      <c r="B774" s="7" t="s">
        <v>1596</v>
      </c>
    </row>
    <row r="775" spans="1:2" x14ac:dyDescent="0.35">
      <c r="A775" t="s">
        <v>773</v>
      </c>
      <c r="B775" s="7" t="s">
        <v>1597</v>
      </c>
    </row>
    <row r="776" spans="1:2" x14ac:dyDescent="0.35">
      <c r="A776" t="s">
        <v>774</v>
      </c>
      <c r="B776" s="7" t="s">
        <v>1598</v>
      </c>
    </row>
    <row r="777" spans="1:2" x14ac:dyDescent="0.35">
      <c r="A777" t="s">
        <v>775</v>
      </c>
      <c r="B777" s="7" t="s">
        <v>1599</v>
      </c>
    </row>
    <row r="778" spans="1:2" x14ac:dyDescent="0.35">
      <c r="A778" t="s">
        <v>776</v>
      </c>
      <c r="B778" s="7" t="s">
        <v>1600</v>
      </c>
    </row>
    <row r="779" spans="1:2" x14ac:dyDescent="0.35">
      <c r="A779" t="s">
        <v>777</v>
      </c>
      <c r="B779" s="7" t="s">
        <v>1601</v>
      </c>
    </row>
    <row r="780" spans="1:2" x14ac:dyDescent="0.35">
      <c r="A780" t="s">
        <v>778</v>
      </c>
      <c r="B780" s="7" t="s">
        <v>854</v>
      </c>
    </row>
    <row r="781" spans="1:2" x14ac:dyDescent="0.35">
      <c r="A781" s="4" t="s">
        <v>779</v>
      </c>
      <c r="B781" s="7" t="s">
        <v>1602</v>
      </c>
    </row>
    <row r="782" spans="1:2" x14ac:dyDescent="0.35">
      <c r="A782" s="4" t="s">
        <v>451</v>
      </c>
      <c r="B782" t="s">
        <v>1603</v>
      </c>
    </row>
    <row r="783" spans="1:2" x14ac:dyDescent="0.35">
      <c r="A783" s="4" t="s">
        <v>780</v>
      </c>
      <c r="B783" s="7" t="s">
        <v>843</v>
      </c>
    </row>
    <row r="784" spans="1:2" x14ac:dyDescent="0.35">
      <c r="A784" t="s">
        <v>781</v>
      </c>
      <c r="B784" s="7" t="s">
        <v>1604</v>
      </c>
    </row>
    <row r="785" spans="1:2" x14ac:dyDescent="0.35">
      <c r="A785" s="5" t="s">
        <v>782</v>
      </c>
      <c r="B785" s="7" t="s">
        <v>1605</v>
      </c>
    </row>
    <row r="786" spans="1:2" x14ac:dyDescent="0.35">
      <c r="A786" t="s">
        <v>783</v>
      </c>
      <c r="B786" s="7" t="s">
        <v>1606</v>
      </c>
    </row>
    <row r="787" spans="1:2" x14ac:dyDescent="0.35">
      <c r="A787" t="s">
        <v>784</v>
      </c>
      <c r="B787" s="7" t="s">
        <v>1607</v>
      </c>
    </row>
    <row r="788" spans="1:2" x14ac:dyDescent="0.35">
      <c r="A788" t="s">
        <v>785</v>
      </c>
      <c r="B788" s="7" t="s">
        <v>1608</v>
      </c>
    </row>
    <row r="789" spans="1:2" x14ac:dyDescent="0.35">
      <c r="A789" t="s">
        <v>786</v>
      </c>
      <c r="B789" s="7" t="s">
        <v>1609</v>
      </c>
    </row>
    <row r="790" spans="1:2" x14ac:dyDescent="0.35">
      <c r="A790" s="6" t="s">
        <v>787</v>
      </c>
      <c r="B790" s="7" t="s">
        <v>1610</v>
      </c>
    </row>
    <row r="791" spans="1:2" x14ac:dyDescent="0.35">
      <c r="A791" s="6" t="s">
        <v>788</v>
      </c>
      <c r="B791" t="s">
        <v>1611</v>
      </c>
    </row>
    <row r="792" spans="1:2" x14ac:dyDescent="0.35">
      <c r="A792" t="s">
        <v>789</v>
      </c>
      <c r="B792" s="7" t="s">
        <v>1612</v>
      </c>
    </row>
    <row r="793" spans="1:2" x14ac:dyDescent="0.35">
      <c r="A793" t="s">
        <v>790</v>
      </c>
      <c r="B793" s="7" t="s">
        <v>1613</v>
      </c>
    </row>
    <row r="794" spans="1:2" x14ac:dyDescent="0.35">
      <c r="A794" t="s">
        <v>791</v>
      </c>
      <c r="B794" s="7" t="s">
        <v>1614</v>
      </c>
    </row>
    <row r="795" spans="1:2" x14ac:dyDescent="0.35">
      <c r="A795" s="4" t="s">
        <v>793</v>
      </c>
      <c r="B795" s="4" t="s">
        <v>1616</v>
      </c>
    </row>
    <row r="796" spans="1:2" x14ac:dyDescent="0.35">
      <c r="A796" t="s">
        <v>794</v>
      </c>
      <c r="B796" s="7" t="s">
        <v>1617</v>
      </c>
    </row>
    <row r="797" spans="1:2" x14ac:dyDescent="0.35">
      <c r="A797" t="s">
        <v>795</v>
      </c>
      <c r="B797" s="7" t="s">
        <v>1618</v>
      </c>
    </row>
    <row r="798" spans="1:2" x14ac:dyDescent="0.35">
      <c r="A798" t="s">
        <v>459</v>
      </c>
      <c r="B798" s="7" t="s">
        <v>1283</v>
      </c>
    </row>
    <row r="799" spans="1:2" x14ac:dyDescent="0.35">
      <c r="A799" s="6" t="s">
        <v>797</v>
      </c>
      <c r="B799" s="7" t="s">
        <v>1620</v>
      </c>
    </row>
    <row r="800" spans="1:2" x14ac:dyDescent="0.35">
      <c r="A800" t="s">
        <v>798</v>
      </c>
      <c r="B800" s="7" t="s">
        <v>1621</v>
      </c>
    </row>
    <row r="801" spans="1:2" x14ac:dyDescent="0.35">
      <c r="A801" t="s">
        <v>799</v>
      </c>
      <c r="B801" s="7" t="s">
        <v>1622</v>
      </c>
    </row>
    <row r="802" spans="1:2" x14ac:dyDescent="0.35">
      <c r="A802" t="s">
        <v>800</v>
      </c>
      <c r="B802" s="7" t="s">
        <v>1623</v>
      </c>
    </row>
    <row r="803" spans="1:2" x14ac:dyDescent="0.35">
      <c r="A803" t="s">
        <v>801</v>
      </c>
      <c r="B803" s="7" t="s">
        <v>1624</v>
      </c>
    </row>
    <row r="804" spans="1:2" x14ac:dyDescent="0.35">
      <c r="A804" t="s">
        <v>802</v>
      </c>
      <c r="B804" s="7" t="s">
        <v>1625</v>
      </c>
    </row>
    <row r="805" spans="1:2" x14ac:dyDescent="0.35">
      <c r="A805" t="s">
        <v>803</v>
      </c>
      <c r="B805" s="7" t="s">
        <v>1626</v>
      </c>
    </row>
    <row r="806" spans="1:2" x14ac:dyDescent="0.35">
      <c r="A806" t="s">
        <v>804</v>
      </c>
      <c r="B806" s="7" t="s">
        <v>1627</v>
      </c>
    </row>
    <row r="807" spans="1:2" x14ac:dyDescent="0.35">
      <c r="A807" t="s">
        <v>805</v>
      </c>
      <c r="B807" s="7" t="s">
        <v>1628</v>
      </c>
    </row>
    <row r="808" spans="1:2" x14ac:dyDescent="0.35">
      <c r="A808" t="s">
        <v>59</v>
      </c>
      <c r="B808" s="7" t="s">
        <v>888</v>
      </c>
    </row>
    <row r="809" spans="1:2" x14ac:dyDescent="0.35">
      <c r="A809" t="s">
        <v>807</v>
      </c>
      <c r="B809" s="7" t="s">
        <v>1630</v>
      </c>
    </row>
    <row r="810" spans="1:2" x14ac:dyDescent="0.35">
      <c r="A810" s="4" t="s">
        <v>808</v>
      </c>
      <c r="B810" t="s">
        <v>1631</v>
      </c>
    </row>
    <row r="811" spans="1:2" x14ac:dyDescent="0.35">
      <c r="A811" t="s">
        <v>809</v>
      </c>
      <c r="B811" s="7" t="s">
        <v>1632</v>
      </c>
    </row>
    <row r="812" spans="1:2" x14ac:dyDescent="0.35">
      <c r="A812" t="s">
        <v>810</v>
      </c>
      <c r="B812" s="7" t="s">
        <v>1633</v>
      </c>
    </row>
    <row r="813" spans="1:2" x14ac:dyDescent="0.35">
      <c r="A813" t="s">
        <v>811</v>
      </c>
      <c r="B813" s="7" t="s">
        <v>1634</v>
      </c>
    </row>
    <row r="814" spans="1:2" x14ac:dyDescent="0.35">
      <c r="A814" s="6" t="s">
        <v>812</v>
      </c>
      <c r="B814" s="7" t="s">
        <v>1635</v>
      </c>
    </row>
    <row r="815" spans="1:2" x14ac:dyDescent="0.35">
      <c r="A815" t="s">
        <v>813</v>
      </c>
      <c r="B815" s="7" t="s">
        <v>1636</v>
      </c>
    </row>
    <row r="816" spans="1:2" x14ac:dyDescent="0.35">
      <c r="A816" t="s">
        <v>814</v>
      </c>
      <c r="B816" s="7" t="s">
        <v>1637</v>
      </c>
    </row>
    <row r="817" spans="1:2" x14ac:dyDescent="0.35">
      <c r="A817" t="s">
        <v>815</v>
      </c>
      <c r="B817" t="s">
        <v>1638</v>
      </c>
    </row>
    <row r="818" spans="1:2" x14ac:dyDescent="0.35">
      <c r="A818" s="6" t="s">
        <v>816</v>
      </c>
      <c r="B818" s="7" t="s">
        <v>1639</v>
      </c>
    </row>
    <row r="819" spans="1:2" x14ac:dyDescent="0.35">
      <c r="A819" s="6" t="s">
        <v>817</v>
      </c>
      <c r="B819" t="s">
        <v>1640</v>
      </c>
    </row>
    <row r="820" spans="1:2" x14ac:dyDescent="0.35">
      <c r="A820" t="s">
        <v>818</v>
      </c>
      <c r="B820" t="s">
        <v>1641</v>
      </c>
    </row>
    <row r="821" spans="1:2" x14ac:dyDescent="0.35">
      <c r="A821" t="s">
        <v>819</v>
      </c>
    </row>
    <row r="822" spans="1:2" x14ac:dyDescent="0.35">
      <c r="A822" t="s">
        <v>820</v>
      </c>
      <c r="B822" s="7" t="s">
        <v>1642</v>
      </c>
    </row>
    <row r="823" spans="1:2" x14ac:dyDescent="0.35">
      <c r="A823" s="6" t="s">
        <v>821</v>
      </c>
      <c r="B823" s="7" t="s">
        <v>1643</v>
      </c>
    </row>
    <row r="824" spans="1:2" x14ac:dyDescent="0.35">
      <c r="A824" t="s">
        <v>822</v>
      </c>
      <c r="B824" s="7" t="s">
        <v>1644</v>
      </c>
    </row>
    <row r="825" spans="1:2" x14ac:dyDescent="0.35">
      <c r="A825" t="s">
        <v>823</v>
      </c>
      <c r="B825" s="7" t="s">
        <v>1645</v>
      </c>
    </row>
    <row r="826" spans="1:2" x14ac:dyDescent="0.35">
      <c r="A826" t="s">
        <v>824</v>
      </c>
      <c r="B826" s="7" t="s">
        <v>1646</v>
      </c>
    </row>
    <row r="827" spans="1:2" x14ac:dyDescent="0.35">
      <c r="A827" s="4" t="s">
        <v>825</v>
      </c>
      <c r="B827" s="7" t="s">
        <v>1647</v>
      </c>
    </row>
    <row r="828" spans="1:2" x14ac:dyDescent="0.35">
      <c r="A828" s="4" t="s">
        <v>826</v>
      </c>
      <c r="B828" s="7" t="s">
        <v>1648</v>
      </c>
    </row>
    <row r="829" spans="1:2" x14ac:dyDescent="0.35">
      <c r="A829" t="s">
        <v>577</v>
      </c>
      <c r="B829" s="7" t="s">
        <v>1401</v>
      </c>
    </row>
    <row r="830" spans="1:2" x14ac:dyDescent="0.35">
      <c r="A830" t="s">
        <v>827</v>
      </c>
      <c r="B830" s="7" t="s">
        <v>1649</v>
      </c>
    </row>
    <row r="831" spans="1:2" x14ac:dyDescent="0.35">
      <c r="A831" s="26" t="s">
        <v>3325</v>
      </c>
      <c r="B831" s="26"/>
    </row>
    <row r="832" spans="1:2" x14ac:dyDescent="0.35">
      <c r="A832" s="26" t="s">
        <v>3326</v>
      </c>
      <c r="B832" s="26" t="s">
        <v>3327</v>
      </c>
    </row>
    <row r="833" spans="1:2" x14ac:dyDescent="0.35">
      <c r="A833" s="26" t="s">
        <v>3328</v>
      </c>
      <c r="B833" s="26" t="s">
        <v>3329</v>
      </c>
    </row>
    <row r="834" spans="1:2" x14ac:dyDescent="0.35">
      <c r="A834" s="26" t="s">
        <v>3330</v>
      </c>
      <c r="B834" s="26" t="s">
        <v>3331</v>
      </c>
    </row>
    <row r="835" spans="1:2" x14ac:dyDescent="0.35">
      <c r="A835" s="26" t="s">
        <v>3332</v>
      </c>
      <c r="B835" s="26" t="s">
        <v>3333</v>
      </c>
    </row>
    <row r="836" spans="1:2" x14ac:dyDescent="0.35">
      <c r="A836" s="26" t="s">
        <v>3334</v>
      </c>
      <c r="B836" s="26" t="s">
        <v>867</v>
      </c>
    </row>
    <row r="837" spans="1:2" x14ac:dyDescent="0.35">
      <c r="A837" s="26" t="s">
        <v>3335</v>
      </c>
      <c r="B837" s="26" t="s">
        <v>3336</v>
      </c>
    </row>
    <row r="838" spans="1:2" x14ac:dyDescent="0.35">
      <c r="A838" s="26" t="s">
        <v>3337</v>
      </c>
      <c r="B838" s="26" t="s">
        <v>1397</v>
      </c>
    </row>
    <row r="839" spans="1:2" x14ac:dyDescent="0.35">
      <c r="A839" s="26" t="s">
        <v>3338</v>
      </c>
      <c r="B839" s="26" t="s">
        <v>3339</v>
      </c>
    </row>
    <row r="840" spans="1:2" x14ac:dyDescent="0.35">
      <c r="A840" s="26" t="s">
        <v>3340</v>
      </c>
      <c r="B840" s="26" t="s">
        <v>3341</v>
      </c>
    </row>
    <row r="841" spans="1:2" x14ac:dyDescent="0.35">
      <c r="A841" s="26" t="s">
        <v>3342</v>
      </c>
      <c r="B841" s="26" t="s">
        <v>3343</v>
      </c>
    </row>
    <row r="842" spans="1:2" x14ac:dyDescent="0.35">
      <c r="A842" s="26" t="s">
        <v>1879</v>
      </c>
      <c r="B842" s="26" t="s">
        <v>3344</v>
      </c>
    </row>
    <row r="843" spans="1:2" x14ac:dyDescent="0.35">
      <c r="A843" s="26" t="s">
        <v>3345</v>
      </c>
      <c r="B843" s="26" t="s">
        <v>3346</v>
      </c>
    </row>
    <row r="844" spans="1:2" x14ac:dyDescent="0.35">
      <c r="A844" s="26" t="s">
        <v>3347</v>
      </c>
      <c r="B844" s="26" t="s">
        <v>3348</v>
      </c>
    </row>
    <row r="845" spans="1:2" x14ac:dyDescent="0.35">
      <c r="A845" s="26" t="s">
        <v>3349</v>
      </c>
      <c r="B845" s="26" t="s">
        <v>3350</v>
      </c>
    </row>
    <row r="846" spans="1:2" x14ac:dyDescent="0.35">
      <c r="A846" s="26" t="s">
        <v>3351</v>
      </c>
      <c r="B846" s="26" t="s">
        <v>3352</v>
      </c>
    </row>
    <row r="847" spans="1:2" x14ac:dyDescent="0.35">
      <c r="A847" s="26" t="s">
        <v>3353</v>
      </c>
      <c r="B847" s="26" t="s">
        <v>3354</v>
      </c>
    </row>
    <row r="848" spans="1:2" x14ac:dyDescent="0.35">
      <c r="A848" s="26" t="s">
        <v>3355</v>
      </c>
      <c r="B848" s="26" t="s">
        <v>3356</v>
      </c>
    </row>
    <row r="849" spans="1:2" x14ac:dyDescent="0.35">
      <c r="A849" s="26" t="s">
        <v>3357</v>
      </c>
      <c r="B849" s="26" t="s">
        <v>3358</v>
      </c>
    </row>
    <row r="850" spans="1:2" x14ac:dyDescent="0.35">
      <c r="A850" s="26" t="s">
        <v>3359</v>
      </c>
      <c r="B850" s="26" t="s">
        <v>3360</v>
      </c>
    </row>
    <row r="851" spans="1:2" x14ac:dyDescent="0.35">
      <c r="A851" s="26" t="s">
        <v>3361</v>
      </c>
      <c r="B851" s="26" t="s">
        <v>3362</v>
      </c>
    </row>
    <row r="852" spans="1:2" x14ac:dyDescent="0.35">
      <c r="A852" s="26" t="s">
        <v>3363</v>
      </c>
      <c r="B852" s="26" t="s">
        <v>3364</v>
      </c>
    </row>
    <row r="853" spans="1:2" x14ac:dyDescent="0.35">
      <c r="A853" s="26" t="s">
        <v>3365</v>
      </c>
      <c r="B853" s="26" t="s">
        <v>3366</v>
      </c>
    </row>
    <row r="854" spans="1:2" x14ac:dyDescent="0.35">
      <c r="A854" s="26" t="s">
        <v>3367</v>
      </c>
      <c r="B854" s="26" t="s">
        <v>3368</v>
      </c>
    </row>
    <row r="855" spans="1:2" x14ac:dyDescent="0.35">
      <c r="A855" s="26" t="s">
        <v>3369</v>
      </c>
      <c r="B855" s="26" t="s">
        <v>3370</v>
      </c>
    </row>
    <row r="856" spans="1:2" x14ac:dyDescent="0.35">
      <c r="A856" s="26" t="s">
        <v>3371</v>
      </c>
      <c r="B856" s="26" t="s">
        <v>3372</v>
      </c>
    </row>
    <row r="857" spans="1:2" x14ac:dyDescent="0.35">
      <c r="A857" s="26" t="s">
        <v>3373</v>
      </c>
      <c r="B857" s="26" t="s">
        <v>3374</v>
      </c>
    </row>
    <row r="858" spans="1:2" x14ac:dyDescent="0.35">
      <c r="A858" s="26" t="s">
        <v>3375</v>
      </c>
      <c r="B858" s="26" t="s">
        <v>3376</v>
      </c>
    </row>
    <row r="859" spans="1:2" x14ac:dyDescent="0.35">
      <c r="A859" s="26" t="s">
        <v>3377</v>
      </c>
      <c r="B859" s="26" t="s">
        <v>3339</v>
      </c>
    </row>
    <row r="860" spans="1:2" x14ac:dyDescent="0.35">
      <c r="A860" s="26" t="s">
        <v>3378</v>
      </c>
      <c r="B860" s="26" t="s">
        <v>3341</v>
      </c>
    </row>
    <row r="861" spans="1:2" x14ac:dyDescent="0.35">
      <c r="A861" s="26" t="s">
        <v>3379</v>
      </c>
      <c r="B861" s="26" t="s">
        <v>3380</v>
      </c>
    </row>
    <row r="862" spans="1:2" x14ac:dyDescent="0.35">
      <c r="A862" s="26" t="s">
        <v>3381</v>
      </c>
      <c r="B862" s="26" t="s">
        <v>3382</v>
      </c>
    </row>
    <row r="863" spans="1:2" x14ac:dyDescent="0.35">
      <c r="A863" s="26" t="s">
        <v>3383</v>
      </c>
      <c r="B863" s="26" t="s">
        <v>3384</v>
      </c>
    </row>
    <row r="864" spans="1:2" x14ac:dyDescent="0.35">
      <c r="A864" s="26" t="s">
        <v>3385</v>
      </c>
      <c r="B864" s="26" t="s">
        <v>3386</v>
      </c>
    </row>
    <row r="865" spans="1:2" x14ac:dyDescent="0.35">
      <c r="A865" s="26" t="s">
        <v>3387</v>
      </c>
      <c r="B865" s="26" t="s">
        <v>3388</v>
      </c>
    </row>
    <row r="866" spans="1:2" x14ac:dyDescent="0.35">
      <c r="A866" s="26" t="s">
        <v>3389</v>
      </c>
      <c r="B866" s="26" t="s">
        <v>3390</v>
      </c>
    </row>
    <row r="867" spans="1:2" x14ac:dyDescent="0.35">
      <c r="A867" s="26" t="s">
        <v>3391</v>
      </c>
      <c r="B867" s="26" t="s">
        <v>3392</v>
      </c>
    </row>
    <row r="868" spans="1:2" x14ac:dyDescent="0.35">
      <c r="A868" s="26" t="s">
        <v>3393</v>
      </c>
      <c r="B868" s="26" t="s">
        <v>3348</v>
      </c>
    </row>
    <row r="869" spans="1:2" x14ac:dyDescent="0.35">
      <c r="A869" s="26" t="s">
        <v>3394</v>
      </c>
      <c r="B869" s="26" t="s">
        <v>3395</v>
      </c>
    </row>
    <row r="870" spans="1:2" x14ac:dyDescent="0.35">
      <c r="A870" s="26" t="s">
        <v>3396</v>
      </c>
      <c r="B870" s="26" t="s">
        <v>3397</v>
      </c>
    </row>
    <row r="871" spans="1:2" x14ac:dyDescent="0.35">
      <c r="A871" s="26" t="s">
        <v>3398</v>
      </c>
      <c r="B871" s="26" t="s">
        <v>3352</v>
      </c>
    </row>
    <row r="872" spans="1:2" x14ac:dyDescent="0.35">
      <c r="A872" s="26" t="s">
        <v>3399</v>
      </c>
      <c r="B872" s="26" t="s">
        <v>3400</v>
      </c>
    </row>
    <row r="873" spans="1:2" x14ac:dyDescent="0.35">
      <c r="A873" s="26" t="s">
        <v>3401</v>
      </c>
      <c r="B873" s="26" t="s">
        <v>3402</v>
      </c>
    </row>
    <row r="874" spans="1:2" x14ac:dyDescent="0.35">
      <c r="A874" s="26" t="s">
        <v>3403</v>
      </c>
      <c r="B874" s="26" t="s">
        <v>3404</v>
      </c>
    </row>
    <row r="875" spans="1:2" x14ac:dyDescent="0.35">
      <c r="A875" s="26" t="s">
        <v>3405</v>
      </c>
      <c r="B875" s="26" t="s">
        <v>3406</v>
      </c>
    </row>
    <row r="876" spans="1:2" x14ac:dyDescent="0.35">
      <c r="A876" s="26" t="s">
        <v>3407</v>
      </c>
      <c r="B876" s="26" t="s">
        <v>3415</v>
      </c>
    </row>
    <row r="877" spans="1:2" x14ac:dyDescent="0.35">
      <c r="A877" s="26" t="s">
        <v>3408</v>
      </c>
      <c r="B877" s="26" t="s">
        <v>3416</v>
      </c>
    </row>
    <row r="878" spans="1:2" x14ac:dyDescent="0.35">
      <c r="A878" s="26" t="s">
        <v>3409</v>
      </c>
      <c r="B878" s="26"/>
    </row>
    <row r="879" spans="1:2" x14ac:dyDescent="0.35">
      <c r="A879" s="26" t="s">
        <v>3410</v>
      </c>
      <c r="B879" s="26"/>
    </row>
    <row r="880" spans="1:2" x14ac:dyDescent="0.35">
      <c r="A880" s="26" t="s">
        <v>3411</v>
      </c>
      <c r="B880" s="26"/>
    </row>
    <row r="881" spans="1:2" x14ac:dyDescent="0.35">
      <c r="A881" s="26" t="s">
        <v>3412</v>
      </c>
      <c r="B881" s="26" t="s">
        <v>3417</v>
      </c>
    </row>
    <row r="882" spans="1:2" x14ac:dyDescent="0.35">
      <c r="A882" s="26" t="s">
        <v>3413</v>
      </c>
      <c r="B882" s="26" t="s">
        <v>3418</v>
      </c>
    </row>
    <row r="883" spans="1:2" x14ac:dyDescent="0.35">
      <c r="A883" s="26" t="s">
        <v>3414</v>
      </c>
      <c r="B883" s="26" t="s">
        <v>3419</v>
      </c>
    </row>
  </sheetData>
  <autoFilter ref="A1:B883" xr:uid="{8C01ECF0-1639-41BD-90AE-9E9230D95C02}"/>
  <hyperlinks>
    <hyperlink ref="A41" r:id="rId1" display="DTXSID5037523" xr:uid="{F60BECEA-AC45-4B18-BB3E-8E57AB2BE532}"/>
    <hyperlink ref="A42" r:id="rId2" display="DTXSID1032482" xr:uid="{F45E2DEC-69EC-4FA5-8A9C-2414669C3D5C}"/>
    <hyperlink ref="A43" r:id="rId3" display="DTXSID4058499" xr:uid="{552A3CCB-A4C6-4F5D-BB5E-7E55DC1BAB14}"/>
    <hyperlink ref="A44" r:id="rId4" display="DTXSID9037539" xr:uid="{F6715B73-633F-40BF-BE60-B5048ECB3617}"/>
    <hyperlink ref="A45" r:id="rId5" display="DTXSID1032640" xr:uid="{06AE754F-403E-42FF-B202-D41F651D0DEA}"/>
    <hyperlink ref="A46" r:id="rId6" display="DTXSID2052736" xr:uid="{3559A7A7-2092-4C18-A23F-BC927416199D}"/>
    <hyperlink ref="A47" r:id="rId7" display="DTXSID6020147" xr:uid="{B2F56A6E-EE7A-4FA4-A5DC-244953A47C5B}"/>
    <hyperlink ref="A48" r:id="rId8" display="DTXSID5020819" xr:uid="{0CA317D2-8C8F-4E0D-A438-02EE0BE04137}"/>
    <hyperlink ref="A49" r:id="rId9" display="DTXSID5037571" xr:uid="{4005504C-2274-4A09-AC0B-CEC37E0E10C1}"/>
    <hyperlink ref="A50" r:id="rId10" display="DTXSID1023445" xr:uid="{2D2B39AB-2697-4532-A217-6365063C36C2}"/>
    <hyperlink ref="A51" r:id="rId11" display="DTXSID0020442" xr:uid="{D44CC9E4-530D-4FA6-99ED-BB8950040887}"/>
    <hyperlink ref="A52" r:id="rId12" display="DTXSID4024195" xr:uid="{2F9B958E-D9AB-4DB5-B377-A063996E382E}"/>
    <hyperlink ref="A579" r:id="rId13" display="DTXSID2024113" xr:uid="{A0984256-63B1-489B-937F-FD7034083D18}"/>
    <hyperlink ref="A54" r:id="rId14" display="DTXSID9020322" xr:uid="{613F284F-53C6-4305-8DCC-446CF93196AC}"/>
    <hyperlink ref="A55" r:id="rId15" display="DTXSID9034868" xr:uid="{1E285BF7-B4E9-42C3-84FE-0F849F9B523B}"/>
    <hyperlink ref="A56" r:id="rId16" display="DTXSID2020636" xr:uid="{C16BA682-B636-40F5-8D1F-D787C1E6E714}"/>
    <hyperlink ref="A57" r:id="rId17" display="DTXSID9024194" xr:uid="{213664DA-35D1-4283-B6B7-064E936BA931}"/>
    <hyperlink ref="A58" r:id="rId18" display="DTXSID5040675" xr:uid="{E9A7F5B8-F986-4539-A2E1-64ECA421968E}"/>
    <hyperlink ref="A59" r:id="rId19" display="DTXSID8023975" xr:uid="{D7B05ED9-8D74-4F91-BBAA-DE8A682636B5}"/>
    <hyperlink ref="A60" r:id="rId20" display="DTXSID1024465" xr:uid="{F1357266-3A2F-476E-94E6-84AE7F7E44C2}"/>
    <hyperlink ref="A808" r:id="rId21" display="DTXSID6023737" xr:uid="{F91F1A5A-AC06-4032-9C8F-2F01A7BC65D6}"/>
    <hyperlink ref="A62" r:id="rId22" display="DTXSID40869118" xr:uid="{3AF0609E-1BB7-4AFB-9DD5-B94AD84E34FF}"/>
    <hyperlink ref="A63" r:id="rId23" display="DTXSID5023114" xr:uid="{EBAF49B4-249C-4398-89E7-9F10B24F022D}"/>
    <hyperlink ref="A64" r:id="rId24" display="DTXSID4020161" xr:uid="{5DD4594D-00EC-48FB-B302-F9E30472386F}"/>
    <hyperlink ref="A65" r:id="rId25" display="DTXSID4020878" xr:uid="{5D97C622-73E4-4757-AC9D-D8A60617162B}"/>
    <hyperlink ref="A66" r:id="rId26" display="DTXSID4022658" xr:uid="{D4D938C9-05E8-4DDE-BF6C-01F411C817F5}"/>
    <hyperlink ref="A67" r:id="rId27" display="DTXSID8020913" xr:uid="{78409FA7-4901-4950-BEE7-12F33601D8A2}"/>
    <hyperlink ref="A68" r:id="rId28" display="DTXSID0023955" xr:uid="{0337B031-AF46-471F-AFEA-AA5B4725CA1F}"/>
    <hyperlink ref="A69" r:id="rId29" display="DTXSID9020877" xr:uid="{ABFB0D9B-1702-4FBC-9B4F-BD41C41E5BEB}"/>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C30F3-4D18-4997-99FD-43C29EEFD5EB}">
  <dimension ref="A1:Q378"/>
  <sheetViews>
    <sheetView workbookViewId="0">
      <pane ySplit="1" topLeftCell="A129" activePane="bottomLeft" state="frozen"/>
      <selection pane="bottomLeft" activeCell="O181" sqref="O181"/>
    </sheetView>
  </sheetViews>
  <sheetFormatPr defaultColWidth="9.1796875" defaultRowHeight="14" x14ac:dyDescent="0.3"/>
  <cols>
    <col min="1" max="1" width="12" style="41" customWidth="1"/>
    <col min="2" max="2" width="23" style="41" customWidth="1"/>
    <col min="3" max="3" width="19.1796875" style="41" hidden="1" customWidth="1"/>
    <col min="4" max="4" width="20.90625" style="41" hidden="1" customWidth="1"/>
    <col min="5" max="6" width="0" style="41" hidden="1" customWidth="1"/>
    <col min="7" max="7" width="30.54296875" style="41" customWidth="1"/>
    <col min="8" max="9" width="15.7265625" style="41" customWidth="1"/>
    <col min="10" max="10" width="18.1796875" style="41" customWidth="1"/>
    <col min="11" max="11" width="40.453125" style="41" customWidth="1"/>
    <col min="12" max="12" width="26.1796875" style="41" hidden="1" customWidth="1"/>
    <col min="13" max="13" width="33.54296875" style="41" hidden="1" customWidth="1"/>
    <col min="14" max="14" width="42" style="41" hidden="1" customWidth="1"/>
    <col min="15" max="16" width="42" style="41" customWidth="1"/>
    <col min="17" max="17" width="9.1796875" style="41" customWidth="1"/>
    <col min="18" max="16384" width="9.1796875" style="41"/>
  </cols>
  <sheetData>
    <row r="1" spans="1:17" s="43" customFormat="1" x14ac:dyDescent="0.3">
      <c r="A1" s="42" t="s">
        <v>2103</v>
      </c>
      <c r="B1" s="42" t="s">
        <v>1650</v>
      </c>
      <c r="C1" s="43" t="s">
        <v>2153</v>
      </c>
      <c r="D1" s="43" t="s">
        <v>2246</v>
      </c>
      <c r="E1" s="43" t="s">
        <v>2247</v>
      </c>
      <c r="F1" s="43" t="s">
        <v>2248</v>
      </c>
      <c r="G1" s="42" t="s">
        <v>2249</v>
      </c>
      <c r="H1" s="42" t="s">
        <v>2104</v>
      </c>
      <c r="I1" s="42" t="s">
        <v>3322</v>
      </c>
      <c r="J1" s="42" t="s">
        <v>1660</v>
      </c>
      <c r="K1" s="42" t="s">
        <v>2105</v>
      </c>
      <c r="L1" s="42" t="s">
        <v>2106</v>
      </c>
      <c r="M1" s="42" t="s">
        <v>2107</v>
      </c>
      <c r="N1" s="42" t="s">
        <v>2108</v>
      </c>
      <c r="O1" s="42" t="s">
        <v>3479</v>
      </c>
      <c r="P1" s="42" t="s">
        <v>4152</v>
      </c>
      <c r="Q1" s="42" t="s">
        <v>2189</v>
      </c>
    </row>
    <row r="2" spans="1:17" x14ac:dyDescent="0.3">
      <c r="A2" s="41" t="s">
        <v>305</v>
      </c>
      <c r="B2" s="41" t="s">
        <v>1130</v>
      </c>
      <c r="C2" s="41" t="s">
        <v>2098</v>
      </c>
      <c r="E2" s="41" t="s">
        <v>2154</v>
      </c>
      <c r="F2" s="41" t="s">
        <v>2098</v>
      </c>
      <c r="P2" s="61">
        <v>44581</v>
      </c>
    </row>
    <row r="3" spans="1:17" x14ac:dyDescent="0.3">
      <c r="A3" s="41" t="s">
        <v>266</v>
      </c>
      <c r="B3" s="41" t="s">
        <v>1092</v>
      </c>
      <c r="C3" s="41" t="s">
        <v>2098</v>
      </c>
      <c r="E3" s="41" t="s">
        <v>2154</v>
      </c>
      <c r="F3" s="41" t="s">
        <v>2098</v>
      </c>
      <c r="P3" s="61">
        <v>44581</v>
      </c>
    </row>
    <row r="4" spans="1:17" x14ac:dyDescent="0.3">
      <c r="A4" s="41" t="s">
        <v>179</v>
      </c>
      <c r="B4" s="41" t="s">
        <v>1008</v>
      </c>
      <c r="C4" s="41" t="s">
        <v>2098</v>
      </c>
      <c r="E4" s="41" t="s">
        <v>2098</v>
      </c>
      <c r="P4" s="61">
        <v>44581</v>
      </c>
    </row>
    <row r="5" spans="1:17" x14ac:dyDescent="0.3">
      <c r="A5" s="41" t="s">
        <v>779</v>
      </c>
      <c r="B5" s="41" t="s">
        <v>1602</v>
      </c>
      <c r="C5" s="41" t="s">
        <v>2098</v>
      </c>
      <c r="E5" s="41" t="s">
        <v>2098</v>
      </c>
      <c r="F5" s="41" t="s">
        <v>2098</v>
      </c>
      <c r="P5" s="61">
        <v>44581</v>
      </c>
    </row>
    <row r="6" spans="1:17" x14ac:dyDescent="0.3">
      <c r="A6" s="41" t="s">
        <v>539</v>
      </c>
      <c r="B6" s="41" t="s">
        <v>1363</v>
      </c>
      <c r="C6" s="41" t="s">
        <v>2098</v>
      </c>
      <c r="E6" s="41" t="s">
        <v>2098</v>
      </c>
      <c r="P6" s="61">
        <v>44581</v>
      </c>
    </row>
    <row r="7" spans="1:17" x14ac:dyDescent="0.3">
      <c r="A7" s="41" t="s">
        <v>462</v>
      </c>
      <c r="B7" s="41" t="s">
        <v>1286</v>
      </c>
      <c r="C7" s="41" t="s">
        <v>2098</v>
      </c>
      <c r="E7" s="41" t="s">
        <v>2098</v>
      </c>
      <c r="P7" s="61">
        <v>44581</v>
      </c>
    </row>
    <row r="8" spans="1:17" x14ac:dyDescent="0.3">
      <c r="A8" s="41" t="s">
        <v>708</v>
      </c>
      <c r="B8" s="41" t="s">
        <v>1532</v>
      </c>
      <c r="C8" s="41" t="s">
        <v>2098</v>
      </c>
      <c r="E8" s="41" t="s">
        <v>2154</v>
      </c>
      <c r="F8" s="41" t="s">
        <v>2098</v>
      </c>
      <c r="P8" s="61">
        <v>44581</v>
      </c>
    </row>
    <row r="9" spans="1:17" x14ac:dyDescent="0.3">
      <c r="A9" s="41" t="s">
        <v>729</v>
      </c>
      <c r="B9" s="41" t="s">
        <v>1553</v>
      </c>
      <c r="C9" s="41" t="s">
        <v>2098</v>
      </c>
      <c r="E9" s="41" t="s">
        <v>2154</v>
      </c>
      <c r="F9" s="41" t="s">
        <v>2098</v>
      </c>
      <c r="P9" s="61">
        <v>44581</v>
      </c>
    </row>
    <row r="10" spans="1:17" x14ac:dyDescent="0.3">
      <c r="A10" s="41" t="s">
        <v>824</v>
      </c>
      <c r="B10" s="41" t="s">
        <v>1646</v>
      </c>
      <c r="C10" s="41" t="s">
        <v>2098</v>
      </c>
      <c r="E10" s="41" t="s">
        <v>2098</v>
      </c>
      <c r="P10" s="61">
        <v>44581</v>
      </c>
    </row>
    <row r="11" spans="1:17" s="44" customFormat="1" ht="14.5" x14ac:dyDescent="0.35">
      <c r="A11" s="44" t="s">
        <v>15</v>
      </c>
      <c r="B11" s="44" t="s">
        <v>844</v>
      </c>
      <c r="C11" s="44" t="s">
        <v>2154</v>
      </c>
      <c r="D11" s="44" t="s">
        <v>2154</v>
      </c>
      <c r="E11" s="44" t="s">
        <v>2154</v>
      </c>
      <c r="F11" s="44" t="s">
        <v>2154</v>
      </c>
      <c r="G11" s="44" t="s">
        <v>2155</v>
      </c>
      <c r="H11" s="44">
        <f>0.019*10^3</f>
        <v>19</v>
      </c>
      <c r="I11" s="44" t="s">
        <v>1720</v>
      </c>
      <c r="J11" s="39" t="s">
        <v>2156</v>
      </c>
      <c r="K11" s="44" t="s">
        <v>2157</v>
      </c>
      <c r="L11" s="44">
        <f>H11*50</f>
        <v>950</v>
      </c>
      <c r="M11" s="44">
        <f>L11/10^3</f>
        <v>0.95</v>
      </c>
      <c r="O11" s="44" t="s">
        <v>3480</v>
      </c>
      <c r="P11" s="61">
        <v>44581</v>
      </c>
    </row>
    <row r="12" spans="1:17" s="44" customFormat="1" ht="14.5" x14ac:dyDescent="0.35">
      <c r="A12" s="44" t="s">
        <v>15</v>
      </c>
      <c r="B12" s="44" t="s">
        <v>844</v>
      </c>
      <c r="C12" s="44" t="s">
        <v>2154</v>
      </c>
      <c r="D12" s="44" t="s">
        <v>2154</v>
      </c>
      <c r="E12" s="44" t="s">
        <v>2154</v>
      </c>
      <c r="F12" s="44" t="s">
        <v>2154</v>
      </c>
      <c r="G12" s="44" t="s">
        <v>2158</v>
      </c>
      <c r="H12" s="44">
        <f>0.158*10^3</f>
        <v>158</v>
      </c>
      <c r="I12" s="44" t="s">
        <v>1720</v>
      </c>
      <c r="J12" s="39" t="s">
        <v>2156</v>
      </c>
      <c r="O12" s="44" t="s">
        <v>3480</v>
      </c>
      <c r="P12" s="61">
        <v>44581</v>
      </c>
    </row>
    <row r="13" spans="1:17" s="44" customFormat="1" x14ac:dyDescent="0.3">
      <c r="A13" s="44" t="s">
        <v>707</v>
      </c>
      <c r="B13" s="44" t="s">
        <v>1531</v>
      </c>
      <c r="C13" s="44" t="s">
        <v>2098</v>
      </c>
      <c r="E13" s="44" t="s">
        <v>2154</v>
      </c>
      <c r="F13" s="44" t="s">
        <v>2098</v>
      </c>
      <c r="P13" s="61">
        <v>44581</v>
      </c>
    </row>
    <row r="14" spans="1:17" x14ac:dyDescent="0.3">
      <c r="A14" s="41" t="s">
        <v>817</v>
      </c>
      <c r="B14" s="41" t="s">
        <v>1640</v>
      </c>
      <c r="C14" s="41" t="s">
        <v>2098</v>
      </c>
      <c r="E14" s="41" t="s">
        <v>2098</v>
      </c>
      <c r="P14" s="61">
        <v>44581</v>
      </c>
    </row>
    <row r="15" spans="1:17" x14ac:dyDescent="0.3">
      <c r="A15" s="41" t="s">
        <v>813</v>
      </c>
      <c r="B15" s="41" t="s">
        <v>1636</v>
      </c>
      <c r="C15" s="41" t="s">
        <v>2098</v>
      </c>
      <c r="E15" s="41" t="s">
        <v>2098</v>
      </c>
      <c r="P15" s="61">
        <v>44581</v>
      </c>
    </row>
    <row r="16" spans="1:17" x14ac:dyDescent="0.3">
      <c r="A16" s="41" t="s">
        <v>795</v>
      </c>
      <c r="B16" s="41" t="s">
        <v>1618</v>
      </c>
      <c r="C16" s="41" t="s">
        <v>2098</v>
      </c>
      <c r="E16" s="41" t="s">
        <v>2098</v>
      </c>
      <c r="P16" s="61">
        <v>44581</v>
      </c>
    </row>
    <row r="17" spans="1:16" x14ac:dyDescent="0.3">
      <c r="A17" s="41" t="s">
        <v>132</v>
      </c>
      <c r="B17" s="41" t="s">
        <v>961</v>
      </c>
      <c r="C17" s="41" t="s">
        <v>2098</v>
      </c>
      <c r="E17" s="41" t="s">
        <v>2098</v>
      </c>
      <c r="P17" s="61">
        <v>44581</v>
      </c>
    </row>
    <row r="18" spans="1:16" x14ac:dyDescent="0.3">
      <c r="A18" s="41" t="s">
        <v>310</v>
      </c>
      <c r="B18" s="41" t="s">
        <v>1135</v>
      </c>
      <c r="C18" s="41" t="s">
        <v>2098</v>
      </c>
      <c r="E18" s="41" t="s">
        <v>2098</v>
      </c>
      <c r="P18" s="61">
        <v>44581</v>
      </c>
    </row>
    <row r="19" spans="1:16" x14ac:dyDescent="0.3">
      <c r="A19" s="41" t="s">
        <v>723</v>
      </c>
      <c r="B19" s="41" t="s">
        <v>1547</v>
      </c>
      <c r="C19" s="41" t="s">
        <v>2098</v>
      </c>
      <c r="E19" s="41" t="s">
        <v>2098</v>
      </c>
      <c r="P19" s="61">
        <v>44581</v>
      </c>
    </row>
    <row r="20" spans="1:16" x14ac:dyDescent="0.3">
      <c r="A20" s="41" t="s">
        <v>800</v>
      </c>
      <c r="B20" s="41" t="s">
        <v>1623</v>
      </c>
      <c r="C20" s="41" t="s">
        <v>2098</v>
      </c>
      <c r="E20" s="41" t="s">
        <v>2154</v>
      </c>
      <c r="F20" s="41" t="s">
        <v>2098</v>
      </c>
      <c r="P20" s="61">
        <v>44581</v>
      </c>
    </row>
    <row r="21" spans="1:16" x14ac:dyDescent="0.3">
      <c r="A21" s="41" t="s">
        <v>822</v>
      </c>
      <c r="B21" s="41" t="s">
        <v>1644</v>
      </c>
      <c r="C21" s="41" t="s">
        <v>2098</v>
      </c>
      <c r="E21" s="41" t="s">
        <v>2098</v>
      </c>
      <c r="P21" s="61">
        <v>44581</v>
      </c>
    </row>
    <row r="22" spans="1:16" ht="14.5" x14ac:dyDescent="0.35">
      <c r="A22" s="41" t="s">
        <v>633</v>
      </c>
      <c r="B22" s="41" t="s">
        <v>1457</v>
      </c>
      <c r="C22" s="41" t="s">
        <v>2154</v>
      </c>
      <c r="D22" s="41" t="s">
        <v>2154</v>
      </c>
      <c r="E22" s="41" t="s">
        <v>2154</v>
      </c>
      <c r="F22" s="41" t="s">
        <v>2154</v>
      </c>
      <c r="G22" s="41" t="s">
        <v>2155</v>
      </c>
      <c r="H22" s="41">
        <f>0.02*10^3</f>
        <v>20</v>
      </c>
      <c r="I22" s="41" t="s">
        <v>1720</v>
      </c>
      <c r="J22" s="13" t="s">
        <v>2159</v>
      </c>
      <c r="K22" s="41" t="s">
        <v>2160</v>
      </c>
      <c r="O22" s="41" t="s">
        <v>3480</v>
      </c>
      <c r="P22" s="61">
        <v>44581</v>
      </c>
    </row>
    <row r="23" spans="1:16" ht="14.5" x14ac:dyDescent="0.35">
      <c r="A23" s="41" t="s">
        <v>633</v>
      </c>
      <c r="B23" s="41" t="s">
        <v>1457</v>
      </c>
      <c r="C23" s="41" t="s">
        <v>2154</v>
      </c>
      <c r="D23" s="41" t="s">
        <v>2154</v>
      </c>
      <c r="E23" s="41" t="s">
        <v>2154</v>
      </c>
      <c r="F23" s="41" t="s">
        <v>2154</v>
      </c>
      <c r="G23" s="41" t="s">
        <v>2158</v>
      </c>
      <c r="H23" s="41">
        <f>0.007*10^3</f>
        <v>7</v>
      </c>
      <c r="I23" s="41" t="s">
        <v>1720</v>
      </c>
      <c r="J23" s="13" t="s">
        <v>2159</v>
      </c>
      <c r="O23" s="41" t="s">
        <v>3480</v>
      </c>
      <c r="P23" s="61">
        <v>44581</v>
      </c>
    </row>
    <row r="24" spans="1:16" x14ac:dyDescent="0.3">
      <c r="A24" s="41" t="s">
        <v>279</v>
      </c>
      <c r="B24" s="41" t="s">
        <v>1105</v>
      </c>
      <c r="C24" s="41" t="s">
        <v>2098</v>
      </c>
      <c r="E24" s="41" t="s">
        <v>2154</v>
      </c>
      <c r="F24" s="41" t="s">
        <v>2098</v>
      </c>
      <c r="P24" s="62">
        <v>44581</v>
      </c>
    </row>
    <row r="25" spans="1:16" x14ac:dyDescent="0.3">
      <c r="A25" s="41" t="s">
        <v>753</v>
      </c>
      <c r="B25" s="41" t="s">
        <v>1577</v>
      </c>
      <c r="C25" s="41" t="s">
        <v>2098</v>
      </c>
      <c r="E25" s="41" t="s">
        <v>2098</v>
      </c>
      <c r="P25" s="62">
        <v>44581</v>
      </c>
    </row>
    <row r="26" spans="1:16" x14ac:dyDescent="0.3">
      <c r="A26" s="41" t="s">
        <v>610</v>
      </c>
      <c r="B26" s="41" t="s">
        <v>1434</v>
      </c>
      <c r="C26" s="41" t="s">
        <v>2098</v>
      </c>
      <c r="E26" s="41" t="s">
        <v>2154</v>
      </c>
      <c r="F26" s="41" t="s">
        <v>2098</v>
      </c>
      <c r="P26" s="62">
        <v>44581</v>
      </c>
    </row>
    <row r="27" spans="1:16" x14ac:dyDescent="0.3">
      <c r="A27" s="41" t="s">
        <v>664</v>
      </c>
      <c r="B27" s="41" t="s">
        <v>1488</v>
      </c>
      <c r="C27" s="41" t="s">
        <v>2098</v>
      </c>
      <c r="E27" s="41" t="s">
        <v>2154</v>
      </c>
      <c r="F27" s="41" t="s">
        <v>2098</v>
      </c>
      <c r="P27" s="62">
        <v>44581</v>
      </c>
    </row>
    <row r="28" spans="1:16" x14ac:dyDescent="0.3">
      <c r="A28" s="41" t="s">
        <v>730</v>
      </c>
      <c r="B28" s="41" t="s">
        <v>1554</v>
      </c>
      <c r="C28" s="41" t="s">
        <v>2098</v>
      </c>
      <c r="E28" s="41" t="s">
        <v>2154</v>
      </c>
      <c r="F28" s="41" t="s">
        <v>2098</v>
      </c>
      <c r="P28" s="62">
        <v>44581</v>
      </c>
    </row>
    <row r="29" spans="1:16" x14ac:dyDescent="0.3">
      <c r="A29" s="41" t="s">
        <v>706</v>
      </c>
      <c r="B29" s="41" t="s">
        <v>1530</v>
      </c>
      <c r="C29" s="41" t="s">
        <v>2098</v>
      </c>
      <c r="E29" s="41" t="s">
        <v>2098</v>
      </c>
      <c r="P29" s="62">
        <v>44581</v>
      </c>
    </row>
    <row r="30" spans="1:16" ht="14.5" x14ac:dyDescent="0.35">
      <c r="A30" s="41" t="s">
        <v>383</v>
      </c>
      <c r="B30" s="41" t="s">
        <v>1207</v>
      </c>
      <c r="C30" s="41" t="s">
        <v>2154</v>
      </c>
      <c r="D30" s="41" t="s">
        <v>2154</v>
      </c>
      <c r="E30" s="41" t="s">
        <v>2154</v>
      </c>
      <c r="F30" s="41" t="s">
        <v>2154</v>
      </c>
      <c r="G30" s="41" t="s">
        <v>2155</v>
      </c>
      <c r="H30" s="41">
        <f>0.07*10^3</f>
        <v>70</v>
      </c>
      <c r="I30" s="41" t="s">
        <v>1720</v>
      </c>
      <c r="J30" s="13" t="s">
        <v>2161</v>
      </c>
      <c r="O30" s="41" t="s">
        <v>3480</v>
      </c>
      <c r="P30" s="62">
        <v>44581</v>
      </c>
    </row>
    <row r="31" spans="1:16" x14ac:dyDescent="0.3">
      <c r="A31" s="41" t="s">
        <v>383</v>
      </c>
      <c r="B31" s="41" t="s">
        <v>1207</v>
      </c>
      <c r="C31" s="41" t="s">
        <v>2154</v>
      </c>
      <c r="D31" s="41" t="s">
        <v>2154</v>
      </c>
      <c r="E31" s="41" t="s">
        <v>2154</v>
      </c>
      <c r="F31" s="41" t="s">
        <v>2154</v>
      </c>
      <c r="G31" s="41" t="s">
        <v>2158</v>
      </c>
      <c r="H31" s="41">
        <f>0.45*10^3</f>
        <v>450</v>
      </c>
      <c r="I31" s="41" t="s">
        <v>1720</v>
      </c>
      <c r="J31" s="41" t="s">
        <v>2161</v>
      </c>
      <c r="O31" s="41" t="s">
        <v>3480</v>
      </c>
      <c r="P31" s="62">
        <v>44581</v>
      </c>
    </row>
    <row r="32" spans="1:16" x14ac:dyDescent="0.3">
      <c r="A32" s="41" t="s">
        <v>786</v>
      </c>
      <c r="B32" s="41" t="s">
        <v>1609</v>
      </c>
      <c r="C32" s="41" t="s">
        <v>2098</v>
      </c>
      <c r="E32" s="41" t="s">
        <v>2154</v>
      </c>
      <c r="F32" s="41" t="s">
        <v>2098</v>
      </c>
      <c r="P32" s="62">
        <v>44581</v>
      </c>
    </row>
    <row r="33" spans="1:16" x14ac:dyDescent="0.3">
      <c r="A33" s="41" t="s">
        <v>717</v>
      </c>
      <c r="B33" s="41" t="s">
        <v>1541</v>
      </c>
      <c r="C33" s="41" t="s">
        <v>2098</v>
      </c>
      <c r="E33" s="41" t="s">
        <v>2154</v>
      </c>
      <c r="F33" s="41" t="s">
        <v>2098</v>
      </c>
      <c r="P33" s="62">
        <v>44581</v>
      </c>
    </row>
    <row r="34" spans="1:16" x14ac:dyDescent="0.3">
      <c r="A34" s="41" t="s">
        <v>711</v>
      </c>
      <c r="B34" s="41" t="s">
        <v>1535</v>
      </c>
      <c r="C34" s="41" t="s">
        <v>2098</v>
      </c>
      <c r="E34" s="41" t="s">
        <v>2154</v>
      </c>
      <c r="F34" s="41" t="s">
        <v>2098</v>
      </c>
      <c r="P34" s="62">
        <v>44581</v>
      </c>
    </row>
    <row r="35" spans="1:16" x14ac:dyDescent="0.3">
      <c r="A35" s="41" t="s">
        <v>722</v>
      </c>
      <c r="B35" s="41" t="s">
        <v>1546</v>
      </c>
      <c r="C35" s="41" t="s">
        <v>2098</v>
      </c>
      <c r="E35" s="41" t="s">
        <v>2154</v>
      </c>
      <c r="F35" s="41" t="s">
        <v>2098</v>
      </c>
      <c r="P35" s="62">
        <v>44581</v>
      </c>
    </row>
    <row r="36" spans="1:16" x14ac:dyDescent="0.3">
      <c r="A36" s="41" t="s">
        <v>712</v>
      </c>
      <c r="B36" s="41" t="s">
        <v>1536</v>
      </c>
      <c r="C36" s="41" t="s">
        <v>2098</v>
      </c>
      <c r="E36" s="41" t="s">
        <v>2154</v>
      </c>
      <c r="F36" s="41" t="s">
        <v>2098</v>
      </c>
      <c r="P36" s="62">
        <v>44581</v>
      </c>
    </row>
    <row r="37" spans="1:16" x14ac:dyDescent="0.3">
      <c r="A37" s="41" t="s">
        <v>704</v>
      </c>
      <c r="B37" s="41" t="s">
        <v>1528</v>
      </c>
      <c r="C37" s="41" t="s">
        <v>2098</v>
      </c>
      <c r="E37" s="41" t="s">
        <v>2154</v>
      </c>
      <c r="F37" s="41" t="s">
        <v>2098</v>
      </c>
      <c r="P37" s="62">
        <v>44581</v>
      </c>
    </row>
    <row r="38" spans="1:16" x14ac:dyDescent="0.3">
      <c r="A38" s="41" t="s">
        <v>725</v>
      </c>
      <c r="B38" s="41" t="s">
        <v>1549</v>
      </c>
      <c r="C38" s="41" t="s">
        <v>2098</v>
      </c>
      <c r="E38" s="41" t="s">
        <v>2154</v>
      </c>
      <c r="F38" s="41" t="s">
        <v>2098</v>
      </c>
      <c r="P38" s="62">
        <v>44581</v>
      </c>
    </row>
    <row r="39" spans="1:16" x14ac:dyDescent="0.3">
      <c r="A39" s="41" t="s">
        <v>719</v>
      </c>
      <c r="B39" s="41" t="s">
        <v>1543</v>
      </c>
      <c r="C39" s="41" t="s">
        <v>2098</v>
      </c>
      <c r="E39" s="41" t="s">
        <v>2098</v>
      </c>
      <c r="F39" s="41" t="s">
        <v>2098</v>
      </c>
      <c r="P39" s="62">
        <v>44581</v>
      </c>
    </row>
    <row r="40" spans="1:16" x14ac:dyDescent="0.3">
      <c r="A40" s="41" t="s">
        <v>803</v>
      </c>
      <c r="B40" s="41" t="s">
        <v>1626</v>
      </c>
      <c r="C40" s="41" t="s">
        <v>2098</v>
      </c>
      <c r="E40" s="41" t="s">
        <v>2154</v>
      </c>
      <c r="F40" s="41" t="s">
        <v>2098</v>
      </c>
      <c r="P40" s="62">
        <v>44581</v>
      </c>
    </row>
    <row r="41" spans="1:16" x14ac:dyDescent="0.3">
      <c r="A41" s="41" t="s">
        <v>810</v>
      </c>
      <c r="B41" s="41" t="s">
        <v>1633</v>
      </c>
      <c r="C41" s="41" t="s">
        <v>2098</v>
      </c>
      <c r="E41" s="41" t="s">
        <v>2098</v>
      </c>
      <c r="F41" s="41" t="s">
        <v>2098</v>
      </c>
      <c r="P41" s="62">
        <v>44581</v>
      </c>
    </row>
    <row r="42" spans="1:16" x14ac:dyDescent="0.3">
      <c r="A42" s="41" t="s">
        <v>812</v>
      </c>
      <c r="B42" s="41" t="s">
        <v>1635</v>
      </c>
      <c r="C42" s="41" t="s">
        <v>2098</v>
      </c>
      <c r="E42" s="41" t="s">
        <v>2098</v>
      </c>
      <c r="P42" s="62">
        <v>44581</v>
      </c>
    </row>
    <row r="43" spans="1:16" x14ac:dyDescent="0.3">
      <c r="A43" s="41" t="s">
        <v>713</v>
      </c>
      <c r="B43" s="41" t="s">
        <v>1537</v>
      </c>
      <c r="C43" s="41" t="s">
        <v>2098</v>
      </c>
      <c r="E43" s="41" t="s">
        <v>2098</v>
      </c>
      <c r="P43" s="62">
        <v>44581</v>
      </c>
    </row>
    <row r="44" spans="1:16" x14ac:dyDescent="0.3">
      <c r="A44" s="41" t="s">
        <v>724</v>
      </c>
      <c r="B44" s="41" t="s">
        <v>1548</v>
      </c>
      <c r="C44" s="41" t="s">
        <v>2098</v>
      </c>
      <c r="E44" s="41" t="s">
        <v>2098</v>
      </c>
      <c r="P44" s="62">
        <v>44581</v>
      </c>
    </row>
    <row r="45" spans="1:16" x14ac:dyDescent="0.3">
      <c r="A45" s="41" t="s">
        <v>809</v>
      </c>
      <c r="B45" s="41" t="s">
        <v>1632</v>
      </c>
      <c r="C45" s="41" t="s">
        <v>2098</v>
      </c>
      <c r="E45" s="41" t="s">
        <v>2098</v>
      </c>
      <c r="P45" s="62">
        <v>44581</v>
      </c>
    </row>
    <row r="46" spans="1:16" x14ac:dyDescent="0.3">
      <c r="A46" s="41" t="s">
        <v>814</v>
      </c>
      <c r="B46" s="41" t="s">
        <v>1637</v>
      </c>
      <c r="C46" s="41" t="s">
        <v>2098</v>
      </c>
      <c r="E46" s="41" t="s">
        <v>2098</v>
      </c>
      <c r="P46" s="62">
        <v>44581</v>
      </c>
    </row>
    <row r="47" spans="1:16" x14ac:dyDescent="0.3">
      <c r="A47" s="41" t="s">
        <v>147</v>
      </c>
      <c r="B47" s="41" t="s">
        <v>976</v>
      </c>
      <c r="C47" s="41" t="s">
        <v>2098</v>
      </c>
      <c r="E47" s="41" t="s">
        <v>2098</v>
      </c>
      <c r="P47" s="62">
        <v>44581</v>
      </c>
    </row>
    <row r="48" spans="1:16" ht="14.5" x14ac:dyDescent="0.35">
      <c r="A48" s="41" t="s">
        <v>740</v>
      </c>
      <c r="B48" s="41" t="s">
        <v>1564</v>
      </c>
      <c r="C48" s="41" t="s">
        <v>2154</v>
      </c>
      <c r="D48" s="41" t="s">
        <v>2154</v>
      </c>
      <c r="E48" s="41" t="s">
        <v>2154</v>
      </c>
      <c r="F48" s="41" t="s">
        <v>2154</v>
      </c>
      <c r="G48" s="41" t="s">
        <v>2155</v>
      </c>
      <c r="H48" s="41">
        <v>0.67</v>
      </c>
      <c r="I48" s="41" t="s">
        <v>1720</v>
      </c>
      <c r="J48" s="13" t="s">
        <v>2162</v>
      </c>
      <c r="K48" s="41" t="s">
        <v>2163</v>
      </c>
      <c r="O48" s="41" t="s">
        <v>3480</v>
      </c>
      <c r="P48" s="62">
        <v>44581</v>
      </c>
    </row>
    <row r="49" spans="1:17" x14ac:dyDescent="0.3">
      <c r="A49" s="41" t="s">
        <v>740</v>
      </c>
      <c r="B49" s="41" t="s">
        <v>1564</v>
      </c>
      <c r="C49" s="41" t="s">
        <v>2154</v>
      </c>
      <c r="D49" s="41" t="s">
        <v>2154</v>
      </c>
      <c r="E49" s="41" t="s">
        <v>2154</v>
      </c>
      <c r="F49" s="41" t="s">
        <v>2154</v>
      </c>
      <c r="G49" s="41" t="s">
        <v>2158</v>
      </c>
      <c r="H49" s="41">
        <f>6.7</f>
        <v>6.7</v>
      </c>
      <c r="I49" s="41" t="s">
        <v>1720</v>
      </c>
      <c r="J49" s="41" t="s">
        <v>2162</v>
      </c>
      <c r="K49" s="41" t="s">
        <v>2163</v>
      </c>
      <c r="O49" s="41" t="s">
        <v>3480</v>
      </c>
      <c r="P49" s="62">
        <v>44581</v>
      </c>
    </row>
    <row r="50" spans="1:17" ht="14.5" x14ac:dyDescent="0.35">
      <c r="A50" s="41" t="s">
        <v>394</v>
      </c>
      <c r="B50" s="41" t="s">
        <v>1218</v>
      </c>
      <c r="C50" s="41" t="s">
        <v>2154</v>
      </c>
      <c r="D50" s="41" t="s">
        <v>2154</v>
      </c>
      <c r="E50" s="41" t="s">
        <v>2154</v>
      </c>
      <c r="F50" s="41" t="s">
        <v>2154</v>
      </c>
      <c r="G50" s="41" t="s">
        <v>2155</v>
      </c>
      <c r="H50" s="41">
        <v>3.39</v>
      </c>
      <c r="I50" s="41" t="s">
        <v>1720</v>
      </c>
      <c r="J50" s="13" t="s">
        <v>2164</v>
      </c>
      <c r="K50" s="41" t="s">
        <v>2165</v>
      </c>
      <c r="O50" s="41" t="s">
        <v>3480</v>
      </c>
      <c r="P50" s="62">
        <v>44581</v>
      </c>
    </row>
    <row r="51" spans="1:17" x14ac:dyDescent="0.3">
      <c r="A51" s="41" t="s">
        <v>394</v>
      </c>
      <c r="B51" s="41" t="s">
        <v>1218</v>
      </c>
      <c r="C51" s="41" t="s">
        <v>2154</v>
      </c>
      <c r="D51" s="41" t="s">
        <v>2154</v>
      </c>
      <c r="E51" s="41" t="s">
        <v>2154</v>
      </c>
      <c r="F51" s="41" t="s">
        <v>2154</v>
      </c>
      <c r="G51" s="41" t="s">
        <v>2158</v>
      </c>
      <c r="H51" s="41">
        <v>3.39</v>
      </c>
      <c r="I51" s="41" t="s">
        <v>1720</v>
      </c>
      <c r="J51" s="41" t="s">
        <v>2164</v>
      </c>
      <c r="K51" s="41" t="s">
        <v>2165</v>
      </c>
      <c r="O51" s="41" t="s">
        <v>3480</v>
      </c>
      <c r="P51" s="62">
        <v>44581</v>
      </c>
    </row>
    <row r="52" spans="1:17" ht="14.5" x14ac:dyDescent="0.35">
      <c r="A52" s="26" t="s">
        <v>3403</v>
      </c>
      <c r="B52" s="26" t="s">
        <v>3404</v>
      </c>
      <c r="C52" s="44" t="s">
        <v>2098</v>
      </c>
      <c r="D52" s="44" t="s">
        <v>2098</v>
      </c>
      <c r="E52" s="44"/>
      <c r="F52" s="44"/>
      <c r="G52" s="44"/>
      <c r="H52" s="44"/>
      <c r="I52" s="44"/>
      <c r="J52" s="44"/>
      <c r="K52" s="44"/>
      <c r="L52" s="44"/>
      <c r="M52" s="44"/>
      <c r="N52" s="44"/>
      <c r="O52" s="44"/>
      <c r="P52" s="61">
        <v>44581</v>
      </c>
      <c r="Q52" s="44"/>
    </row>
    <row r="53" spans="1:17" x14ac:dyDescent="0.3">
      <c r="A53" s="41" t="s">
        <v>529</v>
      </c>
      <c r="B53" s="41" t="s">
        <v>1353</v>
      </c>
      <c r="C53" s="41" t="s">
        <v>2098</v>
      </c>
      <c r="E53" s="41" t="s">
        <v>2098</v>
      </c>
      <c r="P53" s="61">
        <v>44581</v>
      </c>
    </row>
    <row r="54" spans="1:17" x14ac:dyDescent="0.3">
      <c r="A54" s="41" t="s">
        <v>657</v>
      </c>
      <c r="B54" s="41" t="s">
        <v>1481</v>
      </c>
      <c r="C54" s="41" t="s">
        <v>2098</v>
      </c>
      <c r="E54" s="41" t="s">
        <v>2154</v>
      </c>
      <c r="F54" s="41" t="s">
        <v>2098</v>
      </c>
      <c r="P54" s="61">
        <v>44581</v>
      </c>
    </row>
    <row r="55" spans="1:17" ht="14.5" x14ac:dyDescent="0.35">
      <c r="A55" s="41" t="s">
        <v>595</v>
      </c>
      <c r="B55" s="41" t="s">
        <v>1419</v>
      </c>
      <c r="C55" s="41" t="s">
        <v>2154</v>
      </c>
      <c r="D55" s="41" t="s">
        <v>2154</v>
      </c>
      <c r="E55" s="41" t="s">
        <v>2154</v>
      </c>
      <c r="F55" s="41" t="s">
        <v>2154</v>
      </c>
      <c r="G55" s="41" t="s">
        <v>2155</v>
      </c>
      <c r="H55" s="41">
        <v>12.4</v>
      </c>
      <c r="I55" s="41" t="s">
        <v>1720</v>
      </c>
      <c r="J55" s="13" t="s">
        <v>4169</v>
      </c>
      <c r="K55" s="41" t="s">
        <v>2166</v>
      </c>
      <c r="O55" s="41" t="s">
        <v>3481</v>
      </c>
      <c r="P55" s="61">
        <v>44581</v>
      </c>
    </row>
    <row r="56" spans="1:17" x14ac:dyDescent="0.3">
      <c r="A56" s="41" t="s">
        <v>595</v>
      </c>
      <c r="B56" s="41" t="s">
        <v>1419</v>
      </c>
      <c r="C56" s="41" t="s">
        <v>2154</v>
      </c>
      <c r="D56" s="41" t="s">
        <v>2154</v>
      </c>
      <c r="E56" s="41" t="s">
        <v>2154</v>
      </c>
      <c r="F56" s="41" t="s">
        <v>2154</v>
      </c>
      <c r="G56" s="41" t="s">
        <v>2158</v>
      </c>
      <c r="H56" s="41">
        <v>15.6</v>
      </c>
      <c r="I56" s="41" t="s">
        <v>1720</v>
      </c>
      <c r="J56" s="41" t="s">
        <v>4169</v>
      </c>
      <c r="K56" s="41" t="s">
        <v>2166</v>
      </c>
      <c r="O56" s="41" t="s">
        <v>3481</v>
      </c>
      <c r="P56" s="61">
        <v>44581</v>
      </c>
    </row>
    <row r="57" spans="1:17" x14ac:dyDescent="0.3">
      <c r="A57" s="41" t="s">
        <v>705</v>
      </c>
      <c r="B57" s="41" t="s">
        <v>1529</v>
      </c>
      <c r="C57" s="41" t="s">
        <v>2098</v>
      </c>
      <c r="E57" s="41" t="s">
        <v>2098</v>
      </c>
      <c r="P57" s="62">
        <v>44581</v>
      </c>
    </row>
    <row r="58" spans="1:17" x14ac:dyDescent="0.3">
      <c r="A58" s="41" t="s">
        <v>230</v>
      </c>
      <c r="B58" s="41" t="s">
        <v>1057</v>
      </c>
      <c r="C58" s="41" t="s">
        <v>2098</v>
      </c>
      <c r="E58" s="41" t="s">
        <v>2098</v>
      </c>
      <c r="P58" s="62">
        <v>44581</v>
      </c>
    </row>
    <row r="59" spans="1:17" ht="14.5" x14ac:dyDescent="0.35">
      <c r="A59" s="41" t="s">
        <v>537</v>
      </c>
      <c r="B59" s="41" t="s">
        <v>1361</v>
      </c>
      <c r="C59" s="41" t="s">
        <v>2154</v>
      </c>
      <c r="D59" s="41" t="s">
        <v>2154</v>
      </c>
      <c r="E59" s="41" t="s">
        <v>2154</v>
      </c>
      <c r="F59" s="41" t="s">
        <v>2154</v>
      </c>
      <c r="G59" s="41" t="s">
        <v>2155</v>
      </c>
      <c r="H59" s="41">
        <f>0.001*10^3</f>
        <v>1</v>
      </c>
      <c r="I59" s="41" t="s">
        <v>1720</v>
      </c>
      <c r="J59" s="13" t="s">
        <v>2167</v>
      </c>
      <c r="K59" s="41" t="s">
        <v>3484</v>
      </c>
      <c r="O59" s="41" t="s">
        <v>3481</v>
      </c>
      <c r="P59" s="62">
        <v>44581</v>
      </c>
    </row>
    <row r="60" spans="1:17" x14ac:dyDescent="0.3">
      <c r="A60" s="41" t="s">
        <v>662</v>
      </c>
      <c r="B60" s="41" t="s">
        <v>1486</v>
      </c>
      <c r="C60" s="41" t="s">
        <v>2154</v>
      </c>
      <c r="D60" s="41" t="s">
        <v>2154</v>
      </c>
      <c r="E60" s="41" t="s">
        <v>2154</v>
      </c>
      <c r="F60" s="41" t="s">
        <v>2154</v>
      </c>
      <c r="G60" s="41" t="s">
        <v>2155</v>
      </c>
      <c r="H60" s="41">
        <f>0.009*10^3</f>
        <v>9</v>
      </c>
      <c r="I60" s="41" t="s">
        <v>1720</v>
      </c>
      <c r="J60" s="41" t="s">
        <v>2168</v>
      </c>
      <c r="K60" s="41" t="s">
        <v>2163</v>
      </c>
      <c r="O60" s="41" t="s">
        <v>3481</v>
      </c>
      <c r="P60" s="62">
        <v>44581</v>
      </c>
    </row>
    <row r="61" spans="1:17" x14ac:dyDescent="0.3">
      <c r="A61" s="41" t="s">
        <v>662</v>
      </c>
      <c r="B61" s="41" t="s">
        <v>1486</v>
      </c>
      <c r="C61" s="41" t="s">
        <v>2154</v>
      </c>
      <c r="D61" s="41" t="s">
        <v>2154</v>
      </c>
      <c r="E61" s="41" t="s">
        <v>2154</v>
      </c>
      <c r="F61" s="41" t="s">
        <v>2154</v>
      </c>
      <c r="G61" s="41" t="s">
        <v>2158</v>
      </c>
      <c r="H61" s="41">
        <f>0.086*10^3</f>
        <v>86</v>
      </c>
      <c r="I61" s="41" t="s">
        <v>1720</v>
      </c>
      <c r="J61" s="41" t="s">
        <v>2168</v>
      </c>
      <c r="K61" s="41" t="s">
        <v>2163</v>
      </c>
      <c r="O61" s="41" t="s">
        <v>3481</v>
      </c>
      <c r="P61" s="62">
        <v>44581</v>
      </c>
    </row>
    <row r="62" spans="1:17" x14ac:dyDescent="0.3">
      <c r="A62" s="41" t="s">
        <v>650</v>
      </c>
      <c r="B62" s="41" t="s">
        <v>1474</v>
      </c>
      <c r="C62" s="41" t="s">
        <v>2098</v>
      </c>
      <c r="D62" s="41" t="s">
        <v>2098</v>
      </c>
      <c r="E62" s="41" t="s">
        <v>2098</v>
      </c>
      <c r="P62" s="62">
        <v>44581</v>
      </c>
    </row>
    <row r="63" spans="1:17" ht="14.5" x14ac:dyDescent="0.35">
      <c r="A63" s="26" t="s">
        <v>3335</v>
      </c>
      <c r="B63" s="26" t="s">
        <v>3336</v>
      </c>
      <c r="C63" s="44"/>
      <c r="D63" s="44"/>
      <c r="E63" s="44"/>
      <c r="F63" s="44"/>
      <c r="G63" s="44"/>
      <c r="H63" s="44"/>
      <c r="I63" s="44"/>
      <c r="J63" s="44"/>
      <c r="K63" s="44"/>
      <c r="L63" s="44"/>
      <c r="M63" s="44"/>
      <c r="N63" s="44"/>
      <c r="O63" s="44"/>
      <c r="P63" s="62">
        <v>44581</v>
      </c>
      <c r="Q63" s="44"/>
    </row>
    <row r="64" spans="1:17" x14ac:dyDescent="0.3">
      <c r="A64" s="41" t="s">
        <v>199</v>
      </c>
      <c r="B64" s="41" t="s">
        <v>1027</v>
      </c>
      <c r="C64" s="41" t="s">
        <v>2154</v>
      </c>
      <c r="D64" s="41" t="s">
        <v>2154</v>
      </c>
      <c r="E64" s="41" t="s">
        <v>2154</v>
      </c>
      <c r="F64" s="41" t="s">
        <v>2154</v>
      </c>
      <c r="G64" s="41" t="s">
        <v>2155</v>
      </c>
      <c r="H64" s="41">
        <f>0.014*10^3</f>
        <v>14</v>
      </c>
      <c r="I64" s="41" t="s">
        <v>1720</v>
      </c>
      <c r="J64" s="41" t="s">
        <v>2169</v>
      </c>
      <c r="K64" s="41" t="s">
        <v>2165</v>
      </c>
      <c r="O64" s="41" t="s">
        <v>3481</v>
      </c>
      <c r="P64" s="62">
        <v>44581</v>
      </c>
    </row>
    <row r="65" spans="1:17" x14ac:dyDescent="0.3">
      <c r="A65" s="41" t="s">
        <v>199</v>
      </c>
      <c r="B65" s="41" t="s">
        <v>1027</v>
      </c>
      <c r="C65" s="41" t="s">
        <v>2154</v>
      </c>
      <c r="D65" s="41" t="s">
        <v>2154</v>
      </c>
      <c r="E65" s="41" t="s">
        <v>2154</v>
      </c>
      <c r="F65" s="41" t="s">
        <v>2154</v>
      </c>
      <c r="G65" s="41" t="s">
        <v>2158</v>
      </c>
      <c r="H65" s="41">
        <f>0.009*10^3</f>
        <v>9</v>
      </c>
      <c r="I65" s="41" t="s">
        <v>1720</v>
      </c>
      <c r="J65" s="41" t="s">
        <v>2169</v>
      </c>
      <c r="K65" s="41" t="s">
        <v>2165</v>
      </c>
      <c r="O65" s="41" t="s">
        <v>3481</v>
      </c>
      <c r="P65" s="62">
        <v>44581</v>
      </c>
    </row>
    <row r="66" spans="1:17" x14ac:dyDescent="0.3">
      <c r="A66" s="41" t="s">
        <v>681</v>
      </c>
      <c r="B66" s="41" t="s">
        <v>1505</v>
      </c>
      <c r="C66" s="41" t="s">
        <v>2098</v>
      </c>
      <c r="E66" s="41" t="s">
        <v>2154</v>
      </c>
      <c r="F66" s="41" t="s">
        <v>2098</v>
      </c>
      <c r="P66" s="62">
        <v>44581</v>
      </c>
    </row>
    <row r="67" spans="1:17" ht="14.5" x14ac:dyDescent="0.35">
      <c r="A67" s="26" t="s">
        <v>3387</v>
      </c>
      <c r="B67" s="26" t="s">
        <v>3388</v>
      </c>
      <c r="C67" s="44" t="s">
        <v>2098</v>
      </c>
      <c r="D67" s="44" t="s">
        <v>2098</v>
      </c>
      <c r="E67" s="44"/>
      <c r="F67" s="44"/>
      <c r="G67" s="44"/>
      <c r="H67" s="44"/>
      <c r="I67" s="44"/>
      <c r="J67" s="44"/>
      <c r="K67" s="44"/>
      <c r="L67" s="44"/>
      <c r="M67" s="44"/>
      <c r="N67" s="44"/>
      <c r="O67" s="44"/>
      <c r="P67" s="62">
        <v>44581</v>
      </c>
      <c r="Q67" s="44"/>
    </row>
    <row r="68" spans="1:17" x14ac:dyDescent="0.3">
      <c r="A68" s="41" t="s">
        <v>371</v>
      </c>
      <c r="B68" s="41" t="s">
        <v>1195</v>
      </c>
      <c r="C68" s="41" t="s">
        <v>2098</v>
      </c>
      <c r="E68" s="41" t="s">
        <v>2154</v>
      </c>
      <c r="F68" s="41" t="s">
        <v>2098</v>
      </c>
      <c r="P68" s="62">
        <v>44581</v>
      </c>
    </row>
    <row r="69" spans="1:17" x14ac:dyDescent="0.3">
      <c r="A69" s="41" t="s">
        <v>788</v>
      </c>
      <c r="B69" s="41" t="s">
        <v>1611</v>
      </c>
      <c r="C69" s="41" t="s">
        <v>2098</v>
      </c>
      <c r="E69" s="41" t="s">
        <v>2098</v>
      </c>
      <c r="P69" s="62">
        <v>44581</v>
      </c>
    </row>
    <row r="70" spans="1:17" ht="14.5" x14ac:dyDescent="0.35">
      <c r="A70" s="26" t="s">
        <v>3326</v>
      </c>
      <c r="B70" s="26" t="s">
        <v>3327</v>
      </c>
      <c r="C70" s="44" t="s">
        <v>2154</v>
      </c>
      <c r="D70" s="44" t="s">
        <v>2154</v>
      </c>
      <c r="E70" s="44" t="s">
        <v>2098</v>
      </c>
      <c r="F70" s="44" t="s">
        <v>2098</v>
      </c>
      <c r="G70" s="44" t="s">
        <v>3431</v>
      </c>
      <c r="H70" s="44">
        <v>0.61</v>
      </c>
      <c r="I70" s="44" t="s">
        <v>1720</v>
      </c>
      <c r="J70" s="44" t="s">
        <v>3432</v>
      </c>
      <c r="K70" s="44"/>
      <c r="L70" s="44"/>
      <c r="M70" s="44"/>
      <c r="O70" s="41" t="s">
        <v>3480</v>
      </c>
      <c r="P70" s="62">
        <v>44581</v>
      </c>
      <c r="Q70" s="44"/>
    </row>
    <row r="71" spans="1:17" ht="14.5" x14ac:dyDescent="0.35">
      <c r="A71" s="26" t="s">
        <v>3405</v>
      </c>
      <c r="B71" s="26" t="s">
        <v>3406</v>
      </c>
      <c r="C71" s="44" t="s">
        <v>2154</v>
      </c>
      <c r="D71" s="44" t="s">
        <v>2154</v>
      </c>
      <c r="E71" s="44"/>
      <c r="F71" s="44"/>
      <c r="G71" s="44" t="s">
        <v>3431</v>
      </c>
      <c r="H71" s="44">
        <v>0.8</v>
      </c>
      <c r="I71" s="44" t="s">
        <v>1720</v>
      </c>
      <c r="J71" s="44" t="s">
        <v>3436</v>
      </c>
      <c r="K71" s="44"/>
      <c r="L71" s="44"/>
      <c r="M71" s="44"/>
      <c r="N71" s="44"/>
      <c r="O71" s="44" t="s">
        <v>3481</v>
      </c>
      <c r="P71" s="62">
        <v>44581</v>
      </c>
      <c r="Q71" s="44"/>
    </row>
    <row r="72" spans="1:17" ht="14.5" x14ac:dyDescent="0.35">
      <c r="A72" s="26" t="s">
        <v>3405</v>
      </c>
      <c r="B72" s="26" t="s">
        <v>3406</v>
      </c>
      <c r="C72" s="44" t="s">
        <v>2154</v>
      </c>
      <c r="D72" s="44" t="s">
        <v>2154</v>
      </c>
      <c r="E72" s="44"/>
      <c r="F72" s="44"/>
      <c r="G72" s="44" t="s">
        <v>3437</v>
      </c>
      <c r="H72" s="44">
        <v>1.48</v>
      </c>
      <c r="I72" s="44" t="s">
        <v>1720</v>
      </c>
      <c r="J72" s="44" t="s">
        <v>3436</v>
      </c>
      <c r="K72" s="44"/>
      <c r="L72" s="44"/>
      <c r="M72" s="44"/>
      <c r="N72" s="44"/>
      <c r="O72" s="44" t="s">
        <v>3480</v>
      </c>
      <c r="P72" s="62">
        <v>44581</v>
      </c>
      <c r="Q72" s="44"/>
    </row>
    <row r="73" spans="1:17" x14ac:dyDescent="0.3">
      <c r="A73" s="41" t="s">
        <v>498</v>
      </c>
      <c r="B73" s="41" t="s">
        <v>1322</v>
      </c>
      <c r="C73" s="41" t="s">
        <v>2098</v>
      </c>
      <c r="E73" s="41" t="s">
        <v>2098</v>
      </c>
      <c r="P73" s="62">
        <v>44581</v>
      </c>
    </row>
    <row r="74" spans="1:17" x14ac:dyDescent="0.3">
      <c r="A74" s="41" t="s">
        <v>445</v>
      </c>
      <c r="B74" s="41" t="s">
        <v>1269</v>
      </c>
      <c r="C74" s="41" t="s">
        <v>2098</v>
      </c>
      <c r="E74" s="41" t="s">
        <v>2098</v>
      </c>
      <c r="P74" s="62">
        <v>44581</v>
      </c>
    </row>
    <row r="75" spans="1:17" x14ac:dyDescent="0.3">
      <c r="A75" s="41" t="s">
        <v>41</v>
      </c>
      <c r="B75" s="41" t="s">
        <v>870</v>
      </c>
      <c r="C75" s="41" t="s">
        <v>2154</v>
      </c>
      <c r="D75" s="41" t="s">
        <v>2154</v>
      </c>
      <c r="E75" s="41" t="s">
        <v>2154</v>
      </c>
      <c r="F75" s="41" t="s">
        <v>2154</v>
      </c>
      <c r="G75" s="41" t="s">
        <v>2155</v>
      </c>
      <c r="H75" s="41">
        <f>0.57*10^3</f>
        <v>570</v>
      </c>
      <c r="I75" s="41" t="s">
        <v>1720</v>
      </c>
      <c r="J75" s="41" t="s">
        <v>2170</v>
      </c>
      <c r="K75" s="41" t="s">
        <v>2165</v>
      </c>
      <c r="O75" s="41" t="s">
        <v>3481</v>
      </c>
      <c r="P75" s="62">
        <v>44581</v>
      </c>
    </row>
    <row r="76" spans="1:17" x14ac:dyDescent="0.3">
      <c r="A76" s="41" t="s">
        <v>41</v>
      </c>
      <c r="B76" s="41" t="s">
        <v>870</v>
      </c>
      <c r="C76" s="41" t="s">
        <v>2154</v>
      </c>
      <c r="D76" s="41" t="s">
        <v>2154</v>
      </c>
      <c r="E76" s="41" t="s">
        <v>2154</v>
      </c>
      <c r="F76" s="41" t="s">
        <v>2154</v>
      </c>
      <c r="G76" s="41" t="s">
        <v>2158</v>
      </c>
      <c r="H76" s="41">
        <f>5.7*10^3</f>
        <v>5700</v>
      </c>
      <c r="I76" s="41" t="s">
        <v>1720</v>
      </c>
      <c r="J76" s="41" t="s">
        <v>2170</v>
      </c>
      <c r="K76" s="41" t="s">
        <v>2165</v>
      </c>
      <c r="O76" s="41" t="s">
        <v>3481</v>
      </c>
      <c r="P76" s="62">
        <v>44581</v>
      </c>
    </row>
    <row r="77" spans="1:17" x14ac:dyDescent="0.3">
      <c r="A77" s="41" t="s">
        <v>256</v>
      </c>
      <c r="B77" s="41" t="s">
        <v>1082</v>
      </c>
      <c r="C77" s="41" t="s">
        <v>2098</v>
      </c>
      <c r="D77" s="41" t="s">
        <v>2098</v>
      </c>
      <c r="E77" s="41" t="s">
        <v>2098</v>
      </c>
      <c r="P77" s="62">
        <v>44581</v>
      </c>
    </row>
    <row r="78" spans="1:17" x14ac:dyDescent="0.3">
      <c r="A78" s="41" t="s">
        <v>783</v>
      </c>
      <c r="B78" s="41" t="s">
        <v>1606</v>
      </c>
      <c r="C78" s="41" t="s">
        <v>2098</v>
      </c>
      <c r="D78" s="41" t="s">
        <v>2098</v>
      </c>
      <c r="E78" s="41" t="s">
        <v>2154</v>
      </c>
      <c r="F78" s="41" t="s">
        <v>2098</v>
      </c>
      <c r="P78" s="62">
        <v>44581</v>
      </c>
    </row>
    <row r="79" spans="1:17" x14ac:dyDescent="0.3">
      <c r="A79" s="41" t="s">
        <v>798</v>
      </c>
      <c r="B79" s="41" t="s">
        <v>1621</v>
      </c>
      <c r="C79" s="41" t="s">
        <v>2098</v>
      </c>
      <c r="D79" s="41" t="s">
        <v>2098</v>
      </c>
      <c r="E79" s="41" t="s">
        <v>2098</v>
      </c>
      <c r="P79" s="62">
        <v>44581</v>
      </c>
    </row>
    <row r="80" spans="1:17" x14ac:dyDescent="0.3">
      <c r="A80" s="41" t="s">
        <v>811</v>
      </c>
      <c r="B80" s="41" t="s">
        <v>1634</v>
      </c>
      <c r="C80" s="41" t="s">
        <v>2098</v>
      </c>
      <c r="D80" s="41" t="s">
        <v>2098</v>
      </c>
      <c r="E80" s="41" t="s">
        <v>2098</v>
      </c>
      <c r="P80" s="62">
        <v>44581</v>
      </c>
    </row>
    <row r="81" spans="1:17" x14ac:dyDescent="0.3">
      <c r="A81" s="41" t="s">
        <v>805</v>
      </c>
      <c r="B81" s="41" t="s">
        <v>1628</v>
      </c>
      <c r="C81" s="41" t="s">
        <v>2098</v>
      </c>
      <c r="D81" s="41" t="s">
        <v>2098</v>
      </c>
      <c r="E81" s="41" t="s">
        <v>2098</v>
      </c>
      <c r="P81" s="62">
        <v>44581</v>
      </c>
    </row>
    <row r="82" spans="1:17" x14ac:dyDescent="0.3">
      <c r="A82" s="41" t="s">
        <v>443</v>
      </c>
      <c r="B82" s="41" t="s">
        <v>1267</v>
      </c>
      <c r="C82" s="41" t="s">
        <v>2154</v>
      </c>
      <c r="D82" s="41" t="s">
        <v>2098</v>
      </c>
      <c r="E82" s="41" t="s">
        <v>2154</v>
      </c>
      <c r="F82" s="41" t="s">
        <v>2098</v>
      </c>
      <c r="P82" s="62">
        <v>44581</v>
      </c>
    </row>
    <row r="83" spans="1:17" x14ac:dyDescent="0.3">
      <c r="A83" s="41" t="s">
        <v>815</v>
      </c>
      <c r="B83" s="41" t="s">
        <v>1638</v>
      </c>
      <c r="C83" s="41" t="s">
        <v>2098</v>
      </c>
      <c r="D83" s="41" t="s">
        <v>2098</v>
      </c>
      <c r="E83" s="41" t="s">
        <v>2098</v>
      </c>
      <c r="P83" s="62">
        <v>44581</v>
      </c>
    </row>
    <row r="84" spans="1:17" x14ac:dyDescent="0.3">
      <c r="A84" s="41" t="s">
        <v>802</v>
      </c>
      <c r="B84" s="41" t="s">
        <v>1625</v>
      </c>
      <c r="C84" s="41" t="s">
        <v>2098</v>
      </c>
      <c r="D84" s="41" t="s">
        <v>2098</v>
      </c>
      <c r="E84" s="41" t="s">
        <v>2154</v>
      </c>
      <c r="F84" s="41" t="s">
        <v>2098</v>
      </c>
      <c r="P84" s="62">
        <v>44581</v>
      </c>
    </row>
    <row r="85" spans="1:17" x14ac:dyDescent="0.3">
      <c r="A85" s="41" t="s">
        <v>39</v>
      </c>
      <c r="B85" s="41" t="s">
        <v>868</v>
      </c>
      <c r="C85" s="41" t="s">
        <v>2098</v>
      </c>
      <c r="D85" s="41" t="s">
        <v>2098</v>
      </c>
      <c r="E85" s="41" t="s">
        <v>2154</v>
      </c>
      <c r="F85" s="41" t="s">
        <v>2098</v>
      </c>
      <c r="P85" s="62">
        <v>44581</v>
      </c>
    </row>
    <row r="86" spans="1:17" x14ac:dyDescent="0.3">
      <c r="A86" s="41" t="s">
        <v>353</v>
      </c>
      <c r="B86" s="41" t="s">
        <v>1177</v>
      </c>
      <c r="C86" s="41" t="s">
        <v>2098</v>
      </c>
      <c r="D86" s="41" t="s">
        <v>2098</v>
      </c>
      <c r="E86" s="41" t="s">
        <v>2098</v>
      </c>
      <c r="P86" s="62">
        <v>44581</v>
      </c>
    </row>
    <row r="87" spans="1:17" x14ac:dyDescent="0.3">
      <c r="A87" s="41" t="s">
        <v>198</v>
      </c>
      <c r="B87" s="41" t="s">
        <v>1026</v>
      </c>
      <c r="C87" s="41" t="s">
        <v>2098</v>
      </c>
      <c r="D87" s="41" t="s">
        <v>2098</v>
      </c>
      <c r="E87" s="41" t="s">
        <v>2098</v>
      </c>
      <c r="P87" s="62">
        <v>44581</v>
      </c>
    </row>
    <row r="88" spans="1:17" x14ac:dyDescent="0.3">
      <c r="A88" s="41" t="s">
        <v>641</v>
      </c>
      <c r="B88" s="41" t="s">
        <v>1465</v>
      </c>
      <c r="C88" s="41" t="s">
        <v>2154</v>
      </c>
      <c r="D88" s="41" t="s">
        <v>2154</v>
      </c>
      <c r="E88" s="41" t="s">
        <v>2154</v>
      </c>
      <c r="F88" s="41" t="s">
        <v>2154</v>
      </c>
      <c r="G88" s="41" t="s">
        <v>2155</v>
      </c>
      <c r="H88" s="41">
        <f>0.134*10^3</f>
        <v>134</v>
      </c>
      <c r="I88" s="41" t="s">
        <v>1720</v>
      </c>
      <c r="J88" s="41" t="s">
        <v>2171</v>
      </c>
      <c r="K88" s="41" t="s">
        <v>2163</v>
      </c>
      <c r="O88" s="41" t="s">
        <v>3480</v>
      </c>
      <c r="P88" s="62">
        <v>44581</v>
      </c>
    </row>
    <row r="89" spans="1:17" x14ac:dyDescent="0.3">
      <c r="A89" s="41" t="s">
        <v>641</v>
      </c>
      <c r="B89" s="41" t="s">
        <v>1465</v>
      </c>
      <c r="C89" s="41" t="s">
        <v>2154</v>
      </c>
      <c r="D89" s="41" t="s">
        <v>2154</v>
      </c>
      <c r="E89" s="41" t="s">
        <v>2154</v>
      </c>
      <c r="F89" s="41" t="s">
        <v>2154</v>
      </c>
      <c r="G89" s="41" t="s">
        <v>2158</v>
      </c>
      <c r="H89" s="41">
        <f>1.34*10^3</f>
        <v>1340</v>
      </c>
      <c r="I89" s="41" t="s">
        <v>1720</v>
      </c>
      <c r="J89" s="41" t="s">
        <v>2171</v>
      </c>
      <c r="K89" s="41" t="s">
        <v>2163</v>
      </c>
      <c r="O89" s="41" t="s">
        <v>3480</v>
      </c>
      <c r="P89" s="62">
        <v>44581</v>
      </c>
    </row>
    <row r="90" spans="1:17" ht="14.5" x14ac:dyDescent="0.35">
      <c r="A90" s="26" t="s">
        <v>3365</v>
      </c>
      <c r="B90" s="26" t="s">
        <v>3366</v>
      </c>
      <c r="C90" s="44" t="s">
        <v>2154</v>
      </c>
      <c r="D90" s="44" t="s">
        <v>2098</v>
      </c>
      <c r="E90" s="44"/>
      <c r="F90" s="44"/>
      <c r="G90" s="44"/>
      <c r="H90" s="44"/>
      <c r="I90" s="44"/>
      <c r="J90" s="44"/>
      <c r="K90" s="44"/>
      <c r="L90" s="44"/>
      <c r="M90" s="44"/>
      <c r="N90" s="44"/>
      <c r="O90" s="44"/>
      <c r="P90" s="62">
        <v>44581</v>
      </c>
      <c r="Q90" s="44"/>
    </row>
    <row r="91" spans="1:17" x14ac:dyDescent="0.3">
      <c r="A91" s="41" t="s">
        <v>182</v>
      </c>
      <c r="B91" s="41" t="s">
        <v>1011</v>
      </c>
      <c r="C91" s="41" t="s">
        <v>2098</v>
      </c>
      <c r="E91" s="41" t="s">
        <v>2098</v>
      </c>
      <c r="P91" s="62">
        <v>44581</v>
      </c>
    </row>
    <row r="92" spans="1:17" ht="14.5" x14ac:dyDescent="0.35">
      <c r="A92" s="41" t="s">
        <v>1</v>
      </c>
      <c r="B92" s="41" t="s">
        <v>830</v>
      </c>
      <c r="C92" s="41" t="s">
        <v>2154</v>
      </c>
      <c r="D92" s="41" t="s">
        <v>2154</v>
      </c>
      <c r="E92" s="41" t="s">
        <v>2154</v>
      </c>
      <c r="F92" s="41" t="s">
        <v>2154</v>
      </c>
      <c r="G92" s="41" t="s">
        <v>2155</v>
      </c>
      <c r="H92" s="41">
        <v>86</v>
      </c>
      <c r="I92" s="41" t="s">
        <v>1720</v>
      </c>
      <c r="J92" s="13" t="s">
        <v>2556</v>
      </c>
      <c r="K92" s="41" t="s">
        <v>2110</v>
      </c>
      <c r="M92" s="41" t="s">
        <v>2111</v>
      </c>
      <c r="N92" s="41" t="s">
        <v>2112</v>
      </c>
      <c r="O92" s="41" t="s">
        <v>3480</v>
      </c>
      <c r="P92" s="62">
        <v>44581</v>
      </c>
    </row>
    <row r="93" spans="1:17" ht="14.5" x14ac:dyDescent="0.35">
      <c r="A93" s="41" t="s">
        <v>1</v>
      </c>
      <c r="B93" s="41" t="s">
        <v>830</v>
      </c>
      <c r="E93" s="41" t="s">
        <v>2154</v>
      </c>
      <c r="F93" s="41" t="s">
        <v>2154</v>
      </c>
      <c r="G93" s="41" t="s">
        <v>2158</v>
      </c>
      <c r="H93" s="41">
        <f>0.864*1000</f>
        <v>864</v>
      </c>
      <c r="I93" s="41" t="s">
        <v>1720</v>
      </c>
      <c r="J93" s="13" t="s">
        <v>2556</v>
      </c>
      <c r="O93" s="41" t="s">
        <v>3480</v>
      </c>
      <c r="P93" s="62">
        <v>44581</v>
      </c>
    </row>
    <row r="94" spans="1:17" x14ac:dyDescent="0.3">
      <c r="A94" s="41" t="s">
        <v>294</v>
      </c>
      <c r="B94" s="41" t="s">
        <v>1119</v>
      </c>
      <c r="C94" s="41" t="s">
        <v>2098</v>
      </c>
      <c r="E94" s="41" t="s">
        <v>2098</v>
      </c>
      <c r="P94" s="62">
        <v>44581</v>
      </c>
    </row>
    <row r="95" spans="1:17" x14ac:dyDescent="0.3">
      <c r="A95" s="41" t="s">
        <v>763</v>
      </c>
      <c r="B95" s="41" t="s">
        <v>1587</v>
      </c>
      <c r="C95" s="41" t="s">
        <v>2098</v>
      </c>
      <c r="E95" s="41" t="s">
        <v>2154</v>
      </c>
      <c r="F95" s="41" t="s">
        <v>2098</v>
      </c>
      <c r="P95" s="62">
        <v>44581</v>
      </c>
    </row>
    <row r="96" spans="1:17" x14ac:dyDescent="0.3">
      <c r="A96" s="41" t="s">
        <v>356</v>
      </c>
      <c r="B96" s="41" t="s">
        <v>1180</v>
      </c>
      <c r="C96" s="41" t="s">
        <v>2098</v>
      </c>
      <c r="E96" s="41" t="s">
        <v>2154</v>
      </c>
      <c r="F96" s="41" t="s">
        <v>2098</v>
      </c>
      <c r="P96" s="62">
        <v>44581</v>
      </c>
    </row>
    <row r="97" spans="1:17" ht="14.5" x14ac:dyDescent="0.35">
      <c r="A97" s="26" t="s">
        <v>3373</v>
      </c>
      <c r="B97" s="26" t="s">
        <v>3374</v>
      </c>
      <c r="C97" s="44" t="s">
        <v>2098</v>
      </c>
      <c r="D97" s="44" t="s">
        <v>2098</v>
      </c>
      <c r="E97" s="44"/>
      <c r="F97" s="44"/>
      <c r="G97" s="44"/>
      <c r="H97" s="44"/>
      <c r="I97" s="44"/>
      <c r="J97" s="44"/>
      <c r="K97" s="44"/>
      <c r="L97" s="44"/>
      <c r="M97" s="44"/>
      <c r="N97" s="44"/>
      <c r="O97" s="44"/>
      <c r="P97" s="62">
        <v>44581</v>
      </c>
      <c r="Q97" s="44"/>
    </row>
    <row r="98" spans="1:17" x14ac:dyDescent="0.3">
      <c r="A98" s="41" t="s">
        <v>683</v>
      </c>
      <c r="B98" s="41" t="s">
        <v>1507</v>
      </c>
      <c r="C98" s="41" t="s">
        <v>2098</v>
      </c>
      <c r="D98" s="41" t="s">
        <v>2098</v>
      </c>
      <c r="E98" s="41" t="s">
        <v>2154</v>
      </c>
      <c r="F98" s="41" t="s">
        <v>2098</v>
      </c>
      <c r="P98" s="62">
        <v>44581</v>
      </c>
    </row>
    <row r="99" spans="1:17" x14ac:dyDescent="0.3">
      <c r="A99" s="41" t="s">
        <v>684</v>
      </c>
      <c r="B99" s="41" t="s">
        <v>1508</v>
      </c>
      <c r="C99" s="41" t="s">
        <v>2098</v>
      </c>
      <c r="D99" s="41" t="s">
        <v>2098</v>
      </c>
      <c r="E99" s="41" t="s">
        <v>2154</v>
      </c>
      <c r="F99" s="41" t="s">
        <v>2098</v>
      </c>
      <c r="P99" s="62">
        <v>44581</v>
      </c>
    </row>
    <row r="100" spans="1:17" x14ac:dyDescent="0.3">
      <c r="A100" s="41" t="s">
        <v>821</v>
      </c>
      <c r="B100" s="41" t="s">
        <v>1643</v>
      </c>
      <c r="C100" s="41" t="s">
        <v>2098</v>
      </c>
      <c r="D100" s="41" t="s">
        <v>2098</v>
      </c>
      <c r="E100" s="41" t="s">
        <v>2098</v>
      </c>
      <c r="P100" s="62">
        <v>44581</v>
      </c>
    </row>
    <row r="101" spans="1:17" ht="14.5" x14ac:dyDescent="0.35">
      <c r="A101" s="41" t="s">
        <v>85</v>
      </c>
      <c r="B101" s="41" t="s">
        <v>914</v>
      </c>
      <c r="C101" s="41" t="s">
        <v>2154</v>
      </c>
      <c r="D101" s="41" t="s">
        <v>2154</v>
      </c>
      <c r="E101" s="41" t="s">
        <v>2154</v>
      </c>
      <c r="F101" s="41" t="s">
        <v>2154</v>
      </c>
      <c r="G101" s="41" t="s">
        <v>2155</v>
      </c>
      <c r="H101" s="41">
        <v>1</v>
      </c>
      <c r="I101" s="41" t="s">
        <v>1720</v>
      </c>
      <c r="J101" s="13" t="s">
        <v>2172</v>
      </c>
      <c r="K101" s="41" t="s">
        <v>2163</v>
      </c>
      <c r="O101" s="41" t="s">
        <v>3481</v>
      </c>
      <c r="P101" s="62">
        <v>44581</v>
      </c>
    </row>
    <row r="102" spans="1:17" x14ac:dyDescent="0.3">
      <c r="A102" s="41" t="s">
        <v>85</v>
      </c>
      <c r="B102" s="41" t="s">
        <v>914</v>
      </c>
      <c r="C102" s="41" t="s">
        <v>2154</v>
      </c>
      <c r="D102" s="41" t="s">
        <v>2154</v>
      </c>
      <c r="E102" s="41" t="s">
        <v>2154</v>
      </c>
      <c r="F102" s="41" t="s">
        <v>2154</v>
      </c>
      <c r="G102" s="41" t="s">
        <v>2158</v>
      </c>
      <c r="H102" s="41">
        <v>10</v>
      </c>
      <c r="I102" s="41" t="s">
        <v>1720</v>
      </c>
      <c r="J102" s="41" t="s">
        <v>2172</v>
      </c>
      <c r="K102" s="41" t="s">
        <v>2173</v>
      </c>
      <c r="O102" s="41" t="s">
        <v>3481</v>
      </c>
      <c r="P102" s="62">
        <v>44581</v>
      </c>
    </row>
    <row r="103" spans="1:17" x14ac:dyDescent="0.3">
      <c r="A103" s="41" t="s">
        <v>714</v>
      </c>
      <c r="B103" s="41" t="s">
        <v>1538</v>
      </c>
      <c r="C103" s="41" t="s">
        <v>2098</v>
      </c>
      <c r="E103" s="41" t="s">
        <v>2098</v>
      </c>
      <c r="P103" s="62">
        <v>44581</v>
      </c>
    </row>
    <row r="104" spans="1:17" x14ac:dyDescent="0.3">
      <c r="A104" s="41" t="s">
        <v>716</v>
      </c>
      <c r="B104" s="41" t="s">
        <v>1540</v>
      </c>
      <c r="C104" s="41" t="s">
        <v>2098</v>
      </c>
      <c r="E104" s="41" t="s">
        <v>2154</v>
      </c>
      <c r="F104" s="41" t="s">
        <v>2098</v>
      </c>
      <c r="P104" s="62">
        <v>44581</v>
      </c>
    </row>
    <row r="105" spans="1:17" x14ac:dyDescent="0.3">
      <c r="A105" s="41" t="s">
        <v>720</v>
      </c>
      <c r="B105" s="41" t="s">
        <v>1544</v>
      </c>
      <c r="C105" s="41" t="s">
        <v>2098</v>
      </c>
      <c r="E105" s="41" t="s">
        <v>2154</v>
      </c>
      <c r="F105" s="41" t="s">
        <v>2098</v>
      </c>
      <c r="P105" s="62">
        <v>44581</v>
      </c>
    </row>
    <row r="106" spans="1:17" x14ac:dyDescent="0.3">
      <c r="A106" s="41" t="s">
        <v>721</v>
      </c>
      <c r="B106" s="41" t="s">
        <v>1545</v>
      </c>
      <c r="C106" s="41" t="s">
        <v>2098</v>
      </c>
      <c r="E106" s="41" t="s">
        <v>2154</v>
      </c>
      <c r="F106" s="41" t="s">
        <v>2098</v>
      </c>
      <c r="P106" s="62">
        <v>44581</v>
      </c>
    </row>
    <row r="107" spans="1:17" x14ac:dyDescent="0.3">
      <c r="A107" s="41" t="s">
        <v>709</v>
      </c>
      <c r="B107" s="41" t="s">
        <v>1533</v>
      </c>
      <c r="C107" s="41" t="s">
        <v>2098</v>
      </c>
      <c r="E107" s="41" t="s">
        <v>2098</v>
      </c>
      <c r="P107" s="62">
        <v>44581</v>
      </c>
    </row>
    <row r="108" spans="1:17" x14ac:dyDescent="0.3">
      <c r="A108" s="41" t="s">
        <v>726</v>
      </c>
      <c r="B108" s="41" t="s">
        <v>1550</v>
      </c>
      <c r="C108" s="41" t="s">
        <v>2098</v>
      </c>
      <c r="E108" s="41" t="s">
        <v>2154</v>
      </c>
      <c r="F108" s="41" t="s">
        <v>2098</v>
      </c>
      <c r="P108" s="62">
        <v>44581</v>
      </c>
    </row>
    <row r="109" spans="1:17" x14ac:dyDescent="0.3">
      <c r="A109" s="41" t="s">
        <v>727</v>
      </c>
      <c r="B109" s="41" t="s">
        <v>1551</v>
      </c>
      <c r="C109" s="41" t="s">
        <v>2098</v>
      </c>
      <c r="E109" s="41" t="s">
        <v>2154</v>
      </c>
      <c r="F109" s="41" t="s">
        <v>2098</v>
      </c>
      <c r="P109" s="62">
        <v>44581</v>
      </c>
    </row>
    <row r="110" spans="1:17" x14ac:dyDescent="0.3">
      <c r="A110" s="41" t="s">
        <v>728</v>
      </c>
      <c r="B110" s="41" t="s">
        <v>1552</v>
      </c>
      <c r="C110" s="41" t="s">
        <v>2098</v>
      </c>
      <c r="E110" s="41" t="s">
        <v>2098</v>
      </c>
      <c r="P110" s="62">
        <v>44581</v>
      </c>
    </row>
    <row r="111" spans="1:17" x14ac:dyDescent="0.3">
      <c r="A111" s="41" t="s">
        <v>703</v>
      </c>
      <c r="B111" s="41" t="s">
        <v>1527</v>
      </c>
      <c r="C111" s="41" t="s">
        <v>2098</v>
      </c>
      <c r="E111" s="41" t="s">
        <v>2098</v>
      </c>
      <c r="P111" s="62">
        <v>44581</v>
      </c>
    </row>
    <row r="112" spans="1:17" x14ac:dyDescent="0.3">
      <c r="A112" s="41" t="s">
        <v>790</v>
      </c>
      <c r="B112" s="41" t="s">
        <v>1613</v>
      </c>
      <c r="C112" s="41" t="s">
        <v>2098</v>
      </c>
      <c r="E112" s="41" t="s">
        <v>2098</v>
      </c>
      <c r="P112" s="62">
        <v>44581</v>
      </c>
    </row>
    <row r="113" spans="1:16" x14ac:dyDescent="0.3">
      <c r="A113" s="41" t="s">
        <v>794</v>
      </c>
      <c r="B113" s="41" t="s">
        <v>1617</v>
      </c>
      <c r="C113" s="41" t="s">
        <v>2098</v>
      </c>
      <c r="E113" s="41" t="s">
        <v>2098</v>
      </c>
      <c r="P113" s="62">
        <v>44581</v>
      </c>
    </row>
    <row r="114" spans="1:16" x14ac:dyDescent="0.3">
      <c r="A114" s="41" t="s">
        <v>804</v>
      </c>
      <c r="B114" s="41" t="s">
        <v>1627</v>
      </c>
      <c r="C114" s="41" t="s">
        <v>2098</v>
      </c>
      <c r="E114" s="41" t="s">
        <v>2098</v>
      </c>
      <c r="P114" s="62">
        <v>44581</v>
      </c>
    </row>
    <row r="115" spans="1:16" ht="14.5" x14ac:dyDescent="0.35">
      <c r="A115" s="41" t="s">
        <v>603</v>
      </c>
      <c r="B115" s="41" t="s">
        <v>1427</v>
      </c>
      <c r="C115" s="41" t="s">
        <v>2154</v>
      </c>
      <c r="D115" s="41" t="s">
        <v>2154</v>
      </c>
      <c r="E115" s="41" t="s">
        <v>2154</v>
      </c>
      <c r="F115" s="41" t="s">
        <v>2154</v>
      </c>
      <c r="G115" s="41" t="s">
        <v>2155</v>
      </c>
      <c r="H115" s="41">
        <f>0.02*10^3</f>
        <v>20</v>
      </c>
      <c r="I115" s="41" t="s">
        <v>1720</v>
      </c>
      <c r="J115" s="13" t="s">
        <v>2174</v>
      </c>
      <c r="K115" s="41" t="s">
        <v>2165</v>
      </c>
      <c r="O115" s="41" t="s">
        <v>3480</v>
      </c>
      <c r="P115" s="62">
        <v>44581</v>
      </c>
    </row>
    <row r="116" spans="1:16" x14ac:dyDescent="0.3">
      <c r="A116" s="41" t="s">
        <v>603</v>
      </c>
      <c r="B116" s="41" t="s">
        <v>1427</v>
      </c>
      <c r="C116" s="41" t="s">
        <v>2154</v>
      </c>
      <c r="D116" s="41" t="s">
        <v>2154</v>
      </c>
      <c r="E116" s="41" t="s">
        <v>2154</v>
      </c>
      <c r="F116" s="41" t="s">
        <v>2154</v>
      </c>
      <c r="G116" s="41" t="s">
        <v>2158</v>
      </c>
      <c r="H116" s="41">
        <f>0.035*10^3</f>
        <v>35</v>
      </c>
      <c r="I116" s="41" t="s">
        <v>1720</v>
      </c>
      <c r="J116" s="41" t="s">
        <v>2174</v>
      </c>
      <c r="O116" s="41" t="s">
        <v>3480</v>
      </c>
      <c r="P116" s="62">
        <v>44581</v>
      </c>
    </row>
    <row r="117" spans="1:16" x14ac:dyDescent="0.3">
      <c r="A117" s="41" t="s">
        <v>780</v>
      </c>
      <c r="B117" s="41" t="s">
        <v>843</v>
      </c>
      <c r="C117" s="41" t="s">
        <v>2098</v>
      </c>
      <c r="E117" s="41" t="s">
        <v>2098</v>
      </c>
      <c r="P117" s="62">
        <v>44581</v>
      </c>
    </row>
    <row r="118" spans="1:16" x14ac:dyDescent="0.3">
      <c r="A118" s="41" t="s">
        <v>355</v>
      </c>
      <c r="B118" s="41" t="s">
        <v>1179</v>
      </c>
      <c r="C118" s="41" t="s">
        <v>2098</v>
      </c>
      <c r="E118" s="41" t="s">
        <v>2154</v>
      </c>
      <c r="F118" s="41" t="s">
        <v>2098</v>
      </c>
      <c r="P118" s="62">
        <v>44581</v>
      </c>
    </row>
    <row r="119" spans="1:16" ht="16.5" customHeight="1" x14ac:dyDescent="0.3">
      <c r="A119" s="41" t="s">
        <v>322</v>
      </c>
      <c r="B119" s="41" t="s">
        <v>1147</v>
      </c>
      <c r="C119" s="41" t="s">
        <v>2154</v>
      </c>
      <c r="D119" s="41" t="s">
        <v>2098</v>
      </c>
      <c r="E119" s="41" t="s">
        <v>2154</v>
      </c>
      <c r="F119" s="41" t="s">
        <v>2098</v>
      </c>
      <c r="P119" s="62">
        <v>44581</v>
      </c>
    </row>
    <row r="120" spans="1:16" x14ac:dyDescent="0.3">
      <c r="A120" s="41" t="s">
        <v>309</v>
      </c>
      <c r="B120" s="41" t="s">
        <v>1134</v>
      </c>
      <c r="C120" s="41" t="s">
        <v>2098</v>
      </c>
      <c r="E120" s="41" t="s">
        <v>2154</v>
      </c>
      <c r="F120" s="41" t="s">
        <v>2154</v>
      </c>
      <c r="L120" s="41" t="s">
        <v>2118</v>
      </c>
      <c r="M120" s="41" t="s">
        <v>2119</v>
      </c>
      <c r="N120" s="41" t="s">
        <v>2112</v>
      </c>
      <c r="P120" s="62">
        <v>44581</v>
      </c>
    </row>
    <row r="121" spans="1:16" x14ac:dyDescent="0.3">
      <c r="A121" s="41" t="s">
        <v>77</v>
      </c>
      <c r="B121" s="41" t="s">
        <v>906</v>
      </c>
      <c r="C121" s="41" t="s">
        <v>2098</v>
      </c>
      <c r="E121" s="41" t="s">
        <v>2154</v>
      </c>
      <c r="F121" s="41" t="s">
        <v>2098</v>
      </c>
      <c r="G121" s="41" t="s">
        <v>2109</v>
      </c>
      <c r="H121" s="41">
        <v>4.0000000000000001E-3</v>
      </c>
      <c r="I121" s="41" t="s">
        <v>1720</v>
      </c>
      <c r="J121" s="41" t="s">
        <v>2120</v>
      </c>
      <c r="K121" s="41" t="s">
        <v>2121</v>
      </c>
      <c r="L121" s="41" t="s">
        <v>2558</v>
      </c>
      <c r="M121" s="41" t="s">
        <v>2122</v>
      </c>
      <c r="N121" s="41" t="s">
        <v>2115</v>
      </c>
      <c r="O121" s="41" t="s">
        <v>3480</v>
      </c>
      <c r="P121" s="62">
        <v>44581</v>
      </c>
    </row>
    <row r="122" spans="1:16" x14ac:dyDescent="0.3">
      <c r="A122" s="41" t="s">
        <v>77</v>
      </c>
      <c r="B122" s="41" t="s">
        <v>906</v>
      </c>
      <c r="C122" s="41" t="s">
        <v>2098</v>
      </c>
      <c r="E122" s="41" t="s">
        <v>2154</v>
      </c>
      <c r="F122" s="41" t="s">
        <v>2098</v>
      </c>
      <c r="G122" s="41" t="s">
        <v>2123</v>
      </c>
      <c r="H122" s="41">
        <v>4.0000000000000001E-3</v>
      </c>
      <c r="I122" s="41" t="s">
        <v>1720</v>
      </c>
      <c r="J122" s="41" t="s">
        <v>2124</v>
      </c>
      <c r="K122" s="41" t="s">
        <v>2125</v>
      </c>
      <c r="L122" s="41" t="s">
        <v>2126</v>
      </c>
      <c r="M122" s="41" t="s">
        <v>2122</v>
      </c>
      <c r="N122" s="41" t="s">
        <v>2112</v>
      </c>
      <c r="O122" s="41" t="s">
        <v>3480</v>
      </c>
      <c r="P122" s="62">
        <v>44581</v>
      </c>
    </row>
    <row r="123" spans="1:16" ht="18.5" customHeight="1" x14ac:dyDescent="0.35">
      <c r="A123" s="41" t="s">
        <v>32</v>
      </c>
      <c r="B123" s="41" t="s">
        <v>861</v>
      </c>
      <c r="C123" s="41" t="s">
        <v>2154</v>
      </c>
      <c r="D123" s="41" t="s">
        <v>2154</v>
      </c>
      <c r="E123" s="41" t="s">
        <v>2154</v>
      </c>
      <c r="F123" s="41" t="s">
        <v>2154</v>
      </c>
      <c r="G123" s="41" t="s">
        <v>2155</v>
      </c>
      <c r="H123" s="41">
        <f>0.017*10^3</f>
        <v>17</v>
      </c>
      <c r="I123" s="41" t="s">
        <v>1720</v>
      </c>
      <c r="J123" s="13" t="s">
        <v>2175</v>
      </c>
      <c r="K123" s="41" t="s">
        <v>2165</v>
      </c>
      <c r="O123" s="41" t="s">
        <v>3480</v>
      </c>
      <c r="P123" s="62">
        <v>44581</v>
      </c>
    </row>
    <row r="124" spans="1:16" x14ac:dyDescent="0.3">
      <c r="A124" s="41" t="s">
        <v>32</v>
      </c>
      <c r="B124" s="41" t="s">
        <v>861</v>
      </c>
      <c r="C124" s="41" t="s">
        <v>2154</v>
      </c>
      <c r="D124" s="41" t="s">
        <v>2154</v>
      </c>
      <c r="E124" s="41" t="s">
        <v>2154</v>
      </c>
      <c r="F124" s="41" t="s">
        <v>2154</v>
      </c>
      <c r="G124" s="41" t="s">
        <v>2158</v>
      </c>
      <c r="H124" s="41">
        <f>0.17*10^3</f>
        <v>170</v>
      </c>
      <c r="I124" s="41" t="s">
        <v>1720</v>
      </c>
      <c r="J124" s="41" t="s">
        <v>2175</v>
      </c>
      <c r="O124" s="41" t="s">
        <v>3480</v>
      </c>
      <c r="P124" s="62">
        <v>44581</v>
      </c>
    </row>
    <row r="125" spans="1:16" x14ac:dyDescent="0.3">
      <c r="A125" s="41" t="s">
        <v>87</v>
      </c>
      <c r="B125" s="41" t="s">
        <v>916</v>
      </c>
      <c r="C125" s="41" t="s">
        <v>2154</v>
      </c>
      <c r="D125" s="41" t="s">
        <v>2154</v>
      </c>
      <c r="E125" s="41" t="s">
        <v>2154</v>
      </c>
      <c r="F125" s="41" t="s">
        <v>2154</v>
      </c>
      <c r="G125" s="41" t="s">
        <v>2155</v>
      </c>
      <c r="H125" s="41">
        <f>0.018*10^3</f>
        <v>18</v>
      </c>
      <c r="I125" s="41" t="s">
        <v>1720</v>
      </c>
      <c r="J125" s="41" t="s">
        <v>2176</v>
      </c>
      <c r="K125" s="41" t="s">
        <v>2177</v>
      </c>
      <c r="O125" s="41" t="s">
        <v>3480</v>
      </c>
      <c r="P125" s="62">
        <v>44581</v>
      </c>
    </row>
    <row r="126" spans="1:16" x14ac:dyDescent="0.3">
      <c r="A126" s="41" t="s">
        <v>87</v>
      </c>
      <c r="B126" s="41" t="s">
        <v>916</v>
      </c>
      <c r="C126" s="41" t="s">
        <v>2154</v>
      </c>
      <c r="D126" s="41" t="s">
        <v>2154</v>
      </c>
      <c r="E126" s="41" t="s">
        <v>2154</v>
      </c>
      <c r="F126" s="41" t="s">
        <v>2154</v>
      </c>
      <c r="G126" s="41" t="s">
        <v>2158</v>
      </c>
      <c r="H126" s="41">
        <f>0.011*10^3</f>
        <v>11</v>
      </c>
      <c r="I126" s="41" t="s">
        <v>1720</v>
      </c>
      <c r="J126" s="41" t="s">
        <v>2176</v>
      </c>
      <c r="O126" s="41" t="s">
        <v>3480</v>
      </c>
      <c r="P126" s="62">
        <v>44581</v>
      </c>
    </row>
    <row r="127" spans="1:16" ht="16.5" customHeight="1" x14ac:dyDescent="0.3">
      <c r="A127" s="41" t="s">
        <v>87</v>
      </c>
      <c r="B127" s="41" t="s">
        <v>916</v>
      </c>
      <c r="E127" s="41" t="s">
        <v>2154</v>
      </c>
      <c r="F127" s="41" t="s">
        <v>2154</v>
      </c>
      <c r="G127" s="41" t="s">
        <v>2109</v>
      </c>
      <c r="H127" s="41">
        <f>60*10^3</f>
        <v>60000</v>
      </c>
      <c r="I127" s="41" t="s">
        <v>1720</v>
      </c>
      <c r="J127" s="41" t="s">
        <v>2120</v>
      </c>
      <c r="K127" s="45" t="s">
        <v>2557</v>
      </c>
      <c r="L127" s="41" t="s">
        <v>2558</v>
      </c>
      <c r="O127" s="41" t="s">
        <v>3480</v>
      </c>
      <c r="P127" s="62">
        <v>44581</v>
      </c>
    </row>
    <row r="128" spans="1:16" x14ac:dyDescent="0.3">
      <c r="A128" s="41" t="s">
        <v>122</v>
      </c>
      <c r="B128" s="41" t="s">
        <v>951</v>
      </c>
      <c r="C128" s="41" t="s">
        <v>2154</v>
      </c>
      <c r="D128" s="41" t="s">
        <v>2154</v>
      </c>
      <c r="E128" s="41" t="s">
        <v>2154</v>
      </c>
      <c r="F128" s="41" t="s">
        <v>2154</v>
      </c>
      <c r="G128" s="41" t="s">
        <v>2155</v>
      </c>
      <c r="H128" s="41">
        <v>13</v>
      </c>
      <c r="I128" s="41" t="s">
        <v>1720</v>
      </c>
      <c r="J128" s="41" t="s">
        <v>2178</v>
      </c>
      <c r="K128" s="41" t="s">
        <v>2163</v>
      </c>
      <c r="O128" s="41" t="s">
        <v>3480</v>
      </c>
      <c r="P128" s="62">
        <v>44581</v>
      </c>
    </row>
    <row r="129" spans="1:17" x14ac:dyDescent="0.3">
      <c r="A129" s="41" t="s">
        <v>122</v>
      </c>
      <c r="B129" s="41" t="s">
        <v>951</v>
      </c>
      <c r="C129" s="41" t="s">
        <v>2154</v>
      </c>
      <c r="D129" s="41" t="s">
        <v>2154</v>
      </c>
      <c r="E129" s="41" t="s">
        <v>2154</v>
      </c>
      <c r="F129" s="41" t="s">
        <v>2154</v>
      </c>
      <c r="G129" s="41" t="s">
        <v>2158</v>
      </c>
      <c r="H129" s="41">
        <f>0.13*10^3</f>
        <v>130</v>
      </c>
      <c r="I129" s="41" t="s">
        <v>1720</v>
      </c>
      <c r="J129" s="41" t="s">
        <v>2178</v>
      </c>
      <c r="O129" s="41" t="s">
        <v>3480</v>
      </c>
      <c r="P129" s="62">
        <v>44581</v>
      </c>
    </row>
    <row r="130" spans="1:17" x14ac:dyDescent="0.3">
      <c r="A130" s="41" t="s">
        <v>337</v>
      </c>
      <c r="B130" s="41" t="s">
        <v>1161</v>
      </c>
      <c r="C130" s="41" t="s">
        <v>2098</v>
      </c>
      <c r="E130" s="41" t="s">
        <v>2154</v>
      </c>
      <c r="F130" s="41" t="s">
        <v>2098</v>
      </c>
      <c r="P130" s="62">
        <v>44581</v>
      </c>
    </row>
    <row r="131" spans="1:17" x14ac:dyDescent="0.3">
      <c r="A131" s="41" t="s">
        <v>346</v>
      </c>
      <c r="B131" s="41" t="s">
        <v>1170</v>
      </c>
      <c r="C131" s="41" t="s">
        <v>2154</v>
      </c>
      <c r="D131" s="41" t="s">
        <v>2154</v>
      </c>
      <c r="E131" s="41" t="s">
        <v>2154</v>
      </c>
      <c r="F131" s="41" t="s">
        <v>2154</v>
      </c>
      <c r="G131" s="41" t="s">
        <v>2155</v>
      </c>
      <c r="H131" s="41">
        <v>0.88</v>
      </c>
      <c r="I131" s="41" t="s">
        <v>1720</v>
      </c>
      <c r="J131" s="41" t="s">
        <v>2179</v>
      </c>
      <c r="K131" s="41" t="s">
        <v>2166</v>
      </c>
      <c r="O131" s="41" t="s">
        <v>3480</v>
      </c>
      <c r="P131" s="62">
        <v>44581</v>
      </c>
    </row>
    <row r="132" spans="1:17" x14ac:dyDescent="0.3">
      <c r="A132" s="41" t="s">
        <v>793</v>
      </c>
      <c r="B132" s="41" t="s">
        <v>1616</v>
      </c>
      <c r="C132" s="41" t="s">
        <v>2098</v>
      </c>
      <c r="E132" s="41" t="s">
        <v>2098</v>
      </c>
      <c r="P132" s="62">
        <v>44581</v>
      </c>
    </row>
    <row r="133" spans="1:17" ht="14.5" x14ac:dyDescent="0.35">
      <c r="A133" s="41" t="s">
        <v>217</v>
      </c>
      <c r="B133" s="41" t="s">
        <v>1044</v>
      </c>
      <c r="C133" s="41" t="s">
        <v>2154</v>
      </c>
      <c r="D133" s="41" t="s">
        <v>2154</v>
      </c>
      <c r="E133" s="41" t="s">
        <v>2154</v>
      </c>
      <c r="F133" s="41" t="s">
        <v>2154</v>
      </c>
      <c r="G133" s="41" t="s">
        <v>2155</v>
      </c>
      <c r="H133" s="41">
        <f>0.087*10^3</f>
        <v>87</v>
      </c>
      <c r="I133" s="41" t="s">
        <v>1720</v>
      </c>
      <c r="J133" s="13" t="s">
        <v>2559</v>
      </c>
      <c r="K133" s="41" t="s">
        <v>2163</v>
      </c>
      <c r="O133" s="41" t="s">
        <v>3480</v>
      </c>
      <c r="P133" s="62">
        <v>44581</v>
      </c>
    </row>
    <row r="134" spans="1:17" ht="14.5" x14ac:dyDescent="0.35">
      <c r="A134" s="41" t="s">
        <v>217</v>
      </c>
      <c r="B134" s="41" t="s">
        <v>1044</v>
      </c>
      <c r="E134" s="41" t="s">
        <v>2154</v>
      </c>
      <c r="F134" s="41" t="s">
        <v>2154</v>
      </c>
      <c r="G134" s="41" t="s">
        <v>2158</v>
      </c>
      <c r="H134" s="41">
        <f>0.87*10^3</f>
        <v>870</v>
      </c>
      <c r="I134" s="41" t="s">
        <v>1720</v>
      </c>
      <c r="J134" s="13" t="s">
        <v>2559</v>
      </c>
      <c r="O134" s="41" t="s">
        <v>3480</v>
      </c>
      <c r="P134" s="62">
        <v>44581</v>
      </c>
    </row>
    <row r="135" spans="1:17" ht="14.5" x14ac:dyDescent="0.35">
      <c r="A135" s="41" t="s">
        <v>118</v>
      </c>
      <c r="B135" s="41" t="s">
        <v>947</v>
      </c>
      <c r="C135" s="41" t="s">
        <v>2154</v>
      </c>
      <c r="D135" s="41" t="s">
        <v>2154</v>
      </c>
      <c r="E135" s="41" t="s">
        <v>2154</v>
      </c>
      <c r="F135" s="41" t="s">
        <v>2154</v>
      </c>
      <c r="G135" s="41" t="s">
        <v>2155</v>
      </c>
      <c r="H135" s="41">
        <v>1.71</v>
      </c>
      <c r="I135" s="41" t="s">
        <v>1720</v>
      </c>
      <c r="J135" s="13" t="s">
        <v>2560</v>
      </c>
      <c r="K135" s="41" t="s">
        <v>2127</v>
      </c>
      <c r="M135" s="41" t="s">
        <v>2111</v>
      </c>
      <c r="N135" s="41" t="s">
        <v>2112</v>
      </c>
      <c r="O135" s="41" t="s">
        <v>3481</v>
      </c>
      <c r="P135" s="62">
        <v>44581</v>
      </c>
      <c r="Q135" s="41" t="s">
        <v>3485</v>
      </c>
    </row>
    <row r="136" spans="1:17" ht="14.5" x14ac:dyDescent="0.35">
      <c r="A136" s="41" t="s">
        <v>118</v>
      </c>
      <c r="B136" s="41" t="s">
        <v>947</v>
      </c>
      <c r="C136" s="41" t="s">
        <v>2154</v>
      </c>
      <c r="D136" s="41" t="s">
        <v>2154</v>
      </c>
      <c r="G136" s="41" t="s">
        <v>2158</v>
      </c>
      <c r="H136" s="41">
        <v>17.100000000000001</v>
      </c>
      <c r="I136" s="41" t="s">
        <v>1720</v>
      </c>
      <c r="J136" s="13" t="s">
        <v>2560</v>
      </c>
      <c r="O136" s="41" t="s">
        <v>3481</v>
      </c>
      <c r="P136" s="62">
        <v>44581</v>
      </c>
      <c r="Q136" s="41" t="s">
        <v>3485</v>
      </c>
    </row>
    <row r="137" spans="1:17" x14ac:dyDescent="0.3">
      <c r="A137" s="41" t="s">
        <v>764</v>
      </c>
      <c r="B137" s="41" t="s">
        <v>1588</v>
      </c>
      <c r="C137" s="41" t="s">
        <v>2154</v>
      </c>
      <c r="D137" s="41" t="s">
        <v>2154</v>
      </c>
      <c r="E137" s="41" t="s">
        <v>2154</v>
      </c>
      <c r="F137" s="41" t="s">
        <v>2154</v>
      </c>
      <c r="G137" s="41" t="s">
        <v>2155</v>
      </c>
      <c r="H137" s="41">
        <v>1.1200000000000001</v>
      </c>
      <c r="I137" s="41" t="s">
        <v>1720</v>
      </c>
      <c r="J137" s="41" t="s">
        <v>2180</v>
      </c>
      <c r="K137" s="41" t="s">
        <v>2166</v>
      </c>
      <c r="O137" s="41" t="s">
        <v>3480</v>
      </c>
      <c r="P137" s="62">
        <v>44581</v>
      </c>
    </row>
    <row r="138" spans="1:17" x14ac:dyDescent="0.3">
      <c r="A138" s="41" t="s">
        <v>764</v>
      </c>
      <c r="B138" s="41" t="s">
        <v>1588</v>
      </c>
      <c r="C138" s="41" t="s">
        <v>2154</v>
      </c>
      <c r="D138" s="41" t="s">
        <v>2154</v>
      </c>
      <c r="E138" s="41" t="s">
        <v>2154</v>
      </c>
      <c r="F138" s="41" t="s">
        <v>2154</v>
      </c>
      <c r="G138" s="41" t="s">
        <v>2158</v>
      </c>
      <c r="H138" s="41">
        <v>11.6</v>
      </c>
      <c r="I138" s="41" t="s">
        <v>1720</v>
      </c>
      <c r="J138" s="41" t="s">
        <v>2180</v>
      </c>
      <c r="O138" s="41" t="s">
        <v>3480</v>
      </c>
      <c r="P138" s="62">
        <v>44581</v>
      </c>
    </row>
    <row r="139" spans="1:17" x14ac:dyDescent="0.3">
      <c r="A139" s="41" t="s">
        <v>157</v>
      </c>
      <c r="B139" s="41" t="s">
        <v>986</v>
      </c>
      <c r="C139" s="41" t="s">
        <v>2098</v>
      </c>
      <c r="E139" s="41" t="s">
        <v>2098</v>
      </c>
      <c r="P139" s="62">
        <v>44581</v>
      </c>
    </row>
    <row r="140" spans="1:17" x14ac:dyDescent="0.3">
      <c r="A140" s="41" t="s">
        <v>658</v>
      </c>
      <c r="B140" s="41" t="s">
        <v>1482</v>
      </c>
      <c r="C140" s="41" t="s">
        <v>2098</v>
      </c>
      <c r="E140" s="41" t="s">
        <v>2098</v>
      </c>
      <c r="P140" s="62">
        <v>44581</v>
      </c>
    </row>
    <row r="141" spans="1:17" x14ac:dyDescent="0.3">
      <c r="A141" s="41" t="s">
        <v>36</v>
      </c>
      <c r="B141" s="41" t="s">
        <v>865</v>
      </c>
      <c r="C141" s="41" t="s">
        <v>2154</v>
      </c>
      <c r="D141" s="41" t="s">
        <v>2098</v>
      </c>
      <c r="E141" s="41" t="s">
        <v>2098</v>
      </c>
      <c r="P141" s="62">
        <v>44581</v>
      </c>
    </row>
    <row r="142" spans="1:17" x14ac:dyDescent="0.3">
      <c r="A142" s="41" t="s">
        <v>573</v>
      </c>
      <c r="B142" s="41" t="s">
        <v>1397</v>
      </c>
      <c r="C142" s="41" t="s">
        <v>2098</v>
      </c>
      <c r="E142" s="41" t="s">
        <v>2098</v>
      </c>
      <c r="P142" s="62">
        <v>44581</v>
      </c>
    </row>
    <row r="143" spans="1:17" ht="14.5" x14ac:dyDescent="0.35">
      <c r="A143" s="26" t="s">
        <v>3337</v>
      </c>
      <c r="B143" s="26" t="s">
        <v>1397</v>
      </c>
      <c r="C143" s="44"/>
      <c r="D143" s="44"/>
      <c r="E143" s="44"/>
      <c r="F143" s="44"/>
      <c r="G143" s="44"/>
      <c r="H143" s="44"/>
      <c r="I143" s="44"/>
      <c r="J143" s="44"/>
      <c r="K143" s="44"/>
      <c r="L143" s="44"/>
      <c r="M143" s="44"/>
      <c r="N143" s="44"/>
      <c r="O143" s="44"/>
      <c r="P143" s="62">
        <v>44581</v>
      </c>
      <c r="Q143" s="44"/>
    </row>
    <row r="144" spans="1:17" x14ac:dyDescent="0.3">
      <c r="A144" s="41" t="s">
        <v>566</v>
      </c>
      <c r="B144" s="41" t="s">
        <v>1390</v>
      </c>
      <c r="C144" s="41" t="s">
        <v>2098</v>
      </c>
      <c r="E144" s="41" t="s">
        <v>2154</v>
      </c>
      <c r="F144" s="41" t="s">
        <v>2098</v>
      </c>
      <c r="P144" s="62">
        <v>44581</v>
      </c>
    </row>
    <row r="145" spans="1:17" x14ac:dyDescent="0.3">
      <c r="A145" s="41" t="s">
        <v>379</v>
      </c>
      <c r="B145" s="41" t="s">
        <v>1203</v>
      </c>
      <c r="C145" s="41" t="s">
        <v>2154</v>
      </c>
      <c r="D145" s="41" t="s">
        <v>2154</v>
      </c>
      <c r="E145" s="41" t="s">
        <v>2154</v>
      </c>
      <c r="F145" s="41" t="s">
        <v>2154</v>
      </c>
      <c r="G145" s="41" t="s">
        <v>2123</v>
      </c>
      <c r="H145" s="41">
        <v>0.01</v>
      </c>
      <c r="I145" s="41" t="s">
        <v>1720</v>
      </c>
      <c r="J145" s="41" t="s">
        <v>2124</v>
      </c>
      <c r="K145" s="41" t="s">
        <v>2125</v>
      </c>
      <c r="L145" s="41" t="s">
        <v>2128</v>
      </c>
      <c r="M145" s="41" t="s">
        <v>2122</v>
      </c>
      <c r="N145" s="41" t="s">
        <v>2112</v>
      </c>
      <c r="O145" s="41" t="s">
        <v>3480</v>
      </c>
      <c r="P145" s="62">
        <v>44581</v>
      </c>
    </row>
    <row r="146" spans="1:17" x14ac:dyDescent="0.3">
      <c r="A146" s="41" t="s">
        <v>379</v>
      </c>
      <c r="B146" s="41" t="s">
        <v>1203</v>
      </c>
      <c r="C146" s="41" t="s">
        <v>2154</v>
      </c>
      <c r="D146" s="41" t="s">
        <v>2154</v>
      </c>
      <c r="E146" s="41" t="s">
        <v>2154</v>
      </c>
      <c r="F146" s="41" t="s">
        <v>2154</v>
      </c>
      <c r="G146" s="41" t="s">
        <v>2155</v>
      </c>
      <c r="H146" s="41">
        <f>5.6/10^3</f>
        <v>5.5999999999999999E-3</v>
      </c>
      <c r="I146" s="41" t="s">
        <v>1720</v>
      </c>
      <c r="J146" s="41" t="s">
        <v>2181</v>
      </c>
      <c r="K146" s="41" t="s">
        <v>2165</v>
      </c>
      <c r="O146" s="41" t="s">
        <v>3480</v>
      </c>
      <c r="P146" s="62">
        <v>44581</v>
      </c>
    </row>
    <row r="147" spans="1:17" x14ac:dyDescent="0.3">
      <c r="A147" s="41" t="s">
        <v>379</v>
      </c>
      <c r="B147" s="41" t="s">
        <v>1203</v>
      </c>
      <c r="C147" s="41" t="s">
        <v>2154</v>
      </c>
      <c r="D147" s="41" t="s">
        <v>2154</v>
      </c>
      <c r="E147" s="41" t="s">
        <v>2154</v>
      </c>
      <c r="F147" s="41" t="s">
        <v>2154</v>
      </c>
      <c r="G147" s="41" t="s">
        <v>2158</v>
      </c>
      <c r="H147" s="41">
        <f>2.14/10^3</f>
        <v>2.14E-3</v>
      </c>
      <c r="I147" s="41" t="s">
        <v>1720</v>
      </c>
      <c r="J147" s="41" t="s">
        <v>2181</v>
      </c>
      <c r="O147" s="41" t="s">
        <v>3480</v>
      </c>
      <c r="P147" s="62">
        <v>44581</v>
      </c>
    </row>
    <row r="148" spans="1:17" x14ac:dyDescent="0.3">
      <c r="A148" s="41" t="s">
        <v>242</v>
      </c>
      <c r="B148" s="41" t="s">
        <v>1068</v>
      </c>
      <c r="C148" s="41" t="s">
        <v>2098</v>
      </c>
      <c r="E148" s="41" t="s">
        <v>2154</v>
      </c>
      <c r="F148" s="41" t="s">
        <v>2098</v>
      </c>
      <c r="P148" s="62">
        <v>44581</v>
      </c>
    </row>
    <row r="149" spans="1:17" x14ac:dyDescent="0.3">
      <c r="A149" s="41" t="s">
        <v>42</v>
      </c>
      <c r="B149" s="41" t="s">
        <v>871</v>
      </c>
      <c r="C149" s="41" t="s">
        <v>2098</v>
      </c>
      <c r="E149" s="41" t="s">
        <v>2098</v>
      </c>
      <c r="P149" s="62">
        <v>44581</v>
      </c>
    </row>
    <row r="150" spans="1:17" x14ac:dyDescent="0.3">
      <c r="A150" s="41" t="s">
        <v>818</v>
      </c>
      <c r="B150" s="41" t="s">
        <v>1641</v>
      </c>
      <c r="C150" s="41" t="s">
        <v>2098</v>
      </c>
      <c r="E150" s="41" t="s">
        <v>2098</v>
      </c>
      <c r="P150" s="62">
        <v>44581</v>
      </c>
    </row>
    <row r="151" spans="1:17" x14ac:dyDescent="0.3">
      <c r="A151" s="41" t="s">
        <v>277</v>
      </c>
      <c r="B151" s="41" t="s">
        <v>1103</v>
      </c>
      <c r="C151" s="41" t="s">
        <v>2098</v>
      </c>
      <c r="E151" s="41" t="s">
        <v>2154</v>
      </c>
      <c r="F151" s="41" t="s">
        <v>2098</v>
      </c>
      <c r="P151" s="62">
        <v>44581</v>
      </c>
    </row>
    <row r="152" spans="1:17" x14ac:dyDescent="0.3">
      <c r="A152" s="41" t="s">
        <v>276</v>
      </c>
      <c r="B152" s="41" t="s">
        <v>1102</v>
      </c>
      <c r="C152" s="41" t="s">
        <v>2098</v>
      </c>
      <c r="E152" s="41" t="s">
        <v>2154</v>
      </c>
      <c r="F152" s="41" t="s">
        <v>2098</v>
      </c>
      <c r="P152" s="62">
        <v>44581</v>
      </c>
    </row>
    <row r="153" spans="1:17" x14ac:dyDescent="0.3">
      <c r="A153" s="41" t="s">
        <v>685</v>
      </c>
      <c r="B153" s="41" t="s">
        <v>1509</v>
      </c>
      <c r="C153" s="41" t="s">
        <v>2098</v>
      </c>
      <c r="E153" s="41" t="s">
        <v>2154</v>
      </c>
      <c r="F153" s="41" t="s">
        <v>2098</v>
      </c>
      <c r="P153" s="62">
        <v>44581</v>
      </c>
    </row>
    <row r="154" spans="1:17" x14ac:dyDescent="0.3">
      <c r="A154" s="41" t="s">
        <v>618</v>
      </c>
      <c r="B154" s="41" t="s">
        <v>1442</v>
      </c>
      <c r="C154" s="41" t="s">
        <v>2098</v>
      </c>
      <c r="E154" s="41" t="s">
        <v>2098</v>
      </c>
      <c r="P154" s="62">
        <v>44581</v>
      </c>
    </row>
    <row r="155" spans="1:17" ht="14.5" x14ac:dyDescent="0.35">
      <c r="A155" s="26" t="s">
        <v>3361</v>
      </c>
      <c r="B155" s="26" t="s">
        <v>3362</v>
      </c>
      <c r="C155" s="44" t="s">
        <v>2154</v>
      </c>
      <c r="D155" s="44" t="s">
        <v>2098</v>
      </c>
      <c r="E155" s="44"/>
      <c r="F155" s="44"/>
      <c r="G155" s="44"/>
      <c r="H155" s="44"/>
      <c r="I155" s="44"/>
      <c r="J155" s="44"/>
      <c r="K155" s="44"/>
      <c r="L155" s="44"/>
      <c r="M155" s="44"/>
      <c r="N155" s="44"/>
      <c r="O155" s="44"/>
      <c r="P155" s="62">
        <v>44581</v>
      </c>
      <c r="Q155" s="44"/>
    </row>
    <row r="156" spans="1:17" x14ac:dyDescent="0.3">
      <c r="A156" s="41" t="s">
        <v>330</v>
      </c>
      <c r="B156" s="41" t="s">
        <v>1155</v>
      </c>
      <c r="C156" s="41" t="s">
        <v>2098</v>
      </c>
      <c r="E156" s="41" t="s">
        <v>2098</v>
      </c>
      <c r="P156" s="62">
        <v>44581</v>
      </c>
    </row>
    <row r="157" spans="1:17" ht="14.5" x14ac:dyDescent="0.35">
      <c r="A157" s="41" t="s">
        <v>2</v>
      </c>
      <c r="B157" s="41" t="s">
        <v>831</v>
      </c>
      <c r="C157" s="41" t="s">
        <v>2154</v>
      </c>
      <c r="D157" s="41" t="s">
        <v>2154</v>
      </c>
      <c r="E157" s="41" t="s">
        <v>2154</v>
      </c>
      <c r="F157" s="41" t="s">
        <v>2154</v>
      </c>
      <c r="G157" s="41" t="s">
        <v>2155</v>
      </c>
      <c r="H157" s="41">
        <f>0.035*10^3</f>
        <v>35</v>
      </c>
      <c r="I157" s="41" t="s">
        <v>1720</v>
      </c>
      <c r="J157" s="13" t="s">
        <v>2182</v>
      </c>
      <c r="K157" s="41" t="s">
        <v>2165</v>
      </c>
      <c r="O157" s="41" t="s">
        <v>3480</v>
      </c>
      <c r="P157" s="62">
        <v>44581</v>
      </c>
    </row>
    <row r="158" spans="1:17" x14ac:dyDescent="0.3">
      <c r="A158" s="41" t="s">
        <v>2</v>
      </c>
      <c r="B158" s="41" t="s">
        <v>831</v>
      </c>
      <c r="C158" s="41" t="s">
        <v>2154</v>
      </c>
      <c r="D158" s="41" t="s">
        <v>2154</v>
      </c>
      <c r="E158" s="41" t="s">
        <v>2154</v>
      </c>
      <c r="F158" s="41" t="s">
        <v>2154</v>
      </c>
      <c r="G158" s="41" t="s">
        <v>2158</v>
      </c>
      <c r="H158" s="41">
        <f>0.012*10^3</f>
        <v>12</v>
      </c>
      <c r="I158" s="41" t="s">
        <v>1720</v>
      </c>
      <c r="J158" s="41" t="s">
        <v>2182</v>
      </c>
      <c r="O158" s="41" t="s">
        <v>3480</v>
      </c>
      <c r="P158" s="62">
        <v>44581</v>
      </c>
    </row>
    <row r="159" spans="1:17" x14ac:dyDescent="0.3">
      <c r="A159" s="41" t="s">
        <v>591</v>
      </c>
      <c r="B159" s="41" t="s">
        <v>1415</v>
      </c>
      <c r="C159" s="41" t="s">
        <v>2154</v>
      </c>
      <c r="D159" s="41" t="s">
        <v>2154</v>
      </c>
      <c r="E159" s="41" t="s">
        <v>2154</v>
      </c>
      <c r="F159" s="41" t="s">
        <v>2154</v>
      </c>
      <c r="G159" s="41" t="s">
        <v>2155</v>
      </c>
      <c r="H159" s="41">
        <v>6.8</v>
      </c>
      <c r="I159" s="41" t="s">
        <v>1720</v>
      </c>
      <c r="J159" s="41" t="s">
        <v>2183</v>
      </c>
      <c r="K159" s="41" t="s">
        <v>2165</v>
      </c>
      <c r="O159" s="41" t="s">
        <v>3481</v>
      </c>
      <c r="P159" s="62">
        <v>44581</v>
      </c>
    </row>
    <row r="160" spans="1:17" x14ac:dyDescent="0.3">
      <c r="A160" s="41" t="s">
        <v>7</v>
      </c>
      <c r="B160" s="41" t="s">
        <v>836</v>
      </c>
      <c r="C160" s="41" t="s">
        <v>2098</v>
      </c>
      <c r="E160" s="41" t="s">
        <v>2098</v>
      </c>
      <c r="P160" s="62">
        <v>44581</v>
      </c>
    </row>
    <row r="161" spans="1:17" x14ac:dyDescent="0.3">
      <c r="A161" s="41" t="s">
        <v>152</v>
      </c>
      <c r="B161" s="41" t="s">
        <v>981</v>
      </c>
      <c r="C161" s="41" t="s">
        <v>2154</v>
      </c>
      <c r="D161" s="41" t="s">
        <v>2098</v>
      </c>
      <c r="E161" s="41" t="s">
        <v>2098</v>
      </c>
      <c r="P161" s="62">
        <v>44581</v>
      </c>
    </row>
    <row r="162" spans="1:17" x14ac:dyDescent="0.3">
      <c r="A162" s="41" t="s">
        <v>785</v>
      </c>
      <c r="B162" s="41" t="s">
        <v>1608</v>
      </c>
      <c r="C162" s="41" t="s">
        <v>2098</v>
      </c>
      <c r="E162" s="41" t="s">
        <v>2154</v>
      </c>
      <c r="F162" s="41" t="s">
        <v>2098</v>
      </c>
      <c r="P162" s="62">
        <v>44581</v>
      </c>
    </row>
    <row r="163" spans="1:17" ht="14.5" x14ac:dyDescent="0.35">
      <c r="A163" s="26" t="s">
        <v>3338</v>
      </c>
      <c r="B163" s="26" t="s">
        <v>3339</v>
      </c>
      <c r="C163" s="44"/>
      <c r="D163" s="44"/>
      <c r="E163" s="44"/>
      <c r="F163" s="44"/>
      <c r="G163" s="44"/>
      <c r="H163" s="44"/>
      <c r="I163" s="44"/>
      <c r="J163" s="44"/>
      <c r="K163" s="44"/>
      <c r="L163" s="44"/>
      <c r="M163" s="44"/>
      <c r="N163" s="44"/>
      <c r="O163" s="44"/>
      <c r="P163" s="62">
        <v>44581</v>
      </c>
      <c r="Q163" s="44"/>
    </row>
    <row r="164" spans="1:17" ht="14.5" x14ac:dyDescent="0.35">
      <c r="A164" s="26" t="s">
        <v>3377</v>
      </c>
      <c r="B164" s="26" t="s">
        <v>3339</v>
      </c>
      <c r="C164" s="44" t="s">
        <v>2098</v>
      </c>
      <c r="D164" s="44" t="s">
        <v>2098</v>
      </c>
      <c r="E164" s="44"/>
      <c r="F164" s="44"/>
      <c r="G164" s="44"/>
      <c r="H164" s="44"/>
      <c r="I164" s="44"/>
      <c r="J164" s="44"/>
      <c r="K164" s="44"/>
      <c r="L164" s="44"/>
      <c r="M164" s="44"/>
      <c r="N164" s="44"/>
      <c r="O164" s="44"/>
      <c r="P164" s="62">
        <v>44581</v>
      </c>
      <c r="Q164" s="44"/>
    </row>
    <row r="165" spans="1:17" ht="14.5" x14ac:dyDescent="0.35">
      <c r="A165" s="26" t="s">
        <v>3340</v>
      </c>
      <c r="B165" s="26" t="s">
        <v>3341</v>
      </c>
      <c r="C165" s="44"/>
      <c r="D165" s="44"/>
      <c r="E165" s="44"/>
      <c r="F165" s="44"/>
      <c r="G165" s="44"/>
      <c r="H165" s="44"/>
      <c r="I165" s="44"/>
      <c r="J165" s="44"/>
      <c r="K165" s="44"/>
      <c r="L165" s="44"/>
      <c r="M165" s="44"/>
      <c r="N165" s="44"/>
      <c r="O165" s="44"/>
      <c r="P165" s="62">
        <v>44581</v>
      </c>
      <c r="Q165" s="44"/>
    </row>
    <row r="166" spans="1:17" ht="14.5" x14ac:dyDescent="0.35">
      <c r="A166" s="26" t="s">
        <v>3378</v>
      </c>
      <c r="B166" s="26" t="s">
        <v>3341</v>
      </c>
      <c r="C166" s="44" t="s">
        <v>2098</v>
      </c>
      <c r="D166" s="44" t="s">
        <v>2098</v>
      </c>
      <c r="E166" s="44"/>
      <c r="F166" s="44"/>
      <c r="G166" s="44"/>
      <c r="H166" s="44"/>
      <c r="I166" s="44"/>
      <c r="J166" s="44"/>
      <c r="K166" s="44"/>
      <c r="L166" s="44"/>
      <c r="M166" s="44"/>
      <c r="N166" s="44"/>
      <c r="O166" s="44"/>
      <c r="P166" s="62">
        <v>44581</v>
      </c>
      <c r="Q166" s="44"/>
    </row>
    <row r="167" spans="1:17" x14ac:dyDescent="0.3">
      <c r="A167" s="41" t="s">
        <v>354</v>
      </c>
      <c r="B167" s="41" t="s">
        <v>1178</v>
      </c>
      <c r="C167" s="41" t="s">
        <v>2098</v>
      </c>
      <c r="E167" s="41" t="s">
        <v>2154</v>
      </c>
      <c r="F167" s="41" t="s">
        <v>2098</v>
      </c>
      <c r="P167" s="62">
        <v>44581</v>
      </c>
    </row>
    <row r="168" spans="1:17" x14ac:dyDescent="0.3">
      <c r="A168" s="41" t="s">
        <v>625</v>
      </c>
      <c r="B168" s="41" t="s">
        <v>1449</v>
      </c>
      <c r="C168" s="41" t="s">
        <v>2098</v>
      </c>
      <c r="E168" s="41" t="s">
        <v>2098</v>
      </c>
      <c r="F168" s="41" t="s">
        <v>2098</v>
      </c>
      <c r="P168" s="62">
        <v>44581</v>
      </c>
    </row>
    <row r="169" spans="1:17" x14ac:dyDescent="0.3">
      <c r="A169" s="41" t="s">
        <v>349</v>
      </c>
      <c r="B169" s="41" t="s">
        <v>1173</v>
      </c>
      <c r="C169" s="41" t="s">
        <v>2098</v>
      </c>
      <c r="E169" s="41" t="s">
        <v>2154</v>
      </c>
      <c r="F169" s="41" t="s">
        <v>2154</v>
      </c>
      <c r="G169" s="41" t="s">
        <v>2123</v>
      </c>
      <c r="H169" s="41">
        <v>7.0000000000000007E-2</v>
      </c>
      <c r="I169" s="41" t="s">
        <v>1720</v>
      </c>
      <c r="J169" s="41" t="s">
        <v>2124</v>
      </c>
      <c r="K169" s="41" t="s">
        <v>2125</v>
      </c>
      <c r="L169" s="41" t="s">
        <v>2130</v>
      </c>
      <c r="M169" s="41" t="s">
        <v>2122</v>
      </c>
      <c r="N169" s="41" t="s">
        <v>2112</v>
      </c>
      <c r="O169" s="41" t="s">
        <v>3480</v>
      </c>
      <c r="P169" s="62">
        <v>44581</v>
      </c>
    </row>
    <row r="170" spans="1:17" x14ac:dyDescent="0.3">
      <c r="A170" s="41" t="s">
        <v>787</v>
      </c>
      <c r="B170" s="41" t="s">
        <v>1610</v>
      </c>
      <c r="C170" s="41" t="s">
        <v>2098</v>
      </c>
      <c r="E170" s="41" t="s">
        <v>2098</v>
      </c>
      <c r="F170" s="41" t="s">
        <v>2098</v>
      </c>
      <c r="P170" s="62">
        <v>44581</v>
      </c>
    </row>
    <row r="171" spans="1:17" x14ac:dyDescent="0.3">
      <c r="A171" s="41" t="s">
        <v>190</v>
      </c>
      <c r="B171" s="41" t="s">
        <v>1018</v>
      </c>
      <c r="C171" s="41" t="s">
        <v>2098</v>
      </c>
      <c r="E171" s="41" t="s">
        <v>2154</v>
      </c>
      <c r="F171" s="41" t="s">
        <v>2098</v>
      </c>
      <c r="P171" s="62">
        <v>44581</v>
      </c>
    </row>
    <row r="172" spans="1:17" x14ac:dyDescent="0.3">
      <c r="A172" s="41" t="s">
        <v>60</v>
      </c>
      <c r="B172" s="41" t="s">
        <v>889</v>
      </c>
      <c r="C172" s="41" t="s">
        <v>2154</v>
      </c>
      <c r="D172" s="41" t="s">
        <v>2154</v>
      </c>
      <c r="E172" s="41" t="s">
        <v>2154</v>
      </c>
      <c r="F172" s="41" t="s">
        <v>2154</v>
      </c>
      <c r="G172" s="41" t="s">
        <v>2155</v>
      </c>
      <c r="H172" s="41">
        <v>12</v>
      </c>
      <c r="I172" s="41" t="s">
        <v>1720</v>
      </c>
      <c r="J172" s="41" t="s">
        <v>2561</v>
      </c>
      <c r="K172" s="41" t="s">
        <v>2131</v>
      </c>
      <c r="M172" s="41" t="s">
        <v>2111</v>
      </c>
      <c r="N172" s="41" t="s">
        <v>2112</v>
      </c>
      <c r="O172" s="41" t="s">
        <v>3481</v>
      </c>
      <c r="P172" s="62">
        <v>44581</v>
      </c>
    </row>
    <row r="173" spans="1:17" x14ac:dyDescent="0.3">
      <c r="A173" s="41" t="s">
        <v>60</v>
      </c>
      <c r="B173" s="41" t="s">
        <v>889</v>
      </c>
      <c r="C173" s="41" t="s">
        <v>2154</v>
      </c>
      <c r="D173" s="41" t="s">
        <v>2154</v>
      </c>
      <c r="E173" s="41" t="s">
        <v>2154</v>
      </c>
      <c r="F173" s="41" t="s">
        <v>2154</v>
      </c>
      <c r="G173" s="41" t="s">
        <v>2158</v>
      </c>
      <c r="H173" s="41">
        <v>120</v>
      </c>
      <c r="I173" s="41" t="s">
        <v>1720</v>
      </c>
      <c r="J173" s="41" t="s">
        <v>2561</v>
      </c>
      <c r="K173" s="41" t="s">
        <v>2131</v>
      </c>
      <c r="O173" s="41" t="s">
        <v>3481</v>
      </c>
      <c r="P173" s="62">
        <v>44581</v>
      </c>
    </row>
    <row r="174" spans="1:17" ht="14.5" x14ac:dyDescent="0.35">
      <c r="A174" s="26" t="s">
        <v>3328</v>
      </c>
      <c r="B174" s="26" t="s">
        <v>3329</v>
      </c>
      <c r="C174" s="44" t="s">
        <v>2154</v>
      </c>
      <c r="D174" s="44" t="s">
        <v>2098</v>
      </c>
      <c r="E174" s="44" t="s">
        <v>2098</v>
      </c>
      <c r="F174" s="44" t="s">
        <v>2098</v>
      </c>
      <c r="G174" s="44"/>
      <c r="H174" s="44"/>
      <c r="I174" s="44"/>
      <c r="J174" s="44"/>
      <c r="K174" s="44"/>
      <c r="L174" s="44"/>
      <c r="M174" s="44"/>
      <c r="N174" s="44"/>
      <c r="O174" s="44"/>
      <c r="P174" s="62">
        <v>44581</v>
      </c>
      <c r="Q174" s="44"/>
    </row>
    <row r="175" spans="1:17" ht="14.5" x14ac:dyDescent="0.35">
      <c r="A175" s="26" t="s">
        <v>3381</v>
      </c>
      <c r="B175" s="26" t="s">
        <v>3382</v>
      </c>
      <c r="C175" s="44" t="s">
        <v>2098</v>
      </c>
      <c r="D175" s="44" t="s">
        <v>2098</v>
      </c>
      <c r="E175" s="44"/>
      <c r="F175" s="44"/>
      <c r="G175" s="44"/>
      <c r="H175" s="44"/>
      <c r="I175" s="44"/>
      <c r="J175" s="44"/>
      <c r="K175" s="44"/>
      <c r="L175" s="44"/>
      <c r="M175" s="44"/>
      <c r="N175" s="44"/>
      <c r="O175" s="44"/>
      <c r="P175" s="62">
        <v>44581</v>
      </c>
      <c r="Q175" s="44"/>
    </row>
    <row r="176" spans="1:17" ht="14.5" x14ac:dyDescent="0.35">
      <c r="A176" s="26" t="s">
        <v>3342</v>
      </c>
      <c r="B176" s="26" t="s">
        <v>3343</v>
      </c>
      <c r="C176" s="44"/>
      <c r="D176" s="44"/>
      <c r="E176" s="44"/>
      <c r="F176" s="44"/>
      <c r="G176" s="44"/>
      <c r="H176" s="44"/>
      <c r="I176" s="44"/>
      <c r="J176" s="44"/>
      <c r="K176" s="44"/>
      <c r="L176" s="44"/>
      <c r="M176" s="44"/>
      <c r="N176" s="44"/>
      <c r="O176" s="44"/>
      <c r="P176" s="62">
        <v>44581</v>
      </c>
      <c r="Q176" s="44"/>
    </row>
    <row r="177" spans="1:17" ht="14.5" x14ac:dyDescent="0.35">
      <c r="A177" s="26" t="s">
        <v>3383</v>
      </c>
      <c r="B177" s="26" t="s">
        <v>3384</v>
      </c>
      <c r="C177" s="44" t="s">
        <v>2098</v>
      </c>
      <c r="D177" s="44" t="s">
        <v>2098</v>
      </c>
      <c r="E177" s="44"/>
      <c r="F177" s="44"/>
      <c r="G177" s="44"/>
      <c r="H177" s="44"/>
      <c r="I177" s="44"/>
      <c r="J177" s="44"/>
      <c r="K177" s="44"/>
      <c r="L177" s="44"/>
      <c r="M177" s="44"/>
      <c r="N177" s="44"/>
      <c r="O177" s="44"/>
      <c r="P177" s="62">
        <v>44581</v>
      </c>
      <c r="Q177" s="44"/>
    </row>
    <row r="178" spans="1:17" ht="14.5" x14ac:dyDescent="0.35">
      <c r="A178" s="26" t="s">
        <v>1879</v>
      </c>
      <c r="B178" s="26" t="s">
        <v>3344</v>
      </c>
      <c r="C178" s="44"/>
      <c r="D178" s="44"/>
      <c r="E178" s="44"/>
      <c r="F178" s="44"/>
      <c r="G178" s="44"/>
      <c r="H178" s="44"/>
      <c r="I178" s="44"/>
      <c r="J178" s="44"/>
      <c r="K178" s="44"/>
      <c r="L178" s="44"/>
      <c r="M178" s="44"/>
      <c r="N178" s="44"/>
      <c r="O178" s="44"/>
      <c r="P178" s="62">
        <v>44581</v>
      </c>
      <c r="Q178" s="44"/>
    </row>
    <row r="179" spans="1:17" ht="14.5" x14ac:dyDescent="0.35">
      <c r="A179" s="26" t="s">
        <v>3414</v>
      </c>
      <c r="B179" s="26" t="s">
        <v>3419</v>
      </c>
      <c r="C179" s="41" t="s">
        <v>2154</v>
      </c>
      <c r="D179" s="41" t="s">
        <v>2154</v>
      </c>
      <c r="G179" s="41" t="s">
        <v>3431</v>
      </c>
      <c r="H179" s="41">
        <v>0.28999999999999998</v>
      </c>
      <c r="I179" s="41" t="s">
        <v>1720</v>
      </c>
      <c r="J179" s="41" t="s">
        <v>3440</v>
      </c>
      <c r="O179" s="41" t="s">
        <v>3480</v>
      </c>
      <c r="P179" s="62">
        <v>44581</v>
      </c>
    </row>
    <row r="180" spans="1:17" ht="14.5" x14ac:dyDescent="0.35">
      <c r="A180" s="26" t="s">
        <v>3414</v>
      </c>
      <c r="B180" s="26" t="s">
        <v>3419</v>
      </c>
      <c r="C180" s="41" t="s">
        <v>2154</v>
      </c>
      <c r="D180" s="41" t="s">
        <v>2154</v>
      </c>
      <c r="G180" s="41" t="s">
        <v>3437</v>
      </c>
      <c r="H180" s="41">
        <v>0.57999999999999996</v>
      </c>
      <c r="I180" s="41" t="s">
        <v>1720</v>
      </c>
      <c r="J180" s="41" t="s">
        <v>3440</v>
      </c>
      <c r="O180" s="41" t="s">
        <v>3480</v>
      </c>
      <c r="P180" s="62">
        <v>44581</v>
      </c>
    </row>
    <row r="181" spans="1:17" ht="14.5" x14ac:dyDescent="0.35">
      <c r="A181" s="26" t="s">
        <v>3367</v>
      </c>
      <c r="B181" s="26" t="s">
        <v>3368</v>
      </c>
      <c r="C181" s="44" t="s">
        <v>2154</v>
      </c>
      <c r="D181" s="44" t="s">
        <v>2154</v>
      </c>
      <c r="E181" s="44" t="s">
        <v>2098</v>
      </c>
      <c r="F181" s="44" t="s">
        <v>2098</v>
      </c>
      <c r="G181" s="44" t="s">
        <v>3431</v>
      </c>
      <c r="H181" s="44">
        <v>0.28799999999999998</v>
      </c>
      <c r="I181" s="44" t="s">
        <v>1720</v>
      </c>
      <c r="J181" s="44" t="s">
        <v>3435</v>
      </c>
      <c r="K181" s="44"/>
      <c r="L181" s="44"/>
      <c r="M181" s="44"/>
      <c r="N181" s="44"/>
      <c r="O181" s="44" t="s">
        <v>3481</v>
      </c>
      <c r="P181" s="62">
        <v>44581</v>
      </c>
      <c r="Q181" s="44" t="s">
        <v>3486</v>
      </c>
    </row>
    <row r="182" spans="1:17" ht="14.5" x14ac:dyDescent="0.35">
      <c r="A182" s="26" t="s">
        <v>3367</v>
      </c>
      <c r="B182" s="26" t="s">
        <v>3368</v>
      </c>
      <c r="C182" s="44" t="s">
        <v>2154</v>
      </c>
      <c r="D182" s="44" t="s">
        <v>2154</v>
      </c>
      <c r="E182" s="44" t="s">
        <v>2098</v>
      </c>
      <c r="F182" s="44" t="s">
        <v>2098</v>
      </c>
      <c r="G182" s="44" t="s">
        <v>2158</v>
      </c>
      <c r="H182" s="44">
        <v>0.72099999999999997</v>
      </c>
      <c r="I182" s="44" t="s">
        <v>1720</v>
      </c>
      <c r="J182" s="44" t="s">
        <v>3435</v>
      </c>
      <c r="K182" s="44"/>
      <c r="L182" s="44"/>
      <c r="M182" s="44"/>
      <c r="N182" s="44"/>
      <c r="O182" s="44" t="s">
        <v>3481</v>
      </c>
      <c r="P182" s="62">
        <v>44581</v>
      </c>
      <c r="Q182" s="44" t="s">
        <v>3486</v>
      </c>
    </row>
    <row r="183" spans="1:17" x14ac:dyDescent="0.3">
      <c r="A183" s="41" t="s">
        <v>522</v>
      </c>
      <c r="B183" s="41" t="s">
        <v>1346</v>
      </c>
      <c r="C183" s="41" t="s">
        <v>2098</v>
      </c>
      <c r="E183" s="41" t="s">
        <v>2154</v>
      </c>
      <c r="F183" s="41" t="s">
        <v>2098</v>
      </c>
      <c r="P183" s="62">
        <v>44581</v>
      </c>
    </row>
    <row r="184" spans="1:17" x14ac:dyDescent="0.3">
      <c r="A184" s="41" t="s">
        <v>352</v>
      </c>
      <c r="B184" s="41" t="s">
        <v>1176</v>
      </c>
      <c r="C184" s="41" t="s">
        <v>2154</v>
      </c>
      <c r="D184" s="41" t="s">
        <v>2154</v>
      </c>
      <c r="E184" s="41" t="s">
        <v>2154</v>
      </c>
      <c r="F184" s="41" t="s">
        <v>2154</v>
      </c>
      <c r="G184" s="41" t="s">
        <v>2123</v>
      </c>
      <c r="H184" s="41">
        <v>1.3</v>
      </c>
      <c r="I184" s="41" t="s">
        <v>1720</v>
      </c>
      <c r="J184" s="41" t="s">
        <v>2124</v>
      </c>
      <c r="K184" s="41" t="s">
        <v>2125</v>
      </c>
      <c r="L184" s="41" t="s">
        <v>2132</v>
      </c>
      <c r="M184" s="41" t="s">
        <v>2122</v>
      </c>
      <c r="N184" s="41" t="s">
        <v>2112</v>
      </c>
      <c r="O184" s="41" t="s">
        <v>3480</v>
      </c>
      <c r="P184" s="62">
        <v>44581</v>
      </c>
    </row>
    <row r="185" spans="1:17" x14ac:dyDescent="0.3">
      <c r="A185" s="41" t="s">
        <v>352</v>
      </c>
      <c r="B185" s="41" t="s">
        <v>1176</v>
      </c>
      <c r="C185" s="41" t="s">
        <v>2154</v>
      </c>
      <c r="D185" s="41" t="s">
        <v>2154</v>
      </c>
      <c r="E185" s="41" t="s">
        <v>2154</v>
      </c>
      <c r="F185" s="41" t="s">
        <v>2154</v>
      </c>
      <c r="G185" s="41" t="s">
        <v>2155</v>
      </c>
      <c r="H185" s="41">
        <v>0.32</v>
      </c>
      <c r="I185" s="41" t="s">
        <v>1720</v>
      </c>
      <c r="J185" s="41" t="s">
        <v>2184</v>
      </c>
      <c r="K185" s="41" t="s">
        <v>2165</v>
      </c>
      <c r="O185" s="41" t="s">
        <v>3480</v>
      </c>
      <c r="P185" s="62">
        <v>44581</v>
      </c>
    </row>
    <row r="186" spans="1:17" x14ac:dyDescent="0.3">
      <c r="A186" s="41" t="s">
        <v>352</v>
      </c>
      <c r="B186" s="41" t="s">
        <v>1176</v>
      </c>
      <c r="C186" s="41" t="s">
        <v>2154</v>
      </c>
      <c r="D186" s="41" t="s">
        <v>2154</v>
      </c>
      <c r="E186" s="41" t="s">
        <v>2154</v>
      </c>
      <c r="F186" s="41" t="s">
        <v>2154</v>
      </c>
      <c r="G186" s="41" t="s">
        <v>2158</v>
      </c>
      <c r="H186" s="41">
        <v>0.22</v>
      </c>
      <c r="I186" s="41" t="s">
        <v>1720</v>
      </c>
      <c r="J186" s="41" t="s">
        <v>2184</v>
      </c>
      <c r="O186" s="41" t="s">
        <v>3480</v>
      </c>
      <c r="P186" s="62">
        <v>44581</v>
      </c>
    </row>
    <row r="187" spans="1:17" x14ac:dyDescent="0.3">
      <c r="A187" s="41" t="s">
        <v>201</v>
      </c>
      <c r="B187" s="41" t="s">
        <v>1029</v>
      </c>
      <c r="C187" s="41" t="s">
        <v>2154</v>
      </c>
      <c r="D187" s="41" t="s">
        <v>2154</v>
      </c>
      <c r="E187" s="41" t="s">
        <v>2154</v>
      </c>
      <c r="F187" s="41" t="s">
        <v>2154</v>
      </c>
      <c r="G187" s="41" t="s">
        <v>2155</v>
      </c>
      <c r="H187" s="41">
        <v>14</v>
      </c>
      <c r="I187" s="41" t="s">
        <v>1720</v>
      </c>
      <c r="J187" s="41" t="s">
        <v>2185</v>
      </c>
      <c r="K187" s="41" t="s">
        <v>2165</v>
      </c>
      <c r="L187" s="41" t="s">
        <v>2188</v>
      </c>
      <c r="O187" s="41" t="s">
        <v>3481</v>
      </c>
      <c r="P187" s="62">
        <v>44581</v>
      </c>
      <c r="Q187" s="41" t="s">
        <v>3486</v>
      </c>
    </row>
    <row r="188" spans="1:17" x14ac:dyDescent="0.3">
      <c r="A188" s="41" t="s">
        <v>40</v>
      </c>
      <c r="B188" s="41" t="s">
        <v>869</v>
      </c>
      <c r="C188" s="41" t="s">
        <v>2154</v>
      </c>
      <c r="D188" s="41" t="s">
        <v>2154</v>
      </c>
      <c r="E188" s="41" t="s">
        <v>2154</v>
      </c>
      <c r="F188" s="41" t="s">
        <v>2154</v>
      </c>
      <c r="G188" s="41" t="s">
        <v>2155</v>
      </c>
      <c r="H188" s="41">
        <f>0.016*10^3</f>
        <v>16</v>
      </c>
      <c r="I188" s="41" t="s">
        <v>1720</v>
      </c>
      <c r="J188" s="41" t="s">
        <v>2186</v>
      </c>
      <c r="K188" s="41" t="s">
        <v>2163</v>
      </c>
      <c r="L188" s="41" t="s">
        <v>2187</v>
      </c>
      <c r="M188" s="41">
        <v>1</v>
      </c>
      <c r="N188" s="41" t="s">
        <v>2112</v>
      </c>
      <c r="O188" s="41" t="s">
        <v>3480</v>
      </c>
      <c r="P188" s="62">
        <v>44581</v>
      </c>
      <c r="Q188" s="41" t="s">
        <v>2112</v>
      </c>
    </row>
    <row r="189" spans="1:17" x14ac:dyDescent="0.3">
      <c r="A189" s="41" t="s">
        <v>553</v>
      </c>
      <c r="B189" s="41" t="s">
        <v>1377</v>
      </c>
      <c r="C189" s="41" t="s">
        <v>2098</v>
      </c>
      <c r="E189" s="41" t="s">
        <v>2154</v>
      </c>
      <c r="F189" s="41" t="s">
        <v>2098</v>
      </c>
      <c r="P189" s="62">
        <v>44581</v>
      </c>
    </row>
    <row r="190" spans="1:17" x14ac:dyDescent="0.3">
      <c r="A190" s="41" t="s">
        <v>133</v>
      </c>
      <c r="B190" s="41" t="s">
        <v>962</v>
      </c>
      <c r="C190" s="41" t="s">
        <v>2098</v>
      </c>
      <c r="E190" s="41" t="s">
        <v>2154</v>
      </c>
      <c r="F190" s="41" t="s">
        <v>2098</v>
      </c>
      <c r="P190" s="62">
        <v>44581</v>
      </c>
    </row>
    <row r="191" spans="1:17" x14ac:dyDescent="0.3">
      <c r="A191" s="41" t="s">
        <v>350</v>
      </c>
      <c r="B191" s="41" t="s">
        <v>1174</v>
      </c>
      <c r="C191" s="41" t="s">
        <v>2098</v>
      </c>
      <c r="E191" s="41" t="s">
        <v>2154</v>
      </c>
      <c r="F191" s="41" t="s">
        <v>2098</v>
      </c>
      <c r="P191" s="62">
        <v>44581</v>
      </c>
    </row>
    <row r="192" spans="1:17" x14ac:dyDescent="0.3">
      <c r="A192" s="41" t="s">
        <v>142</v>
      </c>
      <c r="B192" s="41" t="s">
        <v>971</v>
      </c>
      <c r="C192" s="41" t="s">
        <v>2098</v>
      </c>
      <c r="E192" s="41" t="s">
        <v>2154</v>
      </c>
      <c r="F192" s="41" t="s">
        <v>2098</v>
      </c>
      <c r="P192" s="62">
        <v>44581</v>
      </c>
    </row>
    <row r="193" spans="1:17" x14ac:dyDescent="0.3">
      <c r="A193" s="41" t="s">
        <v>765</v>
      </c>
      <c r="B193" s="41" t="s">
        <v>1589</v>
      </c>
      <c r="C193" s="41" t="s">
        <v>2098</v>
      </c>
      <c r="E193" s="41" t="s">
        <v>2154</v>
      </c>
      <c r="F193" s="41" t="s">
        <v>2098</v>
      </c>
      <c r="P193" s="62">
        <v>44581</v>
      </c>
    </row>
    <row r="194" spans="1:17" x14ac:dyDescent="0.3">
      <c r="A194" s="41" t="s">
        <v>119</v>
      </c>
      <c r="B194" s="41" t="s">
        <v>948</v>
      </c>
      <c r="C194" s="41" t="s">
        <v>2154</v>
      </c>
      <c r="D194" s="41" t="s">
        <v>2154</v>
      </c>
      <c r="E194" s="41" t="s">
        <v>2154</v>
      </c>
      <c r="F194" s="41" t="s">
        <v>2154</v>
      </c>
      <c r="G194" s="41" t="s">
        <v>2155</v>
      </c>
      <c r="H194" s="41">
        <f>0.081*10^3</f>
        <v>81</v>
      </c>
      <c r="I194" s="41" t="s">
        <v>1720</v>
      </c>
      <c r="J194" s="41" t="s">
        <v>2190</v>
      </c>
      <c r="K194" s="41" t="s">
        <v>2165</v>
      </c>
      <c r="L194" s="41" t="s">
        <v>2191</v>
      </c>
      <c r="O194" s="41" t="s">
        <v>3480</v>
      </c>
      <c r="P194" s="62">
        <v>44581</v>
      </c>
    </row>
    <row r="195" spans="1:17" x14ac:dyDescent="0.3">
      <c r="A195" s="41" t="s">
        <v>434</v>
      </c>
      <c r="B195" s="41" t="s">
        <v>1258</v>
      </c>
      <c r="C195" s="41" t="s">
        <v>2098</v>
      </c>
      <c r="E195" s="41" t="s">
        <v>2098</v>
      </c>
      <c r="P195" s="62">
        <v>44581</v>
      </c>
    </row>
    <row r="196" spans="1:17" x14ac:dyDescent="0.3">
      <c r="A196" s="41" t="s">
        <v>215</v>
      </c>
      <c r="B196" s="41" t="s">
        <v>1042</v>
      </c>
      <c r="C196" s="41" t="s">
        <v>2098</v>
      </c>
      <c r="E196" s="41" t="s">
        <v>2098</v>
      </c>
      <c r="P196" s="62">
        <v>44581</v>
      </c>
    </row>
    <row r="197" spans="1:17" ht="14.5" x14ac:dyDescent="0.35">
      <c r="A197" s="26" t="s">
        <v>3408</v>
      </c>
      <c r="B197" s="26" t="s">
        <v>3416</v>
      </c>
      <c r="C197" s="44" t="s">
        <v>2154</v>
      </c>
      <c r="D197" s="44" t="s">
        <v>2154</v>
      </c>
      <c r="E197" s="44"/>
      <c r="F197" s="44"/>
      <c r="G197" s="44" t="s">
        <v>3431</v>
      </c>
      <c r="H197" s="44">
        <v>8.9999999999999993E-3</v>
      </c>
      <c r="I197" s="44" t="s">
        <v>1720</v>
      </c>
      <c r="J197" s="44" t="s">
        <v>3438</v>
      </c>
      <c r="K197" s="44"/>
      <c r="L197" s="44"/>
      <c r="M197" s="44"/>
      <c r="N197" s="44"/>
      <c r="O197" s="44" t="s">
        <v>3480</v>
      </c>
      <c r="P197" s="61">
        <v>44581</v>
      </c>
      <c r="Q197" s="44"/>
    </row>
    <row r="198" spans="1:17" x14ac:dyDescent="0.3">
      <c r="A198" s="41" t="s">
        <v>376</v>
      </c>
      <c r="B198" s="41" t="s">
        <v>1200</v>
      </c>
      <c r="C198" s="41" t="s">
        <v>2098</v>
      </c>
      <c r="E198" s="41" t="s">
        <v>2154</v>
      </c>
      <c r="F198" s="41" t="s">
        <v>2098</v>
      </c>
      <c r="P198" s="61">
        <v>44581</v>
      </c>
    </row>
    <row r="199" spans="1:17" x14ac:dyDescent="0.3">
      <c r="A199" s="41" t="s">
        <v>156</v>
      </c>
      <c r="B199" s="41" t="s">
        <v>985</v>
      </c>
      <c r="C199" s="41" t="s">
        <v>2098</v>
      </c>
      <c r="E199" s="41" t="s">
        <v>2154</v>
      </c>
      <c r="F199" s="41" t="s">
        <v>2098</v>
      </c>
      <c r="P199" s="61">
        <v>44581</v>
      </c>
    </row>
    <row r="200" spans="1:17" x14ac:dyDescent="0.3">
      <c r="A200" s="41" t="s">
        <v>0</v>
      </c>
      <c r="B200" s="41" t="s">
        <v>829</v>
      </c>
      <c r="C200" s="41" t="s">
        <v>2154</v>
      </c>
      <c r="D200" s="41" t="s">
        <v>2154</v>
      </c>
      <c r="E200" s="41" t="s">
        <v>2154</v>
      </c>
      <c r="F200" s="41" t="s">
        <v>2154</v>
      </c>
      <c r="G200" s="41" t="s">
        <v>2155</v>
      </c>
      <c r="H200" s="41">
        <v>3.5999999999999997E-2</v>
      </c>
      <c r="I200" s="41" t="s">
        <v>1720</v>
      </c>
      <c r="J200" s="41" t="s">
        <v>2192</v>
      </c>
      <c r="K200" s="41" t="s">
        <v>2193</v>
      </c>
      <c r="L200" s="41" t="s">
        <v>2194</v>
      </c>
      <c r="O200" s="41" t="s">
        <v>3480</v>
      </c>
      <c r="P200" s="61">
        <v>44581</v>
      </c>
    </row>
    <row r="201" spans="1:17" x14ac:dyDescent="0.3">
      <c r="A201" s="41" t="s">
        <v>0</v>
      </c>
      <c r="B201" s="41" t="s">
        <v>829</v>
      </c>
      <c r="C201" s="41" t="s">
        <v>2154</v>
      </c>
      <c r="D201" s="41" t="s">
        <v>2154</v>
      </c>
      <c r="E201" s="41" t="s">
        <v>2154</v>
      </c>
      <c r="F201" s="41" t="s">
        <v>2154</v>
      </c>
      <c r="G201" s="41" t="s">
        <v>2158</v>
      </c>
      <c r="H201" s="41">
        <v>4.9000000000000002E-2</v>
      </c>
      <c r="I201" s="41" t="s">
        <v>1720</v>
      </c>
      <c r="J201" s="41" t="s">
        <v>2192</v>
      </c>
      <c r="O201" s="41" t="s">
        <v>3480</v>
      </c>
      <c r="P201" s="61">
        <v>44581</v>
      </c>
    </row>
    <row r="202" spans="1:17" ht="15" customHeight="1" x14ac:dyDescent="0.3">
      <c r="A202" s="41" t="s">
        <v>437</v>
      </c>
      <c r="B202" s="41" t="s">
        <v>1261</v>
      </c>
      <c r="C202" s="41" t="s">
        <v>2154</v>
      </c>
      <c r="D202" s="41" t="s">
        <v>2154</v>
      </c>
      <c r="E202" s="41" t="s">
        <v>2154</v>
      </c>
      <c r="F202" s="41" t="s">
        <v>2154</v>
      </c>
      <c r="G202" s="41" t="s">
        <v>2155</v>
      </c>
      <c r="H202" s="41">
        <v>0.32</v>
      </c>
      <c r="I202" s="41" t="s">
        <v>1720</v>
      </c>
      <c r="J202" s="41" t="s">
        <v>2195</v>
      </c>
      <c r="K202" s="41" t="s">
        <v>2163</v>
      </c>
      <c r="L202" s="41" t="s">
        <v>2196</v>
      </c>
      <c r="O202" s="41" t="s">
        <v>3480</v>
      </c>
      <c r="P202" s="61">
        <v>44581</v>
      </c>
    </row>
    <row r="203" spans="1:17" x14ac:dyDescent="0.3">
      <c r="A203" s="41" t="s">
        <v>437</v>
      </c>
      <c r="B203" s="41" t="s">
        <v>1261</v>
      </c>
      <c r="C203" s="41" t="s">
        <v>2154</v>
      </c>
      <c r="D203" s="41" t="s">
        <v>2154</v>
      </c>
      <c r="E203" s="41" t="s">
        <v>2154</v>
      </c>
      <c r="F203" s="41" t="s">
        <v>2154</v>
      </c>
      <c r="G203" s="41" t="s">
        <v>2158</v>
      </c>
      <c r="H203" s="41">
        <v>3.2</v>
      </c>
      <c r="I203" s="41" t="s">
        <v>1720</v>
      </c>
      <c r="J203" s="41" t="s">
        <v>2195</v>
      </c>
      <c r="O203" s="41" t="s">
        <v>3480</v>
      </c>
      <c r="P203" s="61">
        <v>44581</v>
      </c>
    </row>
    <row r="204" spans="1:17" x14ac:dyDescent="0.3">
      <c r="A204" s="41" t="s">
        <v>347</v>
      </c>
      <c r="B204" s="41" t="s">
        <v>1171</v>
      </c>
      <c r="C204" s="41" t="s">
        <v>2098</v>
      </c>
      <c r="E204" s="41" t="s">
        <v>2098</v>
      </c>
      <c r="F204" s="41" t="s">
        <v>2098</v>
      </c>
      <c r="P204" s="61">
        <v>44581</v>
      </c>
    </row>
    <row r="205" spans="1:17" x14ac:dyDescent="0.3">
      <c r="A205" s="41" t="s">
        <v>801</v>
      </c>
      <c r="B205" s="41" t="s">
        <v>1624</v>
      </c>
      <c r="C205" s="41" t="s">
        <v>2098</v>
      </c>
      <c r="E205" s="41" t="s">
        <v>2098</v>
      </c>
      <c r="F205" s="41" t="s">
        <v>2098</v>
      </c>
      <c r="P205" s="61">
        <v>44581</v>
      </c>
    </row>
    <row r="206" spans="1:17" ht="14.5" x14ac:dyDescent="0.35">
      <c r="A206" s="26" t="s">
        <v>3371</v>
      </c>
      <c r="B206" s="26" t="s">
        <v>3372</v>
      </c>
      <c r="C206" s="44" t="s">
        <v>2098</v>
      </c>
      <c r="D206" s="44" t="s">
        <v>2098</v>
      </c>
      <c r="E206" s="44"/>
      <c r="F206" s="44"/>
      <c r="G206" s="44"/>
      <c r="H206" s="44"/>
      <c r="I206" s="44"/>
      <c r="J206" s="44"/>
      <c r="K206" s="44"/>
      <c r="L206" s="44"/>
      <c r="M206" s="44"/>
      <c r="N206" s="44"/>
      <c r="O206" s="44"/>
      <c r="P206" s="61">
        <v>44581</v>
      </c>
      <c r="Q206" s="44"/>
    </row>
    <row r="207" spans="1:17" x14ac:dyDescent="0.3">
      <c r="A207" s="41" t="s">
        <v>137</v>
      </c>
      <c r="B207" s="41" t="s">
        <v>966</v>
      </c>
      <c r="C207" s="41" t="s">
        <v>2098</v>
      </c>
      <c r="E207" s="41" t="s">
        <v>2098</v>
      </c>
      <c r="P207" s="62">
        <v>44581</v>
      </c>
    </row>
    <row r="208" spans="1:17" x14ac:dyDescent="0.3">
      <c r="A208" s="41" t="s">
        <v>232</v>
      </c>
      <c r="B208" s="41" t="s">
        <v>1059</v>
      </c>
      <c r="C208" s="41" t="s">
        <v>2098</v>
      </c>
      <c r="E208" s="41" t="s">
        <v>2098</v>
      </c>
      <c r="P208" s="62">
        <v>44581</v>
      </c>
    </row>
    <row r="209" spans="1:17" x14ac:dyDescent="0.3">
      <c r="A209" s="41" t="s">
        <v>135</v>
      </c>
      <c r="B209" s="41" t="s">
        <v>964</v>
      </c>
      <c r="C209" s="41" t="s">
        <v>2098</v>
      </c>
      <c r="E209" s="41" t="s">
        <v>2098</v>
      </c>
      <c r="P209" s="62">
        <v>44581</v>
      </c>
    </row>
    <row r="210" spans="1:17" x14ac:dyDescent="0.3">
      <c r="A210" s="41" t="s">
        <v>368</v>
      </c>
      <c r="B210" s="41" t="s">
        <v>1192</v>
      </c>
      <c r="C210" s="41" t="s">
        <v>2098</v>
      </c>
      <c r="E210" s="41" t="s">
        <v>2098</v>
      </c>
      <c r="P210" s="62">
        <v>44581</v>
      </c>
    </row>
    <row r="211" spans="1:17" x14ac:dyDescent="0.3">
      <c r="A211" s="41" t="s">
        <v>136</v>
      </c>
      <c r="B211" s="41" t="s">
        <v>965</v>
      </c>
      <c r="C211" s="41" t="s">
        <v>2098</v>
      </c>
      <c r="E211" s="41" t="s">
        <v>2098</v>
      </c>
      <c r="P211" s="62">
        <v>44581</v>
      </c>
    </row>
    <row r="212" spans="1:17" ht="14.5" x14ac:dyDescent="0.35">
      <c r="A212" s="26" t="s">
        <v>3357</v>
      </c>
      <c r="B212" s="26" t="s">
        <v>3358</v>
      </c>
      <c r="C212" s="44"/>
      <c r="D212" s="44"/>
      <c r="E212" s="44"/>
      <c r="F212" s="44"/>
      <c r="G212" s="44"/>
      <c r="H212" s="44"/>
      <c r="I212" s="44"/>
      <c r="J212" s="44"/>
      <c r="K212" s="44"/>
      <c r="L212" s="44"/>
      <c r="M212" s="44"/>
      <c r="N212" s="44"/>
      <c r="O212" s="44"/>
      <c r="P212" s="62">
        <v>44581</v>
      </c>
      <c r="Q212" s="44"/>
    </row>
    <row r="213" spans="1:17" ht="14.5" x14ac:dyDescent="0.35">
      <c r="A213" s="26" t="s">
        <v>3399</v>
      </c>
      <c r="B213" s="26" t="s">
        <v>3400</v>
      </c>
      <c r="C213" s="44" t="s">
        <v>2098</v>
      </c>
      <c r="D213" s="44" t="s">
        <v>2098</v>
      </c>
      <c r="E213" s="44"/>
      <c r="F213" s="44"/>
      <c r="G213" s="44"/>
      <c r="H213" s="44"/>
      <c r="I213" s="44"/>
      <c r="J213" s="44"/>
      <c r="K213" s="44"/>
      <c r="L213" s="44"/>
      <c r="M213" s="44"/>
      <c r="N213" s="44"/>
      <c r="O213" s="44"/>
      <c r="P213" s="62">
        <v>44581</v>
      </c>
      <c r="Q213" s="44"/>
    </row>
    <row r="214" spans="1:17" x14ac:dyDescent="0.3">
      <c r="A214" s="41" t="s">
        <v>808</v>
      </c>
      <c r="B214" s="41" t="s">
        <v>1631</v>
      </c>
      <c r="C214" s="41" t="s">
        <v>2098</v>
      </c>
      <c r="E214" s="41" t="s">
        <v>2098</v>
      </c>
      <c r="P214" s="62">
        <v>44581</v>
      </c>
    </row>
    <row r="215" spans="1:17" ht="14.5" x14ac:dyDescent="0.35">
      <c r="A215" s="26" t="s">
        <v>3385</v>
      </c>
      <c r="B215" s="26" t="s">
        <v>3386</v>
      </c>
      <c r="C215" s="44" t="s">
        <v>2098</v>
      </c>
      <c r="D215" s="44" t="s">
        <v>2098</v>
      </c>
      <c r="E215" s="44"/>
      <c r="F215" s="44"/>
      <c r="G215" s="44"/>
      <c r="H215" s="44"/>
      <c r="I215" s="44"/>
      <c r="J215" s="44"/>
      <c r="K215" s="44"/>
      <c r="L215" s="44"/>
      <c r="M215" s="44"/>
      <c r="N215" s="44"/>
      <c r="O215" s="44"/>
      <c r="P215" s="62">
        <v>44581</v>
      </c>
      <c r="Q215" s="44"/>
    </row>
    <row r="216" spans="1:17" ht="14.5" x14ac:dyDescent="0.35">
      <c r="A216" s="26" t="s">
        <v>3389</v>
      </c>
      <c r="B216" s="26" t="s">
        <v>3390</v>
      </c>
      <c r="C216" s="44" t="s">
        <v>2098</v>
      </c>
      <c r="D216" s="44" t="s">
        <v>2098</v>
      </c>
      <c r="E216" s="44"/>
      <c r="F216" s="44"/>
      <c r="G216" s="44"/>
      <c r="H216" s="44"/>
      <c r="I216" s="44"/>
      <c r="J216" s="44"/>
      <c r="K216" s="44"/>
      <c r="L216" s="44"/>
      <c r="M216" s="44"/>
      <c r="N216" s="44"/>
      <c r="O216" s="44"/>
      <c r="P216" s="62">
        <v>44581</v>
      </c>
      <c r="Q216" s="44"/>
    </row>
    <row r="217" spans="1:17" ht="14.5" x14ac:dyDescent="0.35">
      <c r="A217" s="26" t="s">
        <v>3391</v>
      </c>
      <c r="B217" s="26" t="s">
        <v>3392</v>
      </c>
      <c r="C217" s="44" t="s">
        <v>2098</v>
      </c>
      <c r="D217" s="44" t="s">
        <v>2098</v>
      </c>
      <c r="E217" s="44"/>
      <c r="F217" s="44"/>
      <c r="G217" s="44"/>
      <c r="H217" s="44"/>
      <c r="I217" s="44"/>
      <c r="J217" s="44"/>
      <c r="K217" s="44"/>
      <c r="L217" s="44"/>
      <c r="M217" s="44"/>
      <c r="N217" s="44"/>
      <c r="O217" s="44"/>
      <c r="P217" s="62">
        <v>44581</v>
      </c>
      <c r="Q217" s="44"/>
    </row>
    <row r="218" spans="1:17" x14ac:dyDescent="0.3">
      <c r="A218" s="41" t="s">
        <v>509</v>
      </c>
      <c r="B218" s="41" t="s">
        <v>1333</v>
      </c>
      <c r="C218" s="41" t="s">
        <v>2098</v>
      </c>
      <c r="E218" s="41" t="s">
        <v>2154</v>
      </c>
      <c r="F218" s="41" t="s">
        <v>2098</v>
      </c>
      <c r="P218" s="62">
        <v>44581</v>
      </c>
    </row>
    <row r="219" spans="1:17" x14ac:dyDescent="0.3">
      <c r="A219" s="41" t="s">
        <v>597</v>
      </c>
      <c r="B219" s="41" t="s">
        <v>1421</v>
      </c>
      <c r="C219" s="41" t="s">
        <v>2154</v>
      </c>
      <c r="D219" s="41" t="s">
        <v>2154</v>
      </c>
      <c r="E219" s="41" t="s">
        <v>2154</v>
      </c>
      <c r="F219" s="41" t="s">
        <v>2154</v>
      </c>
      <c r="G219" s="41" t="s">
        <v>2155</v>
      </c>
      <c r="H219" s="41">
        <v>2</v>
      </c>
      <c r="I219" s="41" t="s">
        <v>1720</v>
      </c>
      <c r="J219" s="41" t="s">
        <v>2197</v>
      </c>
      <c r="K219" s="41" t="s">
        <v>2133</v>
      </c>
      <c r="M219" s="41" t="s">
        <v>2114</v>
      </c>
      <c r="N219" s="41" t="s">
        <v>2112</v>
      </c>
      <c r="O219" s="41" t="s">
        <v>3481</v>
      </c>
      <c r="P219" s="62">
        <v>44581</v>
      </c>
    </row>
    <row r="220" spans="1:17" x14ac:dyDescent="0.3">
      <c r="A220" s="41" t="s">
        <v>597</v>
      </c>
      <c r="B220" s="41" t="s">
        <v>1421</v>
      </c>
      <c r="C220" s="41" t="s">
        <v>2154</v>
      </c>
      <c r="D220" s="41" t="s">
        <v>2154</v>
      </c>
      <c r="E220" s="41" t="s">
        <v>2154</v>
      </c>
      <c r="F220" s="41" t="s">
        <v>2154</v>
      </c>
      <c r="G220" s="41" t="s">
        <v>2158</v>
      </c>
      <c r="H220" s="41">
        <v>20</v>
      </c>
      <c r="I220" s="41" t="s">
        <v>1720</v>
      </c>
      <c r="J220" s="41" t="s">
        <v>2197</v>
      </c>
      <c r="O220" s="41" t="s">
        <v>3481</v>
      </c>
      <c r="P220" s="62">
        <v>44581</v>
      </c>
    </row>
    <row r="221" spans="1:17" x14ac:dyDescent="0.3">
      <c r="A221" s="41" t="s">
        <v>486</v>
      </c>
      <c r="B221" s="41" t="s">
        <v>1310</v>
      </c>
      <c r="C221" s="41" t="s">
        <v>2098</v>
      </c>
      <c r="E221" s="41" t="s">
        <v>2098</v>
      </c>
      <c r="P221" s="62">
        <v>44581</v>
      </c>
    </row>
    <row r="222" spans="1:17" x14ac:dyDescent="0.3">
      <c r="A222" s="41" t="s">
        <v>196</v>
      </c>
      <c r="B222" s="41" t="s">
        <v>1024</v>
      </c>
      <c r="C222" s="41" t="s">
        <v>2098</v>
      </c>
      <c r="E222" s="41" t="s">
        <v>2154</v>
      </c>
      <c r="F222" s="41" t="s">
        <v>2098</v>
      </c>
      <c r="P222" s="62">
        <v>44581</v>
      </c>
    </row>
    <row r="223" spans="1:17" x14ac:dyDescent="0.3">
      <c r="A223" s="41" t="s">
        <v>588</v>
      </c>
      <c r="B223" s="41" t="s">
        <v>1412</v>
      </c>
      <c r="C223" s="41" t="s">
        <v>2154</v>
      </c>
      <c r="D223" s="41" t="s">
        <v>2154</v>
      </c>
      <c r="E223" s="41" t="s">
        <v>2154</v>
      </c>
      <c r="F223" s="41" t="s">
        <v>2154</v>
      </c>
      <c r="G223" s="41" t="s">
        <v>2155</v>
      </c>
      <c r="H223" s="41">
        <f>0.009*10^3</f>
        <v>9</v>
      </c>
      <c r="I223" s="41" t="s">
        <v>1720</v>
      </c>
      <c r="J223" s="41" t="s">
        <v>2198</v>
      </c>
      <c r="K223" s="41" t="s">
        <v>2134</v>
      </c>
      <c r="M223" s="41" t="s">
        <v>2114</v>
      </c>
      <c r="N223" s="41" t="s">
        <v>2112</v>
      </c>
      <c r="O223" s="41" t="s">
        <v>3481</v>
      </c>
      <c r="P223" s="62">
        <v>44581</v>
      </c>
      <c r="Q223" s="41" t="s">
        <v>3488</v>
      </c>
    </row>
    <row r="224" spans="1:17" x14ac:dyDescent="0.3">
      <c r="A224" s="41" t="s">
        <v>588</v>
      </c>
      <c r="B224" s="41" t="s">
        <v>1412</v>
      </c>
      <c r="C224" s="41" t="s">
        <v>2154</v>
      </c>
      <c r="D224" s="41" t="s">
        <v>2154</v>
      </c>
      <c r="E224" s="41" t="s">
        <v>2154</v>
      </c>
      <c r="F224" s="41" t="s">
        <v>2154</v>
      </c>
      <c r="G224" s="41" t="s">
        <v>2158</v>
      </c>
      <c r="H224" s="41">
        <f>0.092*10^3</f>
        <v>92</v>
      </c>
      <c r="I224" s="41" t="s">
        <v>1720</v>
      </c>
      <c r="J224" s="41" t="s">
        <v>2198</v>
      </c>
      <c r="O224" s="41" t="s">
        <v>3481</v>
      </c>
      <c r="P224" s="62">
        <v>44581</v>
      </c>
      <c r="Q224" s="41" t="s">
        <v>3488</v>
      </c>
    </row>
    <row r="225" spans="1:17" x14ac:dyDescent="0.3">
      <c r="A225" s="41" t="s">
        <v>94</v>
      </c>
      <c r="B225" s="41" t="s">
        <v>923</v>
      </c>
      <c r="C225" s="41" t="s">
        <v>2154</v>
      </c>
      <c r="D225" s="41" t="s">
        <v>2154</v>
      </c>
      <c r="E225" s="41" t="s">
        <v>2154</v>
      </c>
      <c r="F225" s="41" t="s">
        <v>2154</v>
      </c>
      <c r="G225" s="41" t="s">
        <v>2155</v>
      </c>
      <c r="H225" s="41">
        <f>0.089*10^3</f>
        <v>89</v>
      </c>
      <c r="I225" s="41" t="s">
        <v>1720</v>
      </c>
      <c r="J225" s="41" t="s">
        <v>2199</v>
      </c>
      <c r="K225" s="41" t="s">
        <v>2193</v>
      </c>
      <c r="L225" s="41" t="s">
        <v>2200</v>
      </c>
      <c r="O225" s="41" t="s">
        <v>3480</v>
      </c>
      <c r="P225" s="62">
        <v>44581</v>
      </c>
    </row>
    <row r="226" spans="1:17" x14ac:dyDescent="0.3">
      <c r="A226" s="41" t="s">
        <v>94</v>
      </c>
      <c r="B226" s="41" t="s">
        <v>923</v>
      </c>
      <c r="C226" s="41" t="s">
        <v>2154</v>
      </c>
      <c r="D226" s="41" t="s">
        <v>2154</v>
      </c>
      <c r="E226" s="41" t="s">
        <v>2154</v>
      </c>
      <c r="F226" s="41" t="s">
        <v>2154</v>
      </c>
      <c r="G226" s="41" t="s">
        <v>2158</v>
      </c>
      <c r="H226" s="41">
        <f>1.2*10^3</f>
        <v>1200</v>
      </c>
      <c r="I226" s="41" t="s">
        <v>1720</v>
      </c>
      <c r="J226" s="41" t="s">
        <v>2199</v>
      </c>
      <c r="O226" s="41" t="s">
        <v>3480</v>
      </c>
      <c r="P226" s="62">
        <v>44581</v>
      </c>
    </row>
    <row r="227" spans="1:17" ht="14.5" x14ac:dyDescent="0.35">
      <c r="A227" s="41" t="s">
        <v>102</v>
      </c>
      <c r="B227" s="41" t="s">
        <v>931</v>
      </c>
      <c r="C227" s="41" t="s">
        <v>2154</v>
      </c>
      <c r="D227" s="41" t="s">
        <v>2154</v>
      </c>
      <c r="E227" s="41" t="s">
        <v>2154</v>
      </c>
      <c r="F227" s="41" t="s">
        <v>2154</v>
      </c>
      <c r="G227" s="41" t="s">
        <v>2155</v>
      </c>
      <c r="H227" s="41">
        <v>0.2</v>
      </c>
      <c r="I227" s="41" t="s">
        <v>1720</v>
      </c>
      <c r="J227" s="13" t="s">
        <v>2201</v>
      </c>
      <c r="K227" s="41" t="s">
        <v>2165</v>
      </c>
      <c r="L227" s="41" t="s">
        <v>2202</v>
      </c>
      <c r="O227" s="41" t="s">
        <v>3480</v>
      </c>
      <c r="P227" s="62">
        <v>44581</v>
      </c>
    </row>
    <row r="228" spans="1:17" x14ac:dyDescent="0.3">
      <c r="A228" s="41" t="s">
        <v>268</v>
      </c>
      <c r="B228" s="41" t="s">
        <v>1094</v>
      </c>
      <c r="C228" s="41" t="s">
        <v>2154</v>
      </c>
      <c r="D228" s="41" t="s">
        <v>2098</v>
      </c>
      <c r="E228" s="41" t="s">
        <v>2154</v>
      </c>
      <c r="F228" s="41" t="s">
        <v>2098</v>
      </c>
      <c r="P228" s="62">
        <v>44581</v>
      </c>
    </row>
    <row r="229" spans="1:17" x14ac:dyDescent="0.3">
      <c r="A229" s="41" t="s">
        <v>614</v>
      </c>
      <c r="B229" s="41" t="s">
        <v>1438</v>
      </c>
      <c r="C229" s="41" t="s">
        <v>2154</v>
      </c>
      <c r="D229" s="41" t="s">
        <v>2154</v>
      </c>
      <c r="E229" s="41" t="s">
        <v>2154</v>
      </c>
      <c r="F229" s="41" t="s">
        <v>2154</v>
      </c>
      <c r="G229" s="41" t="s">
        <v>2155</v>
      </c>
      <c r="H229" s="41">
        <f>0.245*10^3</f>
        <v>245</v>
      </c>
      <c r="I229" s="41" t="s">
        <v>1720</v>
      </c>
      <c r="J229" s="41" t="s">
        <v>2203</v>
      </c>
      <c r="K229" s="41" t="s">
        <v>2163</v>
      </c>
      <c r="L229" s="41" t="s">
        <v>2204</v>
      </c>
      <c r="O229" s="41" t="s">
        <v>3480</v>
      </c>
      <c r="P229" s="62">
        <v>44581</v>
      </c>
    </row>
    <row r="230" spans="1:17" x14ac:dyDescent="0.3">
      <c r="A230" s="41" t="s">
        <v>614</v>
      </c>
      <c r="B230" s="41" t="s">
        <v>1438</v>
      </c>
      <c r="C230" s="41" t="s">
        <v>2154</v>
      </c>
      <c r="D230" s="41" t="s">
        <v>2154</v>
      </c>
      <c r="E230" s="41" t="s">
        <v>2154</v>
      </c>
      <c r="F230" s="41" t="s">
        <v>2154</v>
      </c>
      <c r="G230" s="41" t="s">
        <v>2158</v>
      </c>
      <c r="H230" s="41">
        <f>2.45*10^3</f>
        <v>2450</v>
      </c>
      <c r="I230" s="41" t="s">
        <v>1720</v>
      </c>
      <c r="J230" s="41" t="s">
        <v>2203</v>
      </c>
      <c r="O230" s="41" t="s">
        <v>3480</v>
      </c>
      <c r="P230" s="62">
        <v>44581</v>
      </c>
    </row>
    <row r="231" spans="1:17" x14ac:dyDescent="0.3">
      <c r="A231" s="41" t="s">
        <v>123</v>
      </c>
      <c r="B231" s="41" t="s">
        <v>952</v>
      </c>
      <c r="C231" s="41" t="s">
        <v>2098</v>
      </c>
      <c r="E231" s="41" t="s">
        <v>2098</v>
      </c>
      <c r="P231" s="62">
        <v>44581</v>
      </c>
    </row>
    <row r="232" spans="1:17" x14ac:dyDescent="0.3">
      <c r="A232" s="41" t="s">
        <v>593</v>
      </c>
      <c r="B232" s="41" t="s">
        <v>1417</v>
      </c>
      <c r="C232" s="41" t="s">
        <v>2098</v>
      </c>
      <c r="E232" s="41" t="s">
        <v>2154</v>
      </c>
      <c r="F232" s="41" t="s">
        <v>2154</v>
      </c>
      <c r="G232" s="41" t="s">
        <v>2123</v>
      </c>
      <c r="H232" s="41">
        <v>2.8000000000000001E-2</v>
      </c>
      <c r="I232" s="41" t="s">
        <v>1720</v>
      </c>
      <c r="J232" s="41" t="s">
        <v>2124</v>
      </c>
      <c r="K232" s="41" t="s">
        <v>2125</v>
      </c>
      <c r="L232" s="41" t="s">
        <v>2135</v>
      </c>
      <c r="M232" s="41" t="s">
        <v>2122</v>
      </c>
      <c r="N232" s="41" t="s">
        <v>2112</v>
      </c>
      <c r="O232" s="41" t="s">
        <v>3480</v>
      </c>
      <c r="P232" s="62">
        <v>44581</v>
      </c>
    </row>
    <row r="233" spans="1:17" x14ac:dyDescent="0.3">
      <c r="A233" s="41" t="s">
        <v>778</v>
      </c>
      <c r="B233" s="41" t="s">
        <v>854</v>
      </c>
      <c r="C233" s="41" t="s">
        <v>2154</v>
      </c>
      <c r="D233" s="41" t="s">
        <v>2098</v>
      </c>
      <c r="E233" s="41" t="s">
        <v>2154</v>
      </c>
      <c r="F233" s="41" t="s">
        <v>2098</v>
      </c>
      <c r="P233" s="62">
        <v>44581</v>
      </c>
    </row>
    <row r="234" spans="1:17" x14ac:dyDescent="0.3">
      <c r="A234" s="41" t="s">
        <v>220</v>
      </c>
      <c r="B234" s="41" t="s">
        <v>1047</v>
      </c>
      <c r="C234" s="41" t="s">
        <v>2098</v>
      </c>
      <c r="E234" s="41" t="s">
        <v>2154</v>
      </c>
      <c r="F234" s="41" t="s">
        <v>2098</v>
      </c>
      <c r="P234" s="62">
        <v>44581</v>
      </c>
    </row>
    <row r="235" spans="1:17" x14ac:dyDescent="0.3">
      <c r="A235" s="41" t="s">
        <v>627</v>
      </c>
      <c r="B235" s="41" t="s">
        <v>1451</v>
      </c>
      <c r="C235" s="41" t="s">
        <v>2098</v>
      </c>
      <c r="E235" s="41" t="s">
        <v>2154</v>
      </c>
      <c r="F235" s="41" t="s">
        <v>2098</v>
      </c>
      <c r="P235" s="62">
        <v>44581</v>
      </c>
    </row>
    <row r="236" spans="1:17" x14ac:dyDescent="0.3">
      <c r="A236" s="41" t="s">
        <v>653</v>
      </c>
      <c r="B236" s="41" t="s">
        <v>1477</v>
      </c>
      <c r="C236" s="41" t="s">
        <v>2154</v>
      </c>
      <c r="D236" s="41" t="s">
        <v>2154</v>
      </c>
      <c r="E236" s="41" t="s">
        <v>2154</v>
      </c>
      <c r="F236" s="41" t="s">
        <v>2154</v>
      </c>
      <c r="G236" s="41" t="s">
        <v>2155</v>
      </c>
      <c r="H236" s="41">
        <f>3*10^3</f>
        <v>3000</v>
      </c>
      <c r="I236" s="41" t="s">
        <v>1720</v>
      </c>
      <c r="J236" s="41" t="s">
        <v>2205</v>
      </c>
      <c r="K236" s="41" t="s">
        <v>2163</v>
      </c>
      <c r="L236" s="41" t="s">
        <v>2206</v>
      </c>
      <c r="O236" s="41" t="s">
        <v>3480</v>
      </c>
      <c r="P236" s="62">
        <v>44581</v>
      </c>
    </row>
    <row r="237" spans="1:17" x14ac:dyDescent="0.3">
      <c r="A237" s="41" t="s">
        <v>653</v>
      </c>
      <c r="B237" s="41" t="s">
        <v>1477</v>
      </c>
      <c r="C237" s="41" t="s">
        <v>2154</v>
      </c>
      <c r="D237" s="41" t="s">
        <v>2154</v>
      </c>
      <c r="E237" s="41" t="s">
        <v>2154</v>
      </c>
      <c r="F237" s="41" t="s">
        <v>2154</v>
      </c>
      <c r="G237" s="41" t="s">
        <v>2158</v>
      </c>
      <c r="H237" s="41">
        <f>30*10^3</f>
        <v>30000</v>
      </c>
      <c r="I237" s="41" t="s">
        <v>1720</v>
      </c>
      <c r="J237" s="41" t="s">
        <v>2205</v>
      </c>
      <c r="O237" s="41" t="s">
        <v>3480</v>
      </c>
      <c r="P237" s="62">
        <v>44581</v>
      </c>
    </row>
    <row r="238" spans="1:17" ht="14.5" x14ac:dyDescent="0.35">
      <c r="A238" s="26" t="s">
        <v>3412</v>
      </c>
      <c r="B238" s="26" t="s">
        <v>3417</v>
      </c>
      <c r="C238" s="44" t="s">
        <v>2098</v>
      </c>
      <c r="D238" s="44" t="s">
        <v>2098</v>
      </c>
      <c r="E238" s="44"/>
      <c r="F238" s="44"/>
      <c r="G238" s="44"/>
      <c r="H238" s="44"/>
      <c r="I238" s="44"/>
      <c r="J238" s="44"/>
      <c r="K238" s="44"/>
      <c r="L238" s="44"/>
      <c r="M238" s="44"/>
      <c r="N238" s="44"/>
      <c r="O238" s="44"/>
      <c r="P238" s="62">
        <v>44581</v>
      </c>
      <c r="Q238" s="44"/>
    </row>
    <row r="239" spans="1:17" x14ac:dyDescent="0.3">
      <c r="A239" s="41" t="s">
        <v>207</v>
      </c>
      <c r="B239" s="41" t="s">
        <v>1034</v>
      </c>
      <c r="C239" s="41" t="s">
        <v>2098</v>
      </c>
      <c r="E239" s="41" t="s">
        <v>2154</v>
      </c>
      <c r="F239" s="41" t="s">
        <v>2098</v>
      </c>
      <c r="P239" s="62">
        <v>44581</v>
      </c>
    </row>
    <row r="240" spans="1:17" ht="14.5" x14ac:dyDescent="0.35">
      <c r="A240" s="26" t="s">
        <v>3345</v>
      </c>
      <c r="B240" s="26" t="s">
        <v>3346</v>
      </c>
      <c r="C240" s="44"/>
      <c r="D240" s="44"/>
      <c r="E240" s="44"/>
      <c r="F240" s="44"/>
      <c r="G240" s="44"/>
      <c r="H240" s="44"/>
      <c r="I240" s="44"/>
      <c r="J240" s="44"/>
      <c r="K240" s="44"/>
      <c r="L240" s="44"/>
      <c r="M240" s="44"/>
      <c r="N240" s="44"/>
      <c r="O240" s="44"/>
      <c r="P240" s="62">
        <v>44581</v>
      </c>
      <c r="Q240" s="44"/>
    </row>
    <row r="241" spans="1:17" x14ac:dyDescent="0.3">
      <c r="A241" s="41" t="s">
        <v>604</v>
      </c>
      <c r="B241" s="41" t="s">
        <v>1428</v>
      </c>
      <c r="C241" s="41" t="s">
        <v>2154</v>
      </c>
      <c r="D241" s="41" t="s">
        <v>2154</v>
      </c>
      <c r="E241" s="41" t="s">
        <v>2154</v>
      </c>
      <c r="F241" s="41" t="s">
        <v>2154</v>
      </c>
      <c r="G241" s="41" t="s">
        <v>2155</v>
      </c>
      <c r="H241" s="41">
        <v>20</v>
      </c>
      <c r="I241" s="41" t="s">
        <v>1720</v>
      </c>
      <c r="J241" s="41" t="s">
        <v>2207</v>
      </c>
      <c r="K241" s="41" t="s">
        <v>2163</v>
      </c>
      <c r="O241" s="41" t="s">
        <v>3481</v>
      </c>
      <c r="P241" s="62">
        <v>44581</v>
      </c>
      <c r="Q241" s="41" t="s">
        <v>3489</v>
      </c>
    </row>
    <row r="242" spans="1:17" x14ac:dyDescent="0.3">
      <c r="A242" s="41" t="s">
        <v>604</v>
      </c>
      <c r="B242" s="41" t="s">
        <v>1428</v>
      </c>
      <c r="C242" s="41" t="s">
        <v>2154</v>
      </c>
      <c r="D242" s="41" t="s">
        <v>2154</v>
      </c>
      <c r="E242" s="41" t="s">
        <v>2154</v>
      </c>
      <c r="F242" s="41" t="s">
        <v>2154</v>
      </c>
      <c r="G242" s="41" t="s">
        <v>2158</v>
      </c>
      <c r="H242" s="41">
        <v>200</v>
      </c>
      <c r="I242" s="41" t="s">
        <v>1720</v>
      </c>
      <c r="J242" s="41" t="s">
        <v>2207</v>
      </c>
      <c r="O242" s="41" t="s">
        <v>3481</v>
      </c>
      <c r="P242" s="62">
        <v>44581</v>
      </c>
      <c r="Q242" s="41" t="s">
        <v>3489</v>
      </c>
    </row>
    <row r="243" spans="1:17" x14ac:dyDescent="0.3">
      <c r="A243" s="41" t="s">
        <v>270</v>
      </c>
      <c r="B243" s="41" t="s">
        <v>1096</v>
      </c>
      <c r="C243" s="41" t="s">
        <v>2098</v>
      </c>
      <c r="E243" s="41" t="s">
        <v>2098</v>
      </c>
      <c r="P243" s="62">
        <v>44581</v>
      </c>
    </row>
    <row r="244" spans="1:17" x14ac:dyDescent="0.3">
      <c r="A244" s="41" t="s">
        <v>265</v>
      </c>
      <c r="B244" s="41" t="s">
        <v>1091</v>
      </c>
      <c r="C244" s="41" t="s">
        <v>2098</v>
      </c>
      <c r="E244" s="41" t="s">
        <v>2098</v>
      </c>
      <c r="P244" s="62">
        <v>44581</v>
      </c>
    </row>
    <row r="245" spans="1:17" x14ac:dyDescent="0.3">
      <c r="A245" s="41" t="s">
        <v>57</v>
      </c>
      <c r="B245" s="41" t="s">
        <v>886</v>
      </c>
      <c r="C245" s="41" t="s">
        <v>2098</v>
      </c>
      <c r="E245" s="41" t="s">
        <v>2098</v>
      </c>
      <c r="P245" s="62">
        <v>44581</v>
      </c>
    </row>
    <row r="246" spans="1:17" x14ac:dyDescent="0.3">
      <c r="A246" s="41" t="s">
        <v>697</v>
      </c>
      <c r="B246" s="41" t="s">
        <v>1521</v>
      </c>
      <c r="C246" s="41" t="s">
        <v>2098</v>
      </c>
      <c r="E246" s="41" t="s">
        <v>2154</v>
      </c>
      <c r="F246" s="41" t="s">
        <v>2098</v>
      </c>
      <c r="P246" s="62">
        <v>44581</v>
      </c>
    </row>
    <row r="247" spans="1:17" ht="14.5" x14ac:dyDescent="0.35">
      <c r="A247" s="41" t="s">
        <v>82</v>
      </c>
      <c r="B247" s="41" t="s">
        <v>911</v>
      </c>
      <c r="C247" s="41" t="s">
        <v>2154</v>
      </c>
      <c r="D247" s="41" t="s">
        <v>2154</v>
      </c>
      <c r="E247" s="41" t="s">
        <v>2154</v>
      </c>
      <c r="F247" s="41" t="s">
        <v>2154</v>
      </c>
      <c r="G247" s="41" t="s">
        <v>2155</v>
      </c>
      <c r="H247" s="41">
        <v>0.24399999999999999</v>
      </c>
      <c r="I247" s="41" t="s">
        <v>1720</v>
      </c>
      <c r="J247" s="13" t="s">
        <v>2208</v>
      </c>
      <c r="K247" s="41" t="s">
        <v>2163</v>
      </c>
      <c r="L247" s="41" t="s">
        <v>2209</v>
      </c>
      <c r="O247" s="41" t="s">
        <v>3480</v>
      </c>
      <c r="P247" s="62">
        <v>44581</v>
      </c>
    </row>
    <row r="248" spans="1:17" x14ac:dyDescent="0.3">
      <c r="A248" s="41" t="s">
        <v>82</v>
      </c>
      <c r="B248" s="41" t="s">
        <v>911</v>
      </c>
      <c r="C248" s="41" t="s">
        <v>2154</v>
      </c>
      <c r="D248" s="41" t="s">
        <v>2154</v>
      </c>
      <c r="E248" s="41" t="s">
        <v>2154</v>
      </c>
      <c r="F248" s="41" t="s">
        <v>2154</v>
      </c>
      <c r="G248" s="41" t="s">
        <v>2158</v>
      </c>
      <c r="H248" s="41">
        <v>2.44</v>
      </c>
      <c r="I248" s="41" t="s">
        <v>1720</v>
      </c>
      <c r="J248" s="41" t="s">
        <v>2208</v>
      </c>
      <c r="O248" s="41" t="s">
        <v>3480</v>
      </c>
      <c r="P248" s="62">
        <v>44581</v>
      </c>
    </row>
    <row r="249" spans="1:17" x14ac:dyDescent="0.3">
      <c r="A249" s="41" t="s">
        <v>35</v>
      </c>
      <c r="B249" s="41" t="s">
        <v>864</v>
      </c>
      <c r="C249" s="41" t="s">
        <v>2154</v>
      </c>
      <c r="D249" s="41" t="s">
        <v>2154</v>
      </c>
      <c r="E249" s="41" t="s">
        <v>2154</v>
      </c>
      <c r="F249" s="41" t="s">
        <v>2154</v>
      </c>
      <c r="G249" s="41" t="s">
        <v>2155</v>
      </c>
      <c r="H249" s="41">
        <v>2.4</v>
      </c>
      <c r="I249" s="41" t="s">
        <v>1720</v>
      </c>
      <c r="J249" s="41" t="s">
        <v>2210</v>
      </c>
      <c r="K249" s="41" t="s">
        <v>2166</v>
      </c>
      <c r="L249" s="41" t="s">
        <v>2211</v>
      </c>
      <c r="O249" s="41" t="s">
        <v>3480</v>
      </c>
      <c r="P249" s="62">
        <v>44581</v>
      </c>
    </row>
    <row r="250" spans="1:17" x14ac:dyDescent="0.3">
      <c r="A250" s="41" t="s">
        <v>35</v>
      </c>
      <c r="B250" s="41" t="s">
        <v>864</v>
      </c>
      <c r="C250" s="41" t="s">
        <v>2154</v>
      </c>
      <c r="D250" s="41" t="s">
        <v>2154</v>
      </c>
      <c r="E250" s="41" t="s">
        <v>2154</v>
      </c>
      <c r="F250" s="41" t="s">
        <v>2154</v>
      </c>
      <c r="G250" s="41" t="s">
        <v>2158</v>
      </c>
      <c r="H250" s="41">
        <v>20</v>
      </c>
      <c r="I250" s="41" t="s">
        <v>1720</v>
      </c>
      <c r="J250" s="41" t="s">
        <v>2210</v>
      </c>
      <c r="O250" s="41" t="s">
        <v>3480</v>
      </c>
      <c r="P250" s="62">
        <v>44581</v>
      </c>
    </row>
    <row r="251" spans="1:17" x14ac:dyDescent="0.3">
      <c r="A251" s="41" t="s">
        <v>820</v>
      </c>
      <c r="B251" s="41" t="s">
        <v>1642</v>
      </c>
      <c r="C251" s="41" t="s">
        <v>2098</v>
      </c>
      <c r="E251" s="41" t="s">
        <v>2098</v>
      </c>
      <c r="P251" s="62">
        <v>44581</v>
      </c>
    </row>
    <row r="252" spans="1:17" x14ac:dyDescent="0.3">
      <c r="A252" s="41" t="s">
        <v>797</v>
      </c>
      <c r="B252" s="41" t="s">
        <v>1620</v>
      </c>
      <c r="C252" s="41" t="s">
        <v>2098</v>
      </c>
      <c r="E252" s="41" t="s">
        <v>2154</v>
      </c>
      <c r="F252" s="41" t="s">
        <v>2098</v>
      </c>
      <c r="P252" s="62">
        <v>44581</v>
      </c>
    </row>
    <row r="253" spans="1:17" x14ac:dyDescent="0.3">
      <c r="A253" s="41" t="s">
        <v>431</v>
      </c>
      <c r="B253" s="41" t="s">
        <v>1255</v>
      </c>
      <c r="C253" s="41" t="s">
        <v>2098</v>
      </c>
      <c r="E253" s="41" t="s">
        <v>2154</v>
      </c>
      <c r="F253" s="41" t="s">
        <v>2098</v>
      </c>
      <c r="P253" s="62">
        <v>44581</v>
      </c>
    </row>
    <row r="254" spans="1:17" x14ac:dyDescent="0.3">
      <c r="A254" s="41" t="s">
        <v>329</v>
      </c>
      <c r="B254" s="41" t="s">
        <v>1154</v>
      </c>
      <c r="C254" s="41" t="s">
        <v>2154</v>
      </c>
      <c r="D254" s="41" t="s">
        <v>2154</v>
      </c>
      <c r="E254" s="41" t="s">
        <v>2154</v>
      </c>
      <c r="F254" s="41" t="s">
        <v>2154</v>
      </c>
      <c r="G254" s="41" t="s">
        <v>2155</v>
      </c>
      <c r="H254" s="41">
        <f>0.037*10^3</f>
        <v>37</v>
      </c>
      <c r="I254" s="41" t="s">
        <v>1720</v>
      </c>
      <c r="J254" s="41" t="s">
        <v>2212</v>
      </c>
      <c r="K254" s="41" t="s">
        <v>2163</v>
      </c>
      <c r="L254" s="41" t="s">
        <v>2213</v>
      </c>
      <c r="O254" s="41" t="s">
        <v>3481</v>
      </c>
      <c r="P254" s="62">
        <v>44581</v>
      </c>
      <c r="Q254" s="41" t="s">
        <v>3490</v>
      </c>
    </row>
    <row r="255" spans="1:17" x14ac:dyDescent="0.3">
      <c r="A255" s="41" t="s">
        <v>329</v>
      </c>
      <c r="B255" s="41" t="s">
        <v>1154</v>
      </c>
      <c r="C255" s="41" t="s">
        <v>2154</v>
      </c>
      <c r="D255" s="41" t="s">
        <v>2154</v>
      </c>
      <c r="E255" s="41" t="s">
        <v>2154</v>
      </c>
      <c r="F255" s="41" t="s">
        <v>2154</v>
      </c>
      <c r="G255" s="41" t="s">
        <v>2158</v>
      </c>
      <c r="H255" s="41">
        <f>0.37*10^3</f>
        <v>370</v>
      </c>
      <c r="I255" s="41" t="s">
        <v>1720</v>
      </c>
      <c r="J255" s="41" t="s">
        <v>2212</v>
      </c>
      <c r="O255" s="41" t="s">
        <v>3481</v>
      </c>
      <c r="P255" s="62">
        <v>44581</v>
      </c>
      <c r="Q255" s="41" t="s">
        <v>3490</v>
      </c>
    </row>
    <row r="256" spans="1:17" x14ac:dyDescent="0.3">
      <c r="A256" s="41" t="s">
        <v>324</v>
      </c>
      <c r="B256" s="41" t="s">
        <v>1149</v>
      </c>
      <c r="C256" s="41" t="s">
        <v>2098</v>
      </c>
      <c r="E256" s="41" t="s">
        <v>2098</v>
      </c>
      <c r="P256" s="62">
        <v>44581</v>
      </c>
    </row>
    <row r="257" spans="1:17" x14ac:dyDescent="0.3">
      <c r="A257" s="41" t="s">
        <v>53</v>
      </c>
      <c r="B257" s="41" t="s">
        <v>882</v>
      </c>
      <c r="C257" s="41" t="s">
        <v>2098</v>
      </c>
      <c r="E257" s="41" t="s">
        <v>2098</v>
      </c>
      <c r="P257" s="62">
        <v>44581</v>
      </c>
    </row>
    <row r="258" spans="1:17" x14ac:dyDescent="0.3">
      <c r="A258" s="41" t="s">
        <v>252</v>
      </c>
      <c r="B258" s="41" t="s">
        <v>1078</v>
      </c>
      <c r="C258" s="41" t="s">
        <v>2154</v>
      </c>
      <c r="D258" s="41" t="s">
        <v>2154</v>
      </c>
      <c r="E258" s="41" t="s">
        <v>2154</v>
      </c>
      <c r="F258" s="41" t="s">
        <v>2154</v>
      </c>
      <c r="G258" s="41" t="s">
        <v>2155</v>
      </c>
      <c r="H258" s="41">
        <f>0.4</f>
        <v>0.4</v>
      </c>
      <c r="I258" s="41" t="s">
        <v>1720</v>
      </c>
      <c r="J258" s="41" t="s">
        <v>2214</v>
      </c>
      <c r="K258" s="41" t="s">
        <v>2166</v>
      </c>
      <c r="L258" s="41" t="s">
        <v>2215</v>
      </c>
      <c r="O258" s="41" t="s">
        <v>3480</v>
      </c>
      <c r="P258" s="62">
        <v>44581</v>
      </c>
    </row>
    <row r="259" spans="1:17" x14ac:dyDescent="0.3">
      <c r="A259" s="41" t="s">
        <v>252</v>
      </c>
      <c r="B259" s="41" t="s">
        <v>1078</v>
      </c>
      <c r="C259" s="41" t="s">
        <v>2154</v>
      </c>
      <c r="D259" s="41" t="s">
        <v>2154</v>
      </c>
      <c r="E259" s="41" t="s">
        <v>2154</v>
      </c>
      <c r="F259" s="41" t="s">
        <v>2154</v>
      </c>
      <c r="G259" s="41" t="s">
        <v>2158</v>
      </c>
      <c r="H259" s="41">
        <v>30</v>
      </c>
      <c r="I259" s="41" t="s">
        <v>1720</v>
      </c>
      <c r="J259" s="41" t="s">
        <v>2214</v>
      </c>
      <c r="O259" s="41" t="s">
        <v>3480</v>
      </c>
      <c r="P259" s="62">
        <v>44581</v>
      </c>
    </row>
    <row r="260" spans="1:17" x14ac:dyDescent="0.3">
      <c r="A260" s="41" t="s">
        <v>150</v>
      </c>
      <c r="B260" s="41" t="s">
        <v>979</v>
      </c>
      <c r="C260" s="41" t="s">
        <v>2154</v>
      </c>
      <c r="D260" s="41" t="s">
        <v>2154</v>
      </c>
      <c r="E260" s="41" t="s">
        <v>2154</v>
      </c>
      <c r="F260" s="41" t="s">
        <v>2154</v>
      </c>
      <c r="G260" s="41" t="s">
        <v>2155</v>
      </c>
      <c r="H260" s="41">
        <v>0.51</v>
      </c>
      <c r="I260" s="41" t="s">
        <v>1720</v>
      </c>
      <c r="J260" s="41" t="s">
        <v>2216</v>
      </c>
      <c r="K260" s="41" t="s">
        <v>2136</v>
      </c>
      <c r="M260" s="41" t="s">
        <v>2111</v>
      </c>
      <c r="N260" s="41" t="s">
        <v>2112</v>
      </c>
      <c r="O260" s="41" t="s">
        <v>3480</v>
      </c>
      <c r="P260" s="62">
        <v>44581</v>
      </c>
    </row>
    <row r="261" spans="1:17" x14ac:dyDescent="0.3">
      <c r="A261" s="41" t="s">
        <v>150</v>
      </c>
      <c r="B261" s="41" t="s">
        <v>979</v>
      </c>
      <c r="C261" s="41" t="s">
        <v>2154</v>
      </c>
      <c r="D261" s="41" t="s">
        <v>2154</v>
      </c>
      <c r="E261" s="41" t="s">
        <v>2154</v>
      </c>
      <c r="F261" s="41" t="s">
        <v>2154</v>
      </c>
      <c r="G261" s="41" t="s">
        <v>2158</v>
      </c>
      <c r="H261" s="41">
        <v>5.0999999999999996</v>
      </c>
      <c r="I261" s="41" t="s">
        <v>1720</v>
      </c>
      <c r="J261" s="41" t="s">
        <v>2216</v>
      </c>
      <c r="O261" s="41" t="s">
        <v>3480</v>
      </c>
      <c r="P261" s="62">
        <v>44581</v>
      </c>
    </row>
    <row r="262" spans="1:17" x14ac:dyDescent="0.3">
      <c r="A262" s="41" t="s">
        <v>237</v>
      </c>
      <c r="B262" s="41" t="s">
        <v>897</v>
      </c>
      <c r="C262" s="41" t="s">
        <v>2098</v>
      </c>
      <c r="E262" s="41" t="s">
        <v>2098</v>
      </c>
      <c r="P262" s="62">
        <v>44581</v>
      </c>
    </row>
    <row r="263" spans="1:17" x14ac:dyDescent="0.3">
      <c r="A263" s="41" t="s">
        <v>344</v>
      </c>
      <c r="B263" s="41" t="s">
        <v>1168</v>
      </c>
      <c r="C263" s="41" t="s">
        <v>2098</v>
      </c>
      <c r="E263" s="41" t="s">
        <v>2154</v>
      </c>
      <c r="F263" s="41" t="s">
        <v>2098</v>
      </c>
      <c r="P263" s="62">
        <v>44581</v>
      </c>
    </row>
    <row r="264" spans="1:17" x14ac:dyDescent="0.3">
      <c r="A264" s="41" t="s">
        <v>223</v>
      </c>
      <c r="B264" s="41" t="s">
        <v>1050</v>
      </c>
      <c r="C264" s="41" t="s">
        <v>2098</v>
      </c>
      <c r="E264" s="41" t="s">
        <v>2098</v>
      </c>
      <c r="P264" s="62">
        <v>44581</v>
      </c>
    </row>
    <row r="265" spans="1:17" x14ac:dyDescent="0.3">
      <c r="A265" s="41" t="s">
        <v>410</v>
      </c>
      <c r="B265" s="41" t="s">
        <v>1234</v>
      </c>
      <c r="C265" s="41" t="s">
        <v>2098</v>
      </c>
      <c r="E265" s="41" t="s">
        <v>2098</v>
      </c>
      <c r="P265" s="62">
        <v>44581</v>
      </c>
    </row>
    <row r="266" spans="1:17" x14ac:dyDescent="0.3">
      <c r="A266" s="41" t="s">
        <v>411</v>
      </c>
      <c r="B266" s="41" t="s">
        <v>1235</v>
      </c>
      <c r="C266" s="41" t="s">
        <v>2098</v>
      </c>
      <c r="E266" s="41" t="s">
        <v>2098</v>
      </c>
      <c r="P266" s="62">
        <v>44581</v>
      </c>
    </row>
    <row r="267" spans="1:17" x14ac:dyDescent="0.3">
      <c r="A267" s="41" t="s">
        <v>107</v>
      </c>
      <c r="B267" s="41" t="s">
        <v>936</v>
      </c>
      <c r="C267" s="41" t="s">
        <v>2098</v>
      </c>
      <c r="E267" s="41" t="s">
        <v>2098</v>
      </c>
      <c r="P267" s="62">
        <v>44581</v>
      </c>
    </row>
    <row r="268" spans="1:17" x14ac:dyDescent="0.3">
      <c r="A268" s="41" t="s">
        <v>108</v>
      </c>
      <c r="B268" s="41" t="s">
        <v>937</v>
      </c>
      <c r="C268" s="41" t="s">
        <v>2098</v>
      </c>
      <c r="E268" s="41" t="s">
        <v>2098</v>
      </c>
      <c r="P268" s="62">
        <v>44581</v>
      </c>
    </row>
    <row r="269" spans="1:17" x14ac:dyDescent="0.3">
      <c r="A269" s="41" t="s">
        <v>362</v>
      </c>
      <c r="B269" s="41" t="s">
        <v>1186</v>
      </c>
      <c r="C269" s="41" t="s">
        <v>2098</v>
      </c>
      <c r="E269" s="41" t="s">
        <v>2098</v>
      </c>
      <c r="P269" s="62">
        <v>44581</v>
      </c>
    </row>
    <row r="270" spans="1:17" x14ac:dyDescent="0.3">
      <c r="A270" s="41" t="s">
        <v>699</v>
      </c>
      <c r="B270" s="41" t="s">
        <v>1523</v>
      </c>
      <c r="C270" s="41" t="s">
        <v>2098</v>
      </c>
      <c r="E270" s="41" t="s">
        <v>2154</v>
      </c>
      <c r="F270" s="41" t="s">
        <v>2098</v>
      </c>
      <c r="P270" s="62">
        <v>44581</v>
      </c>
    </row>
    <row r="271" spans="1:17" ht="14.5" x14ac:dyDescent="0.35">
      <c r="A271" s="26" t="s">
        <v>3332</v>
      </c>
      <c r="B271" s="26" t="s">
        <v>3333</v>
      </c>
      <c r="C271" s="44" t="s">
        <v>2154</v>
      </c>
      <c r="D271" s="44" t="s">
        <v>2098</v>
      </c>
      <c r="E271" s="44" t="s">
        <v>2098</v>
      </c>
      <c r="F271" s="44" t="s">
        <v>2098</v>
      </c>
      <c r="G271" s="44"/>
      <c r="H271" s="44"/>
      <c r="I271" s="44"/>
      <c r="J271" s="44"/>
      <c r="K271" s="44"/>
      <c r="L271" s="44"/>
      <c r="M271" s="44"/>
      <c r="N271" s="44"/>
      <c r="O271" s="44"/>
      <c r="P271" s="62">
        <v>44581</v>
      </c>
      <c r="Q271" s="44"/>
    </row>
    <row r="272" spans="1:17" x14ac:dyDescent="0.3">
      <c r="A272" s="41" t="s">
        <v>391</v>
      </c>
      <c r="B272" s="41" t="s">
        <v>1215</v>
      </c>
      <c r="C272" s="41" t="s">
        <v>2098</v>
      </c>
      <c r="E272" s="41" t="s">
        <v>2154</v>
      </c>
      <c r="F272" s="41" t="s">
        <v>2098</v>
      </c>
      <c r="P272" s="62">
        <v>44581</v>
      </c>
    </row>
    <row r="273" spans="1:17" x14ac:dyDescent="0.3">
      <c r="A273" s="41" t="s">
        <v>408</v>
      </c>
      <c r="B273" s="41" t="s">
        <v>1232</v>
      </c>
      <c r="C273" s="41" t="s">
        <v>2098</v>
      </c>
      <c r="E273" s="41" t="s">
        <v>2098</v>
      </c>
      <c r="P273" s="62">
        <v>44581</v>
      </c>
    </row>
    <row r="274" spans="1:17" ht="14.5" x14ac:dyDescent="0.35">
      <c r="A274" s="26" t="s">
        <v>3375</v>
      </c>
      <c r="B274" s="26" t="s">
        <v>3376</v>
      </c>
      <c r="C274" s="44" t="s">
        <v>2098</v>
      </c>
      <c r="D274" s="44" t="s">
        <v>2098</v>
      </c>
      <c r="E274" s="44"/>
      <c r="F274" s="44"/>
      <c r="G274" s="44"/>
      <c r="H274" s="44"/>
      <c r="I274" s="44"/>
      <c r="J274" s="44"/>
      <c r="K274" s="44"/>
      <c r="L274" s="44"/>
      <c r="M274" s="44"/>
      <c r="N274" s="44"/>
      <c r="O274" s="44"/>
      <c r="P274" s="61">
        <v>44581</v>
      </c>
      <c r="Q274" s="44"/>
    </row>
    <row r="275" spans="1:17" x14ac:dyDescent="0.3">
      <c r="A275" s="41" t="s">
        <v>634</v>
      </c>
      <c r="B275" s="41" t="s">
        <v>1458</v>
      </c>
      <c r="C275" s="41" t="s">
        <v>2154</v>
      </c>
      <c r="D275" s="41" t="s">
        <v>2154</v>
      </c>
      <c r="E275" s="41" t="s">
        <v>2154</v>
      </c>
      <c r="F275" s="41" t="s">
        <v>2154</v>
      </c>
      <c r="G275" s="41" t="s">
        <v>2155</v>
      </c>
      <c r="H275" s="41">
        <f>0.1*10^3</f>
        <v>100</v>
      </c>
      <c r="I275" s="41" t="s">
        <v>1720</v>
      </c>
      <c r="J275" s="41" t="s">
        <v>2217</v>
      </c>
      <c r="K275" s="41" t="s">
        <v>2165</v>
      </c>
      <c r="L275" s="41" t="s">
        <v>2218</v>
      </c>
      <c r="O275" s="41" t="s">
        <v>3480</v>
      </c>
      <c r="P275" s="61">
        <v>44581</v>
      </c>
    </row>
    <row r="276" spans="1:17" x14ac:dyDescent="0.3">
      <c r="A276" s="41" t="s">
        <v>634</v>
      </c>
      <c r="B276" s="41" t="s">
        <v>1458</v>
      </c>
      <c r="C276" s="41" t="s">
        <v>2154</v>
      </c>
      <c r="D276" s="41" t="s">
        <v>2154</v>
      </c>
      <c r="E276" s="41" t="s">
        <v>2154</v>
      </c>
      <c r="F276" s="41" t="s">
        <v>2154</v>
      </c>
      <c r="G276" s="41" t="s">
        <v>2158</v>
      </c>
      <c r="H276" s="41">
        <f>0.044*10^3</f>
        <v>44</v>
      </c>
      <c r="I276" s="41" t="s">
        <v>1720</v>
      </c>
      <c r="J276" s="41" t="s">
        <v>2217</v>
      </c>
      <c r="O276" s="41" t="s">
        <v>3480</v>
      </c>
      <c r="P276" s="61">
        <v>44581</v>
      </c>
    </row>
    <row r="277" spans="1:17" x14ac:dyDescent="0.3">
      <c r="A277" s="41" t="s">
        <v>758</v>
      </c>
      <c r="B277" s="41" t="s">
        <v>1582</v>
      </c>
      <c r="C277" s="41" t="s">
        <v>2098</v>
      </c>
      <c r="E277" s="41" t="s">
        <v>2154</v>
      </c>
      <c r="F277" s="41" t="s">
        <v>2098</v>
      </c>
      <c r="P277" s="61">
        <v>44581</v>
      </c>
    </row>
    <row r="278" spans="1:17" x14ac:dyDescent="0.3">
      <c r="A278" s="41" t="s">
        <v>731</v>
      </c>
      <c r="B278" s="41" t="s">
        <v>1555</v>
      </c>
      <c r="C278" s="41" t="s">
        <v>2098</v>
      </c>
      <c r="E278" s="41" t="s">
        <v>2154</v>
      </c>
      <c r="F278" s="41" t="s">
        <v>2098</v>
      </c>
      <c r="P278" s="61">
        <v>44581</v>
      </c>
    </row>
    <row r="279" spans="1:17" x14ac:dyDescent="0.3">
      <c r="A279" s="41" t="s">
        <v>742</v>
      </c>
      <c r="B279" s="41" t="s">
        <v>1566</v>
      </c>
      <c r="C279" s="41" t="s">
        <v>2098</v>
      </c>
      <c r="E279" s="41" t="s">
        <v>2154</v>
      </c>
      <c r="F279" s="41" t="s">
        <v>2098</v>
      </c>
      <c r="P279" s="61">
        <v>44581</v>
      </c>
    </row>
    <row r="280" spans="1:17" x14ac:dyDescent="0.3">
      <c r="A280" s="41" t="s">
        <v>746</v>
      </c>
      <c r="B280" s="41" t="s">
        <v>1570</v>
      </c>
      <c r="C280" s="41" t="s">
        <v>2098</v>
      </c>
      <c r="E280" s="41" t="s">
        <v>2098</v>
      </c>
      <c r="P280" s="61">
        <v>44581</v>
      </c>
    </row>
    <row r="281" spans="1:17" x14ac:dyDescent="0.3">
      <c r="A281" s="41" t="s">
        <v>749</v>
      </c>
      <c r="B281" s="41" t="s">
        <v>1573</v>
      </c>
      <c r="C281" s="41" t="s">
        <v>2098</v>
      </c>
      <c r="E281" s="41" t="s">
        <v>2098</v>
      </c>
      <c r="P281" s="61">
        <v>44581</v>
      </c>
    </row>
    <row r="282" spans="1:17" x14ac:dyDescent="0.3">
      <c r="A282" s="41" t="s">
        <v>76</v>
      </c>
      <c r="B282" s="41" t="s">
        <v>905</v>
      </c>
      <c r="C282" s="41" t="s">
        <v>2098</v>
      </c>
      <c r="E282" s="41" t="s">
        <v>2098</v>
      </c>
      <c r="P282" s="61">
        <v>44581</v>
      </c>
    </row>
    <row r="283" spans="1:17" ht="14.5" x14ac:dyDescent="0.35">
      <c r="A283" s="26" t="s">
        <v>3359</v>
      </c>
      <c r="B283" s="26" t="s">
        <v>3360</v>
      </c>
      <c r="C283" s="44"/>
      <c r="D283" s="44"/>
      <c r="E283" s="44"/>
      <c r="F283" s="44"/>
      <c r="G283" s="44"/>
      <c r="H283" s="44"/>
      <c r="I283" s="44"/>
      <c r="J283" s="44"/>
      <c r="K283" s="44"/>
      <c r="L283" s="44"/>
      <c r="M283" s="44"/>
      <c r="N283" s="44"/>
      <c r="O283" s="44"/>
      <c r="P283" s="61">
        <v>44581</v>
      </c>
      <c r="Q283" s="44"/>
    </row>
    <row r="284" spans="1:17" x14ac:dyDescent="0.3">
      <c r="A284" s="41" t="s">
        <v>823</v>
      </c>
      <c r="B284" s="41" t="s">
        <v>1645</v>
      </c>
      <c r="C284" s="41" t="s">
        <v>2098</v>
      </c>
      <c r="E284" s="41" t="s">
        <v>2154</v>
      </c>
      <c r="F284" s="41" t="s">
        <v>2098</v>
      </c>
      <c r="P284" s="61">
        <v>44581</v>
      </c>
    </row>
    <row r="285" spans="1:17" x14ac:dyDescent="0.3">
      <c r="A285" s="41" t="s">
        <v>629</v>
      </c>
      <c r="B285" s="41" t="s">
        <v>1453</v>
      </c>
      <c r="C285" s="41" t="s">
        <v>2154</v>
      </c>
      <c r="D285" s="41" t="s">
        <v>2154</v>
      </c>
      <c r="E285" s="41" t="s">
        <v>2154</v>
      </c>
      <c r="F285" s="41" t="s">
        <v>2154</v>
      </c>
      <c r="G285" s="41" t="s">
        <v>2155</v>
      </c>
      <c r="H285" s="41">
        <f>0.008*10^3</f>
        <v>8</v>
      </c>
      <c r="I285" s="41" t="s">
        <v>1720</v>
      </c>
      <c r="J285" s="41" t="s">
        <v>2219</v>
      </c>
      <c r="O285" s="41" t="s">
        <v>3480</v>
      </c>
      <c r="P285" s="61">
        <v>44581</v>
      </c>
    </row>
    <row r="286" spans="1:17" x14ac:dyDescent="0.3">
      <c r="A286" s="41" t="s">
        <v>629</v>
      </c>
      <c r="B286" s="41" t="s">
        <v>1453</v>
      </c>
      <c r="C286" s="41" t="s">
        <v>2154</v>
      </c>
      <c r="D286" s="41" t="s">
        <v>2154</v>
      </c>
      <c r="E286" s="41" t="s">
        <v>2154</v>
      </c>
      <c r="F286" s="41" t="s">
        <v>2154</v>
      </c>
      <c r="G286" s="41" t="s">
        <v>2158</v>
      </c>
      <c r="H286" s="41">
        <f>0.031*10^3</f>
        <v>31</v>
      </c>
      <c r="I286" s="41" t="s">
        <v>1720</v>
      </c>
      <c r="J286" s="41" t="s">
        <v>2219</v>
      </c>
      <c r="O286" s="41" t="s">
        <v>3480</v>
      </c>
      <c r="P286" s="61">
        <v>44581</v>
      </c>
    </row>
    <row r="287" spans="1:17" x14ac:dyDescent="0.3">
      <c r="A287" s="41" t="s">
        <v>403</v>
      </c>
      <c r="B287" s="41" t="s">
        <v>1227</v>
      </c>
      <c r="C287" s="41" t="s">
        <v>2098</v>
      </c>
      <c r="E287" s="41" t="s">
        <v>2098</v>
      </c>
      <c r="P287" s="61">
        <v>44581</v>
      </c>
    </row>
    <row r="288" spans="1:17" x14ac:dyDescent="0.3">
      <c r="A288" s="41" t="s">
        <v>400</v>
      </c>
      <c r="B288" s="41" t="s">
        <v>1224</v>
      </c>
      <c r="C288" s="41" t="s">
        <v>2098</v>
      </c>
      <c r="E288" s="41" t="s">
        <v>2154</v>
      </c>
      <c r="F288" s="41" t="s">
        <v>2098</v>
      </c>
      <c r="P288" s="61">
        <v>44581</v>
      </c>
    </row>
    <row r="289" spans="1:17" x14ac:dyDescent="0.3">
      <c r="A289" s="41" t="s">
        <v>373</v>
      </c>
      <c r="B289" s="41" t="s">
        <v>1197</v>
      </c>
      <c r="C289" s="41" t="s">
        <v>2098</v>
      </c>
      <c r="E289" s="41" t="s">
        <v>2098</v>
      </c>
      <c r="P289" s="61">
        <v>44581</v>
      </c>
    </row>
    <row r="290" spans="1:17" ht="14.5" x14ac:dyDescent="0.35">
      <c r="A290" s="26" t="s">
        <v>3347</v>
      </c>
      <c r="B290" s="26" t="s">
        <v>3348</v>
      </c>
      <c r="C290" s="44"/>
      <c r="D290" s="44"/>
      <c r="E290" s="44"/>
      <c r="F290" s="44"/>
      <c r="G290" s="44"/>
      <c r="H290" s="44"/>
      <c r="I290" s="44"/>
      <c r="J290" s="44"/>
      <c r="K290" s="44"/>
      <c r="L290" s="44"/>
      <c r="M290" s="44"/>
      <c r="N290" s="44"/>
      <c r="O290" s="44"/>
      <c r="P290" s="61">
        <v>44581</v>
      </c>
      <c r="Q290" s="44"/>
    </row>
    <row r="291" spans="1:17" ht="14.5" x14ac:dyDescent="0.35">
      <c r="A291" s="26" t="s">
        <v>3393</v>
      </c>
      <c r="B291" s="26" t="s">
        <v>3348</v>
      </c>
      <c r="C291" s="44" t="s">
        <v>2154</v>
      </c>
      <c r="D291" s="44" t="s">
        <v>2098</v>
      </c>
      <c r="E291" s="44"/>
      <c r="F291" s="44"/>
      <c r="G291" s="44"/>
      <c r="H291" s="44"/>
      <c r="I291" s="44"/>
      <c r="J291" s="44"/>
      <c r="K291" s="44"/>
      <c r="L291" s="44"/>
      <c r="M291" s="44"/>
      <c r="N291" s="44"/>
      <c r="O291" s="44"/>
      <c r="P291" s="61">
        <v>44581</v>
      </c>
      <c r="Q291" s="44"/>
    </row>
    <row r="292" spans="1:17" x14ac:dyDescent="0.3">
      <c r="A292" s="41" t="s">
        <v>278</v>
      </c>
      <c r="B292" s="41" t="s">
        <v>1104</v>
      </c>
      <c r="C292" s="41" t="s">
        <v>2154</v>
      </c>
      <c r="D292" s="41" t="s">
        <v>2154</v>
      </c>
      <c r="E292" s="41" t="s">
        <v>2154</v>
      </c>
      <c r="F292" s="41" t="s">
        <v>2154</v>
      </c>
      <c r="G292" s="41" t="s">
        <v>2155</v>
      </c>
      <c r="H292" s="41">
        <f>0.001*10^3</f>
        <v>1</v>
      </c>
      <c r="I292" s="41" t="s">
        <v>1720</v>
      </c>
      <c r="J292" s="41" t="s">
        <v>2220</v>
      </c>
      <c r="K292" s="41" t="s">
        <v>2165</v>
      </c>
      <c r="O292" s="41" t="s">
        <v>3481</v>
      </c>
      <c r="P292" s="61">
        <v>44581</v>
      </c>
      <c r="Q292" s="41" t="s">
        <v>3491</v>
      </c>
    </row>
    <row r="293" spans="1:17" ht="14.5" x14ac:dyDescent="0.35">
      <c r="A293" s="26" t="s">
        <v>3413</v>
      </c>
      <c r="B293" s="26" t="s">
        <v>3418</v>
      </c>
      <c r="C293" s="44" t="s">
        <v>2098</v>
      </c>
      <c r="D293" s="44" t="s">
        <v>2098</v>
      </c>
      <c r="E293" s="44"/>
      <c r="F293" s="44"/>
      <c r="G293" s="44"/>
      <c r="H293" s="44"/>
      <c r="I293" s="44"/>
      <c r="J293" s="44"/>
      <c r="K293" s="44"/>
      <c r="L293" s="44"/>
      <c r="M293" s="44"/>
      <c r="N293" s="44"/>
      <c r="O293" s="44"/>
      <c r="P293" s="61">
        <v>44581</v>
      </c>
      <c r="Q293" s="44"/>
    </row>
    <row r="294" spans="1:17" ht="14.5" x14ac:dyDescent="0.35">
      <c r="A294" s="26" t="s">
        <v>3407</v>
      </c>
      <c r="B294" s="26" t="s">
        <v>3415</v>
      </c>
      <c r="C294" s="44" t="s">
        <v>2098</v>
      </c>
      <c r="D294" s="44" t="s">
        <v>2098</v>
      </c>
      <c r="E294" s="44"/>
      <c r="F294" s="44"/>
      <c r="G294" s="44"/>
      <c r="H294" s="44"/>
      <c r="I294" s="44"/>
      <c r="J294" s="44"/>
      <c r="K294" s="44"/>
      <c r="L294" s="44"/>
      <c r="M294" s="44"/>
      <c r="N294" s="44"/>
      <c r="O294" s="44"/>
      <c r="P294" s="61">
        <v>44581</v>
      </c>
      <c r="Q294" s="44"/>
    </row>
    <row r="295" spans="1:17" x14ac:dyDescent="0.3">
      <c r="A295" s="41" t="s">
        <v>561</v>
      </c>
      <c r="B295" s="41" t="s">
        <v>1385</v>
      </c>
      <c r="C295" s="41" t="s">
        <v>2098</v>
      </c>
      <c r="E295" s="41" t="s">
        <v>2154</v>
      </c>
      <c r="F295" s="41" t="s">
        <v>2098</v>
      </c>
      <c r="P295" s="61">
        <v>44581</v>
      </c>
    </row>
    <row r="296" spans="1:17" x14ac:dyDescent="0.3">
      <c r="A296" s="41" t="s">
        <v>423</v>
      </c>
      <c r="B296" s="41" t="s">
        <v>1247</v>
      </c>
      <c r="C296" s="41" t="s">
        <v>2154</v>
      </c>
      <c r="D296" s="41" t="s">
        <v>2154</v>
      </c>
      <c r="E296" s="41" t="s">
        <v>2154</v>
      </c>
      <c r="F296" s="41" t="s">
        <v>2154</v>
      </c>
      <c r="G296" s="41" t="s">
        <v>2155</v>
      </c>
      <c r="H296" s="41">
        <v>0.56999999999999995</v>
      </c>
      <c r="I296" s="41" t="s">
        <v>1720</v>
      </c>
      <c r="J296" s="41" t="s">
        <v>2221</v>
      </c>
      <c r="K296" s="41" t="s">
        <v>2165</v>
      </c>
      <c r="L296" s="41" t="s">
        <v>2222</v>
      </c>
      <c r="O296" s="41" t="s">
        <v>3480</v>
      </c>
      <c r="P296" s="61">
        <v>44581</v>
      </c>
    </row>
    <row r="297" spans="1:17" x14ac:dyDescent="0.3">
      <c r="A297" s="41" t="s">
        <v>423</v>
      </c>
      <c r="B297" s="41" t="s">
        <v>1247</v>
      </c>
      <c r="C297" s="41" t="s">
        <v>2154</v>
      </c>
      <c r="D297" s="41" t="s">
        <v>2154</v>
      </c>
      <c r="E297" s="41" t="s">
        <v>2154</v>
      </c>
      <c r="F297" s="41" t="s">
        <v>2154</v>
      </c>
      <c r="G297" s="41" t="s">
        <v>2158</v>
      </c>
      <c r="H297" s="41">
        <v>0.14000000000000001</v>
      </c>
      <c r="I297" s="41" t="s">
        <v>1720</v>
      </c>
      <c r="J297" s="41" t="s">
        <v>2221</v>
      </c>
      <c r="O297" s="41" t="s">
        <v>3480</v>
      </c>
      <c r="P297" s="61">
        <v>44581</v>
      </c>
    </row>
    <row r="298" spans="1:17" x14ac:dyDescent="0.3">
      <c r="A298" s="41" t="s">
        <v>195</v>
      </c>
      <c r="B298" s="41" t="s">
        <v>1023</v>
      </c>
      <c r="C298" s="41" t="s">
        <v>2154</v>
      </c>
      <c r="D298" s="41" t="s">
        <v>2154</v>
      </c>
      <c r="E298" s="41" t="s">
        <v>2154</v>
      </c>
      <c r="F298" s="41" t="s">
        <v>2154</v>
      </c>
      <c r="G298" s="41" t="s">
        <v>2155</v>
      </c>
      <c r="H298" s="41">
        <f>0.019*10^3</f>
        <v>19</v>
      </c>
      <c r="I298" s="41" t="s">
        <v>1720</v>
      </c>
      <c r="J298" s="41" t="s">
        <v>2223</v>
      </c>
      <c r="K298" s="41" t="s">
        <v>2165</v>
      </c>
      <c r="L298" s="41" t="s">
        <v>2224</v>
      </c>
      <c r="O298" s="41" t="s">
        <v>3480</v>
      </c>
      <c r="P298" s="61">
        <v>44581</v>
      </c>
    </row>
    <row r="299" spans="1:17" x14ac:dyDescent="0.3">
      <c r="A299" s="41" t="s">
        <v>195</v>
      </c>
      <c r="B299" s="41" t="s">
        <v>1023</v>
      </c>
      <c r="C299" s="41" t="s">
        <v>2154</v>
      </c>
      <c r="D299" s="41" t="s">
        <v>2154</v>
      </c>
      <c r="E299" s="41" t="s">
        <v>2154</v>
      </c>
      <c r="F299" s="41" t="s">
        <v>2154</v>
      </c>
      <c r="G299" s="41" t="s">
        <v>2158</v>
      </c>
      <c r="H299" s="41">
        <f>0.043*10^3</f>
        <v>43</v>
      </c>
      <c r="I299" s="41" t="s">
        <v>1720</v>
      </c>
      <c r="J299" s="41" t="s">
        <v>2223</v>
      </c>
      <c r="O299" s="41" t="s">
        <v>3480</v>
      </c>
      <c r="P299" s="61">
        <v>44581</v>
      </c>
    </row>
    <row r="300" spans="1:17" x14ac:dyDescent="0.3">
      <c r="A300" s="41" t="s">
        <v>359</v>
      </c>
      <c r="B300" s="41" t="s">
        <v>1183</v>
      </c>
      <c r="C300" s="41" t="s">
        <v>2098</v>
      </c>
      <c r="E300" s="41" t="s">
        <v>2098</v>
      </c>
      <c r="P300" s="62">
        <v>44581</v>
      </c>
    </row>
    <row r="301" spans="1:17" ht="14.5" x14ac:dyDescent="0.35">
      <c r="A301" s="26" t="s">
        <v>3330</v>
      </c>
      <c r="B301" s="26" t="s">
        <v>3331</v>
      </c>
      <c r="C301" s="44" t="s">
        <v>2154</v>
      </c>
      <c r="D301" s="44" t="s">
        <v>2154</v>
      </c>
      <c r="E301" s="44" t="s">
        <v>2098</v>
      </c>
      <c r="F301" s="44" t="s">
        <v>2098</v>
      </c>
      <c r="G301" s="44" t="s">
        <v>3431</v>
      </c>
      <c r="H301" s="44">
        <f>0.059*10^3</f>
        <v>59</v>
      </c>
      <c r="I301" s="44" t="s">
        <v>1720</v>
      </c>
      <c r="J301" s="44" t="s">
        <v>3433</v>
      </c>
      <c r="K301" s="44"/>
      <c r="L301" s="44"/>
      <c r="M301" s="44"/>
      <c r="N301" s="44"/>
      <c r="O301" s="44" t="s">
        <v>3480</v>
      </c>
      <c r="P301" s="62">
        <v>44581</v>
      </c>
      <c r="Q301" s="44"/>
    </row>
    <row r="302" spans="1:17" ht="14.5" x14ac:dyDescent="0.35">
      <c r="A302" s="26" t="s">
        <v>3330</v>
      </c>
      <c r="B302" s="26" t="s">
        <v>3331</v>
      </c>
      <c r="C302" s="44" t="s">
        <v>2154</v>
      </c>
      <c r="D302" s="44" t="s">
        <v>2154</v>
      </c>
      <c r="E302" s="44" t="s">
        <v>2098</v>
      </c>
      <c r="F302" s="44" t="s">
        <v>2098</v>
      </c>
      <c r="G302" s="44" t="s">
        <v>2158</v>
      </c>
      <c r="H302" s="44">
        <f>0.587*10^3</f>
        <v>587</v>
      </c>
      <c r="I302" s="44" t="s">
        <v>1720</v>
      </c>
      <c r="J302" s="44" t="s">
        <v>3433</v>
      </c>
      <c r="K302" s="44"/>
      <c r="L302" s="44"/>
      <c r="M302" s="44"/>
      <c r="N302" s="44"/>
      <c r="O302" s="44" t="s">
        <v>3480</v>
      </c>
      <c r="P302" s="62">
        <v>44581</v>
      </c>
      <c r="Q302" s="44"/>
    </row>
    <row r="303" spans="1:17" x14ac:dyDescent="0.3">
      <c r="A303" s="41" t="s">
        <v>571</v>
      </c>
      <c r="B303" s="41" t="s">
        <v>1395</v>
      </c>
      <c r="C303" s="41" t="s">
        <v>2154</v>
      </c>
      <c r="D303" s="41" t="s">
        <v>2154</v>
      </c>
      <c r="E303" s="41" t="s">
        <v>2154</v>
      </c>
      <c r="F303" s="41" t="s">
        <v>2154</v>
      </c>
      <c r="G303" s="41" t="s">
        <v>2155</v>
      </c>
      <c r="H303" s="41">
        <v>11.1</v>
      </c>
      <c r="I303" s="41" t="s">
        <v>1720</v>
      </c>
      <c r="J303" s="41" t="s">
        <v>2225</v>
      </c>
      <c r="K303" s="41" t="s">
        <v>2163</v>
      </c>
      <c r="L303" s="41" t="s">
        <v>2226</v>
      </c>
      <c r="O303" s="41" t="s">
        <v>3481</v>
      </c>
      <c r="P303" s="62">
        <v>44581</v>
      </c>
      <c r="Q303" s="41" t="s">
        <v>3488</v>
      </c>
    </row>
    <row r="304" spans="1:17" x14ac:dyDescent="0.3">
      <c r="A304" s="41" t="s">
        <v>571</v>
      </c>
      <c r="B304" s="41" t="s">
        <v>1395</v>
      </c>
      <c r="C304" s="41" t="s">
        <v>2154</v>
      </c>
      <c r="D304" s="41" t="s">
        <v>2154</v>
      </c>
      <c r="E304" s="41" t="s">
        <v>2154</v>
      </c>
      <c r="F304" s="41" t="s">
        <v>2154</v>
      </c>
      <c r="G304" s="41" t="s">
        <v>2158</v>
      </c>
      <c r="H304" s="41">
        <v>111</v>
      </c>
      <c r="I304" s="41" t="s">
        <v>1720</v>
      </c>
      <c r="J304" s="41" t="s">
        <v>2225</v>
      </c>
      <c r="O304" s="41" t="s">
        <v>3481</v>
      </c>
      <c r="P304" s="62">
        <v>44581</v>
      </c>
      <c r="Q304" s="41" t="s">
        <v>3488</v>
      </c>
    </row>
    <row r="305" spans="1:17" ht="14.5" x14ac:dyDescent="0.35">
      <c r="A305" s="26" t="s">
        <v>3334</v>
      </c>
      <c r="B305" s="26" t="s">
        <v>867</v>
      </c>
      <c r="C305" s="44"/>
      <c r="D305" s="44"/>
      <c r="E305" s="44"/>
      <c r="F305" s="44"/>
      <c r="G305" s="44"/>
      <c r="H305" s="44"/>
      <c r="I305" s="44"/>
      <c r="J305" s="44"/>
      <c r="K305" s="44"/>
      <c r="L305" s="44"/>
      <c r="M305" s="44"/>
      <c r="N305" s="44"/>
      <c r="O305" s="44"/>
      <c r="P305" s="61">
        <v>44581</v>
      </c>
      <c r="Q305" s="44"/>
    </row>
    <row r="306" spans="1:17" x14ac:dyDescent="0.3">
      <c r="A306" s="41" t="s">
        <v>284</v>
      </c>
      <c r="B306" s="41" t="s">
        <v>2251</v>
      </c>
      <c r="C306" s="41" t="s">
        <v>2098</v>
      </c>
      <c r="E306" s="41" t="s">
        <v>2154</v>
      </c>
      <c r="F306" s="41" t="s">
        <v>2098</v>
      </c>
      <c r="P306" s="61">
        <v>44581</v>
      </c>
    </row>
    <row r="307" spans="1:17" x14ac:dyDescent="0.3">
      <c r="A307" s="41" t="s">
        <v>527</v>
      </c>
      <c r="B307" s="41" t="s">
        <v>1351</v>
      </c>
      <c r="C307" s="41" t="s">
        <v>2098</v>
      </c>
      <c r="E307" s="41" t="s">
        <v>2098</v>
      </c>
      <c r="P307" s="61">
        <v>44581</v>
      </c>
    </row>
    <row r="308" spans="1:17" x14ac:dyDescent="0.3">
      <c r="A308" s="41" t="s">
        <v>84</v>
      </c>
      <c r="B308" s="41" t="s">
        <v>913</v>
      </c>
      <c r="C308" s="41" t="s">
        <v>2154</v>
      </c>
      <c r="D308" s="41" t="s">
        <v>2154</v>
      </c>
      <c r="E308" s="41" t="s">
        <v>2154</v>
      </c>
      <c r="F308" s="41" t="s">
        <v>2154</v>
      </c>
      <c r="G308" s="41" t="s">
        <v>2155</v>
      </c>
      <c r="H308" s="41">
        <f>5*10^3</f>
        <v>5000</v>
      </c>
      <c r="I308" s="41" t="s">
        <v>1720</v>
      </c>
      <c r="J308" s="41" t="s">
        <v>2227</v>
      </c>
      <c r="K308" s="41" t="s">
        <v>2228</v>
      </c>
      <c r="L308" s="41" t="s">
        <v>2229</v>
      </c>
      <c r="O308" s="41" t="s">
        <v>3480</v>
      </c>
      <c r="P308" s="62">
        <v>44581</v>
      </c>
    </row>
    <row r="309" spans="1:17" x14ac:dyDescent="0.3">
      <c r="A309" s="41" t="s">
        <v>84</v>
      </c>
      <c r="B309" s="41" t="s">
        <v>913</v>
      </c>
      <c r="C309" s="41" t="s">
        <v>2154</v>
      </c>
      <c r="D309" s="41" t="s">
        <v>2154</v>
      </c>
      <c r="E309" s="41" t="s">
        <v>2154</v>
      </c>
      <c r="F309" s="41" t="s">
        <v>2154</v>
      </c>
      <c r="G309" s="41" t="s">
        <v>2158</v>
      </c>
      <c r="H309" s="41">
        <f>50*10^3</f>
        <v>50000</v>
      </c>
      <c r="I309" s="41" t="s">
        <v>1720</v>
      </c>
      <c r="J309" s="41" t="s">
        <v>2227</v>
      </c>
      <c r="O309" s="41" t="s">
        <v>3480</v>
      </c>
      <c r="P309" s="62">
        <v>44581</v>
      </c>
    </row>
    <row r="310" spans="1:17" x14ac:dyDescent="0.3">
      <c r="A310" s="41" t="s">
        <v>146</v>
      </c>
      <c r="B310" s="41" t="s">
        <v>975</v>
      </c>
      <c r="C310" s="41" t="s">
        <v>2154</v>
      </c>
      <c r="D310" s="41" t="s">
        <v>2154</v>
      </c>
      <c r="E310" s="41" t="s">
        <v>2154</v>
      </c>
      <c r="F310" s="41" t="s">
        <v>2154</v>
      </c>
      <c r="G310" s="41" t="s">
        <v>2155</v>
      </c>
      <c r="H310" s="41">
        <f>0.2*10^3</f>
        <v>200</v>
      </c>
      <c r="I310" s="41" t="s">
        <v>1720</v>
      </c>
      <c r="J310" s="41" t="s">
        <v>2230</v>
      </c>
      <c r="K310" s="41" t="s">
        <v>2166</v>
      </c>
      <c r="L310" s="41" t="s">
        <v>2231</v>
      </c>
      <c r="O310" s="41" t="s">
        <v>3480</v>
      </c>
      <c r="P310" s="62">
        <v>44581</v>
      </c>
    </row>
    <row r="311" spans="1:17" x14ac:dyDescent="0.3">
      <c r="A311" s="41" t="s">
        <v>146</v>
      </c>
      <c r="B311" s="41" t="s">
        <v>975</v>
      </c>
      <c r="C311" s="41" t="s">
        <v>2154</v>
      </c>
      <c r="D311" s="41" t="s">
        <v>2154</v>
      </c>
      <c r="E311" s="41" t="s">
        <v>2154</v>
      </c>
      <c r="F311" s="41" t="s">
        <v>2154</v>
      </c>
      <c r="G311" s="41" t="s">
        <v>2158</v>
      </c>
      <c r="H311" s="41">
        <f>1*10^3</f>
        <v>1000</v>
      </c>
      <c r="I311" s="41" t="s">
        <v>1720</v>
      </c>
      <c r="J311" s="41" t="s">
        <v>2230</v>
      </c>
      <c r="O311" s="41" t="s">
        <v>3480</v>
      </c>
      <c r="P311" s="62">
        <v>44581</v>
      </c>
    </row>
    <row r="312" spans="1:17" ht="14.5" x14ac:dyDescent="0.35">
      <c r="A312" s="26" t="s">
        <v>3349</v>
      </c>
      <c r="B312" s="26" t="s">
        <v>3350</v>
      </c>
      <c r="C312" s="44"/>
      <c r="D312" s="44"/>
      <c r="E312" s="44"/>
      <c r="F312" s="44"/>
      <c r="G312" s="44"/>
      <c r="H312" s="44"/>
      <c r="I312" s="44"/>
      <c r="J312" s="44"/>
      <c r="K312" s="44"/>
      <c r="L312" s="44"/>
      <c r="M312" s="44"/>
      <c r="N312" s="44"/>
      <c r="O312" s="44"/>
      <c r="P312" s="62">
        <v>44581</v>
      </c>
      <c r="Q312" s="44"/>
    </row>
    <row r="313" spans="1:17" ht="14.5" x14ac:dyDescent="0.35">
      <c r="A313" s="26" t="s">
        <v>3394</v>
      </c>
      <c r="B313" s="26" t="s">
        <v>3395</v>
      </c>
      <c r="C313" s="44" t="s">
        <v>2098</v>
      </c>
      <c r="D313" s="44" t="s">
        <v>2098</v>
      </c>
      <c r="E313" s="44"/>
      <c r="F313" s="44"/>
      <c r="G313" s="44"/>
      <c r="H313" s="44"/>
      <c r="I313" s="44"/>
      <c r="J313" s="44"/>
      <c r="K313" s="44"/>
      <c r="L313" s="44"/>
      <c r="M313" s="44"/>
      <c r="N313" s="44"/>
      <c r="O313" s="44"/>
      <c r="P313" s="62">
        <v>44581</v>
      </c>
      <c r="Q313" s="44"/>
    </row>
    <row r="314" spans="1:17" x14ac:dyDescent="0.3">
      <c r="A314" s="41" t="s">
        <v>91</v>
      </c>
      <c r="B314" s="41" t="s">
        <v>920</v>
      </c>
      <c r="C314" s="41" t="s">
        <v>2154</v>
      </c>
      <c r="D314" s="41" t="s">
        <v>2098</v>
      </c>
      <c r="E314" s="41" t="s">
        <v>2154</v>
      </c>
      <c r="F314" s="41" t="s">
        <v>2098</v>
      </c>
      <c r="P314" s="62">
        <v>44581</v>
      </c>
    </row>
    <row r="315" spans="1:17" x14ac:dyDescent="0.3">
      <c r="A315" s="41" t="s">
        <v>167</v>
      </c>
      <c r="B315" s="41" t="s">
        <v>996</v>
      </c>
      <c r="C315" s="41" t="s">
        <v>2098</v>
      </c>
      <c r="E315" s="41" t="s">
        <v>2098</v>
      </c>
      <c r="P315" s="62">
        <v>44581</v>
      </c>
    </row>
    <row r="316" spans="1:17" x14ac:dyDescent="0.3">
      <c r="A316" s="41" t="s">
        <v>158</v>
      </c>
      <c r="B316" s="41" t="s">
        <v>987</v>
      </c>
      <c r="C316" s="41" t="s">
        <v>2098</v>
      </c>
      <c r="E316" s="41" t="s">
        <v>2098</v>
      </c>
      <c r="P316" s="62">
        <v>44581</v>
      </c>
    </row>
    <row r="317" spans="1:17" x14ac:dyDescent="0.3">
      <c r="A317" s="41" t="s">
        <v>164</v>
      </c>
      <c r="B317" s="41" t="s">
        <v>993</v>
      </c>
      <c r="C317" s="41" t="s">
        <v>2098</v>
      </c>
      <c r="E317" s="41" t="s">
        <v>2098</v>
      </c>
      <c r="P317" s="62">
        <v>44581</v>
      </c>
    </row>
    <row r="318" spans="1:17" x14ac:dyDescent="0.3">
      <c r="A318" s="41" t="s">
        <v>297</v>
      </c>
      <c r="B318" s="41" t="s">
        <v>1122</v>
      </c>
      <c r="C318" s="41" t="s">
        <v>2098</v>
      </c>
      <c r="E318" s="41" t="s">
        <v>2098</v>
      </c>
      <c r="P318" s="62">
        <v>44581</v>
      </c>
    </row>
    <row r="319" spans="1:17" x14ac:dyDescent="0.3">
      <c r="A319" s="41" t="s">
        <v>465</v>
      </c>
      <c r="B319" s="41" t="s">
        <v>1289</v>
      </c>
      <c r="C319" s="41" t="s">
        <v>2098</v>
      </c>
      <c r="E319" s="41" t="s">
        <v>2154</v>
      </c>
      <c r="F319" s="41" t="s">
        <v>2098</v>
      </c>
      <c r="P319" s="62">
        <v>44581</v>
      </c>
    </row>
    <row r="320" spans="1:17" ht="14.5" x14ac:dyDescent="0.35">
      <c r="A320" s="26" t="s">
        <v>3396</v>
      </c>
      <c r="B320" s="26" t="s">
        <v>3397</v>
      </c>
      <c r="C320" s="44" t="s">
        <v>2098</v>
      </c>
      <c r="D320" s="44" t="s">
        <v>2098</v>
      </c>
      <c r="E320" s="44"/>
      <c r="F320" s="44"/>
      <c r="G320" s="44"/>
      <c r="H320" s="44"/>
      <c r="I320" s="44"/>
      <c r="J320" s="44"/>
      <c r="K320" s="44"/>
      <c r="L320" s="44"/>
      <c r="M320" s="44"/>
      <c r="N320" s="44"/>
      <c r="O320" s="44"/>
      <c r="P320" s="62">
        <v>44581</v>
      </c>
      <c r="Q320" s="44"/>
    </row>
    <row r="321" spans="1:17" x14ac:dyDescent="0.3">
      <c r="A321" s="41" t="s">
        <v>770</v>
      </c>
      <c r="B321" s="41" t="s">
        <v>1594</v>
      </c>
      <c r="C321" s="41" t="s">
        <v>2098</v>
      </c>
      <c r="E321" s="41" t="s">
        <v>2154</v>
      </c>
      <c r="F321" s="41" t="s">
        <v>2098</v>
      </c>
      <c r="P321" s="62">
        <v>44581</v>
      </c>
    </row>
    <row r="322" spans="1:17" ht="14.5" x14ac:dyDescent="0.35">
      <c r="A322" s="26" t="s">
        <v>3351</v>
      </c>
      <c r="B322" s="26" t="s">
        <v>3352</v>
      </c>
      <c r="C322" s="44"/>
      <c r="D322" s="44"/>
      <c r="E322" s="44"/>
      <c r="F322" s="44"/>
      <c r="G322" s="44"/>
      <c r="H322" s="44"/>
      <c r="I322" s="44"/>
      <c r="J322" s="44"/>
      <c r="K322" s="44"/>
      <c r="L322" s="44"/>
      <c r="M322" s="44"/>
      <c r="N322" s="44"/>
      <c r="O322" s="44"/>
      <c r="P322" s="62">
        <v>44581</v>
      </c>
      <c r="Q322" s="44"/>
    </row>
    <row r="323" spans="1:17" ht="14.5" x14ac:dyDescent="0.35">
      <c r="A323" s="26" t="s">
        <v>3398</v>
      </c>
      <c r="B323" s="26" t="s">
        <v>3352</v>
      </c>
      <c r="C323" s="44" t="s">
        <v>2098</v>
      </c>
      <c r="D323" s="44" t="s">
        <v>2098</v>
      </c>
      <c r="E323" s="44"/>
      <c r="F323" s="44"/>
      <c r="G323" s="44"/>
      <c r="H323" s="44"/>
      <c r="I323" s="44"/>
      <c r="J323" s="44"/>
      <c r="K323" s="44"/>
      <c r="L323" s="44"/>
      <c r="M323" s="44"/>
      <c r="N323" s="44"/>
      <c r="O323" s="44"/>
      <c r="P323" s="62">
        <v>44581</v>
      </c>
      <c r="Q323" s="44"/>
    </row>
    <row r="324" spans="1:17" ht="14.5" x14ac:dyDescent="0.35">
      <c r="A324" s="26" t="s">
        <v>3379</v>
      </c>
      <c r="B324" s="26" t="s">
        <v>3380</v>
      </c>
      <c r="C324" s="44" t="s">
        <v>2098</v>
      </c>
      <c r="D324" s="44" t="s">
        <v>2098</v>
      </c>
      <c r="E324" s="44"/>
      <c r="F324" s="44"/>
      <c r="G324" s="44"/>
      <c r="H324" s="44"/>
      <c r="I324" s="44"/>
      <c r="J324" s="44"/>
      <c r="K324" s="44"/>
      <c r="L324" s="44"/>
      <c r="M324" s="44"/>
      <c r="N324" s="44"/>
      <c r="O324" s="44"/>
      <c r="P324" s="62">
        <v>44581</v>
      </c>
      <c r="Q324" s="44"/>
    </row>
    <row r="325" spans="1:17" s="44" customFormat="1" ht="14.5" x14ac:dyDescent="0.35">
      <c r="A325" s="26" t="s">
        <v>3401</v>
      </c>
      <c r="B325" s="26" t="s">
        <v>3402</v>
      </c>
      <c r="C325" s="44" t="s">
        <v>2098</v>
      </c>
      <c r="D325" s="44" t="s">
        <v>2098</v>
      </c>
      <c r="P325" s="62">
        <v>44581</v>
      </c>
    </row>
    <row r="326" spans="1:17" s="44" customFormat="1" ht="14.5" x14ac:dyDescent="0.35">
      <c r="A326" s="26" t="s">
        <v>3353</v>
      </c>
      <c r="B326" s="26" t="s">
        <v>3354</v>
      </c>
      <c r="P326" s="62">
        <v>44581</v>
      </c>
    </row>
    <row r="327" spans="1:17" s="44" customFormat="1" ht="14.5" x14ac:dyDescent="0.35">
      <c r="A327" s="26" t="s">
        <v>3355</v>
      </c>
      <c r="B327" s="26" t="s">
        <v>3356</v>
      </c>
      <c r="P327" s="62">
        <v>44581</v>
      </c>
    </row>
    <row r="328" spans="1:17" s="44" customFormat="1" x14ac:dyDescent="0.3">
      <c r="A328" s="41" t="s">
        <v>239</v>
      </c>
      <c r="B328" s="41" t="s">
        <v>1065</v>
      </c>
      <c r="C328" s="41" t="s">
        <v>2098</v>
      </c>
      <c r="D328" s="41"/>
      <c r="E328" s="41" t="s">
        <v>2098</v>
      </c>
      <c r="F328" s="41"/>
      <c r="G328" s="41"/>
      <c r="H328" s="41"/>
      <c r="I328" s="41"/>
      <c r="J328" s="41"/>
      <c r="K328" s="41"/>
      <c r="L328" s="41"/>
      <c r="M328" s="41"/>
      <c r="N328" s="41"/>
      <c r="O328" s="41"/>
      <c r="P328" s="62">
        <v>44581</v>
      </c>
      <c r="Q328" s="41"/>
    </row>
    <row r="329" spans="1:17" s="44" customFormat="1" x14ac:dyDescent="0.3">
      <c r="A329" s="41" t="s">
        <v>240</v>
      </c>
      <c r="B329" s="41" t="s">
        <v>1066</v>
      </c>
      <c r="C329" s="41" t="s">
        <v>2098</v>
      </c>
      <c r="D329" s="41"/>
      <c r="E329" s="41" t="s">
        <v>2098</v>
      </c>
      <c r="F329" s="41"/>
      <c r="G329" s="41"/>
      <c r="H329" s="41"/>
      <c r="I329" s="41"/>
      <c r="J329" s="41"/>
      <c r="K329" s="41"/>
      <c r="L329" s="41"/>
      <c r="M329" s="41"/>
      <c r="N329" s="41"/>
      <c r="O329" s="41"/>
      <c r="P329" s="62">
        <v>44581</v>
      </c>
      <c r="Q329" s="41"/>
    </row>
    <row r="330" spans="1:17" s="44" customFormat="1" x14ac:dyDescent="0.3">
      <c r="A330" s="41" t="s">
        <v>674</v>
      </c>
      <c r="B330" s="41" t="s">
        <v>1498</v>
      </c>
      <c r="C330" s="41" t="s">
        <v>2154</v>
      </c>
      <c r="D330" s="41" t="s">
        <v>2098</v>
      </c>
      <c r="E330" s="41" t="s">
        <v>2154</v>
      </c>
      <c r="F330" s="41" t="s">
        <v>2098</v>
      </c>
      <c r="G330" s="41"/>
      <c r="H330" s="41"/>
      <c r="I330" s="41"/>
      <c r="J330" s="41"/>
      <c r="K330" s="41"/>
      <c r="L330" s="41"/>
      <c r="M330" s="41"/>
      <c r="N330" s="41"/>
      <c r="O330" s="41"/>
      <c r="P330" s="62">
        <v>44581</v>
      </c>
      <c r="Q330" s="41"/>
    </row>
    <row r="331" spans="1:17" s="44" customFormat="1" x14ac:dyDescent="0.3">
      <c r="A331" s="41" t="s">
        <v>578</v>
      </c>
      <c r="B331" s="41" t="s">
        <v>1402</v>
      </c>
      <c r="C331" s="41" t="s">
        <v>2154</v>
      </c>
      <c r="D331" s="41" t="s">
        <v>2154</v>
      </c>
      <c r="E331" s="41" t="s">
        <v>2154</v>
      </c>
      <c r="F331" s="41" t="s">
        <v>2154</v>
      </c>
      <c r="G331" s="41" t="s">
        <v>2155</v>
      </c>
      <c r="H331" s="41">
        <f>0.051*10^3</f>
        <v>51</v>
      </c>
      <c r="I331" s="41" t="s">
        <v>1720</v>
      </c>
      <c r="J331" s="41" t="s">
        <v>2240</v>
      </c>
      <c r="K331" s="41" t="s">
        <v>2165</v>
      </c>
      <c r="L331" s="41" t="s">
        <v>2241</v>
      </c>
      <c r="M331" s="41"/>
      <c r="N331" s="41"/>
      <c r="O331" s="41" t="s">
        <v>3480</v>
      </c>
      <c r="P331" s="62">
        <v>44581</v>
      </c>
      <c r="Q331" s="41"/>
    </row>
    <row r="332" spans="1:17" s="44" customFormat="1" x14ac:dyDescent="0.3">
      <c r="A332" s="41" t="s">
        <v>578</v>
      </c>
      <c r="B332" s="41" t="s">
        <v>1402</v>
      </c>
      <c r="C332" s="41" t="s">
        <v>2154</v>
      </c>
      <c r="D332" s="41" t="s">
        <v>2154</v>
      </c>
      <c r="E332" s="41" t="s">
        <v>2154</v>
      </c>
      <c r="F332" s="41" t="s">
        <v>2154</v>
      </c>
      <c r="G332" s="41" t="s">
        <v>2158</v>
      </c>
      <c r="H332" s="41">
        <f>0.036*10^3</f>
        <v>36</v>
      </c>
      <c r="I332" s="41" t="s">
        <v>1720</v>
      </c>
      <c r="J332" s="41" t="s">
        <v>2240</v>
      </c>
      <c r="K332" s="41"/>
      <c r="L332" s="41"/>
      <c r="M332" s="41"/>
      <c r="N332" s="41"/>
      <c r="O332" s="41" t="s">
        <v>3480</v>
      </c>
      <c r="P332" s="62">
        <v>44581</v>
      </c>
      <c r="Q332" s="41"/>
    </row>
    <row r="333" spans="1:17" s="44" customFormat="1" ht="14.5" x14ac:dyDescent="0.35">
      <c r="A333" s="26" t="s">
        <v>3411</v>
      </c>
      <c r="B333" s="26" t="s">
        <v>3439</v>
      </c>
      <c r="C333" s="44" t="s">
        <v>2154</v>
      </c>
      <c r="D333" s="44" t="s">
        <v>2098</v>
      </c>
      <c r="P333" s="62">
        <v>44581</v>
      </c>
    </row>
    <row r="334" spans="1:17" s="44" customFormat="1" x14ac:dyDescent="0.3">
      <c r="A334" s="41" t="s">
        <v>214</v>
      </c>
      <c r="B334" s="41" t="s">
        <v>1041</v>
      </c>
      <c r="C334" s="41" t="s">
        <v>2154</v>
      </c>
      <c r="D334" s="41" t="s">
        <v>2154</v>
      </c>
      <c r="E334" s="41" t="s">
        <v>2154</v>
      </c>
      <c r="F334" s="41" t="s">
        <v>2154</v>
      </c>
      <c r="G334" s="41" t="s">
        <v>2155</v>
      </c>
      <c r="H334" s="41">
        <f>0.1*10^3</f>
        <v>100</v>
      </c>
      <c r="I334" s="41" t="s">
        <v>1720</v>
      </c>
      <c r="J334" s="41" t="s">
        <v>2242</v>
      </c>
      <c r="K334" s="41" t="s">
        <v>2163</v>
      </c>
      <c r="L334" s="41" t="s">
        <v>2243</v>
      </c>
      <c r="M334" s="41"/>
      <c r="N334" s="41"/>
      <c r="O334" s="41" t="s">
        <v>3480</v>
      </c>
      <c r="P334" s="62">
        <v>44581</v>
      </c>
      <c r="Q334" s="41"/>
    </row>
    <row r="335" spans="1:17" s="44" customFormat="1" x14ac:dyDescent="0.3">
      <c r="A335" s="41" t="s">
        <v>214</v>
      </c>
      <c r="B335" s="41" t="s">
        <v>1041</v>
      </c>
      <c r="C335" s="41" t="s">
        <v>2154</v>
      </c>
      <c r="D335" s="41" t="s">
        <v>2154</v>
      </c>
      <c r="E335" s="41" t="s">
        <v>2154</v>
      </c>
      <c r="F335" s="41" t="s">
        <v>2154</v>
      </c>
      <c r="G335" s="41" t="s">
        <v>2158</v>
      </c>
      <c r="H335" s="41">
        <f>1*10^3</f>
        <v>1000</v>
      </c>
      <c r="I335" s="41" t="s">
        <v>1720</v>
      </c>
      <c r="J335" s="41" t="s">
        <v>2242</v>
      </c>
      <c r="K335" s="41"/>
      <c r="L335" s="41"/>
      <c r="M335" s="41"/>
      <c r="N335" s="41"/>
      <c r="O335" s="41" t="s">
        <v>3480</v>
      </c>
      <c r="P335" s="62">
        <v>44581</v>
      </c>
      <c r="Q335" s="41"/>
    </row>
    <row r="336" spans="1:17" s="44" customFormat="1" ht="14.5" x14ac:dyDescent="0.35">
      <c r="A336" s="26" t="s">
        <v>3369</v>
      </c>
      <c r="B336" s="26" t="s">
        <v>3370</v>
      </c>
      <c r="C336" s="44" t="s">
        <v>2098</v>
      </c>
      <c r="D336" s="44" t="s">
        <v>2098</v>
      </c>
      <c r="P336" s="62">
        <v>44581</v>
      </c>
    </row>
    <row r="337" spans="1:17" s="44" customFormat="1" ht="14.5" x14ac:dyDescent="0.35">
      <c r="A337" s="26" t="s">
        <v>3363</v>
      </c>
      <c r="B337" s="26" t="s">
        <v>3364</v>
      </c>
      <c r="C337" s="44" t="s">
        <v>2154</v>
      </c>
      <c r="D337" s="44" t="s">
        <v>2154</v>
      </c>
      <c r="E337" s="44" t="s">
        <v>2098</v>
      </c>
      <c r="F337" s="44" t="s">
        <v>2098</v>
      </c>
      <c r="G337" s="44" t="s">
        <v>3431</v>
      </c>
      <c r="H337" s="44">
        <v>0.3</v>
      </c>
      <c r="I337" s="44" t="s">
        <v>1720</v>
      </c>
      <c r="J337" s="44" t="s">
        <v>3434</v>
      </c>
      <c r="O337" s="44" t="s">
        <v>3480</v>
      </c>
      <c r="P337" s="62">
        <v>44581</v>
      </c>
    </row>
    <row r="338" spans="1:17" s="44" customFormat="1" ht="14.5" x14ac:dyDescent="0.35">
      <c r="A338" s="26" t="s">
        <v>3363</v>
      </c>
      <c r="B338" s="26" t="s">
        <v>3364</v>
      </c>
      <c r="C338" s="44" t="s">
        <v>2154</v>
      </c>
      <c r="D338" s="44" t="s">
        <v>2154</v>
      </c>
      <c r="E338" s="44" t="s">
        <v>2098</v>
      </c>
      <c r="F338" s="44" t="s">
        <v>2098</v>
      </c>
      <c r="G338" s="44" t="s">
        <v>2158</v>
      </c>
      <c r="H338" s="44">
        <v>0.3</v>
      </c>
      <c r="I338" s="44" t="s">
        <v>1720</v>
      </c>
      <c r="J338" s="44" t="s">
        <v>3434</v>
      </c>
      <c r="O338" s="44" t="s">
        <v>3480</v>
      </c>
      <c r="P338" s="62">
        <v>44581</v>
      </c>
    </row>
    <row r="339" spans="1:17" s="44" customFormat="1" x14ac:dyDescent="0.3">
      <c r="A339" s="41" t="s">
        <v>515</v>
      </c>
      <c r="B339" s="41" t="s">
        <v>1339</v>
      </c>
      <c r="C339" s="41" t="s">
        <v>2154</v>
      </c>
      <c r="D339" s="41" t="s">
        <v>2098</v>
      </c>
      <c r="E339" s="41" t="s">
        <v>2154</v>
      </c>
      <c r="F339" s="41" t="s">
        <v>2098</v>
      </c>
      <c r="G339" s="41"/>
      <c r="H339" s="41"/>
      <c r="I339" s="41"/>
      <c r="J339" s="41"/>
      <c r="K339" s="41"/>
      <c r="L339" s="41"/>
      <c r="M339" s="41"/>
      <c r="N339" s="41"/>
      <c r="O339" s="41"/>
      <c r="P339" s="62">
        <v>44581</v>
      </c>
      <c r="Q339" s="41"/>
    </row>
    <row r="340" spans="1:17" s="44" customFormat="1" x14ac:dyDescent="0.3">
      <c r="A340" s="41" t="s">
        <v>377</v>
      </c>
      <c r="B340" s="41" t="s">
        <v>1201</v>
      </c>
      <c r="C340" s="41" t="s">
        <v>2154</v>
      </c>
      <c r="D340" s="41" t="s">
        <v>2154</v>
      </c>
      <c r="E340" s="41" t="s">
        <v>2154</v>
      </c>
      <c r="F340" s="41" t="s">
        <v>2154</v>
      </c>
      <c r="G340" s="41" t="s">
        <v>2155</v>
      </c>
      <c r="H340" s="41">
        <f>0.008*10^3</f>
        <v>8</v>
      </c>
      <c r="I340" s="41" t="s">
        <v>1720</v>
      </c>
      <c r="J340" s="41" t="s">
        <v>2244</v>
      </c>
      <c r="K340" s="41" t="s">
        <v>2166</v>
      </c>
      <c r="L340" s="41" t="s">
        <v>2245</v>
      </c>
      <c r="M340" s="41"/>
      <c r="N340" s="41"/>
      <c r="O340" s="41" t="s">
        <v>3480</v>
      </c>
      <c r="P340" s="62">
        <v>44581</v>
      </c>
      <c r="Q340" s="41"/>
    </row>
    <row r="341" spans="1:17" s="44" customFormat="1" x14ac:dyDescent="0.3">
      <c r="A341" s="41" t="s">
        <v>377</v>
      </c>
      <c r="B341" s="41" t="s">
        <v>1201</v>
      </c>
      <c r="C341" s="41" t="s">
        <v>2154</v>
      </c>
      <c r="D341" s="41" t="s">
        <v>2154</v>
      </c>
      <c r="E341" s="41" t="s">
        <v>2154</v>
      </c>
      <c r="F341" s="41" t="s">
        <v>2154</v>
      </c>
      <c r="G341" s="41" t="s">
        <v>2158</v>
      </c>
      <c r="H341" s="41">
        <f>0.086*10^3</f>
        <v>86</v>
      </c>
      <c r="I341" s="41" t="s">
        <v>1720</v>
      </c>
      <c r="J341" s="41" t="s">
        <v>2244</v>
      </c>
      <c r="K341" s="41"/>
      <c r="L341" s="41"/>
      <c r="M341" s="41"/>
      <c r="N341" s="41"/>
      <c r="O341" s="41" t="s">
        <v>3480</v>
      </c>
      <c r="P341" s="62">
        <v>44581</v>
      </c>
      <c r="Q341" s="41"/>
    </row>
    <row r="342" spans="1:17" s="44" customFormat="1" x14ac:dyDescent="0.3">
      <c r="A342" s="41" t="s">
        <v>328</v>
      </c>
      <c r="B342" s="41" t="s">
        <v>1153</v>
      </c>
      <c r="C342" s="41" t="s">
        <v>2098</v>
      </c>
      <c r="D342" s="41"/>
      <c r="E342" s="41" t="s">
        <v>2098</v>
      </c>
      <c r="F342" s="41"/>
      <c r="G342" s="41"/>
      <c r="H342" s="41"/>
      <c r="I342" s="41"/>
      <c r="J342" s="41"/>
      <c r="K342" s="41"/>
      <c r="L342" s="41"/>
      <c r="M342" s="41"/>
      <c r="N342" s="41"/>
      <c r="O342" s="41"/>
      <c r="P342" s="62">
        <v>44581</v>
      </c>
      <c r="Q342" s="41"/>
    </row>
    <row r="343" spans="1:17" s="44" customFormat="1" x14ac:dyDescent="0.3">
      <c r="A343" s="41" t="s">
        <v>275</v>
      </c>
      <c r="B343" s="41" t="s">
        <v>1101</v>
      </c>
      <c r="C343" s="41" t="s">
        <v>2098</v>
      </c>
      <c r="D343" s="41"/>
      <c r="E343" s="41" t="s">
        <v>2154</v>
      </c>
      <c r="F343" s="41" t="s">
        <v>2098</v>
      </c>
      <c r="G343" s="41"/>
      <c r="H343" s="41"/>
      <c r="I343" s="41"/>
      <c r="J343" s="41"/>
      <c r="K343" s="41"/>
      <c r="L343" s="41"/>
      <c r="M343" s="41"/>
      <c r="N343" s="41"/>
      <c r="O343" s="41"/>
      <c r="P343" s="62">
        <v>44581</v>
      </c>
      <c r="Q343" s="41"/>
    </row>
    <row r="344" spans="1:17" s="44" customFormat="1" x14ac:dyDescent="0.3">
      <c r="A344" s="41" t="s">
        <v>316</v>
      </c>
      <c r="B344" s="41" t="s">
        <v>1141</v>
      </c>
      <c r="C344" s="41" t="s">
        <v>2098</v>
      </c>
      <c r="D344" s="41"/>
      <c r="E344" s="41" t="s">
        <v>2154</v>
      </c>
      <c r="F344" s="41" t="s">
        <v>2098</v>
      </c>
      <c r="G344" s="41"/>
      <c r="H344" s="41"/>
      <c r="I344" s="41"/>
      <c r="J344" s="41"/>
      <c r="K344" s="41"/>
      <c r="L344" s="41"/>
      <c r="M344" s="41"/>
      <c r="N344" s="41"/>
      <c r="O344" s="41"/>
      <c r="P344" s="62">
        <v>44581</v>
      </c>
      <c r="Q344" s="41"/>
    </row>
    <row r="345" spans="1:17" s="44" customFormat="1" x14ac:dyDescent="0.3">
      <c r="A345" s="41" t="s">
        <v>178</v>
      </c>
      <c r="B345" s="41" t="s">
        <v>1007</v>
      </c>
      <c r="C345" s="41" t="s">
        <v>2098</v>
      </c>
      <c r="D345" s="41"/>
      <c r="E345" s="41" t="s">
        <v>2098</v>
      </c>
      <c r="F345" s="41"/>
      <c r="G345" s="41"/>
      <c r="H345" s="41"/>
      <c r="I345" s="41"/>
      <c r="J345" s="41"/>
      <c r="K345" s="41"/>
      <c r="L345" s="41"/>
      <c r="M345" s="41"/>
      <c r="N345" s="41"/>
      <c r="O345" s="41"/>
      <c r="P345" s="62">
        <v>44581</v>
      </c>
      <c r="Q345" s="41"/>
    </row>
    <row r="346" spans="1:17" s="44" customFormat="1" x14ac:dyDescent="0.3">
      <c r="A346" s="41" t="s">
        <v>580</v>
      </c>
      <c r="B346" s="41" t="s">
        <v>1404</v>
      </c>
      <c r="C346" s="41" t="s">
        <v>2154</v>
      </c>
      <c r="D346" s="41" t="s">
        <v>2154</v>
      </c>
      <c r="E346" s="41" t="s">
        <v>2154</v>
      </c>
      <c r="F346" s="41" t="s">
        <v>2154</v>
      </c>
      <c r="G346" s="41" t="s">
        <v>2155</v>
      </c>
      <c r="H346" s="41">
        <f>0.082*10^3</f>
        <v>82</v>
      </c>
      <c r="I346" s="41" t="s">
        <v>1720</v>
      </c>
      <c r="J346" s="41" t="s">
        <v>2238</v>
      </c>
      <c r="K346" s="41" t="s">
        <v>2165</v>
      </c>
      <c r="L346" s="41" t="s">
        <v>2239</v>
      </c>
      <c r="M346" s="41"/>
      <c r="N346" s="41"/>
      <c r="O346" s="41" t="s">
        <v>3480</v>
      </c>
      <c r="P346" s="62">
        <v>44581</v>
      </c>
      <c r="Q346" s="41"/>
    </row>
    <row r="347" spans="1:17" s="44" customFormat="1" x14ac:dyDescent="0.3">
      <c r="A347" s="41" t="s">
        <v>651</v>
      </c>
      <c r="B347" s="41" t="s">
        <v>1475</v>
      </c>
      <c r="C347" s="41" t="s">
        <v>2154</v>
      </c>
      <c r="D347" s="41" t="s">
        <v>2154</v>
      </c>
      <c r="E347" s="41" t="s">
        <v>2154</v>
      </c>
      <c r="F347" s="41" t="s">
        <v>2154</v>
      </c>
      <c r="G347" s="41" t="s">
        <v>2155</v>
      </c>
      <c r="H347" s="41">
        <f>94/10^3</f>
        <v>9.4E-2</v>
      </c>
      <c r="I347" s="41" t="s">
        <v>1720</v>
      </c>
      <c r="J347" s="41" t="s">
        <v>2237</v>
      </c>
      <c r="K347" s="41" t="s">
        <v>2166</v>
      </c>
      <c r="L347" s="41" t="s">
        <v>2117</v>
      </c>
      <c r="M347" s="41"/>
      <c r="N347" s="41"/>
      <c r="O347" s="41" t="s">
        <v>3480</v>
      </c>
      <c r="P347" s="62">
        <v>44581</v>
      </c>
      <c r="Q347" s="41"/>
    </row>
    <row r="348" spans="1:17" s="44" customFormat="1" x14ac:dyDescent="0.3">
      <c r="A348" s="41" t="s">
        <v>651</v>
      </c>
      <c r="B348" s="41" t="s">
        <v>1475</v>
      </c>
      <c r="C348" s="41" t="s">
        <v>2154</v>
      </c>
      <c r="D348" s="41" t="s">
        <v>2154</v>
      </c>
      <c r="E348" s="41" t="s">
        <v>2154</v>
      </c>
      <c r="F348" s="41" t="s">
        <v>2154</v>
      </c>
      <c r="G348" s="41" t="s">
        <v>2158</v>
      </c>
      <c r="H348" s="41">
        <f>55/10^3</f>
        <v>5.5E-2</v>
      </c>
      <c r="I348" s="41" t="s">
        <v>1720</v>
      </c>
      <c r="J348" s="41" t="s">
        <v>2237</v>
      </c>
      <c r="K348" s="41"/>
      <c r="L348" s="41"/>
      <c r="M348" s="41"/>
      <c r="N348" s="41"/>
      <c r="O348" s="41" t="s">
        <v>3480</v>
      </c>
      <c r="P348" s="62">
        <v>44581</v>
      </c>
      <c r="Q348" s="41"/>
    </row>
    <row r="349" spans="1:17" s="44" customFormat="1" ht="14.5" x14ac:dyDescent="0.35">
      <c r="A349" s="41" t="s">
        <v>343</v>
      </c>
      <c r="B349" s="41" t="s">
        <v>1167</v>
      </c>
      <c r="C349" s="41" t="s">
        <v>2154</v>
      </c>
      <c r="D349" s="41" t="s">
        <v>2154</v>
      </c>
      <c r="E349" s="41" t="s">
        <v>2154</v>
      </c>
      <c r="F349" s="41" t="s">
        <v>2154</v>
      </c>
      <c r="G349" s="41" t="s">
        <v>2155</v>
      </c>
      <c r="H349" s="41">
        <f>0.843</f>
        <v>0.84299999999999997</v>
      </c>
      <c r="I349" s="41" t="s">
        <v>1720</v>
      </c>
      <c r="J349" s="13" t="s">
        <v>2235</v>
      </c>
      <c r="K349" s="41" t="s">
        <v>2236</v>
      </c>
      <c r="L349" s="41"/>
      <c r="M349" s="41"/>
      <c r="N349" s="41"/>
      <c r="O349" s="41" t="s">
        <v>3481</v>
      </c>
      <c r="P349" s="62">
        <v>44581</v>
      </c>
      <c r="Q349" s="41"/>
    </row>
    <row r="350" spans="1:17" s="44" customFormat="1" x14ac:dyDescent="0.3">
      <c r="A350" s="41" t="s">
        <v>99</v>
      </c>
      <c r="B350" s="41" t="s">
        <v>928</v>
      </c>
      <c r="C350" s="41" t="s">
        <v>2154</v>
      </c>
      <c r="D350" s="41" t="s">
        <v>2154</v>
      </c>
      <c r="E350" s="41" t="s">
        <v>2154</v>
      </c>
      <c r="F350" s="41" t="s">
        <v>2154</v>
      </c>
      <c r="G350" s="41" t="s">
        <v>2155</v>
      </c>
      <c r="H350" s="41">
        <v>632</v>
      </c>
      <c r="I350" s="41" t="s">
        <v>1720</v>
      </c>
      <c r="J350" s="41" t="s">
        <v>2562</v>
      </c>
      <c r="K350" s="41" t="s">
        <v>2138</v>
      </c>
      <c r="L350" s="41"/>
      <c r="M350" s="41" t="s">
        <v>2129</v>
      </c>
      <c r="N350" s="41" t="s">
        <v>2112</v>
      </c>
      <c r="O350" s="41" t="s">
        <v>3480</v>
      </c>
      <c r="P350" s="62">
        <v>44581</v>
      </c>
      <c r="Q350" s="41"/>
    </row>
    <row r="351" spans="1:17" s="44" customFormat="1" x14ac:dyDescent="0.3">
      <c r="A351" s="41" t="s">
        <v>99</v>
      </c>
      <c r="B351" s="41" t="s">
        <v>928</v>
      </c>
      <c r="C351" s="41" t="s">
        <v>2154</v>
      </c>
      <c r="D351" s="41" t="s">
        <v>2154</v>
      </c>
      <c r="E351" s="41" t="s">
        <v>2154</v>
      </c>
      <c r="F351" s="41" t="s">
        <v>2154</v>
      </c>
      <c r="G351" s="41" t="s">
        <v>2158</v>
      </c>
      <c r="H351" s="41">
        <f>9*10^3</f>
        <v>9000</v>
      </c>
      <c r="I351" s="41" t="s">
        <v>1720</v>
      </c>
      <c r="J351" s="41" t="s">
        <v>2562</v>
      </c>
      <c r="K351" s="41"/>
      <c r="L351" s="41"/>
      <c r="M351" s="41"/>
      <c r="N351" s="41"/>
      <c r="O351" s="41" t="s">
        <v>3480</v>
      </c>
      <c r="P351" s="62">
        <v>44581</v>
      </c>
      <c r="Q351" s="41"/>
    </row>
    <row r="352" spans="1:17" s="44" customFormat="1" x14ac:dyDescent="0.3">
      <c r="A352" s="41" t="s">
        <v>816</v>
      </c>
      <c r="B352" s="41" t="s">
        <v>1639</v>
      </c>
      <c r="C352" s="41" t="s">
        <v>2098</v>
      </c>
      <c r="D352" s="41"/>
      <c r="E352" s="41" t="s">
        <v>2098</v>
      </c>
      <c r="F352" s="41"/>
      <c r="G352" s="41"/>
      <c r="H352" s="41"/>
      <c r="I352" s="41"/>
      <c r="J352" s="41"/>
      <c r="K352" s="41"/>
      <c r="L352" s="41"/>
      <c r="M352" s="41"/>
      <c r="N352" s="41"/>
      <c r="O352" s="41"/>
      <c r="P352" s="62">
        <v>44581</v>
      </c>
      <c r="Q352" s="41"/>
    </row>
    <row r="353" spans="1:17" s="44" customFormat="1" x14ac:dyDescent="0.3">
      <c r="A353" s="41" t="s">
        <v>612</v>
      </c>
      <c r="B353" s="41" t="s">
        <v>1436</v>
      </c>
      <c r="C353" s="41" t="s">
        <v>2154</v>
      </c>
      <c r="D353" s="41" t="s">
        <v>2154</v>
      </c>
      <c r="E353" s="41" t="s">
        <v>2154</v>
      </c>
      <c r="F353" s="41" t="s">
        <v>2154</v>
      </c>
      <c r="G353" s="41" t="s">
        <v>2140</v>
      </c>
      <c r="H353" s="41">
        <v>4.1100000000000003</v>
      </c>
      <c r="I353" s="41" t="s">
        <v>1720</v>
      </c>
      <c r="J353" s="41" t="s">
        <v>2141</v>
      </c>
      <c r="K353" s="41" t="s">
        <v>2142</v>
      </c>
      <c r="L353" s="41"/>
      <c r="M353" s="41" t="s">
        <v>2122</v>
      </c>
      <c r="N353" s="41" t="s">
        <v>2115</v>
      </c>
      <c r="O353" s="41" t="s">
        <v>3480</v>
      </c>
      <c r="P353" s="62">
        <v>44581</v>
      </c>
      <c r="Q353" s="41"/>
    </row>
    <row r="354" spans="1:17" s="44" customFormat="1" x14ac:dyDescent="0.3">
      <c r="A354" s="41" t="s">
        <v>612</v>
      </c>
      <c r="B354" s="41" t="s">
        <v>1436</v>
      </c>
      <c r="C354" s="41" t="s">
        <v>2154</v>
      </c>
      <c r="D354" s="41" t="s">
        <v>2154</v>
      </c>
      <c r="E354" s="41" t="s">
        <v>2154</v>
      </c>
      <c r="F354" s="41" t="s">
        <v>2154</v>
      </c>
      <c r="G354" s="41" t="s">
        <v>2143</v>
      </c>
      <c r="H354" s="41">
        <v>18.309999999999999</v>
      </c>
      <c r="I354" s="41" t="s">
        <v>1720</v>
      </c>
      <c r="J354" s="41" t="s">
        <v>2141</v>
      </c>
      <c r="K354" s="41" t="s">
        <v>2144</v>
      </c>
      <c r="L354" s="41"/>
      <c r="M354" s="41" t="s">
        <v>2122</v>
      </c>
      <c r="N354" s="41" t="s">
        <v>2115</v>
      </c>
      <c r="O354" s="41" t="s">
        <v>3480</v>
      </c>
      <c r="P354" s="62">
        <v>44581</v>
      </c>
      <c r="Q354" s="41"/>
    </row>
    <row r="355" spans="1:17" s="44" customFormat="1" x14ac:dyDescent="0.3">
      <c r="A355" s="41" t="s">
        <v>612</v>
      </c>
      <c r="B355" s="41" t="s">
        <v>1436</v>
      </c>
      <c r="C355" s="41" t="s">
        <v>2154</v>
      </c>
      <c r="D355" s="41" t="s">
        <v>2154</v>
      </c>
      <c r="E355" s="41" t="s">
        <v>2154</v>
      </c>
      <c r="F355" s="41" t="s">
        <v>2154</v>
      </c>
      <c r="G355" s="41" t="s">
        <v>2155</v>
      </c>
      <c r="H355" s="41">
        <v>0.48</v>
      </c>
      <c r="I355" s="41" t="s">
        <v>1720</v>
      </c>
      <c r="J355" s="41" t="s">
        <v>2234</v>
      </c>
      <c r="K355" s="41" t="s">
        <v>2145</v>
      </c>
      <c r="L355" s="41" t="s">
        <v>2146</v>
      </c>
      <c r="M355" s="41" t="s">
        <v>2147</v>
      </c>
      <c r="N355" s="41" t="s">
        <v>2115</v>
      </c>
      <c r="O355" s="41" t="s">
        <v>3481</v>
      </c>
      <c r="P355" s="62">
        <v>44581</v>
      </c>
      <c r="Q355" s="41"/>
    </row>
    <row r="356" spans="1:17" s="44" customFormat="1" x14ac:dyDescent="0.3">
      <c r="A356" s="41" t="s">
        <v>612</v>
      </c>
      <c r="B356" s="41" t="s">
        <v>1436</v>
      </c>
      <c r="C356" s="41" t="s">
        <v>2154</v>
      </c>
      <c r="D356" s="41" t="s">
        <v>2154</v>
      </c>
      <c r="E356" s="41" t="s">
        <v>2154</v>
      </c>
      <c r="F356" s="41" t="s">
        <v>2154</v>
      </c>
      <c r="G356" s="41" t="s">
        <v>2158</v>
      </c>
      <c r="H356" s="41">
        <f>0.003*1000</f>
        <v>3</v>
      </c>
      <c r="I356" s="41" t="s">
        <v>1720</v>
      </c>
      <c r="J356" s="41" t="s">
        <v>2234</v>
      </c>
      <c r="K356" s="41"/>
      <c r="L356" s="41"/>
      <c r="M356" s="41"/>
      <c r="N356" s="41"/>
      <c r="O356" s="41" t="s">
        <v>3481</v>
      </c>
      <c r="P356" s="62">
        <v>44581</v>
      </c>
      <c r="Q356" s="41"/>
    </row>
    <row r="357" spans="1:17" s="44" customFormat="1" x14ac:dyDescent="0.3">
      <c r="A357" s="41" t="s">
        <v>550</v>
      </c>
      <c r="B357" s="41" t="s">
        <v>1374</v>
      </c>
      <c r="C357" s="41" t="s">
        <v>2154</v>
      </c>
      <c r="D357" s="41" t="s">
        <v>2154</v>
      </c>
      <c r="E357" s="41" t="s">
        <v>2154</v>
      </c>
      <c r="F357" s="41" t="s">
        <v>2154</v>
      </c>
      <c r="G357" s="41" t="s">
        <v>2140</v>
      </c>
      <c r="H357" s="41">
        <v>4.6000000000000001E-4</v>
      </c>
      <c r="I357" s="41" t="s">
        <v>1720</v>
      </c>
      <c r="J357" s="41" t="s">
        <v>2141</v>
      </c>
      <c r="K357" s="41" t="s">
        <v>2142</v>
      </c>
      <c r="L357" s="41"/>
      <c r="M357" s="41" t="s">
        <v>2122</v>
      </c>
      <c r="N357" s="41" t="s">
        <v>2112</v>
      </c>
      <c r="O357" s="41" t="s">
        <v>3480</v>
      </c>
      <c r="P357" s="62">
        <v>44581</v>
      </c>
      <c r="Q357" s="41"/>
    </row>
    <row r="358" spans="1:17" s="44" customFormat="1" x14ac:dyDescent="0.3">
      <c r="A358" s="41" t="s">
        <v>550</v>
      </c>
      <c r="B358" s="41" t="s">
        <v>1374</v>
      </c>
      <c r="C358" s="41" t="s">
        <v>2154</v>
      </c>
      <c r="D358" s="41" t="s">
        <v>2154</v>
      </c>
      <c r="E358" s="41" t="s">
        <v>2154</v>
      </c>
      <c r="F358" s="41" t="s">
        <v>2154</v>
      </c>
      <c r="G358" s="41" t="s">
        <v>2143</v>
      </c>
      <c r="H358" s="41">
        <v>263.33</v>
      </c>
      <c r="I358" s="41" t="s">
        <v>1720</v>
      </c>
      <c r="J358" s="41" t="s">
        <v>2141</v>
      </c>
      <c r="K358" s="41" t="s">
        <v>2144</v>
      </c>
      <c r="L358" s="41"/>
      <c r="M358" s="41" t="s">
        <v>2122</v>
      </c>
      <c r="N358" s="41" t="s">
        <v>2115</v>
      </c>
      <c r="O358" s="41" t="s">
        <v>3480</v>
      </c>
      <c r="P358" s="62">
        <v>44581</v>
      </c>
      <c r="Q358" s="41"/>
    </row>
    <row r="359" spans="1:17" s="44" customFormat="1" x14ac:dyDescent="0.3">
      <c r="A359" s="41" t="s">
        <v>550</v>
      </c>
      <c r="B359" s="41" t="s">
        <v>1374</v>
      </c>
      <c r="C359" s="41" t="s">
        <v>2154</v>
      </c>
      <c r="D359" s="41" t="s">
        <v>2154</v>
      </c>
      <c r="E359" s="41" t="s">
        <v>2154</v>
      </c>
      <c r="F359" s="41" t="s">
        <v>2154</v>
      </c>
      <c r="G359" s="41" t="s">
        <v>2158</v>
      </c>
      <c r="H359" s="41">
        <v>11</v>
      </c>
      <c r="I359" s="41" t="s">
        <v>1720</v>
      </c>
      <c r="J359" s="41" t="s">
        <v>2563</v>
      </c>
      <c r="K359" s="41"/>
      <c r="L359" s="41"/>
      <c r="M359" s="41"/>
      <c r="N359" s="41"/>
      <c r="O359" s="41" t="s">
        <v>3480</v>
      </c>
      <c r="P359" s="62">
        <v>44581</v>
      </c>
      <c r="Q359" s="41"/>
    </row>
    <row r="360" spans="1:17" s="44" customFormat="1" x14ac:dyDescent="0.3">
      <c r="A360" s="41" t="s">
        <v>550</v>
      </c>
      <c r="B360" s="41" t="s">
        <v>1374</v>
      </c>
      <c r="C360" s="41" t="s">
        <v>2154</v>
      </c>
      <c r="D360" s="41" t="s">
        <v>2154</v>
      </c>
      <c r="E360" s="41" t="s">
        <v>2154</v>
      </c>
      <c r="F360" s="41" t="s">
        <v>2154</v>
      </c>
      <c r="G360" s="41" t="s">
        <v>2155</v>
      </c>
      <c r="H360" s="41">
        <v>0.2</v>
      </c>
      <c r="I360" s="41" t="s">
        <v>1720</v>
      </c>
      <c r="J360" s="41" t="s">
        <v>2563</v>
      </c>
      <c r="K360" s="41" t="s">
        <v>2148</v>
      </c>
      <c r="L360" s="41"/>
      <c r="M360" s="41" t="s">
        <v>2147</v>
      </c>
      <c r="N360" s="41" t="s">
        <v>2115</v>
      </c>
      <c r="O360" s="41" t="s">
        <v>3480</v>
      </c>
      <c r="P360" s="62">
        <v>44581</v>
      </c>
      <c r="Q360" s="41"/>
    </row>
    <row r="361" spans="1:17" s="44" customFormat="1" x14ac:dyDescent="0.3">
      <c r="A361" s="41" t="s">
        <v>95</v>
      </c>
      <c r="B361" s="41" t="s">
        <v>924</v>
      </c>
      <c r="C361" s="41" t="s">
        <v>2154</v>
      </c>
      <c r="D361" s="41" t="s">
        <v>2154</v>
      </c>
      <c r="E361" s="41" t="s">
        <v>2154</v>
      </c>
      <c r="F361" s="41" t="s">
        <v>2154</v>
      </c>
      <c r="G361" s="41" t="s">
        <v>2158</v>
      </c>
      <c r="H361" s="41">
        <f>0.24*10^3</f>
        <v>240</v>
      </c>
      <c r="I361" s="41" t="s">
        <v>1720</v>
      </c>
      <c r="J361" s="41" t="s">
        <v>2564</v>
      </c>
      <c r="K361" s="41"/>
      <c r="L361" s="41"/>
      <c r="M361" s="41"/>
      <c r="N361" s="41"/>
      <c r="O361" s="41" t="s">
        <v>3480</v>
      </c>
      <c r="P361" s="62">
        <v>44581</v>
      </c>
      <c r="Q361" s="41"/>
    </row>
    <row r="362" spans="1:17" s="44" customFormat="1" x14ac:dyDescent="0.3">
      <c r="A362" s="41" t="s">
        <v>95</v>
      </c>
      <c r="B362" s="41" t="s">
        <v>924</v>
      </c>
      <c r="C362" s="41" t="s">
        <v>2154</v>
      </c>
      <c r="D362" s="41" t="s">
        <v>2154</v>
      </c>
      <c r="E362" s="41" t="s">
        <v>2154</v>
      </c>
      <c r="F362" s="41" t="s">
        <v>2154</v>
      </c>
      <c r="G362" s="41" t="s">
        <v>2155</v>
      </c>
      <c r="H362" s="41">
        <v>24</v>
      </c>
      <c r="I362" s="41" t="s">
        <v>1720</v>
      </c>
      <c r="J362" s="41" t="s">
        <v>2564</v>
      </c>
      <c r="K362" s="41" t="s">
        <v>2149</v>
      </c>
      <c r="L362" s="41"/>
      <c r="M362" s="41" t="s">
        <v>2111</v>
      </c>
      <c r="N362" s="41" t="s">
        <v>2112</v>
      </c>
      <c r="O362" s="41" t="s">
        <v>3480</v>
      </c>
      <c r="P362" s="62">
        <v>44581</v>
      </c>
      <c r="Q362" s="41"/>
    </row>
    <row r="363" spans="1:17" s="44" customFormat="1" x14ac:dyDescent="0.3">
      <c r="A363" s="41" t="s">
        <v>611</v>
      </c>
      <c r="B363" s="41" t="s">
        <v>1435</v>
      </c>
      <c r="C363" s="41" t="s">
        <v>2154</v>
      </c>
      <c r="D363" s="41" t="s">
        <v>2154</v>
      </c>
      <c r="E363" s="41" t="s">
        <v>2154</v>
      </c>
      <c r="F363" s="41" t="s">
        <v>2154</v>
      </c>
      <c r="G363" s="41" t="s">
        <v>2140</v>
      </c>
      <c r="H363" s="41">
        <v>14.31</v>
      </c>
      <c r="I363" s="41" t="s">
        <v>1720</v>
      </c>
      <c r="J363" s="41" t="s">
        <v>2141</v>
      </c>
      <c r="K363" s="41" t="s">
        <v>2142</v>
      </c>
      <c r="L363" s="41"/>
      <c r="M363" s="41" t="s">
        <v>2122</v>
      </c>
      <c r="N363" s="41" t="s">
        <v>2112</v>
      </c>
      <c r="O363" s="41" t="s">
        <v>3480</v>
      </c>
      <c r="P363" s="62">
        <v>44581</v>
      </c>
      <c r="Q363" s="41"/>
    </row>
    <row r="364" spans="1:17" s="44" customFormat="1" x14ac:dyDescent="0.3">
      <c r="A364" s="41" t="s">
        <v>611</v>
      </c>
      <c r="B364" s="41" t="s">
        <v>1435</v>
      </c>
      <c r="C364" s="41" t="s">
        <v>2154</v>
      </c>
      <c r="D364" s="41" t="s">
        <v>2154</v>
      </c>
      <c r="E364" s="41" t="s">
        <v>2154</v>
      </c>
      <c r="F364" s="41" t="s">
        <v>2154</v>
      </c>
      <c r="G364" s="41" t="s">
        <v>2143</v>
      </c>
      <c r="H364" s="41">
        <v>3562.24</v>
      </c>
      <c r="I364" s="41" t="s">
        <v>1720</v>
      </c>
      <c r="J364" s="41" t="s">
        <v>2141</v>
      </c>
      <c r="K364" s="41" t="s">
        <v>2144</v>
      </c>
      <c r="L364" s="41"/>
      <c r="M364" s="41" t="s">
        <v>2122</v>
      </c>
      <c r="N364" s="41" t="s">
        <v>2115</v>
      </c>
      <c r="O364" s="41" t="s">
        <v>3480</v>
      </c>
      <c r="P364" s="62">
        <v>44581</v>
      </c>
      <c r="Q364" s="41"/>
    </row>
    <row r="365" spans="1:17" s="44" customFormat="1" ht="14.5" x14ac:dyDescent="0.35">
      <c r="A365" s="41" t="s">
        <v>551</v>
      </c>
      <c r="B365" s="41" t="s">
        <v>1375</v>
      </c>
      <c r="C365" s="41" t="s">
        <v>2154</v>
      </c>
      <c r="D365" s="41" t="s">
        <v>2098</v>
      </c>
      <c r="E365" s="41" t="s">
        <v>2154</v>
      </c>
      <c r="F365" s="41" t="s">
        <v>2154</v>
      </c>
      <c r="G365" s="41" t="s">
        <v>2155</v>
      </c>
      <c r="H365" s="41">
        <f>0.42*10^3</f>
        <v>420</v>
      </c>
      <c r="I365" s="41" t="s">
        <v>1720</v>
      </c>
      <c r="J365" s="13" t="s">
        <v>2232</v>
      </c>
      <c r="K365" s="41" t="s">
        <v>2165</v>
      </c>
      <c r="L365" s="41" t="s">
        <v>2233</v>
      </c>
      <c r="M365" s="41"/>
      <c r="N365" s="41"/>
      <c r="O365" s="41" t="s">
        <v>3481</v>
      </c>
      <c r="P365" s="62">
        <v>44581</v>
      </c>
      <c r="Q365" s="41" t="s">
        <v>3487</v>
      </c>
    </row>
    <row r="366" spans="1:17" s="44" customFormat="1" x14ac:dyDescent="0.3">
      <c r="A366" s="41" t="s">
        <v>98</v>
      </c>
      <c r="B366" s="41" t="s">
        <v>927</v>
      </c>
      <c r="C366" s="41" t="s">
        <v>2154</v>
      </c>
      <c r="D366" s="41" t="s">
        <v>2098</v>
      </c>
      <c r="E366" s="41" t="s">
        <v>2154</v>
      </c>
      <c r="F366" s="41" t="s">
        <v>2154</v>
      </c>
      <c r="G366" s="41" t="s">
        <v>2109</v>
      </c>
      <c r="H366" s="41">
        <v>0.15</v>
      </c>
      <c r="I366" s="41" t="s">
        <v>1720</v>
      </c>
      <c r="J366" s="41" t="s">
        <v>2150</v>
      </c>
      <c r="K366" s="41" t="s">
        <v>2151</v>
      </c>
      <c r="L366" s="41"/>
      <c r="M366" s="41" t="s">
        <v>2111</v>
      </c>
      <c r="N366" s="41" t="s">
        <v>2112</v>
      </c>
      <c r="O366" s="41" t="s">
        <v>3480</v>
      </c>
      <c r="P366" s="62">
        <v>44581</v>
      </c>
      <c r="Q366" s="41"/>
    </row>
    <row r="367" spans="1:17" s="44" customFormat="1" x14ac:dyDescent="0.3">
      <c r="A367" s="41" t="s">
        <v>200</v>
      </c>
      <c r="B367" s="41" t="s">
        <v>1028</v>
      </c>
      <c r="C367" s="41" t="s">
        <v>2098</v>
      </c>
      <c r="D367" s="41"/>
      <c r="E367" s="41" t="s">
        <v>2098</v>
      </c>
      <c r="F367" s="41"/>
      <c r="G367" s="41"/>
      <c r="H367" s="41"/>
      <c r="I367" s="41"/>
      <c r="J367" s="41"/>
      <c r="K367" s="41"/>
      <c r="L367" s="41"/>
      <c r="M367" s="41"/>
      <c r="N367" s="41"/>
      <c r="O367" s="41"/>
      <c r="P367" s="61">
        <v>44581</v>
      </c>
      <c r="Q367" s="41"/>
    </row>
    <row r="368" spans="1:17" s="44" customFormat="1" x14ac:dyDescent="0.3">
      <c r="A368" s="41" t="s">
        <v>367</v>
      </c>
      <c r="B368" s="41" t="s">
        <v>1191</v>
      </c>
      <c r="C368" s="41" t="s">
        <v>2098</v>
      </c>
      <c r="D368" s="41"/>
      <c r="E368" s="41" t="s">
        <v>2098</v>
      </c>
      <c r="F368" s="41"/>
      <c r="G368" s="41"/>
      <c r="H368" s="41"/>
      <c r="I368" s="41"/>
      <c r="J368" s="41"/>
      <c r="K368" s="41"/>
      <c r="L368" s="41"/>
      <c r="M368" s="41"/>
      <c r="N368" s="41"/>
      <c r="O368" s="41"/>
      <c r="P368" s="61">
        <v>44581</v>
      </c>
      <c r="Q368" s="41"/>
    </row>
    <row r="369" spans="1:17" s="44" customFormat="1" x14ac:dyDescent="0.3">
      <c r="A369" s="41" t="s">
        <v>538</v>
      </c>
      <c r="B369" s="41" t="s">
        <v>1362</v>
      </c>
      <c r="C369" s="41" t="s">
        <v>2098</v>
      </c>
      <c r="D369" s="41"/>
      <c r="E369" s="41" t="s">
        <v>2154</v>
      </c>
      <c r="F369" s="41" t="s">
        <v>2098</v>
      </c>
      <c r="G369" s="41"/>
      <c r="H369" s="41"/>
      <c r="I369" s="41"/>
      <c r="J369" s="41"/>
      <c r="K369" s="41"/>
      <c r="L369" s="41"/>
      <c r="M369" s="41"/>
      <c r="N369" s="41"/>
      <c r="O369" s="41"/>
      <c r="P369" s="61">
        <v>44581</v>
      </c>
      <c r="Q369" s="41"/>
    </row>
    <row r="370" spans="1:17" s="44" customFormat="1" x14ac:dyDescent="0.3">
      <c r="A370" s="41" t="s">
        <v>29</v>
      </c>
      <c r="B370" s="41" t="s">
        <v>858</v>
      </c>
      <c r="C370" s="41" t="s">
        <v>2154</v>
      </c>
      <c r="D370" s="41" t="s">
        <v>2098</v>
      </c>
      <c r="E370" s="41" t="s">
        <v>2154</v>
      </c>
      <c r="F370" s="41" t="s">
        <v>2154</v>
      </c>
      <c r="G370" s="41"/>
      <c r="H370" s="41"/>
      <c r="I370" s="41"/>
      <c r="J370" s="41"/>
      <c r="K370" s="41"/>
      <c r="L370" s="41"/>
      <c r="M370" s="41" t="s">
        <v>2129</v>
      </c>
      <c r="N370" s="41" t="s">
        <v>2112</v>
      </c>
      <c r="O370" s="41"/>
      <c r="P370" s="61">
        <v>44581</v>
      </c>
      <c r="Q370" s="41"/>
    </row>
    <row r="371" spans="1:17" s="44" customFormat="1" x14ac:dyDescent="0.3">
      <c r="A371" s="41" t="s">
        <v>499</v>
      </c>
      <c r="B371" s="41" t="s">
        <v>1323</v>
      </c>
      <c r="C371" s="41" t="s">
        <v>2098</v>
      </c>
      <c r="D371" s="41"/>
      <c r="E371" s="41" t="s">
        <v>2154</v>
      </c>
      <c r="F371" s="41" t="s">
        <v>2098</v>
      </c>
      <c r="G371" s="41"/>
      <c r="H371" s="41"/>
      <c r="I371" s="41"/>
      <c r="J371" s="41"/>
      <c r="K371" s="41"/>
      <c r="L371" s="41"/>
      <c r="M371" s="41"/>
      <c r="N371" s="41"/>
      <c r="O371" s="41"/>
      <c r="P371" s="61">
        <v>44581</v>
      </c>
      <c r="Q371" s="41"/>
    </row>
    <row r="372" spans="1:17" s="44" customFormat="1" x14ac:dyDescent="0.3">
      <c r="A372" s="41" t="s">
        <v>78</v>
      </c>
      <c r="B372" s="41" t="s">
        <v>907</v>
      </c>
      <c r="C372" s="41" t="s">
        <v>2154</v>
      </c>
      <c r="D372" s="41" t="s">
        <v>2098</v>
      </c>
      <c r="E372" s="41" t="s">
        <v>2154</v>
      </c>
      <c r="F372" s="41" t="s">
        <v>2098</v>
      </c>
      <c r="G372" s="41"/>
      <c r="H372" s="41"/>
      <c r="I372" s="41"/>
      <c r="J372" s="41"/>
      <c r="K372" s="41"/>
      <c r="L372" s="41"/>
      <c r="M372" s="41"/>
      <c r="N372" s="41"/>
      <c r="O372" s="41"/>
      <c r="P372" s="61">
        <v>44581</v>
      </c>
      <c r="Q372" s="41"/>
    </row>
    <row r="373" spans="1:17" s="44" customFormat="1" x14ac:dyDescent="0.3">
      <c r="A373" s="41" t="s">
        <v>819</v>
      </c>
      <c r="B373" s="41"/>
      <c r="C373" s="41" t="s">
        <v>2098</v>
      </c>
      <c r="D373" s="41"/>
      <c r="E373" s="41" t="s">
        <v>2098</v>
      </c>
      <c r="F373" s="41"/>
      <c r="G373" s="41"/>
      <c r="H373" s="41"/>
      <c r="I373" s="41"/>
      <c r="J373" s="41"/>
      <c r="K373" s="41"/>
      <c r="L373" s="41"/>
      <c r="M373" s="41"/>
      <c r="N373" s="41"/>
      <c r="O373" s="41"/>
      <c r="P373" s="61">
        <v>44581</v>
      </c>
      <c r="Q373" s="41"/>
    </row>
    <row r="374" spans="1:17" s="44" customFormat="1" x14ac:dyDescent="0.3">
      <c r="A374" s="41" t="s">
        <v>203</v>
      </c>
      <c r="B374" s="41"/>
      <c r="C374" s="41" t="s">
        <v>2098</v>
      </c>
      <c r="D374" s="41"/>
      <c r="E374" s="41" t="s">
        <v>2098</v>
      </c>
      <c r="F374" s="41"/>
      <c r="G374" s="41"/>
      <c r="H374" s="41"/>
      <c r="I374" s="41"/>
      <c r="J374" s="41"/>
      <c r="K374" s="41"/>
      <c r="L374" s="41"/>
      <c r="M374" s="41"/>
      <c r="N374" s="41"/>
      <c r="O374" s="41"/>
      <c r="P374" s="61">
        <v>44581</v>
      </c>
      <c r="Q374" s="41"/>
    </row>
    <row r="375" spans="1:17" s="44" customFormat="1" x14ac:dyDescent="0.3">
      <c r="A375" s="41" t="s">
        <v>184</v>
      </c>
      <c r="B375" s="41"/>
      <c r="C375" s="41" t="s">
        <v>2098</v>
      </c>
      <c r="D375" s="41"/>
      <c r="E375" s="41" t="s">
        <v>2098</v>
      </c>
      <c r="F375" s="41"/>
      <c r="G375" s="41"/>
      <c r="H375" s="41"/>
      <c r="I375" s="41"/>
      <c r="J375" s="41"/>
      <c r="K375" s="41"/>
      <c r="L375" s="41"/>
      <c r="M375" s="41"/>
      <c r="N375" s="41"/>
      <c r="O375" s="41"/>
      <c r="P375" s="61">
        <v>44581</v>
      </c>
      <c r="Q375" s="41"/>
    </row>
    <row r="376" spans="1:17" s="44" customFormat="1" ht="14.5" x14ac:dyDescent="0.35">
      <c r="A376" s="26" t="s">
        <v>3325</v>
      </c>
      <c r="B376" s="26"/>
      <c r="N376" s="41"/>
      <c r="O376" s="41"/>
      <c r="P376" s="61">
        <v>44581</v>
      </c>
    </row>
    <row r="377" spans="1:17" ht="14.5" x14ac:dyDescent="0.35">
      <c r="A377" s="26" t="s">
        <v>3409</v>
      </c>
      <c r="B377" s="26"/>
      <c r="C377" s="44" t="s">
        <v>2098</v>
      </c>
      <c r="D377" s="44" t="s">
        <v>2098</v>
      </c>
      <c r="E377" s="44"/>
      <c r="F377" s="44"/>
      <c r="G377" s="44"/>
      <c r="H377" s="44"/>
      <c r="I377" s="44"/>
      <c r="J377" s="44"/>
      <c r="K377" s="44"/>
      <c r="L377" s="44"/>
      <c r="M377" s="44"/>
      <c r="N377" s="44"/>
      <c r="O377" s="44"/>
      <c r="P377" s="61">
        <v>44581</v>
      </c>
      <c r="Q377" s="44"/>
    </row>
    <row r="378" spans="1:17" ht="14.5" x14ac:dyDescent="0.35">
      <c r="A378" s="26" t="s">
        <v>3410</v>
      </c>
      <c r="B378" s="26"/>
      <c r="C378" s="44" t="s">
        <v>2098</v>
      </c>
      <c r="D378" s="44" t="s">
        <v>2098</v>
      </c>
      <c r="E378" s="44"/>
      <c r="F378" s="44"/>
      <c r="G378" s="44"/>
      <c r="H378" s="44"/>
      <c r="I378" s="44"/>
      <c r="J378" s="44"/>
      <c r="K378" s="44"/>
      <c r="L378" s="44"/>
      <c r="M378" s="44"/>
      <c r="N378" s="44"/>
      <c r="O378" s="44"/>
      <c r="P378" s="61">
        <v>44581</v>
      </c>
      <c r="Q378" s="44"/>
    </row>
  </sheetData>
  <autoFilter ref="A1:Q378" xr:uid="{AE2135E7-EC2D-4884-914B-031879D8BCE2}">
    <sortState xmlns:xlrd2="http://schemas.microsoft.com/office/spreadsheetml/2017/richdata2" ref="A52:Q378">
      <sortCondition ref="B1:B378"/>
    </sortState>
  </autoFilter>
  <hyperlinks>
    <hyperlink ref="J11" r:id="rId1" xr:uid="{95242BB4-54A7-43CD-810F-957DF29C0AFB}"/>
    <hyperlink ref="J12" r:id="rId2" xr:uid="{39B2C760-B607-46A0-B85A-1523AE988409}"/>
    <hyperlink ref="J101" r:id="rId3" xr:uid="{45EA54EB-40D4-49BD-BFEB-02EEFBA3F222}"/>
    <hyperlink ref="J227" r:id="rId4" xr:uid="{DFC75383-F0E7-40E5-B91F-95DB74637C98}"/>
    <hyperlink ref="J349" r:id="rId5" xr:uid="{7BA1C6B3-FA90-433A-94FB-753DF7040B48}"/>
    <hyperlink ref="J22" r:id="rId6" xr:uid="{4A699CD4-D923-4C7D-A927-669097569003}"/>
    <hyperlink ref="J23" r:id="rId7" xr:uid="{7D66BABB-9A18-45C4-A31B-3DD137CAFC62}"/>
    <hyperlink ref="J30" r:id="rId8" xr:uid="{99C00C03-E2DB-4156-9268-91E32E116419}"/>
    <hyperlink ref="J48" r:id="rId9" xr:uid="{AC3374DA-81A7-437D-AE16-D433D61FEA5B}"/>
    <hyperlink ref="J365" r:id="rId10" xr:uid="{6FEFB1B6-A4F8-428A-9E1B-3BDEE259F27F}"/>
    <hyperlink ref="J50" r:id="rId11" xr:uid="{75C2D01E-1917-494E-AB9C-EE7009392A6E}"/>
    <hyperlink ref="J92" r:id="rId12" xr:uid="{0418628A-72B4-4718-9666-4802116A5D40}"/>
    <hyperlink ref="J93" r:id="rId13" xr:uid="{9B92ED48-B1BD-4719-B66B-3AA2E4D9CD9B}"/>
    <hyperlink ref="J123" r:id="rId14" xr:uid="{77136B39-DB55-4BCB-AF3A-B6DFE8A1FCC9}"/>
    <hyperlink ref="J135" r:id="rId15" xr:uid="{29FED714-007D-4772-96E0-4B6DD5861DBE}"/>
    <hyperlink ref="J136" r:id="rId16" xr:uid="{B339C313-9420-499B-91A3-B91B9B5D783F}"/>
    <hyperlink ref="J157" r:id="rId17" xr:uid="{8930E7AA-67EF-42FC-BC1E-FE79EFDAE063}"/>
    <hyperlink ref="J247" r:id="rId18" xr:uid="{BEC3A085-3C8E-4A5A-B43E-59B45BC36972}"/>
    <hyperlink ref="J59" r:id="rId19" xr:uid="{127AAE6D-E65C-4D84-8C59-BCD68F5F0791}"/>
    <hyperlink ref="J115" r:id="rId20" xr:uid="{63549399-DE4B-4AF4-9966-69F129985C20}"/>
  </hyperlinks>
  <pageMargins left="0.7" right="0.7" top="0.75" bottom="0.75" header="0.3" footer="0.3"/>
  <pageSetup orientation="portrait" horizontalDpi="300" verticalDpi="300" r:id="rId2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Links &amp; Bib</vt:lpstr>
      <vt:lpstr>Instructions</vt:lpstr>
      <vt:lpstr>USEPA_OPP</vt:lpstr>
      <vt:lpstr>CCME</vt:lpstr>
      <vt:lpstr>CAD_data_ref</vt:lpstr>
      <vt:lpstr>CAD_data</vt:lpstr>
      <vt:lpstr>FEQGCs</vt:lpstr>
      <vt:lpstr>EU_EQS</vt:lpstr>
      <vt:lpstr>USEPA_Reg4</vt:lpstr>
      <vt:lpstr>NOAA_SQRT</vt:lpstr>
      <vt:lpstr>USEPA_ECOTOX</vt:lpstr>
      <vt:lpstr>USEPA_NRWQC</vt:lpstr>
      <vt:lpstr>NORMAN</vt:lpstr>
      <vt:lpstr>USEPA_ESB</vt:lpstr>
      <vt:lpstr>USEPA_CWA2</vt:lpstr>
      <vt:lpstr>CAD_Prov</vt:lpstr>
      <vt:lpstr>CAS_list_for_CWA</vt:lpstr>
      <vt:lpstr>ECHA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dc:creator>
  <cp:lastModifiedBy>EM</cp:lastModifiedBy>
  <dcterms:created xsi:type="dcterms:W3CDTF">2021-04-08T15:58:55Z</dcterms:created>
  <dcterms:modified xsi:type="dcterms:W3CDTF">2023-02-26T08:48:11Z</dcterms:modified>
</cp:coreProperties>
</file>